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72" firstSheet="0" activeTab="0"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'Translations'!$A$1:$B$467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4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
      <name val="Aptos Narrow"/>
      <family val="2"/>
      <color rgb="FF000000"/>
      <sz val="11"/>
      <scheme val="minor"/>
    </font>
    <font>
      <name val="Aptos Narrow"/>
      <family val="2"/>
      <color theme="7" tint="-0.249977111117893"/>
      <sz val="11"/>
      <u val="single"/>
      <scheme val="minor"/>
    </font>
  </fonts>
  <fills count="24">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
      <patternFill patternType="solid">
        <fgColor theme="2" tint="-0.09997863704336681"/>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269">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0" fillId="0" borderId="0" pivotButton="0" quotePrefix="0" xfId="0"/>
    <xf numFmtId="0" fontId="9" fillId="0" borderId="0" applyAlignment="1" pivotButton="0" quotePrefix="0" xfId="0">
      <alignment horizontal="center" vertical="center"/>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0" fillId="7" borderId="0" pivotButton="0" quotePrefix="1" xfId="0"/>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0" fillId="0" borderId="0" pivotButton="0" quotePrefix="0" xfId="0"/>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7" borderId="67" pivotButton="0" quotePrefix="0" xfId="0"/>
    <xf numFmtId="0" fontId="0" fillId="7" borderId="87"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6"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6" fillId="21" borderId="2" applyAlignment="1" pivotButton="0" quotePrefix="0" xfId="0">
      <alignment horizontal="left" vertical="center"/>
    </xf>
    <xf numFmtId="0" fontId="14" fillId="0" borderId="0" applyAlignment="1" pivotButton="0" quotePrefix="0" xfId="0">
      <alignment horizontal="center" vertical="center"/>
    </xf>
    <xf numFmtId="0" fontId="26" fillId="12" borderId="2" applyAlignment="1" pivotButton="0" quotePrefix="0" xfId="0">
      <alignment horizontal="left" vertical="center"/>
    </xf>
    <xf numFmtId="0" fontId="18" fillId="0" borderId="0" applyAlignment="1" pivotButton="0" quotePrefix="0" xfId="0">
      <alignment vertical="center"/>
    </xf>
    <xf numFmtId="0" fontId="26" fillId="4" borderId="2" applyAlignment="1" pivotButton="0" quotePrefix="0" xfId="0">
      <alignment horizontal="left" vertical="center"/>
    </xf>
    <xf numFmtId="0" fontId="27" fillId="13" borderId="2" applyAlignment="1" pivotButton="0" quotePrefix="0" xfId="0">
      <alignment horizontal="left" vertical="center" wrapText="1"/>
    </xf>
    <xf numFmtId="0" fontId="18" fillId="0" borderId="0" applyAlignment="1" pivotButton="0" quotePrefix="0" xfId="0">
      <alignment vertical="center" wrapText="1"/>
    </xf>
    <xf numFmtId="0" fontId="27" fillId="19" borderId="2" applyAlignment="1" pivotButton="0" quotePrefix="0" xfId="0">
      <alignment horizontal="left" vertical="center" wrapText="1"/>
    </xf>
    <xf numFmtId="0" fontId="27" fillId="6" borderId="2" applyAlignment="1" pivotButton="0" quotePrefix="0" xfId="0">
      <alignment horizontal="left" vertical="center" wrapText="1"/>
    </xf>
    <xf numFmtId="0" fontId="26" fillId="10" borderId="2" applyAlignment="1" pivotButton="0" quotePrefix="0" xfId="0">
      <alignment horizontal="left" vertical="center" wrapText="1"/>
    </xf>
    <xf numFmtId="0" fontId="26" fillId="9" borderId="2" applyAlignment="1" pivotButton="0" quotePrefix="0" xfId="0">
      <alignment horizontal="left" vertical="center"/>
    </xf>
    <xf numFmtId="0" fontId="19" fillId="7" borderId="68" applyAlignment="1" pivotButton="0" quotePrefix="0" xfId="0">
      <alignment horizontal="left" vertical="center"/>
    </xf>
    <xf numFmtId="0" fontId="26" fillId="0" borderId="43" applyAlignment="1" pivotButton="0" quotePrefix="0" xfId="0">
      <alignment horizontal="left" vertical="center"/>
    </xf>
    <xf numFmtId="0" fontId="18" fillId="0" borderId="0" applyAlignment="1" pivotButton="0" quotePrefix="0" xfId="0">
      <alignment horizontal="left" vertical="center" wrapText="1"/>
    </xf>
    <xf numFmtId="0" fontId="6" fillId="7" borderId="25" applyAlignment="1" pivotButton="0" quotePrefix="0" xfId="3">
      <alignment wrapText="1"/>
    </xf>
    <xf numFmtId="0" fontId="7" fillId="7" borderId="25" applyAlignment="1" pivotButton="0" quotePrefix="0" xfId="3">
      <alignment wrapText="1"/>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 applyAlignment="1" applyProtection="1" pivotButton="0" quotePrefix="0" xfId="0">
      <alignment horizontal="center" wrapText="1"/>
      <protection locked="0" hidden="0"/>
    </xf>
    <xf numFmtId="0" fontId="0" fillId="16" borderId="89"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26" fillId="7" borderId="75" pivotButton="0" quotePrefix="0" xfId="0"/>
    <xf numFmtId="0" fontId="2" fillId="7" borderId="0" pivotButton="0" quotePrefix="0" xfId="0"/>
    <xf numFmtId="0" fontId="28"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0" fontId="2" fillId="0" borderId="63"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0" fontId="0" fillId="7" borderId="0" applyAlignment="1" pivotButton="0" quotePrefix="0" xfId="0">
      <alignment wrapText="1"/>
    </xf>
    <xf numFmtId="164" fontId="0" fillId="13" borderId="36" applyAlignment="1" pivotButton="0" quotePrefix="0" xfId="0">
      <alignment horizontal="center"/>
    </xf>
    <xf numFmtId="164" fontId="0" fillId="13" borderId="88" applyAlignment="1" pivotButton="0" quotePrefix="0" xfId="0">
      <alignment horizont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0" fontId="6" fillId="7" borderId="25" applyAlignment="1" pivotButton="0" quotePrefix="1" xfId="3">
      <alignment wrapText="1"/>
    </xf>
    <xf numFmtId="0" fontId="6" fillId="7" borderId="45" applyAlignment="1" pivotButton="0" quotePrefix="1" xfId="3">
      <alignment wrapText="1"/>
    </xf>
    <xf numFmtId="0" fontId="35"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6" fillId="7" borderId="0" pivotButton="0" quotePrefix="0" xfId="0"/>
    <xf numFmtId="0" fontId="36" fillId="7" borderId="0" pivotButton="0" quotePrefix="0" xfId="3"/>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0" xfId="0">
      <alignment wrapText="1"/>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Protection="1" pivotButton="0" quotePrefix="0" xfId="3">
      <protection locked="0" hidden="0"/>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0" fillId="0" borderId="0" applyAlignment="1" pivotButton="0" quotePrefix="0" xfId="0">
      <alignment horizontal="left" vertical="center" wrapText="1"/>
    </xf>
    <xf numFmtId="0" fontId="9" fillId="0" borderId="0" applyAlignment="1" pivotButton="0" quotePrefix="0" xfId="0">
      <alignment horizontal="left" vertical="top" wrapText="1"/>
    </xf>
    <xf numFmtId="0" fontId="9" fillId="0" borderId="22" applyAlignment="1" pivotButton="0" quotePrefix="0" xfId="0">
      <alignment horizontal="left" vertical="top" wrapText="1"/>
    </xf>
    <xf numFmtId="0" fontId="9" fillId="0" borderId="34" applyAlignment="1" pivotButton="0" quotePrefix="0" xfId="0">
      <alignment horizontal="left" vertical="top" wrapText="1"/>
    </xf>
    <xf numFmtId="0" fontId="2" fillId="0" borderId="1" applyAlignment="1" pivotButton="0" quotePrefix="0" xfId="0">
      <alignment wrapText="1"/>
    </xf>
    <xf numFmtId="0" fontId="0" fillId="0" borderId="1" applyAlignment="1" pivotButton="0" quotePrefix="0" xfId="0">
      <alignment horizontal="center" wrapText="1"/>
    </xf>
    <xf numFmtId="0" fontId="0" fillId="0" borderId="22" applyAlignment="1" pivotButton="0" quotePrefix="0" xfId="0">
      <alignment horizontal="left" wrapText="1"/>
    </xf>
    <xf numFmtId="0" fontId="0" fillId="0" borderId="34" applyAlignment="1" pivotButton="0" quotePrefix="0" xfId="0">
      <alignment horizontal="left" wrapText="1"/>
    </xf>
    <xf numFmtId="0" fontId="0" fillId="0" borderId="22" applyAlignment="1" pivotButton="0" quotePrefix="0" xfId="0">
      <alignment horizontal="left" vertical="center" wrapText="1"/>
    </xf>
    <xf numFmtId="0" fontId="38" fillId="0" borderId="0" applyAlignment="1" pivotButton="0" quotePrefix="0" xfId="0">
      <alignment wrapText="1"/>
    </xf>
    <xf numFmtId="0" fontId="0" fillId="0" borderId="18" applyAlignment="1" pivotButton="0" quotePrefix="0" xfId="0">
      <alignment vertical="center" wrapText="1"/>
    </xf>
    <xf numFmtId="0" fontId="38" fillId="0" borderId="0" applyAlignment="1" pivotButton="0" quotePrefix="0" xfId="0">
      <alignment vertical="center" wrapText="1"/>
    </xf>
    <xf numFmtId="0" fontId="38" fillId="0" borderId="22" applyAlignment="1" pivotButton="0" quotePrefix="0" xfId="0">
      <alignment wrapText="1"/>
    </xf>
    <xf numFmtId="0" fontId="0" fillId="0" borderId="34" applyAlignment="1" pivotButton="0" quotePrefix="0" xfId="0">
      <alignment horizontal="left" vertical="center" wrapText="1"/>
    </xf>
    <xf numFmtId="0" fontId="0" fillId="7" borderId="46" pivotButton="0" quotePrefix="0" xfId="0"/>
    <xf numFmtId="0" fontId="0" fillId="7" borderId="5" pivotButton="0" quotePrefix="0" xfId="0"/>
    <xf numFmtId="0" fontId="0" fillId="7" borderId="53" pivotButton="0" quotePrefix="0" xfId="0"/>
    <xf numFmtId="0" fontId="0" fillId="16" borderId="71" applyAlignment="1" pivotButton="0" quotePrefix="0" xfId="0">
      <alignment horizontal="center" vertical="center"/>
    </xf>
    <xf numFmtId="0" fontId="0" fillId="7" borderId="54" pivotButton="0" quotePrefix="0" xfId="0"/>
    <xf numFmtId="0" fontId="0" fillId="13" borderId="71" applyAlignment="1" pivotButton="0" quotePrefix="0" xfId="2">
      <alignment horizontal="center" vertic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0" fontId="0" fillId="16" borderId="62" applyAlignment="1" pivotButton="0" quotePrefix="0" xfId="0">
      <alignment horizontal="center"/>
    </xf>
    <xf numFmtId="0" fontId="0" fillId="7" borderId="40" pivotButton="0" quotePrefix="0" xfId="0"/>
    <xf numFmtId="0" fontId="2" fillId="13" borderId="9" applyAlignment="1" pivotButton="0" quotePrefix="0" xfId="2">
      <alignment horizontal="center" vertical="center"/>
    </xf>
    <xf numFmtId="0" fontId="0" fillId="7" borderId="29" applyAlignment="1" pivotButton="0" quotePrefix="0" xfId="2">
      <alignment horizontal="center" vertical="center"/>
    </xf>
    <xf numFmtId="0" fontId="0" fillId="7" borderId="55" applyAlignment="1" pivotButton="0" quotePrefix="0" xfId="2">
      <alignment horizontal="right" vertical="center"/>
    </xf>
    <xf numFmtId="0" fontId="0" fillId="7" borderId="43" pivotButton="0" quotePrefix="0" xfId="0"/>
    <xf numFmtId="0" fontId="0" fillId="7" borderId="55" applyAlignment="1" pivotButton="0" quotePrefix="0" xfId="0">
      <alignment horizontal="right"/>
    </xf>
    <xf numFmtId="0" fontId="0" fillId="16" borderId="88" applyAlignment="1" applyProtection="1" pivotButton="0" quotePrefix="0" xfId="0">
      <alignment horizontal="center"/>
      <protection locked="0" hidden="0"/>
    </xf>
    <xf numFmtId="0" fontId="0" fillId="16" borderId="36" applyAlignment="1" applyProtection="1" pivotButton="0" quotePrefix="0" xfId="0">
      <alignment horizontal="center"/>
      <protection locked="0" hidden="0"/>
    </xf>
    <xf numFmtId="164" fontId="0" fillId="13" borderId="12" applyAlignment="1" pivotButton="0" quotePrefix="0" xfId="0">
      <alignment horizontal="center"/>
    </xf>
    <xf numFmtId="0" fontId="0" fillId="0" borderId="19" applyAlignment="1" pivotButton="0" quotePrefix="0" xfId="0">
      <alignment horizontal="left" vertical="center" wrapText="1"/>
    </xf>
    <xf numFmtId="0" fontId="0" fillId="0" borderId="19" applyAlignment="1" pivotButton="0" quotePrefix="0" xfId="0">
      <alignment horizontal="left" vertical="top" wrapText="1"/>
    </xf>
    <xf numFmtId="0" fontId="0" fillId="13" borderId="11" applyAlignment="1" pivotButton="0" quotePrefix="0" xfId="0">
      <alignment horizontal="right" vertical="center" wrapText="1"/>
    </xf>
    <xf numFmtId="0" fontId="33" fillId="7" borderId="28" applyAlignment="1" pivotButton="0" quotePrefix="0" xfId="0">
      <alignment horizontal="center" wrapText="1"/>
    </xf>
    <xf numFmtId="0" fontId="7" fillId="7" borderId="28" applyAlignment="1" pivotButton="0" quotePrefix="1" xfId="3">
      <alignment wrapText="1"/>
    </xf>
    <xf numFmtId="0" fontId="4" fillId="0" borderId="1" applyAlignment="1" pivotButton="0" quotePrefix="0" xfId="0">
      <alignment vertical="center" wrapText="1"/>
    </xf>
    <xf numFmtId="0" fontId="10" fillId="0" borderId="1" applyAlignment="1" pivotButton="0" quotePrefix="0" xfId="0">
      <alignment horizontal="center" vertical="center" wrapText="1"/>
    </xf>
    <xf numFmtId="0" fontId="6" fillId="0" borderId="1" applyAlignment="1" pivotButton="0" quotePrefix="0" xfId="3">
      <alignment horizontal="center" vertical="center"/>
    </xf>
    <xf numFmtId="0" fontId="6" fillId="0" borderId="2" applyAlignment="1" pivotButton="0" quotePrefix="0" xfId="3">
      <alignment horizontal="center" vertical="center"/>
    </xf>
    <xf numFmtId="0" fontId="6" fillId="0" borderId="11" applyAlignment="1" pivotButton="0" quotePrefix="0" xfId="3">
      <alignment horizontal="center" vertical="center"/>
    </xf>
    <xf numFmtId="0" fontId="0" fillId="0" borderId="11" pivotButton="0" quotePrefix="0" xfId="0"/>
    <xf numFmtId="0" fontId="0" fillId="6" borderId="20" applyProtection="1" pivotButton="0" quotePrefix="0" xfId="0">
      <protection locked="0" hidden="0"/>
    </xf>
    <xf numFmtId="0" fontId="0" fillId="0" borderId="1" applyAlignment="1" applyProtection="1" pivotButton="0" quotePrefix="0" xfId="0">
      <alignment wrapText="1"/>
      <protection locked="0" hidden="0"/>
    </xf>
    <xf numFmtId="0" fontId="0" fillId="0" borderId="11" applyAlignment="1" pivotButton="0" quotePrefix="0" xfId="0">
      <alignment horizontal="center" vertical="center" wrapText="1"/>
    </xf>
    <xf numFmtId="0" fontId="0" fillId="19" borderId="11" applyAlignment="1" pivotButton="0" quotePrefix="0" xfId="0">
      <alignment horizontal="left" vertical="top" wrapText="1"/>
    </xf>
    <xf numFmtId="0" fontId="0" fillId="19" borderId="11" applyAlignment="1" pivotButton="0" quotePrefix="0" xfId="0">
      <alignment horizontal="left" vertical="center" wrapText="1"/>
    </xf>
    <xf numFmtId="0" fontId="0" fillId="19" borderId="11" applyAlignment="1" applyProtection="1" pivotButton="0" quotePrefix="0" xfId="0">
      <alignment horizontal="center" vertical="center" wrapText="1"/>
      <protection locked="0" hidden="0"/>
    </xf>
    <xf numFmtId="0" fontId="0" fillId="13" borderId="11" applyAlignment="1" applyProtection="1" pivotButton="0" quotePrefix="0" xfId="0">
      <alignment horizontal="center" wrapText="1"/>
      <protection locked="0" hidden="0"/>
    </xf>
    <xf numFmtId="0" fontId="0" fillId="0" borderId="20" applyAlignment="1" applyProtection="1" pivotButton="0" quotePrefix="0" xfId="0">
      <alignment wrapText="1"/>
      <protection locked="0" hidden="0"/>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2" fontId="0" fillId="13" borderId="1" applyAlignment="1" pivotButton="0" quotePrefix="0" xfId="2">
      <alignment horizontal="right" vertical="center"/>
    </xf>
    <xf numFmtId="0" fontId="10" fillId="0" borderId="18" applyAlignment="1" pivotButton="0" quotePrefix="0" xfId="0">
      <alignment horizontal="center" vertical="center" wrapText="1"/>
    </xf>
    <xf numFmtId="2" fontId="0" fillId="13" borderId="48" applyAlignment="1" pivotButton="0" quotePrefix="0" xfId="2">
      <alignment horizontal="right" vertical="center"/>
    </xf>
    <xf numFmtId="9" fontId="1" fillId="13" borderId="51" applyAlignment="1" pivotButton="0" quotePrefix="0" xfId="1">
      <alignment horizontal="right"/>
    </xf>
    <xf numFmtId="9" fontId="0" fillId="7" borderId="66" applyAlignment="1" pivotButton="0" quotePrefix="0" xfId="1">
      <alignment horizontal="right"/>
    </xf>
    <xf numFmtId="0" fontId="2" fillId="0" borderId="30" applyAlignment="1" pivotButton="0" quotePrefix="0" xfId="0">
      <alignment horizontal="center" vertical="center" wrapText="1"/>
    </xf>
    <xf numFmtId="0" fontId="2" fillId="0" borderId="85" applyAlignment="1" pivotButton="0" quotePrefix="0" xfId="0">
      <alignment horizontal="center" vertical="center" wrapText="1"/>
    </xf>
    <xf numFmtId="2" fontId="0" fillId="13" borderId="14" applyAlignment="1" pivotButton="0" quotePrefix="0" xfId="0">
      <alignment horizontal="right" vertical="center" wrapText="1"/>
    </xf>
    <xf numFmtId="0" fontId="7" fillId="0" borderId="18" applyAlignment="1" pivotButton="0" quotePrefix="0" xfId="0">
      <alignment horizontal="center" vertical="center" wrapText="1"/>
    </xf>
    <xf numFmtId="0" fontId="2" fillId="0" borderId="19" applyAlignment="1" pivotButton="0" quotePrefix="0" xfId="0">
      <alignment horizontal="center" vertical="center" wrapText="1"/>
    </xf>
    <xf numFmtId="0" fontId="0" fillId="7" borderId="2" applyAlignment="1" pivotButton="0" quotePrefix="0" xfId="0">
      <alignment horizontal="center" vertical="center"/>
    </xf>
    <xf numFmtId="0" fontId="4" fillId="19" borderId="30" applyAlignment="1" pivotButton="0" quotePrefix="0" xfId="0">
      <alignment horizontal="left" vertical="center" wrapText="1"/>
    </xf>
    <xf numFmtId="0" fontId="0" fillId="7" borderId="86" applyAlignment="1" pivotButton="0" quotePrefix="0" xfId="0">
      <alignment wrapText="1"/>
    </xf>
    <xf numFmtId="0" fontId="17" fillId="0" borderId="30" applyAlignment="1" pivotButton="0" quotePrefix="0" xfId="0">
      <alignment vertical="center" wrapText="1"/>
    </xf>
    <xf numFmtId="0" fontId="0" fillId="0" borderId="49" applyAlignment="1" pivotButton="0" quotePrefix="0" xfId="0">
      <alignment wrapText="1"/>
    </xf>
    <xf numFmtId="0" fontId="0" fillId="0" borderId="44" applyAlignment="1" applyProtection="1" pivotButton="0" quotePrefix="0" xfId="0">
      <alignment horizontal="right" vertical="center" wrapText="1"/>
      <protection locked="0" hidden="0"/>
    </xf>
    <xf numFmtId="0" fontId="0" fillId="0" borderId="34" applyAlignment="1" pivotButton="0" quotePrefix="0" xfId="0">
      <alignment wrapText="1"/>
    </xf>
    <xf numFmtId="0" fontId="2" fillId="0" borderId="71" applyAlignment="1" pivotButton="0" quotePrefix="0" xfId="0">
      <alignment horizontal="center" vertical="center"/>
    </xf>
    <xf numFmtId="0" fontId="2" fillId="7" borderId="35" applyAlignment="1" pivotButton="0" quotePrefix="0" xfId="0">
      <alignment horizontal="center" vertical="center"/>
    </xf>
    <xf numFmtId="0" fontId="2" fillId="7" borderId="71" applyAlignment="1" pivotButton="0" quotePrefix="0" xfId="0">
      <alignment horizontal="center" vertical="center"/>
    </xf>
    <xf numFmtId="0" fontId="2" fillId="7" borderId="33" applyAlignment="1" pivotButton="0" quotePrefix="0" xfId="0">
      <alignment horizontal="center" vertical="center"/>
    </xf>
    <xf numFmtId="0" fontId="2" fillId="7" borderId="54" applyAlignment="1" pivotButton="0" quotePrefix="0" xfId="0">
      <alignment horizontal="center" vertical="center"/>
    </xf>
    <xf numFmtId="0" fontId="33" fillId="6" borderId="62" applyAlignment="1" pivotButton="0" quotePrefix="0" xfId="0">
      <alignment wrapText="1"/>
    </xf>
    <xf numFmtId="0" fontId="33" fillId="6" borderId="87" applyAlignment="1" pivotButton="0" quotePrefix="0" xfId="0">
      <alignment wrapText="1"/>
    </xf>
    <xf numFmtId="0" fontId="2" fillId="6" borderId="67" applyAlignment="1" pivotButton="0" quotePrefix="0" xfId="0">
      <alignment horizontal="center" vertical="center"/>
    </xf>
    <xf numFmtId="0" fontId="2" fillId="6" borderId="62" applyAlignment="1" pivotButton="0" quotePrefix="0" xfId="0">
      <alignment horizontal="center" vertical="center"/>
    </xf>
    <xf numFmtId="0" fontId="0" fillId="6" borderId="62" pivotButton="0" quotePrefix="0" xfId="0"/>
    <xf numFmtId="0" fontId="0" fillId="6" borderId="59" pivotButton="0" quotePrefix="0" xfId="0"/>
    <xf numFmtId="0" fontId="0" fillId="0" borderId="50" pivotButton="0" quotePrefix="0" xfId="0"/>
    <xf numFmtId="0" fontId="2" fillId="22" borderId="50" applyAlignment="1" pivotButton="0" quotePrefix="0" xfId="0">
      <alignment horizontal="center" vertical="center" wrapText="1"/>
    </xf>
    <xf numFmtId="0" fontId="0" fillId="13" borderId="22" applyAlignment="1" pivotButton="0" quotePrefix="0" xfId="0">
      <alignment wrapText="1"/>
    </xf>
    <xf numFmtId="0" fontId="0" fillId="5" borderId="22" applyAlignment="1" pivotButton="0" quotePrefix="0" xfId="0">
      <alignment wrapText="1"/>
    </xf>
    <xf numFmtId="0" fontId="8" fillId="0" borderId="1" applyAlignment="1" pivotButton="0" quotePrefix="0" xfId="0">
      <alignment horizontal="center" vertical="center"/>
    </xf>
    <xf numFmtId="0" fontId="0" fillId="6" borderId="87" pivotButton="0" quotePrefix="0" xfId="0"/>
    <xf numFmtId="0" fontId="26" fillId="22" borderId="2" applyAlignment="1" pivotButton="0" quotePrefix="0" xfId="0">
      <alignment horizontal="left" vertical="center"/>
    </xf>
    <xf numFmtId="0" fontId="18" fillId="0" borderId="0" applyAlignment="1" pivotButton="0" quotePrefix="0" xfId="0">
      <alignment horizontal="center"/>
    </xf>
    <xf numFmtId="0" fontId="32" fillId="7" borderId="25" applyAlignment="1" pivotButton="0" quotePrefix="1" xfId="3">
      <alignment horizontal="left" wrapText="1" indent="1"/>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0" borderId="0" applyAlignment="1" pivotButton="0" quotePrefix="1" xfId="0">
      <alignment horizontal="left" vertical="center" wrapText="1"/>
    </xf>
    <xf numFmtId="0" fontId="0" fillId="0" borderId="22" applyAlignment="1" pivotButton="0" quotePrefix="1" xfId="0">
      <alignment horizontal="left" vertical="center" wrapText="1"/>
    </xf>
    <xf numFmtId="0" fontId="0" fillId="0" borderId="34" applyAlignment="1" pivotButton="0" quotePrefix="1" xfId="0">
      <alignment horizontal="left" vertical="center" wrapText="1"/>
    </xf>
    <xf numFmtId="0" fontId="7" fillId="7" borderId="52" pivotButton="0" quotePrefix="0" xfId="3"/>
    <xf numFmtId="0" fontId="7" fillId="7" borderId="52" applyAlignment="1" pivotButton="0" quotePrefix="0" xfId="3">
      <alignment wrapText="1"/>
    </xf>
    <xf numFmtId="0" fontId="6" fillId="7" borderId="49" applyAlignment="1" pivotButton="0" quotePrefix="1" xfId="3">
      <alignment wrapText="1"/>
    </xf>
    <xf numFmtId="0" fontId="2" fillId="7" borderId="74" applyAlignment="1" pivotButton="0" quotePrefix="0" xfId="0">
      <alignment horizontal="center" vertical="center"/>
    </xf>
    <xf numFmtId="0" fontId="33" fillId="0" borderId="87" applyAlignment="1" pivotButton="0" quotePrefix="0" xfId="0">
      <alignment horizontal="center" vertical="center"/>
    </xf>
    <xf numFmtId="0" fontId="2" fillId="7" borderId="87" applyAlignment="1" pivotButton="0" quotePrefix="0" xfId="0">
      <alignment horizontal="center" vertical="center"/>
    </xf>
    <xf numFmtId="0" fontId="2" fillId="6" borderId="59" applyAlignment="1" pivotButton="0" quotePrefix="0" xfId="0">
      <alignment horizontal="center" vertical="center"/>
    </xf>
    <xf numFmtId="0" fontId="2" fillId="0" borderId="87" applyAlignment="1" pivotButton="0" quotePrefix="0" xfId="0">
      <alignment horizontal="center" vertical="center"/>
    </xf>
    <xf numFmtId="0" fontId="2" fillId="7" borderId="89" applyAlignment="1" pivotButton="0" quotePrefix="0" xfId="0">
      <alignment horizontal="center" vertical="center"/>
    </xf>
    <xf numFmtId="0" fontId="2" fillId="6" borderId="87" applyAlignment="1" pivotButton="0" quotePrefix="0" xfId="0">
      <alignment horizontal="center" vertical="center"/>
    </xf>
    <xf numFmtId="0" fontId="0" fillId="13" borderId="87" applyAlignment="1" pivotButton="0" quotePrefix="0" xfId="0">
      <alignment wrapText="1"/>
    </xf>
    <xf numFmtId="0" fontId="0" fillId="13" borderId="87" pivotButton="0" quotePrefix="0" xfId="0"/>
    <xf numFmtId="0" fontId="34" fillId="7" borderId="15" applyAlignment="1" pivotButton="0" quotePrefix="0" xfId="0">
      <alignment horizontal="center"/>
    </xf>
    <xf numFmtId="0" fontId="34" fillId="7" borderId="59" applyAlignment="1" pivotButton="0" quotePrefix="0" xfId="0">
      <alignment horizontal="center"/>
    </xf>
    <xf numFmtId="0" fontId="34" fillId="0" borderId="59" applyAlignment="1" pivotButton="0" quotePrefix="1" xfId="0">
      <alignment horizontal="center" wrapText="1"/>
    </xf>
    <xf numFmtId="0" fontId="0" fillId="7" borderId="87" applyProtection="1" pivotButton="0" quotePrefix="0" xfId="0">
      <protection locked="0" hidden="0"/>
    </xf>
    <xf numFmtId="0" fontId="0" fillId="6" borderId="67" applyProtection="1" pivotButton="0" quotePrefix="0" xfId="0">
      <protection locked="0" hidden="0"/>
    </xf>
    <xf numFmtId="0" fontId="0" fillId="7" borderId="74" applyProtection="1" pivotButton="0" quotePrefix="0" xfId="0">
      <protection locked="0" hidden="0"/>
    </xf>
    <xf numFmtId="0" fontId="0" fillId="0" borderId="87" applyProtection="1" pivotButton="0" quotePrefix="0" xfId="0">
      <protection locked="0" hidden="0"/>
    </xf>
    <xf numFmtId="0" fontId="2" fillId="0" borderId="0" applyAlignment="1" pivotButton="0" quotePrefix="0" xfId="0">
      <alignment horizontal="left" vertical="center" wrapText="1"/>
    </xf>
    <xf numFmtId="0" fontId="0" fillId="7" borderId="48" pivotButton="0" quotePrefix="0" xfId="0"/>
    <xf numFmtId="0" fontId="0" fillId="7" borderId="50" pivotButton="0" quotePrefix="0" xfId="0"/>
    <xf numFmtId="0" fontId="0" fillId="7" borderId="6" pivotButton="0" quotePrefix="0" xfId="0"/>
    <xf numFmtId="0" fontId="7" fillId="7" borderId="52" pivotButton="0" quotePrefix="0" xfId="3"/>
    <xf numFmtId="0" fontId="6" fillId="7" borderId="25" applyAlignment="1" pivotButton="0" quotePrefix="0" xfId="3">
      <alignment wrapText="1"/>
    </xf>
    <xf numFmtId="0" fontId="7" fillId="7" borderId="52" applyAlignment="1" pivotButton="0" quotePrefix="0" xfId="3">
      <alignment wrapText="1"/>
    </xf>
    <xf numFmtId="0" fontId="7" fillId="7" borderId="25" applyAlignment="1" pivotButton="0" quotePrefix="0" xfId="3">
      <alignment wrapText="1"/>
    </xf>
    <xf numFmtId="0" fontId="6" fillId="7" borderId="25" applyAlignment="1" pivotButton="0" quotePrefix="1" xfId="3">
      <alignment wrapText="1"/>
    </xf>
    <xf numFmtId="0" fontId="32" fillId="7" borderId="25" applyAlignment="1" pivotButton="0" quotePrefix="1" xfId="3">
      <alignment horizontal="left" wrapText="1" indent="1"/>
    </xf>
    <xf numFmtId="0" fontId="6" fillId="7" borderId="45" applyAlignment="1" pivotButton="0" quotePrefix="1" xfId="3">
      <alignment wrapText="1"/>
    </xf>
    <xf numFmtId="0" fontId="6" fillId="7" borderId="49" applyAlignment="1" pivotButton="0" quotePrefix="1" xfId="3">
      <alignment wrapText="1"/>
    </xf>
    <xf numFmtId="0" fontId="7" fillId="7" borderId="28" applyAlignment="1" pivotButton="0" quotePrefix="1" xfId="3">
      <alignment wrapText="1"/>
    </xf>
    <xf numFmtId="0" fontId="2" fillId="23" borderId="62" applyAlignment="1" pivotButton="0" quotePrefix="0" xfId="0">
      <alignment horizontal="center" vertical="center"/>
    </xf>
    <xf numFmtId="0" fontId="2" fillId="23" borderId="87" applyAlignment="1" pivotButton="0" quotePrefix="0" xfId="0">
      <alignment horizontal="center" vertical="center"/>
    </xf>
    <xf numFmtId="0" fontId="2" fillId="23" borderId="59" applyAlignment="1" pivotButton="0" quotePrefix="0" xfId="0">
      <alignment horizontal="center" vertical="center"/>
    </xf>
    <xf numFmtId="0" fontId="2" fillId="23" borderId="74" applyAlignment="1" pivotButton="0" quotePrefix="0" xfId="0">
      <alignment horizontal="center" vertical="center"/>
    </xf>
    <xf numFmtId="0" fontId="2" fillId="23" borderId="89" applyAlignment="1" pivotButton="0" quotePrefix="0" xfId="0">
      <alignment horizontal="center" vertical="center"/>
    </xf>
    <xf numFmtId="0" fontId="2" fillId="23" borderId="67" applyAlignment="1" pivotButton="0" quotePrefix="0" xfId="0">
      <alignment horizontal="center" vertical="center"/>
    </xf>
    <xf numFmtId="0" fontId="0" fillId="7" borderId="87" applyAlignment="1" pivotButton="0" quotePrefix="0" xfId="0">
      <alignment wrapText="1"/>
    </xf>
    <xf numFmtId="0" fontId="0" fillId="7" borderId="87" pivotButton="0" quotePrefix="0" xfId="0"/>
    <xf numFmtId="0" fontId="2" fillId="7" borderId="62" applyAlignment="1" pivotButton="0" quotePrefix="0" xfId="0">
      <alignment horizontal="center" vertical="center"/>
    </xf>
    <xf numFmtId="0" fontId="0" fillId="7" borderId="62" pivotButton="0" quotePrefix="0" xfId="0"/>
    <xf numFmtId="0" fontId="0" fillId="7" borderId="59" pivotButton="0" quotePrefix="0" xfId="0"/>
    <xf numFmtId="0" fontId="0" fillId="7" borderId="67" applyProtection="1" pivotButton="0" quotePrefix="0" xfId="0">
      <protection locked="0" hidden="0"/>
    </xf>
    <xf numFmtId="0" fontId="0" fillId="0" borderId="41" pivotButton="0" quotePrefix="0" xfId="0"/>
    <xf numFmtId="0" fontId="0" fillId="6" borderId="14" applyAlignment="1" applyProtection="1" pivotButton="0" quotePrefix="0" xfId="0">
      <alignment horizontal="left" vertical="top"/>
      <protection locked="0" hidden="0"/>
    </xf>
    <xf numFmtId="0" fontId="6" fillId="0" borderId="0" pivotButton="0" quotePrefix="0" xfId="3"/>
    <xf numFmtId="0" fontId="0" fillId="13" borderId="58" applyAlignment="1" pivotButton="0" quotePrefix="0" xfId="0">
      <alignment horizontal="right" vertical="center" wrapText="1"/>
    </xf>
    <xf numFmtId="0" fontId="26" fillId="7" borderId="28" applyAlignment="1" pivotButton="0" quotePrefix="0" xfId="0">
      <alignment horizontal="center"/>
    </xf>
    <xf numFmtId="0" fontId="26" fillId="7" borderId="31" applyAlignment="1" pivotButton="0" quotePrefix="0" xfId="0">
      <alignment horizontal="center"/>
    </xf>
    <xf numFmtId="0" fontId="0" fillId="7" borderId="87" applyAlignment="1" pivotButton="0" quotePrefix="0" xfId="0">
      <alignment horizontal="center" vertical="center"/>
    </xf>
    <xf numFmtId="0" fontId="0" fillId="7" borderId="89" applyAlignment="1" pivotButton="0" quotePrefix="0" xfId="0">
      <alignment horizontal="center" vertical="center"/>
    </xf>
    <xf numFmtId="0" fontId="0" fillId="0" borderId="87" applyAlignment="1" pivotButton="0" quotePrefix="1" xfId="0">
      <alignment horizontal="center" vertical="center" wrapText="1"/>
    </xf>
    <xf numFmtId="0" fontId="0" fillId="0" borderId="89" applyAlignment="1" pivotButton="0" quotePrefix="0" xfId="0">
      <alignment horizontal="center" vertical="center" wrapText="1"/>
    </xf>
    <xf numFmtId="0" fontId="2" fillId="0" borderId="0" applyAlignment="1" pivotButton="0" quotePrefix="0" xfId="0">
      <alignment horizontal="center"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26" fillId="0" borderId="2" applyAlignment="1" pivotButton="0" quotePrefix="0" xfId="0">
      <alignment horizontal="left" vertical="center"/>
    </xf>
    <xf numFmtId="0" fontId="26" fillId="0" borderId="3" applyAlignment="1" pivotButton="0" quotePrefix="0" xfId="0">
      <alignment horizontal="left" vertical="center"/>
    </xf>
    <xf numFmtId="0" fontId="26" fillId="0" borderId="4" applyAlignment="1" pivotButton="0" quotePrefix="0" xfId="0">
      <alignment horizontal="left" vertical="center"/>
    </xf>
    <xf numFmtId="0" fontId="0" fillId="0" borderId="89" applyAlignment="1" pivotButton="0" quotePrefix="1" xfId="0">
      <alignment horizontal="center" vertical="center" wrapText="1"/>
    </xf>
    <xf numFmtId="0" fontId="6" fillId="0" borderId="1" applyAlignment="1" pivotButton="0" quotePrefix="0" xfId="3">
      <alignment horizontal="center" vertical="center"/>
    </xf>
    <xf numFmtId="0" fontId="0" fillId="0" borderId="0" applyAlignment="1" pivotButton="0" quotePrefix="0" xfId="0">
      <alignment horizontal="left" vertical="center"/>
    </xf>
    <xf numFmtId="0" fontId="6" fillId="0" borderId="30" applyAlignment="1" pivotButton="0" quotePrefix="0" xfId="3">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6" fillId="0" borderId="89" applyAlignment="1" pivotButton="0" quotePrefix="0" xfId="3">
      <alignment horizontal="center" vertical="center"/>
    </xf>
    <xf numFmtId="0" fontId="0" fillId="6" borderId="37" applyAlignment="1" applyProtection="1" pivotButton="0" quotePrefix="0" xfId="0">
      <alignment horizontal="left" vertical="top" wrapText="1"/>
      <protection locked="0" hidden="0"/>
    </xf>
    <xf numFmtId="0" fontId="2" fillId="3" borderId="72" applyAlignment="1" pivotButton="0" quotePrefix="0" xfId="0">
      <alignment horizontal="center" vertical="center"/>
    </xf>
    <xf numFmtId="0" fontId="6" fillId="0" borderId="2" applyAlignment="1" pivotButton="0" quotePrefix="0" xfId="3">
      <alignment horizontal="center"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1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9"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0" fontId="2" fillId="14" borderId="72" applyAlignment="1" pivotButton="0" quotePrefix="0" xfId="0">
      <alignment horizontal="center" vertical="center" wrapText="1"/>
    </xf>
    <xf numFmtId="0" fontId="2" fillId="14" borderId="61" applyAlignment="1" pivotButton="0" quotePrefix="0" xfId="0">
      <alignment horizontal="center" vertical="center" wrapText="1"/>
    </xf>
    <xf numFmtId="0" fontId="2" fillId="14" borderId="63" applyAlignment="1" pivotButton="0" quotePrefix="0" xfId="0">
      <alignment horizontal="center" vertical="center" wrapText="1"/>
    </xf>
    <xf numFmtId="0" fontId="0" fillId="0" borderId="43" applyAlignment="1" applyProtection="1" pivotButton="0" quotePrefix="0" xfId="0">
      <alignment horizontal="left" vertical="top" wrapText="1"/>
      <protection locked="0" hidden="0"/>
    </xf>
    <xf numFmtId="0" fontId="0" fillId="0" borderId="44"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9" applyAlignment="1" pivotButton="0" quotePrefix="0" xfId="0">
      <alignment horizontal="left" vertical="top" wrapText="1"/>
    </xf>
    <xf numFmtId="0" fontId="0" fillId="0" borderId="49" applyAlignment="1" pivotButton="0" quotePrefix="0" xfId="0">
      <alignment horizontal="left" vertical="top" wrapText="1"/>
    </xf>
    <xf numFmtId="0" fontId="0" fillId="0" borderId="18" applyAlignment="1" pivotButton="0" quotePrefix="0" xfId="0">
      <alignment horizontal="left" vertical="top" wrapText="1"/>
    </xf>
    <xf numFmtId="0" fontId="2" fillId="12" borderId="72" applyAlignment="1" pivotButton="0" quotePrefix="0" xfId="0">
      <alignment horizontal="center" vertical="center"/>
    </xf>
    <xf numFmtId="0" fontId="2" fillId="12" borderId="71" applyAlignment="1" pivotButton="0" quotePrefix="0" xfId="0">
      <alignment horizontal="center" vertical="center"/>
    </xf>
    <xf numFmtId="0" fontId="6" fillId="0" borderId="18" applyAlignment="1" pivotButton="0" quotePrefix="0" xfId="3">
      <alignment horizontal="center" vertical="center"/>
    </xf>
    <xf numFmtId="1" fontId="0" fillId="0" borderId="1" applyAlignment="1" applyProtection="1" pivotButton="0" quotePrefix="0" xfId="2">
      <alignment horizontal="center"/>
      <protection locked="0" hidden="0"/>
    </xf>
    <xf numFmtId="0" fontId="2" fillId="3" borderId="72" applyAlignment="1" pivotButton="0" quotePrefix="0" xfId="0">
      <alignment horizontal="center"/>
    </xf>
    <xf numFmtId="0" fontId="0" fillId="0" borderId="52" applyAlignment="1" pivotButton="0" quotePrefix="0" xfId="0">
      <alignment horizontal="left" vertical="center"/>
    </xf>
    <xf numFmtId="0" fontId="0" fillId="6" borderId="18" applyAlignment="1" pivotButton="0" quotePrefix="0" xfId="0">
      <alignment vertical="center"/>
    </xf>
    <xf numFmtId="14" fontId="1" fillId="13" borderId="20" applyAlignment="1" pivotButton="0" quotePrefix="0" xfId="2">
      <alignment horizontal="center" vertical="center"/>
    </xf>
    <xf numFmtId="1" fontId="0" fillId="0" borderId="6" applyAlignment="1" applyProtection="1" pivotButton="0" quotePrefix="0" xfId="2">
      <alignment horizontal="center"/>
      <protection locked="0" hidden="0"/>
    </xf>
    <xf numFmtId="0" fontId="1" fillId="0" borderId="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0" fontId="2" fillId="3" borderId="33" applyAlignment="1" pivotButton="0" quotePrefix="0" xfId="0">
      <alignment horizontal="center"/>
    </xf>
    <xf numFmtId="0" fontId="2" fillId="3" borderId="71" applyAlignment="1" pivotButton="0" quotePrefix="0" xfId="0">
      <alignment horizontal="center"/>
    </xf>
    <xf numFmtId="0" fontId="0" fillId="6" borderId="52" applyAlignment="1" pivotButton="0" quotePrefix="0" xfId="0">
      <alignment horizontal="left" vertical="center" wrapText="1"/>
    </xf>
    <xf numFmtId="0" fontId="2" fillId="0" borderId="0" applyAlignment="1" pivotButton="0" quotePrefix="0" xfId="0">
      <alignment horizontal="center" vertical="center" wrapText="1"/>
    </xf>
    <xf numFmtId="0" fontId="2" fillId="15" borderId="72" applyAlignment="1" pivotButton="0" quotePrefix="0" xfId="0">
      <alignment horizontal="center"/>
    </xf>
    <xf numFmtId="0" fontId="0" fillId="0" borderId="32" applyAlignment="1" pivotButton="0" quotePrefix="0" xfId="0">
      <alignment horizontal="left" vertical="top" wrapText="1"/>
    </xf>
    <xf numFmtId="0" fontId="2" fillId="21" borderId="33" applyAlignment="1" pivotButton="0" quotePrefix="0" xfId="0">
      <alignment horizontal="center"/>
    </xf>
    <xf numFmtId="0" fontId="0" fillId="0" borderId="30" applyAlignment="1" pivotButton="0" quotePrefix="0" xfId="0">
      <alignment vertical="center"/>
    </xf>
    <xf numFmtId="0" fontId="0" fillId="0" borderId="18" applyAlignment="1" pivotButton="0" quotePrefix="0" xfId="0">
      <alignment horizontal="left" vertical="center" wrapText="1"/>
    </xf>
    <xf numFmtId="0" fontId="6" fillId="0" borderId="25" applyAlignment="1" pivotButton="0" quotePrefix="0" xfId="3">
      <alignment horizontal="center" vertical="center"/>
    </xf>
    <xf numFmtId="0" fontId="0" fillId="0" borderId="6"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pivotButton="0" quotePrefix="0" xfId="0">
      <alignment horizontal="center" vertical="center" wrapText="1"/>
    </xf>
    <xf numFmtId="0" fontId="0" fillId="0" borderId="18" applyAlignment="1" pivotButton="0" quotePrefix="0" xfId="0">
      <alignment horizontal="center" vertical="center"/>
    </xf>
    <xf numFmtId="0" fontId="6" fillId="0" borderId="41" applyAlignment="1" pivotButton="0" quotePrefix="0" xfId="3">
      <alignment horizontal="center" wrapText="1"/>
    </xf>
    <xf numFmtId="0" fontId="2" fillId="4" borderId="33" applyAlignment="1" pivotButton="0" quotePrefix="0" xfId="0">
      <alignment horizontal="center" vertical="center" wrapText="1"/>
    </xf>
    <xf numFmtId="0" fontId="2" fillId="4" borderId="71" applyAlignment="1" pivotButton="0" quotePrefix="0" xfId="0">
      <alignment horizontal="center" vertical="center" wrapText="1"/>
    </xf>
    <xf numFmtId="0" fontId="4" fillId="19" borderId="18" applyAlignment="1" pivotButton="0" quotePrefix="0" xfId="0">
      <alignment horizontal="left" vertical="center" wrapText="1"/>
    </xf>
    <xf numFmtId="0" fontId="6" fillId="0" borderId="0" applyAlignment="1" pivotButton="0" quotePrefix="0" xfId="3">
      <alignment horizontal="center"/>
    </xf>
    <xf numFmtId="0" fontId="0" fillId="0" borderId="5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5" applyAlignment="1" pivotButton="0" quotePrefix="0" xfId="0">
      <alignment horizontal="center" vertical="center" wrapText="1"/>
    </xf>
    <xf numFmtId="0" fontId="0" fillId="0" borderId="22" applyAlignment="1" pivotButton="0" quotePrefix="0" xfId="0">
      <alignment horizontal="center"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10" fillId="0" borderId="46"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43" applyAlignment="1" pivotButton="0" quotePrefix="0" xfId="0">
      <alignment horizontal="center" vertical="center" wrapText="1"/>
    </xf>
    <xf numFmtId="0" fontId="2" fillId="3" borderId="34" applyAlignment="1" pivotButton="0" quotePrefix="0" xfId="0">
      <alignment horizontal="center"/>
    </xf>
    <xf numFmtId="0" fontId="2" fillId="3" borderId="35" applyAlignment="1" pivotButton="0" quotePrefix="0" xfId="0">
      <alignment horizontal="center"/>
    </xf>
    <xf numFmtId="0" fontId="4" fillId="19" borderId="30" applyAlignment="1" pivotButton="0" quotePrefix="0" xfId="0">
      <alignment horizontal="left" vertical="center"/>
    </xf>
    <xf numFmtId="0" fontId="4" fillId="19" borderId="6" applyAlignment="1" pivotButton="0" quotePrefix="0" xfId="0">
      <alignment horizontal="left" vertical="center"/>
    </xf>
    <xf numFmtId="0" fontId="0" fillId="19" borderId="6" applyAlignment="1" applyProtection="1" pivotButton="0" quotePrefix="0" xfId="0">
      <alignment horizontal="center" vertical="center"/>
      <protection locked="0" hidden="0"/>
    </xf>
    <xf numFmtId="0" fontId="0" fillId="19" borderId="44" applyAlignment="1" applyProtection="1" pivotButton="0" quotePrefix="0" xfId="0">
      <alignment horizontal="center" vertical="center"/>
      <protection locked="0" hidden="0"/>
    </xf>
    <xf numFmtId="0" fontId="0" fillId="6" borderId="43" applyAlignment="1" applyProtection="1" pivotButton="0" quotePrefix="0" xfId="0">
      <alignment horizontal="left" vertical="center" wrapText="1"/>
      <protection locked="0" hidden="0"/>
    </xf>
    <xf numFmtId="0" fontId="0" fillId="6" borderId="44"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0" fillId="6" borderId="2" applyAlignment="1" applyProtection="1" pivotButton="0" quotePrefix="0" xfId="0">
      <alignment horizontal="left" vertical="center" wrapText="1"/>
      <protection locked="0" hidden="0"/>
    </xf>
    <xf numFmtId="0" fontId="0" fillId="6" borderId="11" applyAlignment="1" applyProtection="1" pivotButton="0" quotePrefix="0" xfId="0">
      <alignment horizontal="left" vertical="center" wrapText="1"/>
      <protection locked="0" hidden="0"/>
    </xf>
    <xf numFmtId="0" fontId="0" fillId="0" borderId="30" applyAlignment="1" pivotButton="0" quotePrefix="0" xfId="0">
      <alignment horizontal="left" vertical="center" wrapText="1"/>
    </xf>
    <xf numFmtId="0" fontId="4" fillId="19" borderId="10"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6" fillId="0" borderId="25" applyAlignment="1" pivotButton="0" quotePrefix="0" xfId="3">
      <alignment horizontal="center"/>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1" applyAlignment="1" applyProtection="1" pivotButton="0" quotePrefix="0" xfId="0">
      <alignment horizontal="right"/>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2" fillId="0" borderId="6" applyAlignment="1" pivotButton="0" quotePrefix="0" xfId="0">
      <alignment horizontal="left"/>
    </xf>
    <xf numFmtId="0" fontId="2" fillId="0" borderId="44" applyAlignment="1" pivotButton="0" quotePrefix="0" xfId="0">
      <alignment horizontal="left"/>
    </xf>
    <xf numFmtId="0" fontId="2" fillId="0" borderId="1" applyAlignment="1" pivotButton="0" quotePrefix="0" xfId="0">
      <alignment horizontal="left"/>
    </xf>
    <xf numFmtId="0" fontId="2" fillId="0" borderId="11" applyAlignment="1" pivotButton="0" quotePrefix="0" xfId="0">
      <alignment horizontal="left"/>
    </xf>
    <xf numFmtId="0" fontId="0" fillId="13" borderId="16" applyAlignment="1" pivotButton="0" quotePrefix="0" xfId="0">
      <alignment horizontal="center"/>
    </xf>
    <xf numFmtId="0" fontId="0" fillId="0" borderId="1" applyAlignment="1" applyProtection="1" pivotButton="0" quotePrefix="0" xfId="0">
      <alignment vertical="center" wrapText="1"/>
      <protection locked="0" hidden="0"/>
    </xf>
    <xf numFmtId="0" fontId="6" fillId="0" borderId="11" applyAlignment="1" pivotButton="0" quotePrefix="0" xfId="3">
      <alignment horizontal="center" vertical="center"/>
    </xf>
    <xf numFmtId="0" fontId="0" fillId="6" borderId="1" applyAlignment="1" applyProtection="1" pivotButton="0" quotePrefix="0" xfId="0">
      <alignment horizontal="center"/>
      <protection locked="0" hidden="0"/>
    </xf>
    <xf numFmtId="0" fontId="39" fillId="0" borderId="0" applyAlignment="1" pivotButton="0" quotePrefix="0" xfId="0">
      <alignment horizontal="center" vertical="center" wrapText="1"/>
    </xf>
    <xf numFmtId="0" fontId="2" fillId="0" borderId="25" applyAlignment="1" pivotButton="0" quotePrefix="0" xfId="0">
      <alignment horizontal="center" vertical="center"/>
    </xf>
    <xf numFmtId="0" fontId="0" fillId="0" borderId="39" applyAlignment="1" pivotButton="0" quotePrefix="0" xfId="0">
      <alignment horizontal="left" vertical="center" wrapText="1"/>
    </xf>
    <xf numFmtId="0" fontId="0" fillId="0" borderId="86"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6" borderId="4" applyAlignment="1" applyProtection="1" pivotButton="0" quotePrefix="0" xfId="0">
      <alignment horizontal="right"/>
      <protection locked="0" hidden="0"/>
    </xf>
    <xf numFmtId="2" fontId="0" fillId="13" borderId="13" applyAlignment="1" pivotButton="0" quotePrefix="0" xfId="0">
      <alignment horizontal="right"/>
    </xf>
    <xf numFmtId="2" fontId="0" fillId="13" borderId="20" applyAlignment="1" pivotButton="0" quotePrefix="0" xfId="0">
      <alignment horizontal="right"/>
    </xf>
    <xf numFmtId="2" fontId="0" fillId="6" borderId="1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14" applyAlignment="1" pivotButton="0" quotePrefix="0" xfId="0">
      <alignment horizontal="right"/>
    </xf>
    <xf numFmtId="2" fontId="0" fillId="13" borderId="1" applyAlignment="1" pivotButton="0" quotePrefix="0" xfId="2">
      <alignment horizontal="right" vertical="center"/>
    </xf>
    <xf numFmtId="2" fontId="0" fillId="13" borderId="11" applyAlignment="1" pivotButton="0" quotePrefix="0" xfId="2">
      <alignment horizontal="right" vertical="center"/>
    </xf>
    <xf numFmtId="2" fontId="0" fillId="13" borderId="48" applyAlignment="1" pivotButton="0" quotePrefix="0" xfId="2">
      <alignment horizontal="right" vertical="center"/>
    </xf>
    <xf numFmtId="2" fontId="0" fillId="13" borderId="51" applyAlignment="1" pivotButton="0" quotePrefix="0" xfId="2">
      <alignment horizontal="right" vertical="center"/>
    </xf>
    <xf numFmtId="0" fontId="25" fillId="19" borderId="4" applyAlignment="1" pivotButton="0" quotePrefix="0" xfId="0">
      <alignment horizontal="center" wrapText="1"/>
    </xf>
    <xf numFmtId="0" fontId="25" fillId="19" borderId="1" applyAlignment="1" pivotButton="0" quotePrefix="0" xfId="0">
      <alignment horizont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0"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20" applyAlignment="1" applyProtection="1" pivotButton="0" quotePrefix="0" xfId="0">
      <alignment horizontal="center"/>
      <protection locked="0" hidden="0"/>
    </xf>
    <xf numFmtId="0" fontId="2" fillId="3" borderId="61" applyAlignment="1" pivotButton="0" quotePrefix="0" xfId="0">
      <alignment horizontal="center"/>
    </xf>
    <xf numFmtId="0" fontId="2" fillId="3" borderId="63" applyAlignment="1" pivotButton="0" quotePrefix="0" xfId="0">
      <alignment horizontal="center"/>
    </xf>
    <xf numFmtId="171" fontId="1" fillId="13" borderId="1" applyAlignment="1" pivotButton="0" quotePrefix="0" xfId="2">
      <alignment horizontal="right"/>
    </xf>
    <xf numFmtId="171" fontId="1" fillId="13" borderId="11" applyAlignment="1" pivotButton="0" quotePrefix="0" xfId="2">
      <alignment horizontal="right"/>
    </xf>
    <xf numFmtId="0" fontId="2" fillId="4" borderId="72" applyAlignment="1" pivotButton="0" quotePrefix="0" xfId="0">
      <alignment horizontal="center" vertical="center"/>
    </xf>
    <xf numFmtId="0" fontId="2" fillId="4" borderId="71" applyAlignment="1" pivotButton="0" quotePrefix="0" xfId="0">
      <alignment horizontal="center" vertical="center"/>
    </xf>
    <xf numFmtId="0" fontId="2" fillId="3" borderId="61" applyAlignment="1" pivotButton="0" quotePrefix="0" xfId="0">
      <alignment horizontal="center" vertical="center"/>
    </xf>
    <xf numFmtId="0" fontId="2" fillId="3" borderId="63" applyAlignment="1" pivotButton="0" quotePrefix="0" xfId="0">
      <alignment horizontal="center" vertical="center"/>
    </xf>
    <xf numFmtId="0" fontId="2" fillId="4" borderId="90" applyAlignment="1" pivotButton="0" quotePrefix="0" xfId="0">
      <alignment horizontal="center" vertical="center"/>
    </xf>
    <xf numFmtId="0" fontId="2" fillId="4" borderId="61" applyAlignment="1" pivotButton="0" quotePrefix="0" xfId="0">
      <alignment horizontal="center" vertical="center"/>
    </xf>
    <xf numFmtId="0" fontId="2" fillId="4" borderId="63" applyAlignment="1" pivotButton="0" quotePrefix="0" xfId="0">
      <alignment horizontal="center" vertical="center"/>
    </xf>
    <xf numFmtId="0" fontId="0" fillId="0" borderId="19" applyAlignment="1" pivotButton="0" quotePrefix="0" xfId="0">
      <alignment horizontal="left"/>
    </xf>
    <xf numFmtId="0" fontId="0" fillId="0" borderId="20"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0" fontId="6" fillId="0" borderId="40" applyAlignment="1" pivotButton="0" quotePrefix="0" xfId="3">
      <alignment horizontal="center" vertical="center"/>
    </xf>
    <xf numFmtId="0" fontId="6" fillId="0" borderId="4" applyAlignment="1" pivotButton="0" quotePrefix="0" xfId="3">
      <alignment horizontal="center" vertical="center"/>
    </xf>
    <xf numFmtId="2" fontId="0" fillId="0" borderId="20" applyAlignment="1" applyProtection="1" pivotButton="0" quotePrefix="0" xfId="0">
      <alignment horizontal="right"/>
      <protection locked="0" hidden="0"/>
    </xf>
    <xf numFmtId="2" fontId="0" fillId="0" borderId="14"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6" fillId="0" borderId="24" applyAlignment="1" pivotButton="0" quotePrefix="0" xfId="3">
      <alignment horizontal="center" vertical="center"/>
    </xf>
    <xf numFmtId="0" fontId="6" fillId="0" borderId="8" applyAlignment="1" pivotButton="0" quotePrefix="0" xfId="3">
      <alignment horizontal="center" vertical="center"/>
    </xf>
    <xf numFmtId="0" fontId="0" fillId="19" borderId="4" applyAlignment="1" applyProtection="1" pivotButton="0" quotePrefix="0" xfId="0">
      <alignment horizontal="center" vertical="center"/>
      <protection locked="0" hidden="0"/>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0" applyAlignment="1" pivotButton="0" quotePrefix="0" xfId="0">
      <alignment horizontal="center"/>
    </xf>
    <xf numFmtId="0" fontId="4" fillId="7" borderId="84" applyAlignment="1" pivotButton="0" quotePrefix="0" xfId="0">
      <alignment horizontal="center"/>
    </xf>
    <xf numFmtId="0" fontId="4" fillId="7" borderId="66" applyAlignment="1" pivotButton="0" quotePrefix="0" xfId="0">
      <alignment horizontal="center"/>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4" fillId="19" borderId="11" applyAlignment="1" pivotButton="0" quotePrefix="0" xfId="0">
      <alignment horizontal="left" vertical="center"/>
    </xf>
    <xf numFmtId="0" fontId="2" fillId="0" borderId="11" applyAlignment="1" pivotButton="0" quotePrefix="0" xfId="0">
      <alignment horizontal="center" vertical="center"/>
    </xf>
    <xf numFmtId="0" fontId="2" fillId="13" borderId="1" applyAlignment="1" pivotButton="0" quotePrefix="0" xfId="2">
      <alignment horizontal="center"/>
    </xf>
    <xf numFmtId="0" fontId="2" fillId="13" borderId="11" applyAlignment="1" pivotButton="0" quotePrefix="0" xfId="2">
      <alignment horizontal="center"/>
    </xf>
    <xf numFmtId="0" fontId="0" fillId="0" borderId="1"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0" fontId="0" fillId="0" borderId="18" applyAlignment="1" pivotButton="0" quotePrefix="0" xfId="0">
      <alignment horizontal="left"/>
    </xf>
    <xf numFmtId="0" fontId="0" fillId="0" borderId="1" applyAlignment="1" pivotButton="0" quotePrefix="0" xfId="0">
      <alignment horizontal="left"/>
    </xf>
    <xf numFmtId="0" fontId="0" fillId="6" borderId="1" applyAlignment="1" applyProtection="1" pivotButton="0" quotePrefix="0" xfId="0">
      <alignment horizontal="center" vertical="center" wrapText="1"/>
      <protection locked="0" hidden="0"/>
    </xf>
    <xf numFmtId="0" fontId="2" fillId="4" borderId="72" applyAlignment="1" pivotButton="0" quotePrefix="0" xfId="0">
      <alignment horizontal="center" vertical="center" wrapText="1"/>
    </xf>
    <xf numFmtId="0" fontId="2" fillId="4" borderId="61" applyAlignment="1" pivotButton="0" quotePrefix="0" xfId="0">
      <alignment horizontal="center" vertical="center" wrapText="1"/>
    </xf>
    <xf numFmtId="0" fontId="2" fillId="4" borderId="63" applyAlignment="1" pivotButton="0" quotePrefix="0" xfId="0">
      <alignment horizontal="center" vertical="center" wrapText="1"/>
    </xf>
    <xf numFmtId="0" fontId="0" fillId="6" borderId="1" applyAlignment="1" applyProtection="1" pivotButton="0" quotePrefix="0" xfId="0">
      <alignment horizontal="left" vertical="center" wrapText="1"/>
      <protection locked="0" hidden="0"/>
    </xf>
    <xf numFmtId="0" fontId="0" fillId="6" borderId="11" applyAlignment="1" applyProtection="1" pivotButton="0" quotePrefix="0" xfId="0">
      <alignment horizontal="center" vertical="center" wrapText="1"/>
      <protection locked="0" hidden="0"/>
    </xf>
    <xf numFmtId="0" fontId="0" fillId="6" borderId="20" applyAlignment="1" applyProtection="1" pivotButton="0" quotePrefix="0" xfId="0">
      <alignment horizontal="left" vertical="center" wrapText="1"/>
      <protection locked="0" hidden="0"/>
    </xf>
    <xf numFmtId="0" fontId="4" fillId="19" borderId="30" applyAlignment="1" pivotButton="0" quotePrefix="0" xfId="0">
      <alignment horizontal="left" vertical="center" wrapText="1"/>
    </xf>
    <xf numFmtId="0" fontId="4" fillId="19" borderId="6" applyAlignment="1" pivotButton="0" quotePrefix="0" xfId="0">
      <alignment horizontal="left" vertical="center" wrapText="1"/>
    </xf>
    <xf numFmtId="0" fontId="4" fillId="19" borderId="6" applyAlignment="1" applyProtection="1" pivotButton="0" quotePrefix="0" xfId="0">
      <alignment horizontal="center" vertical="center"/>
      <protection locked="0" hidden="0"/>
    </xf>
    <xf numFmtId="0" fontId="4" fillId="19" borderId="44" applyAlignment="1" applyProtection="1" pivotButton="0" quotePrefix="0" xfId="0">
      <alignment horizontal="center" vertical="center"/>
      <protection locked="0" hidden="0"/>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13" borderId="1" applyAlignment="1" pivotButton="0" quotePrefix="0" xfId="0">
      <alignment horizontal="right"/>
    </xf>
    <xf numFmtId="0" fontId="2" fillId="0" borderId="1" applyAlignment="1" pivotButton="0" quotePrefix="0" xfId="0">
      <alignment horizontal="center" vertical="center" wrapText="1"/>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0" fontId="0" fillId="6" borderId="18" applyAlignment="1" applyProtection="1" pivotButton="0" quotePrefix="0" xfId="0">
      <alignment horizontal="center"/>
      <protection locked="0" hidden="0"/>
    </xf>
    <xf numFmtId="0" fontId="0" fillId="6" borderId="11" applyAlignment="1" applyProtection="1" pivotButton="0" quotePrefix="0" xfId="0">
      <alignment horizontal="center"/>
      <protection locked="0" hidden="0"/>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6" applyAlignment="1" applyProtection="1" pivotButton="0" quotePrefix="0" xfId="0">
      <alignment horizontal="center"/>
      <protection locked="0" hidden="0"/>
    </xf>
    <xf numFmtId="2" fontId="0" fillId="13" borderId="30" applyAlignment="1" pivotButton="0" quotePrefix="0" xfId="2">
      <alignment horizontal="right" vertical="center"/>
    </xf>
    <xf numFmtId="2" fontId="0" fillId="13" borderId="6" applyAlignment="1" pivotButton="0" quotePrefix="0" xfId="2">
      <alignment horizontal="right" vertical="center"/>
    </xf>
    <xf numFmtId="2" fontId="0" fillId="13" borderId="37" applyAlignment="1" pivotButton="0" quotePrefix="0" xfId="2">
      <alignment horizontal="right" vertical="center"/>
    </xf>
    <xf numFmtId="2" fontId="0" fillId="13" borderId="2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2" fontId="0" fillId="13" borderId="13" applyAlignment="1" pivotButton="0" quotePrefix="0" xfId="2">
      <alignment horizontal="right" vertical="center"/>
    </xf>
    <xf numFmtId="171" fontId="0" fillId="13" borderId="1" applyAlignment="1" pivotButton="0" quotePrefix="0" xfId="2">
      <alignment horizontal="right"/>
    </xf>
    <xf numFmtId="171" fontId="0" fillId="13" borderId="1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43" applyAlignment="1" pivotButton="0" quotePrefix="0" xfId="0">
      <alignment horizontal="center" vertical="center"/>
    </xf>
    <xf numFmtId="0" fontId="4" fillId="13" borderId="41" applyAlignment="1" pivotButton="0" quotePrefix="0" xfId="0">
      <alignment horizontal="center" vertical="center"/>
    </xf>
    <xf numFmtId="0" fontId="4" fillId="13" borderId="56" applyAlignment="1" pivotButton="0" quotePrefix="0" xfId="0">
      <alignment horizontal="center" vertical="center"/>
    </xf>
    <xf numFmtId="0" fontId="13" fillId="19" borderId="1" applyAlignment="1" applyProtection="1" pivotButton="0" quotePrefix="0" xfId="0">
      <alignment horizontal="center" vertical="center"/>
      <protection locked="0" hidden="0"/>
    </xf>
    <xf numFmtId="0" fontId="13" fillId="19" borderId="11" applyAlignment="1" applyProtection="1" pivotButton="0" quotePrefix="0" xfId="0">
      <alignment horizontal="center" vertical="center"/>
      <protection locked="0" hidden="0"/>
    </xf>
    <xf numFmtId="171" fontId="0" fillId="13" borderId="20" applyAlignment="1" pivotButton="0" quotePrefix="0" xfId="2">
      <alignment horizontal="right"/>
    </xf>
    <xf numFmtId="171" fontId="0" fillId="13" borderId="14" applyAlignment="1" pivotButton="0" quotePrefix="0" xfId="2">
      <alignment horizontal="right"/>
    </xf>
    <xf numFmtId="0" fontId="6" fillId="6" borderId="1" applyAlignment="1" applyProtection="1" pivotButton="0" quotePrefix="0" xfId="3">
      <alignment horizontal="center"/>
      <protection locked="0" hidden="0"/>
    </xf>
    <xf numFmtId="0" fontId="4" fillId="19" borderId="1" applyAlignment="1" pivotButton="0" quotePrefix="0" xfId="0">
      <alignment horizontal="left" vertical="center" wrapText="1"/>
    </xf>
    <xf numFmtId="0" fontId="6" fillId="0" borderId="7" applyAlignment="1" pivotButton="0" quotePrefix="0" xfId="3">
      <alignment horizontal="center" vertical="center"/>
    </xf>
    <xf numFmtId="0" fontId="6" fillId="0" borderId="9" applyAlignment="1" pivotButton="0" quotePrefix="0" xfId="3">
      <alignment horizontal="center" vertical="center"/>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43" applyAlignment="1" pivotButton="0" quotePrefix="0" xfId="0">
      <alignment horizontal="center" vertical="center" wrapText="1"/>
    </xf>
    <xf numFmtId="0" fontId="2" fillId="0" borderId="41" applyAlignment="1" pivotButton="0" quotePrefix="0" xfId="0">
      <alignment horizontal="center" vertical="center" wrapText="1"/>
    </xf>
    <xf numFmtId="0" fontId="2" fillId="0" borderId="40" applyAlignment="1" pivotButton="0" quotePrefix="0" xfId="0">
      <alignment horizontal="center" vertical="center" wrapText="1"/>
    </xf>
    <xf numFmtId="0" fontId="0" fillId="6" borderId="19" applyAlignment="1" applyProtection="1" pivotButton="0" quotePrefix="0" xfId="0">
      <alignment horizontal="center"/>
      <protection locked="0" hidden="0"/>
    </xf>
    <xf numFmtId="0" fontId="0" fillId="6" borderId="14"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6" borderId="27" applyAlignment="1" applyProtection="1" pivotButton="0" quotePrefix="0" xfId="0">
      <alignment horizontal="right" wrapText="1"/>
      <protection locked="0" hidden="0"/>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0" fillId="0" borderId="20" applyAlignment="1" applyProtection="1" pivotButton="0" quotePrefix="0" xfId="0">
      <alignment horizontal="center" vertical="center"/>
      <protection locked="0" hidden="0"/>
    </xf>
    <xf numFmtId="0" fontId="0" fillId="0" borderId="6" applyAlignment="1" applyProtection="1" pivotButton="0" quotePrefix="0" xfId="0">
      <alignment vertical="center" wrapText="1"/>
      <protection locked="0" hidden="0"/>
    </xf>
    <xf numFmtId="2" fontId="0" fillId="13" borderId="4" applyAlignment="1" pivotButton="0" quotePrefix="0" xfId="2">
      <alignment horizontal="right" vertical="center"/>
    </xf>
    <xf numFmtId="2" fontId="0" fillId="13" borderId="53" applyAlignment="1" pivotButton="0" quotePrefix="0" xfId="2">
      <alignment horizontal="right" vertical="center"/>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2" fillId="4" borderId="72" applyAlignment="1" pivotButton="0" quotePrefix="0" xfId="0">
      <alignment horizontal="center"/>
    </xf>
    <xf numFmtId="0" fontId="2" fillId="4" borderId="61" applyAlignment="1" pivotButton="0" quotePrefix="0" xfId="0">
      <alignment horizontal="center"/>
    </xf>
    <xf numFmtId="0" fontId="2" fillId="4" borderId="63" applyAlignment="1" pivotButton="0" quotePrefix="0" xfId="0">
      <alignment horizontal="center"/>
    </xf>
    <xf numFmtId="0" fontId="23" fillId="19" borderId="1" applyAlignment="1" applyProtection="1" pivotButton="0" quotePrefix="0" xfId="0">
      <alignment horizontal="center" vertical="center"/>
      <protection locked="0" hidden="0"/>
    </xf>
    <xf numFmtId="0" fontId="23" fillId="19" borderId="11" applyAlignment="1" applyProtection="1" pivotButton="0" quotePrefix="0" xfId="0">
      <alignment horizontal="center" vertical="center"/>
      <protection locked="0" hidden="0"/>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2" fontId="0" fillId="13" borderId="11"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0" applyAlignment="1" pivotButton="0" quotePrefix="0" xfId="0">
      <alignment horizontal="center" vertical="center"/>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 applyAlignment="1" pivotButton="0" quotePrefix="0" xfId="0">
      <alignment horizontal="center" vertical="center"/>
    </xf>
    <xf numFmtId="0" fontId="2" fillId="3" borderId="9" applyAlignment="1" pivotButton="0" quotePrefix="0" xfId="0">
      <alignment horizontal="center" vertical="center"/>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2" fontId="0" fillId="13" borderId="8" applyAlignment="1" pivotButton="0" quotePrefix="0" xfId="0">
      <alignment horizontal="right"/>
    </xf>
    <xf numFmtId="2" fontId="0" fillId="13" borderId="9" applyAlignment="1" pivotButton="0" quotePrefix="0" xfId="0">
      <alignment horizontal="right"/>
    </xf>
    <xf numFmtId="0" fontId="2" fillId="0" borderId="0" applyAlignment="1" pivotButton="0" quotePrefix="0" xfId="0">
      <alignment horizontal="center"/>
    </xf>
    <xf numFmtId="2" fontId="0" fillId="13" borderId="6" applyAlignment="1" pivotButton="0" quotePrefix="0" xfId="0">
      <alignment horizontal="right"/>
    </xf>
    <xf numFmtId="2" fontId="0" fillId="13" borderId="44" applyAlignment="1" pivotButton="0" quotePrefix="0" xfId="0">
      <alignment horizontal="right"/>
    </xf>
    <xf numFmtId="0" fontId="6" fillId="0" borderId="56" applyAlignment="1" pivotButton="0" quotePrefix="0" xfId="3">
      <alignment horizontal="center" wrapText="1"/>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2" fillId="7" borderId="0" applyAlignment="1" pivotButton="0" quotePrefix="0" xfId="0">
      <alignment horizontal="center" vertical="center"/>
    </xf>
    <xf numFmtId="2" fontId="0" fillId="13" borderId="1" applyAlignment="1" pivotButton="0" quotePrefix="0" xfId="0">
      <alignment horizontal="right" wrapText="1"/>
    </xf>
    <xf numFmtId="2" fontId="0" fillId="13" borderId="11" applyAlignment="1" pivotButton="0" quotePrefix="0" xfId="0">
      <alignment horizontal="right"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10" fillId="19" borderId="18" applyAlignment="1" pivotButton="0" quotePrefix="0" xfId="3">
      <alignment horizontal="center" vertical="center" wrapText="1"/>
    </xf>
    <xf numFmtId="0" fontId="37" fillId="19" borderId="1" applyAlignment="1" pivotButton="0" quotePrefix="0" xfId="3">
      <alignment horizontal="center" vertical="center" wrapText="1"/>
    </xf>
    <xf numFmtId="2" fontId="9" fillId="6" borderId="1"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0" applyAlignment="1" pivotButton="0" quotePrefix="0" xfId="0">
      <alignment horizontal="right" vertical="center"/>
    </xf>
    <xf numFmtId="10" fontId="0" fillId="13" borderId="14" applyAlignment="1" pivotButton="0" quotePrefix="0" xfId="0">
      <alignment horizontal="right" vertical="center"/>
    </xf>
    <xf numFmtId="0" fontId="2" fillId="0" borderId="19" applyAlignment="1" pivotButton="0" quotePrefix="0" xfId="0">
      <alignment horizontal="center" vertical="center" wrapText="1"/>
    </xf>
    <xf numFmtId="0" fontId="2" fillId="0" borderId="20" applyAlignment="1" pivotButton="0" quotePrefix="0" xfId="0">
      <alignment horizontal="center" vertic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2" fillId="3" borderId="72" applyAlignment="1" pivotButton="0" quotePrefix="0" xfId="0">
      <alignment horizontal="center" wrapText="1"/>
    </xf>
    <xf numFmtId="0" fontId="2" fillId="3" borderId="61" applyAlignment="1" pivotButton="0" quotePrefix="0" xfId="0">
      <alignment horizontal="center" wrapText="1"/>
    </xf>
    <xf numFmtId="0" fontId="2" fillId="3" borderId="63" applyAlignment="1" pivotButton="0" quotePrefix="0" xfId="0">
      <alignment horizontal="center" wrapText="1"/>
    </xf>
    <xf numFmtId="0" fontId="0" fillId="0" borderId="50" applyAlignment="1" applyProtection="1" pivotButton="0" quotePrefix="0" xfId="0">
      <alignment horizontal="center" vertical="center" wrapText="1"/>
      <protection locked="0" hidden="0"/>
    </xf>
    <xf numFmtId="0" fontId="0" fillId="0" borderId="85" applyAlignment="1" applyProtection="1" pivotButton="0" quotePrefix="0" xfId="0">
      <alignment horizontal="center" vertical="center" wrapText="1"/>
      <protection locked="0" hidden="0"/>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2" fillId="4" borderId="72" applyAlignment="1" pivotButton="0" quotePrefix="0" xfId="0">
      <alignment horizontal="center" wrapText="1"/>
    </xf>
    <xf numFmtId="0" fontId="2" fillId="4" borderId="61" applyAlignment="1" pivotButton="0" quotePrefix="0" xfId="0">
      <alignment horizontal="center" wrapText="1"/>
    </xf>
    <xf numFmtId="0" fontId="2" fillId="4" borderId="63" applyAlignment="1" pivotButton="0" quotePrefix="0" xfId="0">
      <alignment horizontal="center" wrapText="1"/>
    </xf>
    <xf numFmtId="0" fontId="0" fillId="0" borderId="43" applyAlignment="1" applyProtection="1" pivotButton="0" quotePrefix="0" xfId="0">
      <alignment horizontal="center" vertical="center"/>
      <protection locked="0" hidden="0"/>
    </xf>
    <xf numFmtId="0" fontId="0" fillId="0" borderId="41" applyAlignment="1" applyProtection="1" pivotButton="0" quotePrefix="0" xfId="0">
      <alignment horizontal="center" vertical="center"/>
      <protection locked="0" hidden="0"/>
    </xf>
    <xf numFmtId="0" fontId="0" fillId="0" borderId="56" applyAlignment="1" applyProtection="1" pivotButton="0" quotePrefix="0" xfId="0">
      <alignment horizontal="center" vertical="center"/>
      <protection locked="0" hidden="0"/>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4" fillId="19" borderId="18" applyAlignment="1" pivotButton="0" quotePrefix="0" xfId="0">
      <alignment horizontal="center" vertical="center" wrapText="1"/>
    </xf>
    <xf numFmtId="0" fontId="4" fillId="19" borderId="1" applyAlignment="1" pivotButton="0" quotePrefix="0" xfId="0">
      <alignment horizontal="center" vertical="center" wrapText="1"/>
    </xf>
    <xf numFmtId="0" fontId="4" fillId="19" borderId="11" applyAlignment="1" pivotButton="0" quotePrefix="0" xfId="0">
      <alignment horizontal="center" vertical="center" wrapText="1"/>
    </xf>
    <xf numFmtId="2" fontId="0" fillId="13" borderId="19"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0" fillId="0" borderId="4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2" fillId="7" borderId="25" applyAlignment="1" pivotButton="0" quotePrefix="0" xfId="0">
      <alignment horizontal="center" vertical="center"/>
    </xf>
    <xf numFmtId="0" fontId="0" fillId="6" borderId="2" applyAlignment="1" applyProtection="1" pivotButton="0" quotePrefix="0" xfId="0">
      <alignment horizontal="center" vertical="center"/>
      <protection locked="0" hidden="0"/>
    </xf>
    <xf numFmtId="0" fontId="6" fillId="7" borderId="41" applyAlignment="1" pivotButton="0" quotePrefix="0" xfId="3">
      <alignment horizontal="center" wrapText="1"/>
    </xf>
    <xf numFmtId="0" fontId="6" fillId="7" borderId="56" applyAlignment="1" pivotButton="0" quotePrefix="0" xfId="3">
      <alignment horizontal="center" wrapText="1"/>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48"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2" fillId="4" borderId="33" applyAlignment="1" pivotButton="0" quotePrefix="0" xfId="0">
      <alignment horizontal="center"/>
    </xf>
    <xf numFmtId="0" fontId="2" fillId="4" borderId="34" applyAlignment="1" pivotButton="0" quotePrefix="0" xfId="0">
      <alignment horizontal="center"/>
    </xf>
    <xf numFmtId="0" fontId="2" fillId="4" borderId="35" applyAlignment="1" pivotButton="0" quotePrefix="0" xfId="0">
      <alignment horizontal="center"/>
    </xf>
    <xf numFmtId="0" fontId="2" fillId="0" borderId="49" applyAlignment="1" pivotButton="0" quotePrefix="0" xfId="0">
      <alignment horizontal="left" vertical="center"/>
    </xf>
    <xf numFmtId="0" fontId="2" fillId="0" borderId="41" applyAlignment="1" pivotButton="0" quotePrefix="0" xfId="0">
      <alignment horizontal="left" vertical="center"/>
    </xf>
    <xf numFmtId="0" fontId="2" fillId="0" borderId="56" applyAlignment="1" pivotButton="0" quotePrefix="0" xfId="0">
      <alignment horizontal="left" vertical="center"/>
    </xf>
    <xf numFmtId="0" fontId="0" fillId="0" borderId="57" applyAlignment="1" pivotButton="0" quotePrefix="0" xfId="0">
      <alignment horizontal="left" vertical="center" wrapText="1"/>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18" applyAlignment="1" pivotButton="0" quotePrefix="0" xfId="0">
      <alignment horizontal="left" vertical="center" wrapText="1"/>
    </xf>
    <xf numFmtId="0" fontId="0" fillId="7" borderId="1" applyAlignment="1" pivotButton="0" quotePrefix="0" xfId="0">
      <alignment horizontal="left" vertical="center" wrapText="1"/>
    </xf>
    <xf numFmtId="0" fontId="0" fillId="7" borderId="19" applyAlignment="1" pivotButton="0" quotePrefix="0" xfId="0">
      <alignment horizontal="left" vertical="center" wrapText="1"/>
    </xf>
    <xf numFmtId="0" fontId="0" fillId="7" borderId="20" applyAlignment="1" pivotButton="0" quotePrefix="0" xfId="0">
      <alignment horizontal="left" vertical="center" wrapText="1"/>
    </xf>
    <xf numFmtId="0" fontId="2" fillId="7" borderId="18" applyAlignment="1" pivotButton="0" quotePrefix="0" xfId="0">
      <alignment horizontal="center"/>
    </xf>
    <xf numFmtId="0" fontId="2" fillId="7" borderId="11" applyAlignment="1" pivotButton="0" quotePrefix="0" xfId="0">
      <alignment horizontal="center"/>
    </xf>
    <xf numFmtId="0" fontId="2" fillId="7" borderId="19" applyAlignment="1" pivotButton="0" quotePrefix="0" xfId="0">
      <alignment horizontal="center"/>
    </xf>
    <xf numFmtId="0" fontId="2" fillId="7" borderId="14" applyAlignment="1" pivotButton="0" quotePrefix="0" xfId="0">
      <alignment horizontal="center"/>
    </xf>
    <xf numFmtId="0" fontId="31" fillId="7" borderId="0" applyAlignment="1" pivotButton="0" quotePrefix="0" xfId="0">
      <alignment horizontal="left" wrapText="1"/>
    </xf>
    <xf numFmtId="0" fontId="0" fillId="7" borderId="0" pivotButton="0" quotePrefix="0" xfId="0"/>
    <xf numFmtId="0" fontId="35" fillId="7" borderId="0" pivotButton="0" quotePrefix="0" xfId="0"/>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5" borderId="28" applyAlignment="1" pivotButton="0" quotePrefix="0" xfId="0">
      <alignment horizontal="center" vertical="center"/>
    </xf>
    <xf numFmtId="0" fontId="0" fillId="5" borderId="29" applyAlignment="1" pivotButton="0" quotePrefix="0" xfId="0">
      <alignment horizontal="center" vertical="center"/>
    </xf>
    <xf numFmtId="0" fontId="0" fillId="5" borderId="31" applyAlignment="1" pivotButton="0" quotePrefix="0" xfId="0">
      <alignment horizontal="center" vertical="center"/>
    </xf>
    <xf numFmtId="0" fontId="0" fillId="5" borderId="45" applyAlignment="1" pivotButton="0" quotePrefix="0" xfId="0">
      <alignment horizontal="center" vertical="center"/>
    </xf>
    <xf numFmtId="0" fontId="0" fillId="5" borderId="22" applyAlignment="1" pivotButton="0" quotePrefix="0" xfId="0">
      <alignment horizontal="center" vertical="center"/>
    </xf>
    <xf numFmtId="0" fontId="0" fillId="5" borderId="23" applyAlignment="1" pivotButton="0" quotePrefix="0" xfId="0">
      <alignment horizontal="center" vertical="center"/>
    </xf>
    <xf numFmtId="0" fontId="0" fillId="5" borderId="28" applyAlignment="1" applyProtection="1" pivotButton="0" quotePrefix="0" xfId="0">
      <alignment horizontal="center" vertical="center"/>
      <protection locked="0" hidden="0"/>
    </xf>
    <xf numFmtId="0" fontId="0" fillId="5" borderId="29" applyAlignment="1" applyProtection="1" pivotButton="0" quotePrefix="0" xfId="0">
      <alignment horizontal="center" vertical="center"/>
      <protection locked="0" hidden="0"/>
    </xf>
    <xf numFmtId="0" fontId="0" fillId="5" borderId="31" applyAlignment="1" applyProtection="1" pivotButton="0" quotePrefix="0" xfId="0">
      <alignment horizontal="center" vertical="center"/>
      <protection locked="0" hidden="0"/>
    </xf>
    <xf numFmtId="0" fontId="0" fillId="5" borderId="45" applyAlignment="1" applyProtection="1" pivotButton="0" quotePrefix="0" xfId="0">
      <alignment horizontal="center" vertical="center"/>
      <protection locked="0" hidden="0"/>
    </xf>
    <xf numFmtId="0" fontId="0" fillId="5" borderId="22" applyAlignment="1" applyProtection="1" pivotButton="0" quotePrefix="0" xfId="0">
      <alignment horizontal="center" vertical="center"/>
      <protection locked="0" hidden="0"/>
    </xf>
    <xf numFmtId="0" fontId="0" fillId="5"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2" fillId="7" borderId="7" applyAlignment="1" pivotButton="0" quotePrefix="0" xfId="0">
      <alignment horizontal="center"/>
    </xf>
    <xf numFmtId="0" fontId="2" fillId="7" borderId="9" applyAlignment="1" pivotButton="0" quotePrefix="0" xfId="0">
      <alignment horizontal="center"/>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49" applyAlignment="1" pivotButton="0" quotePrefix="1" xfId="3">
      <alignment horizontal="left"/>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0" fillId="7" borderId="0" applyAlignment="1" pivotButton="0" quotePrefix="1" xfId="0">
      <alignment horizontal="left"/>
    </xf>
    <xf numFmtId="0" fontId="0" fillId="7" borderId="26"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6" fillId="7" borderId="25" applyAlignment="1" pivotButton="0" quotePrefix="1" xfId="3">
      <alignment horizontal="left"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6" fillId="7" borderId="41" applyAlignment="1" pivotButton="0" quotePrefix="1" xfId="3">
      <alignment horizontal="left"/>
    </xf>
    <xf numFmtId="0" fontId="6" fillId="7" borderId="56"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26" fillId="0" borderId="1" applyAlignment="1" pivotButton="0" quotePrefix="0" xfId="0">
      <alignment horizontal="left" vertical="center"/>
    </xf>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89" pivotButton="0" quotePrefix="0" xfId="0"/>
    <xf numFmtId="0" fontId="0" fillId="0" borderId="34" pivotButton="0" quotePrefix="0" xfId="0"/>
    <xf numFmtId="0" fontId="0" fillId="0" borderId="90" pivotButton="0" quotePrefix="0" xfId="0"/>
    <xf numFmtId="0" fontId="0" fillId="0" borderId="40" applyProtection="1" pivotButton="0" quotePrefix="0" xfId="0">
      <protection locked="0" hidden="0"/>
    </xf>
    <xf numFmtId="0" fontId="0" fillId="0" borderId="13" applyProtection="1" pivotButton="0" quotePrefix="0" xfId="0">
      <protection locked="0" hidden="0"/>
    </xf>
    <xf numFmtId="0" fontId="0" fillId="0" borderId="4" applyProtection="1" pivotButton="0" quotePrefix="0" xfId="0">
      <protection locked="0" hidden="0"/>
    </xf>
    <xf numFmtId="0" fontId="0" fillId="0" borderId="13" pivotButton="0" quotePrefix="0" xfId="0"/>
    <xf numFmtId="0" fontId="0" fillId="0" borderId="35" pivotButton="0" quotePrefix="0" xfId="0"/>
    <xf numFmtId="0" fontId="0" fillId="0" borderId="12" applyAlignment="1" pivotButton="0" quotePrefix="0" xfId="0">
      <alignment horizontal="center" vertical="center" wrapText="1"/>
    </xf>
    <xf numFmtId="0" fontId="0" fillId="0" borderId="43" pivotButton="0" quotePrefix="0" xfId="0"/>
    <xf numFmtId="0" fontId="0" fillId="0" borderId="45" pivotButton="0" quotePrefix="0" xfId="0"/>
    <xf numFmtId="0" fontId="0" fillId="0" borderId="3"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86" pivotButton="0" quotePrefix="0" xfId="0"/>
    <xf numFmtId="169" fontId="0" fillId="7" borderId="0" applyAlignment="1" pivotButton="0" quotePrefix="0" xfId="0">
      <alignment wrapText="1"/>
    </xf>
    <xf numFmtId="0" fontId="0" fillId="0" borderId="44" pivotButton="0" quotePrefix="0" xfId="0"/>
    <xf numFmtId="0" fontId="0" fillId="0" borderId="41" applyProtection="1" pivotButton="0" quotePrefix="0" xfId="0">
      <protection locked="0" hidden="0"/>
    </xf>
    <xf numFmtId="0" fontId="0" fillId="0" borderId="56" applyProtection="1" pivotButton="0" quotePrefix="0" xfId="0">
      <protection locked="0" hidden="0"/>
    </xf>
    <xf numFmtId="0" fontId="0" fillId="0" borderId="21" applyProtection="1" pivotButton="0" quotePrefix="0" xfId="0">
      <protection locked="0" hidden="0"/>
    </xf>
    <xf numFmtId="0" fontId="0" fillId="0" borderId="36" applyProtection="1" pivotButton="0" quotePrefix="0" xfId="0">
      <protection locked="0" hidden="0"/>
    </xf>
    <xf numFmtId="0" fontId="0" fillId="0" borderId="27" pivotButton="0" quotePrefix="0" xfId="0"/>
    <xf numFmtId="0" fontId="0" fillId="0" borderId="30" applyAlignment="1" pivotButton="0" quotePrefix="0" xfId="0">
      <alignment horizontal="left"/>
    </xf>
    <xf numFmtId="0" fontId="6" fillId="0" borderId="19" pivotButton="0" quotePrefix="0" xfId="3"/>
    <xf numFmtId="0" fontId="0" fillId="0" borderId="16" pivotButton="0" quotePrefix="0" xfId="0"/>
    <xf numFmtId="0" fontId="0" fillId="0" borderId="24" pivotButton="0" quotePrefix="0" xfId="0"/>
    <xf numFmtId="2" fontId="0" fillId="13" borderId="14" applyAlignment="1" pivotButton="0" quotePrefix="0" xfId="2">
      <alignment horizontal="right" vertical="center"/>
    </xf>
    <xf numFmtId="0" fontId="0" fillId="0" borderId="36" pivotButton="0" quotePrefix="0" xfId="0"/>
    <xf numFmtId="2" fontId="0" fillId="13" borderId="19" applyAlignment="1" pivotButton="0" quotePrefix="0" xfId="2">
      <alignment horizontal="right" vertical="center"/>
    </xf>
    <xf numFmtId="0" fontId="0" fillId="0" borderId="56" pivotButton="0" quotePrefix="0" xfId="0"/>
    <xf numFmtId="0" fontId="4" fillId="13" borderId="44"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1" applyAlignment="1" pivotButton="0" quotePrefix="0" xfId="2">
      <alignment horizontal="right"/>
    </xf>
    <xf numFmtId="171" fontId="0" fillId="13" borderId="20" applyAlignment="1" pivotButton="0" quotePrefix="0" xfId="2">
      <alignment horizontal="right"/>
    </xf>
    <xf numFmtId="0" fontId="2" fillId="0" borderId="6"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0" fontId="0" fillId="0" borderId="16" applyProtection="1" pivotButton="0" quotePrefix="0" xfId="0">
      <protection locked="0" hidden="0"/>
    </xf>
    <xf numFmtId="0" fontId="0" fillId="0" borderId="24" applyProtection="1" pivotButton="0" quotePrefix="0" xfId="0">
      <protection locked="0" hidden="0"/>
    </xf>
    <xf numFmtId="2" fontId="0" fillId="6" borderId="20" applyAlignment="1" applyProtection="1" pivotButton="0" quotePrefix="0" xfId="0">
      <alignment horizontal="right" wrapText="1"/>
      <protection locked="0" hidden="0"/>
    </xf>
    <xf numFmtId="0" fontId="0" fillId="0" borderId="5" applyProtection="1" pivotButton="0" quotePrefix="0" xfId="0">
      <protection locked="0" hidden="0"/>
    </xf>
    <xf numFmtId="0" fontId="0" fillId="0" borderId="53" applyProtection="1" pivotButton="0" quotePrefix="0" xfId="0">
      <protection locked="0" hidden="0"/>
    </xf>
    <xf numFmtId="0" fontId="2" fillId="3" borderId="71" applyAlignment="1" pivotButton="0" quotePrefix="0" xfId="0">
      <alignment horizontal="center" vertical="center" wrapText="1"/>
    </xf>
    <xf numFmtId="2" fontId="0" fillId="13" borderId="71" applyAlignment="1" pivotButton="0" quotePrefix="0" xfId="2">
      <alignment horizontal="center" vertical="center"/>
    </xf>
    <xf numFmtId="0" fontId="2" fillId="3" borderId="67" applyAlignment="1" pivotButton="0" quotePrefix="0" xfId="0">
      <alignment horizontal="center"/>
    </xf>
    <xf numFmtId="0" fontId="0" fillId="0" borderId="31" pivotButton="0" quotePrefix="0" xfId="0"/>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0" fontId="0" fillId="0" borderId="0" applyProtection="1" pivotButton="0" quotePrefix="0" xfId="0">
      <protection locked="0" hidden="0"/>
    </xf>
    <xf numFmtId="0" fontId="0" fillId="0" borderId="54"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0" fillId="0" borderId="91" pivotButton="0" quotePrefix="0" xfId="0"/>
    <xf numFmtId="2" fontId="0" fillId="6" borderId="44" applyAlignment="1" applyProtection="1" pivotButton="0" quotePrefix="0" xfId="0">
      <alignment horizontal="right" vertical="center" wrapText="1"/>
      <protection locked="0" hidden="0"/>
    </xf>
    <xf numFmtId="2" fontId="0" fillId="6" borderId="14" applyAlignment="1" applyProtection="1" pivotButton="0" quotePrefix="0" xfId="0">
      <alignment horizontal="right" vertical="center" wrapText="1"/>
      <protection locked="0" hidden="0"/>
    </xf>
    <xf numFmtId="0" fontId="0" fillId="0" borderId="21" pivotButton="0" quotePrefix="0" xfId="0"/>
    <xf numFmtId="0" fontId="0" fillId="0" borderId="47" applyProtection="1" pivotButton="0" quotePrefix="0" xfId="0">
      <protection locked="0" hidden="0"/>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2" fillId="4" borderId="71" applyAlignment="1" pivotButton="0" quotePrefix="0" xfId="0">
      <alignment horizontal="center"/>
    </xf>
    <xf numFmtId="0" fontId="2" fillId="0" borderId="89" applyAlignment="1" pivotButton="0" quotePrefix="0" xfId="0">
      <alignment horizontal="left" vertical="center"/>
    </xf>
    <xf numFmtId="0" fontId="0" fillId="19" borderId="86"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4" fontId="0" fillId="13" borderId="36" applyAlignment="1" pivotButton="0" quotePrefix="0" xfId="0">
      <alignment horizontal="center"/>
    </xf>
    <xf numFmtId="164" fontId="0" fillId="13" borderId="88" applyAlignment="1" pivotButton="0" quotePrefix="0" xfId="0">
      <alignment horizontal="center"/>
    </xf>
    <xf numFmtId="164" fontId="0" fillId="13" borderId="12" applyAlignment="1" pivotButton="0" quotePrefix="0" xfId="0">
      <alignment horizontal="center"/>
    </xf>
    <xf numFmtId="0" fontId="0" fillId="5" borderId="71" applyAlignment="1" pivotButton="0" quotePrefix="0" xfId="0">
      <alignment horizontal="center" vertical="center"/>
    </xf>
    <xf numFmtId="0" fontId="0" fillId="5"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0" fontId="0" fillId="0" borderId="23"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4" fontId="2" fillId="13" borderId="63" applyAlignment="1" pivotButton="0" quotePrefix="1" xfId="2">
      <alignment horizontal="center" vertic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0" fontId="0" fillId="0" borderId="17" pivotButton="0" quotePrefix="0" xfId="0"/>
    <xf numFmtId="2" fontId="0" fillId="7" borderId="87" applyAlignment="1" pivotButton="0" quotePrefix="1" xfId="0">
      <alignment horizontal="left" wrapText="1"/>
    </xf>
    <xf numFmtId="0" fontId="0" fillId="0" borderId="26" pivotButton="0" quotePrefix="0" xfId="0"/>
    <xf numFmtId="2" fontId="6" fillId="7" borderId="89" applyAlignment="1" pivotButton="0" quotePrefix="1" xfId="3">
      <alignment horizontal="left" wrapText="1"/>
    </xf>
    <xf numFmtId="2" fontId="2" fillId="0" borderId="87" applyAlignment="1" pivotButton="0" quotePrefix="0" xfId="0">
      <alignment horizontal="left"/>
    </xf>
    <xf numFmtId="0" fontId="0" fillId="7" borderId="62" applyAlignment="1" pivotButton="0" quotePrefix="1" xfId="0">
      <alignment horizontal="left"/>
    </xf>
    <xf numFmtId="0" fontId="0" fillId="0" borderId="47" pivotButton="0" quotePrefix="0" xfId="0"/>
    <xf numFmtId="0" fontId="6" fillId="7" borderId="89" applyAlignment="1" pivotButton="0" quotePrefix="1" xfId="3">
      <alignment horizontal="left"/>
    </xf>
    <xf numFmtId="0" fontId="0" fillId="7" borderId="87" applyAlignment="1" pivotButton="0" quotePrefix="1" xfId="0">
      <alignment horizontal="left" vertical="top" wrapText="1"/>
    </xf>
    <xf numFmtId="0" fontId="6" fillId="7" borderId="87" applyAlignment="1" pivotButton="0" quotePrefix="1" xfId="3">
      <alignment horizontal="left" vertical="top" wrapText="1"/>
    </xf>
    <xf numFmtId="0" fontId="6" fillId="7" borderId="89" applyAlignment="1" pivotButton="0" quotePrefix="1" xfId="3">
      <alignment horizontal="left" wrapText="1"/>
    </xf>
    <xf numFmtId="0" fontId="9" fillId="7" borderId="62" applyAlignment="1" pivotButton="0" quotePrefix="1" xfId="3">
      <alignment horizontal="left"/>
    </xf>
    <xf numFmtId="0" fontId="6" fillId="7" borderId="87" applyAlignment="1" pivotButton="0" quotePrefix="1" xfId="3">
      <alignment horizontal="left" wrapText="1"/>
    </xf>
    <xf numFmtId="0" fontId="0" fillId="7" borderId="62" applyAlignment="1" pivotButton="0" quotePrefix="1" xfId="0">
      <alignment horizontal="left" wrapText="1"/>
    </xf>
    <xf numFmtId="0" fontId="0" fillId="7" borderId="87"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405">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00B050"/>
        </patternFill>
      </fill>
    </dxf>
    <dxf>
      <fill>
        <patternFill>
          <bgColor theme="5" tint="0.5999633777886288"/>
        </patternFill>
      </fill>
    </dxf>
    <dxf>
      <fill>
        <patternFill>
          <bgColor theme="5" tint="0.5999633777886288"/>
        </patternFill>
      </fill>
    </dxf>
    <dxf>
      <fill>
        <patternFill>
          <bgColor theme="5" tint="0.5999633777886288"/>
        </patternFill>
      </fill>
    </dxf>
    <dxf>
      <fill>
        <patternFill>
          <bgColor rgb="FF00B05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ont>
        <b val="1"/>
      </font>
    </dxf>
    <dxf>
      <font>
        <b val="1"/>
      </font>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6-02-01/vsme-all.xsd" TargetMode="External" Id="rId1" /></Relationships>
</file>

<file path=xl/worksheets/_rels/sheet3.xml.rels><Relationships xmlns="http://schemas.openxmlformats.org/package/2006/relationships"><Relationship Type="http://schemas.openxmlformats.org/officeDocument/2006/relationships/hyperlink" Target="https://knowledgehub.efrag.org/eng/interactive/vsme/vsme-standard-annex-i/2025-07-30-ec-rec/16" TargetMode="External" Id="rId1" /><Relationship Type="http://schemas.openxmlformats.org/officeDocument/2006/relationships/hyperlink" Target="https://knowledgehub.efrag.org/eng/interactive/vsme/vsme-standard-annex-i/2025-07-30-ec-rec/24/a" TargetMode="External" Id="rId2" /><Relationship Type="http://schemas.openxmlformats.org/officeDocument/2006/relationships/hyperlink" Target="https://knowledgehub.efrag.org/eng/interactive/vsme/vsme-standard-annex-i/2025-07-30-ec-rec/24/b" TargetMode="External" Id="rId3" /><Relationship Type="http://schemas.openxmlformats.org/officeDocument/2006/relationships/hyperlink" Target="https://knowledgehub.efrag.org/eng/interactive/vsme/vsme-standard-annex-i/2025-07-30-ec-rec/24/c" TargetMode="External" Id="rId4" /><Relationship Type="http://schemas.openxmlformats.org/officeDocument/2006/relationships/hyperlink" Target="https://knowledgehub.efrag.org/eng/interactive/vsme/vsme-standard-annex-i/2025-07-30-ec-rec/24/e/i" TargetMode="External" Id="rId5" /><Relationship Type="http://schemas.openxmlformats.org/officeDocument/2006/relationships/hyperlink" Target="https://knowledgehub.efrag.org/eng/interactive/vsme/vsme-guidance-annex-ii/2025-07-30-ec-rec/4" TargetMode="External" Id="rId6" /><Relationship Type="http://schemas.openxmlformats.org/officeDocument/2006/relationships/hyperlink" Target="https://knowledgehub.efrag.org/eng/interactive/vsme/vsme-standard-annex-i/2025-07-30-ec-rec/24/e/ii" TargetMode="External" Id="rId7" /><Relationship Type="http://schemas.openxmlformats.org/officeDocument/2006/relationships/hyperlink" Target="https://knowledgehub.efrag.org/eng/interactive/vsme/vsme-guidance-annex-ii/2025-07-30-ec-rec/5" TargetMode="External" Id="rId8" /><Relationship Type="http://schemas.openxmlformats.org/officeDocument/2006/relationships/hyperlink" Target="https://knowledgehub.efrag.org/eng/interactive/vsme/vsme-standard-annex-i/2025-07-30-ec-rec/24/e/iii" TargetMode="External" Id="rId9" /><Relationship Type="http://schemas.openxmlformats.org/officeDocument/2006/relationships/hyperlink" Target="https://knowledgehub.efrag.org/eng/interactive/vsme/vsme-standard-annex-i/2025-07-30-ec-rec/24/e/iv" TargetMode="External" Id="rId10" /><Relationship Type="http://schemas.openxmlformats.org/officeDocument/2006/relationships/hyperlink" Target="https://knowledgehub.efrag.org/eng/interactive/vsme/vsme-standard-annex-i/2025-07-30-ec-rec/24/e/v" TargetMode="External" Id="rId11" /><Relationship Type="http://schemas.openxmlformats.org/officeDocument/2006/relationships/hyperlink" Target="https://knowledgehub.efrag.org/eng/interactive/vsme/vsme-guidance-annex-ii/2025-07-30-ec-rec/7" TargetMode="External" Id="rId12" /><Relationship Type="http://schemas.openxmlformats.org/officeDocument/2006/relationships/hyperlink" Target="https://knowledgehub.efrag.org/eng/interactive/vsme/vsme-standard-annex-i/2025-07-30-ec-rec/24/e/v" TargetMode="External" Id="rId13" /><Relationship Type="http://schemas.openxmlformats.org/officeDocument/2006/relationships/hyperlink" Target="https://knowledgehub.efrag.org/eng/interactive/vsme/vsme-guidance-annex-ii/2025-07-30-ec-rec/7" TargetMode="External" Id="rId14" /><Relationship Type="http://schemas.openxmlformats.org/officeDocument/2006/relationships/hyperlink" Target="https://knowledgehub.efrag.org/eng/interactive/vsme/vsme-standard-annex-i/2025-07-30-ec-rec/24/e/v" TargetMode="External" Id="rId15" /><Relationship Type="http://schemas.openxmlformats.org/officeDocument/2006/relationships/hyperlink" Target="https://knowledgehub.efrag.org/eng/interactive/vsme/vsme-guidance-annex-ii/2025-07-30-ec-rec/7" TargetMode="External" Id="rId16" /><Relationship Type="http://schemas.openxmlformats.org/officeDocument/2006/relationships/hyperlink" Target="https://knowledgehub.efrag.org/eng/interactive/vsme/vsme-standard-annex-i/2025-07-30-ec-rec/24/e/vi" TargetMode="External" Id="rId17" /><Relationship Type="http://schemas.openxmlformats.org/officeDocument/2006/relationships/hyperlink" Target="https://knowledgehub.efrag.org/eng/interactive/vsme/vsme-guidance-annex-ii/2025-07-30-ec-rec/9" TargetMode="External" Id="rId18" /><Relationship Type="http://schemas.openxmlformats.org/officeDocument/2006/relationships/hyperlink" Target="https://knowledgehub.efrag.org/eng/interactive/vsme/vsme-standard-annex-i/2025-07-30-ec-rec/24/d" TargetMode="External" Id="rId19" /><Relationship Type="http://schemas.openxmlformats.org/officeDocument/2006/relationships/hyperlink" Target="https://knowledgehub.efrag.org/eng/interactive/vsme/vsme-standard-annex-i/2025-07-30-ec-rec/25" TargetMode="External" Id="rId20" /><Relationship Type="http://schemas.openxmlformats.org/officeDocument/2006/relationships/hyperlink" Target="https://knowledgehub.efrag.org/eng/interactive/vsme/vsme-standard-annex-i/2025-07-30-ec-rec/13" TargetMode="External" Id="rId21" /><Relationship Type="http://schemas.openxmlformats.org/officeDocument/2006/relationships/hyperlink" Target="https://knowledgehub.efrag.org/eng/interactive/vsme/vsme-standard-annex-i/2025-07-30-ec-rec/24/e/vii" TargetMode="External" Id="rId22" /><Relationship Type="http://schemas.openxmlformats.org/officeDocument/2006/relationships/hyperlink" Target="https://knowledgehub.efrag.org/eng/interactive/vsme/vsme-guidance-annex-ii/2025-07-30-ec-rec/9" TargetMode="External" Id="rId23" /><Relationship Type="http://schemas.openxmlformats.org/officeDocument/2006/relationships/hyperlink" Target="https://knowledgehub.efrag.org/eng/interactive/vsme/vsme-standard-annex-i/2025-07-30-ec-rec/26" TargetMode="External" Id="rId24" /><Relationship Type="http://schemas.openxmlformats.org/officeDocument/2006/relationships/hyperlink" Target="https://knowledgehub.efrag.org/eng/interactive/vsme/vsme-guidance-annex-ii/2025-07-30-ec-rec/14" TargetMode="External" Id="rId25" /><Relationship Type="http://schemas.openxmlformats.org/officeDocument/2006/relationships/hyperlink" Target="https://knowledgehub.efrag.org/eng/interactive/vsme/vsme-standard-annex-i/2025-07-30-ec-rec/15" TargetMode="External" Id="rId26" /><Relationship Type="http://schemas.openxmlformats.org/officeDocument/2006/relationships/hyperlink" Target="https://www.efrag.org/en/vsme-supporting-guide-on-disclosure-c2-comprehensive-module-practices-policies-and-future" TargetMode="External" Id="rId27" /><Relationship Type="http://schemas.openxmlformats.org/officeDocument/2006/relationships/hyperlink" Target="https://knowledgehub.efrag.org/eng/interactive/vsme/vsme-standard-annex-i/2025-07-30-ec-rec/48" TargetMode="External" Id="rId28" /><Relationship Type="http://schemas.openxmlformats.org/officeDocument/2006/relationships/hyperlink" Target="https://knowledgehub.efrag.org/eng/interactive/vsme/vsme-guidance-annex-ii/2025-07-30-ec-rec/149" TargetMode="External" Id="rId29" /><Relationship Type="http://schemas.openxmlformats.org/officeDocument/2006/relationships/hyperlink" Target="https://knowledgehub.efrag.org/eng/interactive/vsme/vsme-guidance-annex-ii/2025-07-30-ec-rec/149" TargetMode="External" Id="rId30" /><Relationship Type="http://schemas.openxmlformats.org/officeDocument/2006/relationships/hyperlink" Target="https://knowledgehub.efrag.org/eng/interactive/vsme/vsme-standard-annex-i/2025-07-30-ec-rec/49" TargetMode="External" Id="rId31" /><Relationship Type="http://schemas.openxmlformats.org/officeDocument/2006/relationships/hyperlink" Target="https://knowledgehub.efrag.org/eng/interactive/vsme/vsme-guidance-annex-ii/2025-07-30-ec-rec/149" TargetMode="External" Id="rId32" /><Relationship Type="http://schemas.openxmlformats.org/officeDocument/2006/relationships/hyperlink" Target="https://knowledgehub.efrag.org/eng/interactive/vsme/vsme-standard-annex-i/2025-07-30-ec-rec/47/a" TargetMode="External" Id="rId33" /><Relationship Type="http://schemas.openxmlformats.org/officeDocument/2006/relationships/hyperlink" Target="https://knowledgehub.efrag.org/eng/interactive/vsme/vsme-standard-annex-i/2025-07-30-ec-rec/47/b" TargetMode="External" Id="rId34" /><Relationship Type="http://schemas.openxmlformats.org/officeDocument/2006/relationships/hyperlink" Target="https://knowledgehub.efrag.org/eng/interactive/vsme/vsme-standard-annex-i/2025-07-30-ec-rec/47/c" TargetMode="External" Id="rId35" /><Relationship Type="http://schemas.openxmlformats.org/officeDocument/2006/relationships/hyperlink" Target="https://knowledgehub.efrag.org/eng/interactive/vsme/vsme-guidance-annex-ii/2025-07-30-ec-rec/148" TargetMode="External" Id="rId36" /><Relationship Type="http://schemas.openxmlformats.org/officeDocument/2006/relationships/hyperlink" Target="https://knowledgehub.efrag.org/eng/interactive/vsme/vsme-standard-annex-i/2025-07-30-ec-rec/47/d" TargetMode="External" Id="rId37" /><Relationship Type="http://schemas.openxmlformats.org/officeDocument/2006/relationships/hyperlink" Target="https://knowledgehub.efrag.org/eng/interactive/vsme/vsme-standard-annex-i/2025-07-30-ec-rec/10" TargetMode="External" Id="rId38" /></Relationships>
</file>

<file path=xl/worksheets/_rels/sheet4.xml.rels><Relationships xmlns="http://schemas.openxmlformats.org/package/2006/relationships"><Relationship Type="http://schemas.openxmlformats.org/officeDocument/2006/relationships/hyperlink" Target="https://knowledgehub.efrag.org/eng/interactive/vsme/vsme-standard-annex-i/2025-07-30-ec-rec/29" TargetMode="External" Id="rId1" /><Relationship Type="http://schemas.openxmlformats.org/officeDocument/2006/relationships/hyperlink" Target="https://knowledgehub.efrag.org/eng/interactive/vsme/vsme-guidance-annex-ii/2025-07-30-ec-rec/18" TargetMode="External" Id="rId2" /><Relationship Type="http://schemas.openxmlformats.org/officeDocument/2006/relationships/hyperlink" Target="https://knowledgehub.efrag.org/eng/interactive/vsme/vsme-standard-annex-i/2025-07-30-ec-rec/29" TargetMode="External" Id="rId3" /><Relationship Type="http://schemas.openxmlformats.org/officeDocument/2006/relationships/hyperlink" Target="https://knowledgehub.efrag.org/eng/interactive/vsme/vsme-guidance-annex-ii/2025-07-30-ec-rec/18" TargetMode="External" Id="rId4" /><Relationship Type="http://schemas.openxmlformats.org/officeDocument/2006/relationships/hyperlink" Target="https://knowledgehub.efrag.org/eng/interactive/vsme/vsme-standard-annex-i/2025-07-30-ec-rec/30" TargetMode="External" Id="rId5" /><Relationship Type="http://schemas.openxmlformats.org/officeDocument/2006/relationships/hyperlink" Target="https://knowledgehub.efrag.org/eng/interactive/vsme/vsme-standard-annex-i/2025-07-30-ec-rec/54/b" TargetMode="External" Id="rId6" /><Relationship Type="http://schemas.openxmlformats.org/officeDocument/2006/relationships/hyperlink" Target="https://knowledgehub.efrag.org/eng/interactive/vsme/vsme-standard-annex-i/2025-07-30-ec-rec/54/a" TargetMode="External" Id="rId7" /><Relationship Type="http://schemas.openxmlformats.org/officeDocument/2006/relationships/hyperlink" Target="https://knowledgehub.efrag.org/eng/interactive/vsme/vsme-standard-annex-i/2025-07-30-ec-rec/54/d" TargetMode="External" Id="rId8" /><Relationship Type="http://schemas.openxmlformats.org/officeDocument/2006/relationships/hyperlink" Target="https://knowledgehub.efrag.org/eng/interactive/vsme/vsme-guidance-annex-ii/2025-07-30-ec-rec/26" TargetMode="External" Id="rId9" /><Relationship Type="http://schemas.openxmlformats.org/officeDocument/2006/relationships/hyperlink" Target="https://knowledgehub.efrag.org/eng/interactive/vsme/vsme-guidance-annex-ii/2025-07-30-ec-rec/152" TargetMode="External" Id="rId10" /><Relationship Type="http://schemas.openxmlformats.org/officeDocument/2006/relationships/hyperlink" Target="https://knowledgehub.efrag.org/eng/interactive/vsme/vsme-guidance-annex-ii/2025-07-30-ec-rec/152" TargetMode="External" Id="rId11" /><Relationship Type="http://schemas.openxmlformats.org/officeDocument/2006/relationships/hyperlink" Target="https://knowledgehub.efrag.org/eng/interactive/vsme/vsme-guidance-annex-ii/2025-07-30-ec-rec/152" TargetMode="External" Id="rId12" /><Relationship Type="http://schemas.openxmlformats.org/officeDocument/2006/relationships/hyperlink" Target="https://knowledgehub.efrag.org/eng/interactive/vsme/vsme-standard-annex-i/2025-07-30-ec-rec/50" TargetMode="External" Id="rId13" /><Relationship Type="http://schemas.openxmlformats.org/officeDocument/2006/relationships/hyperlink" Target="https://knowledgehub.efrag.org/eng/interactive/vsme/vsme-standard-annex-i/2025-07-30-ec-rec/54/d" TargetMode="External" Id="rId14" /><Relationship Type="http://schemas.openxmlformats.org/officeDocument/2006/relationships/hyperlink" Target="https://knowledgehub.efrag.org/eng/interactive/vsme/vsme-guidance-annex-ii/2025-07-30-ec-rec/150" TargetMode="External" Id="rId15" /><Relationship Type="http://schemas.openxmlformats.org/officeDocument/2006/relationships/hyperlink" Target="https://knowledgehub.efrag.org/eng/interactive/vsme/vsme-standard-annex-i/2025-07-30-ec-rec/54/e" TargetMode="External" Id="rId16" /><Relationship Type="http://schemas.openxmlformats.org/officeDocument/2006/relationships/hyperlink" Target="https://knowledgehub.efrag.org/eng/interactive/vsme/vsme-guidance-annex-ii/2025-07-30-ec-rec/159" TargetMode="External" Id="rId17" /><Relationship Type="http://schemas.openxmlformats.org/officeDocument/2006/relationships/hyperlink" Target="https://www.efrag.org/en/vsme-supporting-guide-on-disclosure-c3-comprehensive-module-ghg-reduction-targets-and-climate" TargetMode="External" Id="rId18" /><Relationship Type="http://schemas.openxmlformats.org/officeDocument/2006/relationships/hyperlink" Target="https://knowledgehub.efrag.org/eng/interactive/vsme/vsme-standard-annex-i/2025-07-30-ec-rec/55" TargetMode="External" Id="rId19" /><Relationship Type="http://schemas.openxmlformats.org/officeDocument/2006/relationships/hyperlink" Target="https://knowledgehub.efrag.org/eng/interactive/vsme/vsme-guidance-annex-ii/2025-07-30-ec-rec/160" TargetMode="External" Id="rId20" /><Relationship Type="http://schemas.openxmlformats.org/officeDocument/2006/relationships/hyperlink" Target="https://knowledgehub.efrag.org/eng/interactive/vsme/vsme-standard-annex-i/2025-07-30-ec-rec/55" TargetMode="External" Id="rId21" /><Relationship Type="http://schemas.openxmlformats.org/officeDocument/2006/relationships/hyperlink" Target="https://knowledgehub.efrag.org/eng/interactive/vsme/vsme-guidance-annex-ii/2025-07-30-ec-rec/160" TargetMode="External" Id="rId22" /><Relationship Type="http://schemas.openxmlformats.org/officeDocument/2006/relationships/hyperlink" Target="https://knowledgehub.efrag.org/eng/interactive/vsme/vsme-standard-annex-i/2025-07-30-ec-rec/55" TargetMode="External" Id="rId23" /><Relationship Type="http://schemas.openxmlformats.org/officeDocument/2006/relationships/hyperlink" Target="https://knowledgehub.efrag.org/eng/interactive/vsme/vsme-guidance-annex-ii/2025-07-30-ec-rec/160" TargetMode="External" Id="rId24" /><Relationship Type="http://schemas.openxmlformats.org/officeDocument/2006/relationships/hyperlink" Target="https://knowledgehub.efrag.org/eng/interactive/vsme/vsme-standard-annex-i/2025-07-30-ec-rec/56" TargetMode="External" Id="rId25" /><Relationship Type="http://schemas.openxmlformats.org/officeDocument/2006/relationships/hyperlink" Target="https://knowledgehub.efrag.org/eng/interactive/vsme/vsme-guidance-annex-ii/2025-07-30-ec-rec/160" TargetMode="External" Id="rId26" /><Relationship Type="http://schemas.openxmlformats.org/officeDocument/2006/relationships/hyperlink" Target="https://knowledgehub.efrag.org/eng/interactive/vsme/vsme-standard-annex-i/2025-07-30-ec-rec/31" TargetMode="External" Id="rId27" /><Relationship Type="http://schemas.openxmlformats.org/officeDocument/2006/relationships/hyperlink" Target="https://knowledgehub.efrag.org/eng/interactive/vsme/vsme-standard-annex-i/2025-07-30-ec-rec/b4-pollution-of-air-water-and-soil" TargetMode="External" Id="rId28" /><Relationship Type="http://schemas.openxmlformats.org/officeDocument/2006/relationships/hyperlink" Target="https://knowledgehub.efrag.org/eng/interactive/vsme/vsme-guidance-annex-ii/2025-07-30-ec-rec/46" TargetMode="External" Id="rId29" /><Relationship Type="http://schemas.openxmlformats.org/officeDocument/2006/relationships/hyperlink" Target="https://knowledgehub.efrag.org/eng/interactive/vsme/vsme-standard-annex-i/2025-07-30-ec-rec/33" TargetMode="External" Id="rId30" /><Relationship Type="http://schemas.openxmlformats.org/officeDocument/2006/relationships/hyperlink" Target="https://knowledgehub.efrag.org/eng/interactive/vsme/vsme-guidance-annex-ii/2025-07-30-ec-rec/70" TargetMode="External" Id="rId31" /><Relationship Type="http://schemas.openxmlformats.org/officeDocument/2006/relationships/hyperlink" Target="https://knowledgehub.efrag.org/eng/interactive/vsme/vsme-standard-annex-i/2025-07-30-ec-rec/34" TargetMode="External" Id="rId32" /><Relationship Type="http://schemas.openxmlformats.org/officeDocument/2006/relationships/hyperlink" Target="https://knowledgehub.efrag.org/eng/interactive/vsme/vsme-guidance-annex-ii/2025-07-30-ec-rec/74" TargetMode="External" Id="rId33" /><Relationship Type="http://schemas.openxmlformats.org/officeDocument/2006/relationships/hyperlink" Target="https://knowledgehub.efrag.org/eng/interactive/vsme/vsme-standard-annex-i/2025-07-30-ec-rec/35" TargetMode="External" Id="rId34" /><Relationship Type="http://schemas.openxmlformats.org/officeDocument/2006/relationships/hyperlink" Target="https://knowledgehub.efrag.org/eng/interactive/vsme/vsme-guidance-annex-ii/2025-07-30-ec-rec/77" TargetMode="External" Id="rId35" /><Relationship Type="http://schemas.openxmlformats.org/officeDocument/2006/relationships/hyperlink" Target="https://knowledgehub.efrag.org/eng/interactive/vsme/vsme-standard-annex-i/2025-07-30-ec-rec/36" TargetMode="External" Id="rId36" /><Relationship Type="http://schemas.openxmlformats.org/officeDocument/2006/relationships/hyperlink" Target="https://knowledgehub.efrag.org/eng/interactive/vsme/vsme-guidance-annex-ii/2025-07-30-ec-rec/77" TargetMode="External" Id="rId37" /><Relationship Type="http://schemas.openxmlformats.org/officeDocument/2006/relationships/hyperlink" Target="https://knowledgehub.efrag.org/eng/interactive/vsme/vsme-standard-annex-i/2025-07-30-ec-rec/37" TargetMode="External" Id="rId38" /><Relationship Type="http://schemas.openxmlformats.org/officeDocument/2006/relationships/hyperlink" Target="https://knowledgehub.efrag.org/eng/interactive/vsme/vsme-guidance-annex-ii/2025-07-30-ec-rec/94" TargetMode="External" Id="rId39" /><Relationship Type="http://schemas.openxmlformats.org/officeDocument/2006/relationships/hyperlink" Target="https://knowledgehub.efrag.org/eng/interactive/vsme/vsme-standard-annex-i/2025-07-30-ec-rec/38/a" TargetMode="External" Id="rId40" /><Relationship Type="http://schemas.openxmlformats.org/officeDocument/2006/relationships/hyperlink" Target="https://knowledgehub.efrag.org/eng/interactive/vsme/vsme-guidance-annex-ii/2025-07-30-ec-rec/95" TargetMode="External" Id="rId41" /><Relationship Type="http://schemas.openxmlformats.org/officeDocument/2006/relationships/hyperlink" Target="https://knowledgehub.efrag.org/eng/interactive/vsme/vsme-standard-annex-i/2025-07-30-ec-rec/38/c" TargetMode="External" Id="rId42" /><Relationship Type="http://schemas.openxmlformats.org/officeDocument/2006/relationships/hyperlink" Target="https://knowledgehub.efrag.org/eng/interactive/vsme/vsme-guidance-annex-ii/2025-07-30-ec-rec/108" TargetMode="External" Id="rId43" /><Relationship Type="http://schemas.openxmlformats.org/officeDocument/2006/relationships/hyperlink" Target="https://knowledgehub.efrag.org/eng/interactive/vsme/vsme-standard-annex-i/2025-07-30-ec-rec/57/a" TargetMode="External" Id="rId44" /><Relationship Type="http://schemas.openxmlformats.org/officeDocument/2006/relationships/hyperlink" Target="https://knowledgehub.efrag.org/eng/interactive/vsme/vsme-guidance-annex-ii/2025-07-30-ec-rec/164" TargetMode="External" Id="rId45" /><Relationship Type="http://schemas.openxmlformats.org/officeDocument/2006/relationships/hyperlink" Target="https://knowledgehub.efrag.org/eng/interactive/vsme/vsme-standard-annex-i/2025-07-30-ec-rec/57/b" TargetMode="External" Id="rId46" /><Relationship Type="http://schemas.openxmlformats.org/officeDocument/2006/relationships/hyperlink" Target="https://knowledgehub.efrag.org/eng/interactive/vsme/vsme-guidance-annex-ii/2025-07-30-ec-rec/164" TargetMode="External" Id="rId47" /><Relationship Type="http://schemas.openxmlformats.org/officeDocument/2006/relationships/hyperlink" Target="https://knowledgehub.efrag.org/eng/interactive/vsme/vsme-standard-annex-i/2025-07-30-ec-rec/57/c" TargetMode="External" Id="rId48" /><Relationship Type="http://schemas.openxmlformats.org/officeDocument/2006/relationships/hyperlink" Target="https://knowledgehub.efrag.org/eng/interactive/vsme/vsme-guidance-annex-ii/2025-07-30-ec-rec/164" TargetMode="External" Id="rId49" /><Relationship Type="http://schemas.openxmlformats.org/officeDocument/2006/relationships/hyperlink" Target="https://knowledgehub.efrag.org/eng/interactive/vsme/vsme-standard-annex-i/2025-07-30-ec-rec/57/d" TargetMode="External" Id="rId50" /><Relationship Type="http://schemas.openxmlformats.org/officeDocument/2006/relationships/hyperlink" Target="https://knowledgehub.efrag.org/eng/interactive/vsme/vsme-guidance-annex-ii/2025-07-30-ec-rec/164" TargetMode="External" Id="rId51" /><Relationship Type="http://schemas.openxmlformats.org/officeDocument/2006/relationships/hyperlink" Target="https://knowledgehub.efrag.org/eng/interactive/vsme/vsme-standard-annex-i/2025-07-30-ec-rec/58" TargetMode="External" Id="rId52" /><Relationship Type="http://schemas.openxmlformats.org/officeDocument/2006/relationships/hyperlink" Target="https://knowledgehub.efrag.org/eng/interactive/vsme/vsme-guidance-annex-ii/2025-07-30-ec-rec/164" TargetMode="External" Id="rId53" /><Relationship Type="http://schemas.openxmlformats.org/officeDocument/2006/relationships/hyperlink" Target="https://knowledgehub.efrag.org/eng/interactive/vsme/vsme-standard-annex-i/2025-07-30-ec-rec/10" TargetMode="External" Id="rId54" /></Relationships>
</file>

<file path=xl/worksheets/_rels/sheet5.xml.rels><Relationships xmlns="http://schemas.openxmlformats.org/package/2006/relationships"><Relationship Type="http://schemas.openxmlformats.org/officeDocument/2006/relationships/hyperlink" Target="https://knowledgehub.efrag.org/eng/interactive/vsme/vsme-standard-annex-i/2025-07-30-ec-rec/39/a" TargetMode="External" Id="rId1" /><Relationship Type="http://schemas.openxmlformats.org/officeDocument/2006/relationships/hyperlink" Target="https://knowledgehub.efrag.org/eng/interactive/vsme/vsme-guidance-annex-ii/2025-07-30-ec-rec/110" TargetMode="External" Id="rId2" /><Relationship Type="http://schemas.openxmlformats.org/officeDocument/2006/relationships/hyperlink" Target="https://knowledgehub.efrag.org/eng/interactive/vsme/vsme-standard-annex-i/2025-07-30-ec-rec/39/b" TargetMode="External" Id="rId3" /><Relationship Type="http://schemas.openxmlformats.org/officeDocument/2006/relationships/hyperlink" Target="https://knowledgehub.efrag.org/eng/interactive/vsme/vsme-guidance-annex-ii/2025-07-30-ec-rec/110" TargetMode="External" Id="rId4" /><Relationship Type="http://schemas.openxmlformats.org/officeDocument/2006/relationships/hyperlink" Target="https://knowledgehub.efrag.org/eng/interactive/vsme/vsme-standard-annex-i/2025-07-30-ec-rec/39/c" TargetMode="External" Id="rId5" /><Relationship Type="http://schemas.openxmlformats.org/officeDocument/2006/relationships/hyperlink" Target="https://knowledgehub.efrag.org/eng/interactive/vsme/vsme-guidance-annex-ii/2025-07-30-ec-rec/110" TargetMode="External" Id="rId6" /><Relationship Type="http://schemas.openxmlformats.org/officeDocument/2006/relationships/hyperlink" Target="https://knowledgehub.efrag.org/eng/interactive/vsme/vsme-standard-annex-i/2025-07-30-ec-rec/40" TargetMode="External" Id="rId7" /><Relationship Type="http://schemas.openxmlformats.org/officeDocument/2006/relationships/hyperlink" Target="https://knowledgehub.efrag.org/eng/interactive/vsme/vsme-guidance-annex-ii/2025-07-30-ec-rec/118" TargetMode="External" Id="rId8" /><Relationship Type="http://schemas.openxmlformats.org/officeDocument/2006/relationships/hyperlink" Target="https://knowledgehub.efrag.org/eng/interactive/vsme/vsme-standard-annex-i/2025-07-30-ec-rec/41/a" TargetMode="External" Id="rId9" /><Relationship Type="http://schemas.openxmlformats.org/officeDocument/2006/relationships/hyperlink" Target="https://knowledgehub.efrag.org/eng/interactive/vsme/vsme-guidance-annex-ii/2025-07-30-ec-rec/119" TargetMode="External" Id="rId10" /><Relationship Type="http://schemas.openxmlformats.org/officeDocument/2006/relationships/hyperlink" Target="https://knowledgehub.efrag.org/eng/interactive/vsme/vsme-standard-annex-i/2025-07-30-ec-rec/41/a" TargetMode="External" Id="rId11" /><Relationship Type="http://schemas.openxmlformats.org/officeDocument/2006/relationships/hyperlink" Target="https://knowledgehub.efrag.org/eng/interactive/vsme/vsme-guidance-annex-ii/2025-07-30-ec-rec/119" TargetMode="External" Id="rId12" /><Relationship Type="http://schemas.openxmlformats.org/officeDocument/2006/relationships/hyperlink" Target="https://knowledgehub.efrag.org/eng/interactive/vsme/vsme-standard-annex-i/2025-07-30-ec-rec/41/a" TargetMode="External" Id="rId13" /><Relationship Type="http://schemas.openxmlformats.org/officeDocument/2006/relationships/hyperlink" Target="https://knowledgehub.efrag.org/eng/interactive/vsme/vsme-guidance-annex-ii/2025-07-30-ec-rec/119" TargetMode="External" Id="rId14" /><Relationship Type="http://schemas.openxmlformats.org/officeDocument/2006/relationships/hyperlink" Target="https://knowledgehub.efrag.org/eng/interactive/vsme/vsme-standard-annex-i/2025-07-30-ec-rec/41/a" TargetMode="External" Id="rId15" /><Relationship Type="http://schemas.openxmlformats.org/officeDocument/2006/relationships/hyperlink" Target="https://knowledgehub.efrag.org/eng/interactive/vsme/vsme-guidance-annex-ii/2025-07-30-ec-rec/119" TargetMode="External" Id="rId16" /><Relationship Type="http://schemas.openxmlformats.org/officeDocument/2006/relationships/hyperlink" Target="https://knowledgehub.efrag.org/eng/interactive/vsme/vsme-standard-annex-i/2025-07-30-ec-rec/41/b" TargetMode="External" Id="rId17" /><Relationship Type="http://schemas.openxmlformats.org/officeDocument/2006/relationships/hyperlink" Target="https://knowledgehub.efrag.org/eng/interactive/vsme/vsme-guidance-annex-ii/2025-07-30-ec-rec/119" TargetMode="External" Id="rId18" /><Relationship Type="http://schemas.openxmlformats.org/officeDocument/2006/relationships/hyperlink" Target="https://knowledgehub.efrag.org/eng/interactive/vsme/vsme-standard-annex-i/2025-07-30-ec-rec/42/a" TargetMode="External" Id="rId19" /><Relationship Type="http://schemas.openxmlformats.org/officeDocument/2006/relationships/hyperlink" Target="https://knowledgehub.efrag.org/eng/interactive/vsme/vsme-guidance-annex-ii/2025-07-30-ec-rec/127" TargetMode="External" Id="rId20" /><Relationship Type="http://schemas.openxmlformats.org/officeDocument/2006/relationships/hyperlink" Target="https://knowledgehub.efrag.org/eng/interactive/vsme/vsme-standard-annex-i/2025-07-30-ec-rec/42/b" TargetMode="External" Id="rId21" /><Relationship Type="http://schemas.openxmlformats.org/officeDocument/2006/relationships/hyperlink" Target="https://knowledgehub.efrag.org/eng/interactive/vsme/vsme-guidance-annex-ii/2025-07-30-ec-rec/129" TargetMode="External" Id="rId22" /><Relationship Type="http://schemas.openxmlformats.org/officeDocument/2006/relationships/hyperlink" Target="https://knowledgehub.efrag.org/eng/interactive/vsme/vsme-standard-annex-i/2025-07-30-ec-rec/42/b" TargetMode="External" Id="rId23" /><Relationship Type="http://schemas.openxmlformats.org/officeDocument/2006/relationships/hyperlink" Target="https://knowledgehub.efrag.org/eng/interactive/vsme/vsme-guidance-annex-ii/2025-07-30-ec-rec/129" TargetMode="External" Id="rId24" /><Relationship Type="http://schemas.openxmlformats.org/officeDocument/2006/relationships/hyperlink" Target="https://knowledgehub.efrag.org/eng/interactive/vsme/vsme-standard-annex-i/2025-07-30-ec-rec/42/b" TargetMode="External" Id="rId25" /><Relationship Type="http://schemas.openxmlformats.org/officeDocument/2006/relationships/hyperlink" Target="https://knowledgehub.efrag.org/eng/interactive/vsme/vsme-guidance-annex-ii/2025-07-30-ec-rec/129" TargetMode="External" Id="rId26" /><Relationship Type="http://schemas.openxmlformats.org/officeDocument/2006/relationships/hyperlink" Target="https://knowledgehub.efrag.org/eng/interactive/vsme/vsme-standard-annex-i/2025-07-30-ec-rec/42/c" TargetMode="External" Id="rId27" /><Relationship Type="http://schemas.openxmlformats.org/officeDocument/2006/relationships/hyperlink" Target="https://knowledgehub.efrag.org/eng/interactive/vsme/vsme-guidance-annex-ii/2025-07-30-ec-rec/137" TargetMode="External" Id="rId28" /><Relationship Type="http://schemas.openxmlformats.org/officeDocument/2006/relationships/hyperlink" Target="https://knowledgehub.efrag.org/eng/interactive/vsme/vsme-standard-annex-i/2025-07-30-ec-rec/42/d" TargetMode="External" Id="rId29" /><Relationship Type="http://schemas.openxmlformats.org/officeDocument/2006/relationships/hyperlink" Target="https://knowledgehub.efrag.org/eng/interactive/vsme/vsme-standard-annex-i/2025-07-30-ec-rec/59" TargetMode="External" Id="rId30" /><Relationship Type="http://schemas.openxmlformats.org/officeDocument/2006/relationships/hyperlink" Target="https://knowledgehub.efrag.org/eng/interactive/vsme/vsme-guidance-annex-ii/2025-07-30-ec-rec/167" TargetMode="External" Id="rId31" /><Relationship Type="http://schemas.openxmlformats.org/officeDocument/2006/relationships/hyperlink" Target="https://knowledgehub.efrag.org/eng/interactive/vsme/vsme-standard-annex-i/2025-07-30-ec-rec/59" TargetMode="External" Id="rId32" /><Relationship Type="http://schemas.openxmlformats.org/officeDocument/2006/relationships/hyperlink" Target="https://knowledgehub.efrag.org/eng/interactive/vsme/vsme-guidance-annex-ii/2025-07-30-ec-rec/167" TargetMode="External" Id="rId33" /><Relationship Type="http://schemas.openxmlformats.org/officeDocument/2006/relationships/hyperlink" Target="https://knowledgehub.efrag.org/eng/interactive/vsme/vsme-standard-annex-i/2025-07-30-ec-rec/59" TargetMode="External" Id="rId34" /><Relationship Type="http://schemas.openxmlformats.org/officeDocument/2006/relationships/hyperlink" Target="https://knowledgehub.efrag.org/eng/interactive/vsme/vsme-guidance-annex-ii/2025-07-30-ec-rec/167" TargetMode="External" Id="rId35" /><Relationship Type="http://schemas.openxmlformats.org/officeDocument/2006/relationships/hyperlink" Target="https://knowledgehub.efrag.org/eng/interactive/vsme/vsme-standard-annex-i/2025-07-30-ec-rec/60" TargetMode="External" Id="rId36" /><Relationship Type="http://schemas.openxmlformats.org/officeDocument/2006/relationships/hyperlink" Target="https://knowledgehub.efrag.org/eng/interactive/vsme/vsme-guidance-annex-ii/2025-07-30-ec-rec/170" TargetMode="External" Id="rId37" /><Relationship Type="http://schemas.openxmlformats.org/officeDocument/2006/relationships/hyperlink" Target="https://knowledgehub.efrag.org/eng/interactive/vsme/vsme-standard-annex-i/2025-07-30-ec-rec/60" TargetMode="External" Id="rId38" /><Relationship Type="http://schemas.openxmlformats.org/officeDocument/2006/relationships/hyperlink" Target="https://knowledgehub.efrag.org/eng/interactive/vsme/vsme-guidance-annex-ii/2025-07-30-ec-rec/170" TargetMode="External" Id="rId39" /><Relationship Type="http://schemas.openxmlformats.org/officeDocument/2006/relationships/hyperlink" Target="https://knowledgehub.efrag.org/eng/interactive/vsme/vsme-standard-annex-i/2025-07-30-ec-rec/61/a" TargetMode="External" Id="rId40" /><Relationship Type="http://schemas.openxmlformats.org/officeDocument/2006/relationships/hyperlink" Target="https://knowledgehub.efrag.org/eng/interactive/vsme/vsme-guidance-annex-ii/2025-07-30-ec-rec/173" TargetMode="External" Id="rId41" /><Relationship Type="http://schemas.openxmlformats.org/officeDocument/2006/relationships/hyperlink" Target="https://knowledgehub.efrag.org/eng/interactive/vsme/vsme-standard-annex-i/2025-07-30-ec-rec/61/b" TargetMode="External" Id="rId42" /><Relationship Type="http://schemas.openxmlformats.org/officeDocument/2006/relationships/hyperlink" Target="https://knowledgehub.efrag.org/eng/interactive/vsme/vsme-guidance-annex-ii/2025-07-30-ec-rec/173" TargetMode="External" Id="rId43" /><Relationship Type="http://schemas.openxmlformats.org/officeDocument/2006/relationships/hyperlink" Target="https://knowledgehub.efrag.org/eng/interactive/vsme/vsme-standard-annex-i/2025-07-30-ec-rec/61/b" TargetMode="External" Id="rId44" /><Relationship Type="http://schemas.openxmlformats.org/officeDocument/2006/relationships/hyperlink" Target="https://knowledgehub.efrag.org/eng/interactive/vsme/vsme-guidance-annex-ii/2025-07-30-ec-rec/173" TargetMode="External" Id="rId45" /><Relationship Type="http://schemas.openxmlformats.org/officeDocument/2006/relationships/hyperlink" Target="https://knowledgehub.efrag.org/eng/interactive/vsme/vsme-standard-annex-i/2025-07-30-ec-rec/61/b" TargetMode="External" Id="rId46" /><Relationship Type="http://schemas.openxmlformats.org/officeDocument/2006/relationships/hyperlink" Target="https://knowledgehub.efrag.org/eng/interactive/vsme/vsme-guidance-annex-ii/2025-07-30-ec-rec/173" TargetMode="External" Id="rId47" /><Relationship Type="http://schemas.openxmlformats.org/officeDocument/2006/relationships/hyperlink" Target="https://knowledgehub.efrag.org/eng/interactive/vsme/vsme-standard-annex-i/2025-07-30-ec-rec/61/b" TargetMode="External" Id="rId48" /><Relationship Type="http://schemas.openxmlformats.org/officeDocument/2006/relationships/hyperlink" Target="https://knowledgehub.efrag.org/eng/interactive/vsme/vsme-guidance-annex-ii/2025-07-30-ec-rec/173" TargetMode="External" Id="rId49" /><Relationship Type="http://schemas.openxmlformats.org/officeDocument/2006/relationships/hyperlink" Target="https://knowledgehub.efrag.org/eng/interactive/vsme/vsme-standard-annex-i/2025-07-30-ec-rec/61/b" TargetMode="External" Id="rId50" /><Relationship Type="http://schemas.openxmlformats.org/officeDocument/2006/relationships/hyperlink" Target="https://knowledgehub.efrag.org/eng/interactive/vsme/vsme-guidance-annex-ii/2025-07-30-ec-rec/173" TargetMode="External" Id="rId51" /><Relationship Type="http://schemas.openxmlformats.org/officeDocument/2006/relationships/hyperlink" Target="https://knowledgehub.efrag.org/eng/interactive/vsme/vsme-standard-annex-i/2025-07-30-ec-rec/61/b" TargetMode="External" Id="rId52" /><Relationship Type="http://schemas.openxmlformats.org/officeDocument/2006/relationships/hyperlink" Target="https://knowledgehub.efrag.org/eng/interactive/vsme/vsme-guidance-annex-ii/2025-07-30-ec-rec/173" TargetMode="External" Id="rId53" /><Relationship Type="http://schemas.openxmlformats.org/officeDocument/2006/relationships/hyperlink" Target="https://knowledgehub.efrag.org/eng/interactive/vsme/vsme-standard-annex-i/2025-07-30-ec-rec/61/b" TargetMode="External" Id="rId54" /><Relationship Type="http://schemas.openxmlformats.org/officeDocument/2006/relationships/hyperlink" Target="https://knowledgehub.efrag.org/eng/interactive/vsme/vsme-guidance-annex-ii/2025-07-30-ec-rec/173" TargetMode="External" Id="rId55" /><Relationship Type="http://schemas.openxmlformats.org/officeDocument/2006/relationships/hyperlink" Target="https://knowledgehub.efrag.org/eng/interactive/vsme/vsme-standard-annex-i/2025-07-30-ec-rec/61/b" TargetMode="External" Id="rId56" /><Relationship Type="http://schemas.openxmlformats.org/officeDocument/2006/relationships/hyperlink" Target="https://knowledgehub.efrag.org/eng/interactive/vsme/vsme-guidance-annex-ii/2025-07-30-ec-rec/173" TargetMode="External" Id="rId57" /><Relationship Type="http://schemas.openxmlformats.org/officeDocument/2006/relationships/hyperlink" Target="https://knowledgehub.efrag.org/eng/interactive/vsme/vsme-standard-annex-i/2025-07-30-ec-rec/61/c" TargetMode="External" Id="rId58" /><Relationship Type="http://schemas.openxmlformats.org/officeDocument/2006/relationships/hyperlink" Target="https://knowledgehub.efrag.org/eng/interactive/vsme/vsme-guidance-annex-ii/2025-07-30-ec-rec/173" TargetMode="External" Id="rId59" /><Relationship Type="http://schemas.openxmlformats.org/officeDocument/2006/relationships/hyperlink" Target="https://www.efrag.org/en/vsme-supporting-guide-to-disclosure-c7-comprehensive-module-severe-negative-human-rights-incidents" TargetMode="External" Id="rId60" /><Relationship Type="http://schemas.openxmlformats.org/officeDocument/2006/relationships/hyperlink" Target="https://knowledgehub.efrag.org/eng/interactive/vsme/vsme-standard-annex-i/2025-07-30-ec-rec/62" TargetMode="External" Id="rId61" /><Relationship Type="http://schemas.openxmlformats.org/officeDocument/2006/relationships/hyperlink" Target="https://knowledgehub.efrag.org/eng/interactive/vsme/vsme-guidance-annex-ii/2025-07-30-ec-rec/174" TargetMode="External" Id="rId62" /><Relationship Type="http://schemas.openxmlformats.org/officeDocument/2006/relationships/hyperlink" Target="https://knowledgehub.efrag.org/eng/interactive/vsme/vsme-standard-annex-i/2025-07-30-ec-rec/62/a" TargetMode="External" Id="rId63" /><Relationship Type="http://schemas.openxmlformats.org/officeDocument/2006/relationships/hyperlink" Target="https://knowledgehub.efrag.org/eng/interactive/vsme/vsme-guidance-annex-ii/2025-07-30-ec-rec/174" TargetMode="External" Id="rId64" /><Relationship Type="http://schemas.openxmlformats.org/officeDocument/2006/relationships/hyperlink" Target="https://knowledgehub.efrag.org/eng/interactive/vsme/vsme-standard-annex-i/2025-07-30-ec-rec/62/a" TargetMode="External" Id="rId65" /><Relationship Type="http://schemas.openxmlformats.org/officeDocument/2006/relationships/hyperlink" Target="https://knowledgehub.efrag.org/eng/interactive/vsme/vsme-guidance-annex-ii/2025-07-30-ec-rec/174" TargetMode="External" Id="rId66" /><Relationship Type="http://schemas.openxmlformats.org/officeDocument/2006/relationships/hyperlink" Target="https://knowledgehub.efrag.org/eng/interactive/vsme/vsme-standard-annex-i/2025-07-30-ec-rec/62/a" TargetMode="External" Id="rId67" /><Relationship Type="http://schemas.openxmlformats.org/officeDocument/2006/relationships/hyperlink" Target="https://knowledgehub.efrag.org/eng/interactive/vsme/vsme-guidance-annex-ii/2025-07-30-ec-rec/174" TargetMode="External" Id="rId68" /><Relationship Type="http://schemas.openxmlformats.org/officeDocument/2006/relationships/hyperlink" Target="https://knowledgehub.efrag.org/eng/interactive/vsme/vsme-standard-annex-i/2025-07-30-ec-rec/62/a" TargetMode="External" Id="rId69" /><Relationship Type="http://schemas.openxmlformats.org/officeDocument/2006/relationships/hyperlink" Target="https://knowledgehub.efrag.org/eng/interactive/vsme/vsme-guidance-annex-ii/2025-07-30-ec-rec/174" TargetMode="External" Id="rId70" /><Relationship Type="http://schemas.openxmlformats.org/officeDocument/2006/relationships/hyperlink" Target="https://knowledgehub.efrag.org/eng/interactive/vsme/vsme-standard-annex-i/2025-07-30-ec-rec/62/a" TargetMode="External" Id="rId71" /><Relationship Type="http://schemas.openxmlformats.org/officeDocument/2006/relationships/hyperlink" Target="https://knowledgehub.efrag.org/eng/interactive/vsme/vsme-guidance-annex-ii/2025-07-30-ec-rec/174" TargetMode="External" Id="rId72" /><Relationship Type="http://schemas.openxmlformats.org/officeDocument/2006/relationships/hyperlink" Target="https://knowledgehub.efrag.org/eng/interactive/vsme/vsme-standard-annex-i/2025-07-30-ec-rec/62/a" TargetMode="External" Id="rId73" /><Relationship Type="http://schemas.openxmlformats.org/officeDocument/2006/relationships/hyperlink" Target="https://knowledgehub.efrag.org/eng/interactive/vsme/vsme-guidance-annex-ii/2025-07-30-ec-rec/174" TargetMode="External" Id="rId74" /><Relationship Type="http://schemas.openxmlformats.org/officeDocument/2006/relationships/hyperlink" Target="https://knowledgehub.efrag.org/eng/interactive/vsme/vsme-standard-annex-i/2025-07-30-ec-rec/62/a" TargetMode="External" Id="rId75" /><Relationship Type="http://schemas.openxmlformats.org/officeDocument/2006/relationships/hyperlink" Target="https://knowledgehub.efrag.org/eng/interactive/vsme/vsme-guidance-annex-ii/2025-07-30-ec-rec/174" TargetMode="External" Id="rId76" /><Relationship Type="http://schemas.openxmlformats.org/officeDocument/2006/relationships/hyperlink" Target="https://knowledgehub.efrag.org/eng/interactive/vsme/vsme-standard-annex-i/2025-07-30-ec-rec/62/b" TargetMode="External" Id="rId77" /><Relationship Type="http://schemas.openxmlformats.org/officeDocument/2006/relationships/hyperlink" Target="https://knowledgehub.efrag.org/eng/interactive/vsme/vsme-guidance-annex-ii/2025-07-30-ec-rec/174" TargetMode="External" Id="rId78" /><Relationship Type="http://schemas.openxmlformats.org/officeDocument/2006/relationships/hyperlink" Target="https://knowledgehub.efrag.org/eng/interactive/vsme/vsme-standard-annex-i/2025-07-30-ec-rec/62/c" TargetMode="External" Id="rId79" /><Relationship Type="http://schemas.openxmlformats.org/officeDocument/2006/relationships/hyperlink" Target="https://knowledgehub.efrag.org/eng/interactive/vsme/vsme-guidance-annex-ii/2025-07-30-ec-rec/174" TargetMode="External" Id="rId80" /><Relationship Type="http://schemas.openxmlformats.org/officeDocument/2006/relationships/hyperlink" Target="https://knowledgehub.efrag.org/eng/interactive/vsme/vsme-standard-annex-i/2025-07-30-ec-rec/62/c" TargetMode="External" Id="rId81" /><Relationship Type="http://schemas.openxmlformats.org/officeDocument/2006/relationships/hyperlink" Target="https://knowledgehub.efrag.org/eng/interactive/vsme/vsme-guidance-annex-ii/2025-07-30-ec-rec/174" TargetMode="External" Id="rId82" /><Relationship Type="http://schemas.openxmlformats.org/officeDocument/2006/relationships/hyperlink" Target="https://knowledgehub.efrag.org/eng/interactive/vsme/vsme-standard-annex-i/2025-07-30-ec-rec/10" TargetMode="External" Id="rId83" /></Relationships>
</file>

<file path=xl/worksheets/_rels/sheet6.xml.rels><Relationships xmlns="http://schemas.openxmlformats.org/package/2006/relationships"><Relationship Type="http://schemas.openxmlformats.org/officeDocument/2006/relationships/hyperlink" Target="https://knowledgehub.efrag.org/eng/interactive/vsme/vsme-standard-annex-i/2025-07-30-ec-rec/43" TargetMode="External" Id="rId1" /><Relationship Type="http://schemas.openxmlformats.org/officeDocument/2006/relationships/hyperlink" Target="https://knowledgehub.efrag.org/eng/interactive/vsme/vsme-guidance-annex-ii/2025-07-30-ec-rec/141" TargetMode="External" Id="rId2" /><Relationship Type="http://schemas.openxmlformats.org/officeDocument/2006/relationships/hyperlink" Target="https://knowledgehub.efrag.org/eng/interactive/vsme/vsme-standard-annex-i/2025-07-30-ec-rec/63/a" TargetMode="External" Id="rId3" /><Relationship Type="http://schemas.openxmlformats.org/officeDocument/2006/relationships/hyperlink" Target="https://knowledgehub.efrag.org/eng/interactive/vsme/vsme-guidance-annex-ii/2025-07-30-ec-rec/175" TargetMode="External" Id="rId4" /><Relationship Type="http://schemas.openxmlformats.org/officeDocument/2006/relationships/hyperlink" Target="https://knowledgehub.efrag.org/eng/interactive/vsme/vsme-standard-annex-i/2025-07-30-ec-rec/63/b" TargetMode="External" Id="rId5" /><Relationship Type="http://schemas.openxmlformats.org/officeDocument/2006/relationships/hyperlink" Target="https://knowledgehub.efrag.org/eng/interactive/vsme/vsme-guidance-annex-ii/2025-07-30-ec-rec/175" TargetMode="External" Id="rId6" /><Relationship Type="http://schemas.openxmlformats.org/officeDocument/2006/relationships/hyperlink" Target="https://knowledgehub.efrag.org/eng/interactive/vsme/vsme-standard-annex-i/2025-07-30-ec-rec/63/c" TargetMode="External" Id="rId7" /><Relationship Type="http://schemas.openxmlformats.org/officeDocument/2006/relationships/hyperlink" Target="https://knowledgehub.efrag.org/eng/interactive/vsme/vsme-guidance-annex-ii/2025-07-30-ec-rec/175" TargetMode="External" Id="rId8" /><Relationship Type="http://schemas.openxmlformats.org/officeDocument/2006/relationships/hyperlink" Target="https://knowledgehub.efrag.org/eng/interactive/vsme/vsme-standard-annex-i/2025-07-30-ec-rec/63/c" TargetMode="External" Id="rId9" /><Relationship Type="http://schemas.openxmlformats.org/officeDocument/2006/relationships/hyperlink" Target="https://knowledgehub.efrag.org/eng/interactive/vsme/vsme-guidance-annex-ii/2025-07-30-ec-rec/175" TargetMode="External" Id="rId10" /><Relationship Type="http://schemas.openxmlformats.org/officeDocument/2006/relationships/hyperlink" Target="https://knowledgehub.efrag.org/eng/interactive/vsme/vsme-standard-annex-i/2025-07-30-ec-rec/63/c" TargetMode="External" Id="rId11" /><Relationship Type="http://schemas.openxmlformats.org/officeDocument/2006/relationships/hyperlink" Target="https://knowledgehub.efrag.org/eng/interactive/vsme/vsme-guidance-annex-ii/2025-07-30-ec-rec/175" TargetMode="External" Id="rId12" /><Relationship Type="http://schemas.openxmlformats.org/officeDocument/2006/relationships/hyperlink" Target="https://knowledgehub.efrag.org/eng/interactive/vsme/vsme-standard-annex-i/2025-07-30-ec-rec/63/c" TargetMode="External" Id="rId13" /><Relationship Type="http://schemas.openxmlformats.org/officeDocument/2006/relationships/hyperlink" Target="https://knowledgehub.efrag.org/eng/interactive/vsme/vsme-guidance-annex-ii/2025-07-30-ec-rec/175" TargetMode="External" Id="rId14" /><Relationship Type="http://schemas.openxmlformats.org/officeDocument/2006/relationships/hyperlink" Target="https://knowledgehub.efrag.org/eng/interactive/vsme/vsme-standard-annex-i/2025-07-30-ec-rec/63/d" TargetMode="External" Id="rId15" /><Relationship Type="http://schemas.openxmlformats.org/officeDocument/2006/relationships/hyperlink" Target="https://knowledgehub.efrag.org/eng/interactive/vsme/vsme-guidance-annex-ii/2025-07-30-ec-rec/175" TargetMode="External" Id="rId16" /><Relationship Type="http://schemas.openxmlformats.org/officeDocument/2006/relationships/hyperlink" Target="https://knowledgehub.efrag.org/eng/interactive/vsme/vsme-standard-annex-i/2025-07-30-ec-rec/64" TargetMode="External" Id="rId17" /><Relationship Type="http://schemas.openxmlformats.org/officeDocument/2006/relationships/hyperlink" Target="https://knowledgehub.efrag.org/eng/interactive/vsme/vsme-guidance-annex-ii/2025-07-30-ec-rec/177/a" TargetMode="External" Id="rId18" /><Relationship Type="http://schemas.openxmlformats.org/officeDocument/2006/relationships/hyperlink" Target="https://knowledgehub.efrag.org/eng/interactive/vsme/vsme-standard-annex-i/2025-07-30-ec-rec/64" TargetMode="External" Id="rId19" /><Relationship Type="http://schemas.openxmlformats.org/officeDocument/2006/relationships/hyperlink" Target="https://knowledgehub.efrag.org/eng/interactive/vsme/vsme-guidance-annex-ii/2025-07-30-ec-rec/177/b" TargetMode="External" Id="rId20" /><Relationship Type="http://schemas.openxmlformats.org/officeDocument/2006/relationships/hyperlink" Target="https://knowledgehub.efrag.org/eng/interactive/vsme/vsme-standard-annex-i/2025-07-30-ec-rec/64" TargetMode="External" Id="rId21" /><Relationship Type="http://schemas.openxmlformats.org/officeDocument/2006/relationships/hyperlink" Target="https://knowledgehub.efrag.org/eng/interactive/vsme/vsme-guidance-annex-ii/2025-07-30-ec-rec/177/c" TargetMode="External" Id="rId22" /><Relationship Type="http://schemas.openxmlformats.org/officeDocument/2006/relationships/hyperlink" Target="https://knowledgehub.efrag.org/eng/interactive/vsme/vsme-standard-annex-i/2025-07-30-ec-rec/64" TargetMode="External" Id="rId23" /><Relationship Type="http://schemas.openxmlformats.org/officeDocument/2006/relationships/hyperlink" Target="https://knowledgehub.efrag.org/eng/interactive/vsme/vsme-guidance-annex-ii/2025-07-30-ec-rec/177/d" TargetMode="External" Id="rId24" /><Relationship Type="http://schemas.openxmlformats.org/officeDocument/2006/relationships/hyperlink" Target="https://knowledgehub.efrag.org/eng/interactive/vsme/vsme-standard-annex-i/2025-07-30-ec-rec/64" TargetMode="External" Id="rId25" /><Relationship Type="http://schemas.openxmlformats.org/officeDocument/2006/relationships/hyperlink" Target="https://knowledgehub.efrag.org/eng/interactive/vsme/vsme-guidance-annex-ii/2025-07-30-ec-rec/177/d" TargetMode="External" Id="rId26" /><Relationship Type="http://schemas.openxmlformats.org/officeDocument/2006/relationships/hyperlink" Target="https://knowledgehub.efrag.org/eng/interactive/vsme/vsme-standard-annex-i/2025-07-30-ec-rec/65" TargetMode="External" Id="rId27" /><Relationship Type="http://schemas.openxmlformats.org/officeDocument/2006/relationships/hyperlink" Target="https://knowledgehub.efrag.org/eng/interactive/vsme/vsme-guidance-annex-ii/2025-07-30-ec-rec/178" TargetMode="External" Id="rId28" /><Relationship Type="http://schemas.openxmlformats.org/officeDocument/2006/relationships/hyperlink" Target="https://knowledgehub.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5"/>
  <sheetViews>
    <sheetView showGridLines="0" tabSelected="1" zoomScale="73" zoomScaleNormal="100" workbookViewId="0">
      <selection activeCell="A1" sqref="A1"/>
    </sheetView>
  </sheetViews>
  <sheetFormatPr baseColWidth="8" defaultColWidth="8.88671875" defaultRowHeight="14.4"/>
  <cols>
    <col width="6" customWidth="1" min="1" max="1"/>
    <col width="84.33203125" bestFit="1"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289">
        <f>template_label_version</f>
        <v/>
      </c>
      <c r="C1" s="289" t="inlineStr">
        <is>
          <t>1.2.0</t>
        </is>
      </c>
      <c r="D1" s="289" t="n"/>
    </row>
    <row r="2">
      <c r="B2" s="289">
        <f>template_label_publication_date</f>
        <v/>
      </c>
      <c r="C2" s="290" t="n">
        <v>46077</v>
      </c>
      <c r="D2" s="289" t="n"/>
    </row>
    <row r="3" ht="35.7" customHeight="1">
      <c r="B3" s="519">
        <f t="array" ref="B3">IF(ISERROR(CELL("filename",A1)),"Warning: The Digital Template was developed and tested using Microsoft Excel 365. Functionality may be limited or incorrect when using other spreadsheet applications or older versions of Excel.","")</f>
        <v/>
      </c>
      <c r="D3" s="289" t="n"/>
    </row>
    <row r="5">
      <c r="B5" s="291" t="n"/>
    </row>
    <row r="6">
      <c r="B6" s="291" t="n"/>
    </row>
    <row r="7">
      <c r="B7" s="291" t="n"/>
    </row>
    <row r="8">
      <c r="B8" s="291" t="n"/>
    </row>
    <row r="9">
      <c r="B9" s="291" t="n"/>
    </row>
    <row r="10">
      <c r="B10" s="88">
        <f>template_label_taxonomy_entry_point</f>
        <v/>
      </c>
      <c r="C10" s="510" t="inlineStr">
        <is>
          <t>https://xbrl.efrag.org/taxonomy/vsme/2026-02-01/vsme-all.xsd</t>
        </is>
      </c>
    </row>
    <row r="11">
      <c r="B11" s="88">
        <f>template_label_select_template_display_language</f>
        <v/>
      </c>
      <c r="C11" s="361" t="inlineStr">
        <is>
          <t>English - Official [en]</t>
        </is>
      </c>
    </row>
    <row r="12">
      <c r="B12" s="88">
        <f>template_label_title_of_report</f>
        <v/>
      </c>
      <c r="C12">
        <f>template_label_main_title_of_report_text</f>
        <v/>
      </c>
    </row>
    <row r="13">
      <c r="B13" s="88">
        <f>template_label_subtitle_of_report</f>
        <v/>
      </c>
      <c r="C13">
        <f>template_label_subtitle_of_report_text</f>
        <v/>
      </c>
    </row>
    <row r="14" ht="63" customFormat="1" customHeight="1" s="293">
      <c r="B14" s="292">
        <f>template_label_vsme_digital_template</f>
        <v/>
      </c>
    </row>
    <row r="15" ht="381.6" customHeight="1">
      <c r="B15" s="1105">
        <f>template_label_the_purpose_of_this_digital_template_is_to_illustrate_how_vsme_reporting_can_be_implemented_in_a_digital_template</f>
        <v/>
      </c>
      <c r="C15" s="1106" t="n"/>
      <c r="D15" s="1106" t="n"/>
      <c r="E15" s="199" t="n"/>
      <c r="F15" s="294" t="n"/>
      <c r="G15" s="294" t="n"/>
      <c r="H15" s="294" t="n"/>
      <c r="I15" s="294" t="n"/>
      <c r="J15" s="294" t="n"/>
      <c r="K15" s="294" t="n"/>
      <c r="L15" s="294" t="n"/>
      <c r="M15" s="294" t="n"/>
      <c r="N15" s="294" t="n"/>
      <c r="O15" s="294" t="n"/>
      <c r="P15" s="294" t="n"/>
      <c r="Q15" s="294" t="n"/>
      <c r="R15" s="294" t="n"/>
    </row>
    <row r="16" ht="19.95" customHeight="1">
      <c r="B16" s="295" t="n"/>
      <c r="C16" s="295" t="n"/>
      <c r="D16" s="295" t="n"/>
      <c r="E16" s="295" t="n"/>
      <c r="F16" s="294" t="n"/>
      <c r="G16" s="294" t="n"/>
      <c r="H16" s="294" t="n"/>
      <c r="I16" s="294" t="n"/>
      <c r="J16" s="294" t="n"/>
      <c r="K16" s="294" t="n"/>
      <c r="L16" s="294" t="n"/>
      <c r="M16" s="294" t="n"/>
      <c r="N16" s="294" t="n"/>
      <c r="O16" s="294" t="n"/>
      <c r="P16" s="294" t="n"/>
      <c r="Q16" s="294" t="n"/>
      <c r="R16" s="294" t="n"/>
    </row>
    <row r="17">
      <c r="B17" s="291" t="n"/>
    </row>
    <row r="18" ht="26.7" customHeight="1">
      <c r="B18" s="296">
        <f>template_label_how_to_use_it</f>
        <v/>
      </c>
      <c r="C18" s="297" t="n"/>
      <c r="D18" s="297" t="n"/>
      <c r="E18" s="298" t="n"/>
      <c r="F18" s="299" t="n"/>
      <c r="G18" s="299" t="n"/>
      <c r="H18" s="299" t="n"/>
      <c r="I18" s="299" t="n"/>
      <c r="J18" s="299" t="n"/>
      <c r="K18" s="299" t="n"/>
      <c r="L18" s="299" t="n"/>
      <c r="M18" s="299" t="n"/>
      <c r="N18" s="299" t="n"/>
      <c r="O18" s="299" t="n"/>
      <c r="P18" s="299" t="n"/>
      <c r="Q18" s="299" t="n"/>
      <c r="R18" s="299" t="n"/>
    </row>
    <row r="19" ht="18" customHeight="1">
      <c r="B19" s="1107">
        <f>template_label_0_provide_information_that_is_mandatory_in_order_to_generate_the_vsme_and_xbrl_report</f>
        <v/>
      </c>
      <c r="E19" s="1108" t="n"/>
      <c r="F19" s="300" t="n"/>
      <c r="G19" s="300" t="n"/>
      <c r="H19" s="300" t="n"/>
      <c r="I19" s="300" t="n"/>
      <c r="J19" s="300" t="n"/>
      <c r="K19" s="300" t="n"/>
      <c r="L19" s="300" t="n"/>
      <c r="M19" s="300" t="n"/>
      <c r="N19" s="300" t="n"/>
      <c r="O19" s="300" t="n"/>
      <c r="P19" s="300" t="n"/>
      <c r="Q19" s="300" t="n"/>
      <c r="R19" s="300" t="n"/>
    </row>
    <row r="20" ht="59.4" customHeight="1">
      <c r="B20" s="1107">
        <f>template_label_1_fill_in_the_disclosures_on_the_four_worksheets</f>
        <v/>
      </c>
      <c r="E20" s="1108" t="n"/>
      <c r="F20" s="300" t="n"/>
      <c r="G20" s="300" t="n"/>
      <c r="H20" s="300" t="n"/>
      <c r="I20" s="300" t="n"/>
      <c r="J20" s="300" t="n"/>
      <c r="K20" s="300" t="n"/>
      <c r="L20" s="300" t="n"/>
      <c r="M20" s="300" t="n"/>
      <c r="N20" s="300" t="n"/>
      <c r="O20" s="300" t="n"/>
      <c r="P20" s="300" t="n"/>
      <c r="Q20" s="300" t="n"/>
      <c r="R20" s="300" t="n"/>
    </row>
    <row r="21" ht="39.6" customHeight="1">
      <c r="B21" s="1109">
        <f>template_label_2_find_more_information_on_the_actual_disclosure_requirements_in_the_vsme_standard</f>
        <v/>
      </c>
      <c r="E21" s="1108" t="n"/>
      <c r="F21" s="301" t="n"/>
      <c r="G21" s="301" t="n"/>
      <c r="H21" s="301" t="n"/>
      <c r="I21" s="301" t="n"/>
      <c r="J21" s="301" t="n"/>
      <c r="K21" s="301" t="n"/>
      <c r="L21" s="301" t="n"/>
      <c r="M21" s="301" t="n"/>
      <c r="N21" s="301" t="n"/>
      <c r="O21" s="301" t="n"/>
      <c r="P21" s="301" t="n"/>
      <c r="Q21" s="301" t="n"/>
      <c r="R21" s="301" t="n"/>
    </row>
    <row r="22" ht="36" customHeight="1">
      <c r="B22" s="1107">
        <f>template_label_3_for_open_tables_like_the_list_of_subsidizers_sites_please_expand_the_groups_by_clicking_the_plus</f>
        <v/>
      </c>
      <c r="E22" s="1108" t="n"/>
      <c r="F22" s="301" t="n"/>
      <c r="G22" s="301" t="n"/>
      <c r="H22" s="301" t="n"/>
      <c r="I22" s="301" t="n"/>
      <c r="J22" s="301" t="n"/>
      <c r="K22" s="301" t="n"/>
      <c r="L22" s="301" t="n"/>
      <c r="M22" s="301" t="n"/>
      <c r="N22" s="301" t="n"/>
      <c r="O22" s="301" t="n"/>
      <c r="P22" s="301" t="n"/>
      <c r="Q22" s="301" t="n"/>
      <c r="R22" s="301" t="n"/>
    </row>
    <row r="23" ht="18" customFormat="1" customHeight="1" s="302">
      <c r="B23" s="1109">
        <f>template_label_4_validate_the_data_entered_by_checking_the_validation_status</f>
        <v/>
      </c>
      <c r="E23" s="1108" t="n"/>
      <c r="F23" s="301" t="n"/>
      <c r="G23" s="301" t="n"/>
      <c r="H23" s="301" t="n"/>
      <c r="I23" s="301" t="n"/>
      <c r="J23" s="301" t="n"/>
      <c r="K23" s="301" t="n"/>
      <c r="L23" s="301" t="n"/>
      <c r="M23" s="301" t="n"/>
      <c r="N23" s="301" t="n"/>
      <c r="O23" s="301" t="n"/>
      <c r="P23" s="301" t="n"/>
      <c r="Q23" s="301" t="n"/>
      <c r="R23" s="301" t="n"/>
    </row>
    <row r="24" ht="18" customHeight="1">
      <c r="B24" s="1109">
        <f>template_label_5_convert_this_template_to_an_inline_xbrl_report</f>
        <v/>
      </c>
      <c r="E24" s="1108" t="n"/>
      <c r="F24" s="301" t="n"/>
      <c r="G24" s="301" t="n"/>
      <c r="H24" s="301" t="n"/>
      <c r="I24" s="301" t="n"/>
      <c r="J24" s="301" t="n"/>
      <c r="K24" s="301" t="n"/>
      <c r="L24" s="301" t="n"/>
      <c r="M24" s="301" t="n"/>
      <c r="N24" s="301" t="n"/>
      <c r="O24" s="301" t="n"/>
      <c r="P24" s="301" t="n"/>
      <c r="Q24" s="301" t="n"/>
      <c r="R24" s="301" t="n"/>
    </row>
    <row r="25" ht="24.6" customHeight="1">
      <c r="B25" s="1110">
        <f>template_label_6_the_undertaking_may_also_upload_the_report_to_public_repositories_or_a_webpage</f>
        <v/>
      </c>
      <c r="C25" s="508" t="n"/>
      <c r="D25" s="508" t="n"/>
      <c r="E25" s="198" t="n"/>
      <c r="F25" s="301" t="n"/>
      <c r="G25" s="301" t="n"/>
      <c r="H25" s="301" t="n"/>
      <c r="I25" s="301" t="n"/>
      <c r="J25" s="301" t="n"/>
      <c r="K25" s="301" t="n"/>
      <c r="L25" s="301" t="n"/>
      <c r="M25" s="301" t="n"/>
      <c r="N25" s="301" t="n"/>
      <c r="O25" s="301" t="n"/>
      <c r="P25" s="301" t="n"/>
      <c r="Q25" s="301" t="n"/>
      <c r="R25" s="301" t="n"/>
    </row>
    <row r="26" ht="18" customHeight="1">
      <c r="B26" s="299" t="n"/>
      <c r="C26" s="299" t="n"/>
      <c r="D26" s="299" t="n"/>
      <c r="E26" s="299" t="n"/>
      <c r="F26" s="299" t="n"/>
      <c r="G26" s="299" t="n"/>
      <c r="H26" s="299" t="n"/>
      <c r="I26" s="299" t="n"/>
      <c r="J26" s="299" t="n"/>
      <c r="K26" s="299" t="n"/>
      <c r="L26" s="299" t="n"/>
      <c r="M26" s="299" t="n"/>
      <c r="N26" s="299" t="n"/>
      <c r="O26" s="299" t="n"/>
      <c r="P26" s="299" t="n"/>
      <c r="Q26" s="299" t="n"/>
      <c r="R26" s="299" t="n"/>
    </row>
    <row r="27" ht="36" customHeight="1">
      <c r="B27" s="1111">
        <f>template_label_cell_background_color_index</f>
        <v/>
      </c>
      <c r="C27" s="1106" t="n"/>
      <c r="D27" s="1106" t="n"/>
      <c r="E27" s="199" t="n"/>
      <c r="F27" s="299" t="n"/>
      <c r="G27" s="299" t="n"/>
      <c r="H27" s="299" t="n"/>
      <c r="I27" s="299" t="n"/>
      <c r="J27" s="299" t="n"/>
      <c r="K27" s="299" t="n"/>
      <c r="L27" s="299" t="n"/>
      <c r="M27" s="299" t="n"/>
      <c r="N27" s="299" t="n"/>
      <c r="O27" s="299" t="n"/>
      <c r="P27" s="299" t="n"/>
      <c r="Q27" s="299" t="n"/>
      <c r="R27" s="299" t="n"/>
    </row>
    <row r="28" ht="32.1" customHeight="1">
      <c r="B28" s="303">
        <f>template_label_general_principles</f>
        <v/>
      </c>
      <c r="C28" s="1112">
        <f>template_label_indicates_that_the_disclosure_is_from_the_general_principles_of_the_vsme</f>
        <v/>
      </c>
      <c r="D28" s="1106" t="n"/>
      <c r="E28" s="199" t="n"/>
      <c r="F28" s="299" t="n"/>
      <c r="G28" s="299" t="n"/>
      <c r="H28" s="299" t="n"/>
      <c r="I28" s="299" t="n"/>
      <c r="J28" s="299" t="n"/>
      <c r="K28" s="299" t="n"/>
      <c r="L28" s="299" t="n"/>
      <c r="M28" s="299" t="n"/>
      <c r="N28" s="299" t="n"/>
      <c r="O28" s="299" t="n"/>
      <c r="P28" s="299" t="n"/>
      <c r="Q28" s="299" t="n"/>
      <c r="R28" s="299" t="n"/>
    </row>
    <row r="29" ht="34.5" customHeight="1">
      <c r="A29" s="304" t="n"/>
      <c r="B29" s="305">
        <f>template_label_basic_module</f>
        <v/>
      </c>
      <c r="C29" s="1112">
        <f>template_label_indicates_that_the_disclosure_is_from_the_vsme_basic_module</f>
        <v/>
      </c>
      <c r="D29" s="1106" t="n"/>
      <c r="E29" s="199" t="n"/>
      <c r="F29" s="299" t="n"/>
      <c r="G29" s="306" t="n"/>
      <c r="H29" s="306" t="n"/>
      <c r="I29" s="306" t="n"/>
      <c r="J29" s="306" t="n"/>
      <c r="K29" s="306" t="n"/>
      <c r="L29" s="306" t="n"/>
      <c r="M29" s="306" t="n"/>
      <c r="N29" s="306" t="n"/>
      <c r="O29" s="306" t="n"/>
      <c r="P29" s="306" t="n"/>
      <c r="Q29" s="306" t="n"/>
      <c r="R29" s="306" t="n"/>
    </row>
    <row r="30" ht="35.7" customHeight="1">
      <c r="A30" s="304" t="n"/>
      <c r="B30" s="307">
        <f>template_label_comprehensive_module</f>
        <v/>
      </c>
      <c r="C30" s="1112">
        <f>template_label_indicates_that_the_disclosure_is_from_the_vsme_comprehensive_module</f>
        <v/>
      </c>
      <c r="D30" s="1106" t="n"/>
      <c r="E30" s="199" t="n"/>
      <c r="F30" s="457" t="n"/>
      <c r="G30" s="306" t="n"/>
      <c r="H30" s="306" t="n"/>
      <c r="I30" s="306" t="n"/>
      <c r="J30" s="306" t="n"/>
      <c r="K30" s="306" t="n"/>
      <c r="L30" s="306" t="n"/>
      <c r="M30" s="306" t="n"/>
      <c r="N30" s="306" t="n"/>
      <c r="O30" s="306" t="n"/>
      <c r="P30" s="306" t="n"/>
      <c r="Q30" s="306" t="n"/>
      <c r="R30" s="306" t="n"/>
    </row>
    <row r="31" ht="35.85" customHeight="1">
      <c r="A31" s="304" t="n"/>
      <c r="B31" s="308" t="n"/>
      <c r="C31" s="1113">
        <f>template_label_indicates_that_the_cell_is_automatically_calculated_and_that_no_data_entry_is_required</f>
        <v/>
      </c>
      <c r="D31" s="1106" t="n"/>
      <c r="E31" s="199" t="n"/>
      <c r="F31" s="299" t="n"/>
      <c r="G31" s="309" t="n"/>
      <c r="H31" s="309" t="n"/>
      <c r="I31" s="309" t="n"/>
      <c r="J31" s="309" t="n"/>
      <c r="K31" s="309" t="n"/>
      <c r="L31" s="309" t="n"/>
      <c r="M31" s="309" t="n"/>
      <c r="N31" s="309" t="n"/>
      <c r="O31" s="309" t="n"/>
      <c r="P31" s="309" t="n"/>
      <c r="Q31" s="309" t="n"/>
      <c r="R31" s="309" t="n"/>
    </row>
    <row r="32" ht="63" customHeight="1">
      <c r="A32" s="304" t="n"/>
      <c r="B32" s="310" t="n"/>
      <c r="C32" s="1113">
        <f>template_label_indicates_that_the_datapoint_often_a_condition_will_not_be_included_in_the_vsme_and_digital_xbrl_report</f>
        <v/>
      </c>
      <c r="D32" s="1106" t="n"/>
      <c r="E32" s="199" t="n"/>
      <c r="F32" s="299" t="n"/>
      <c r="G32" s="309" t="n"/>
      <c r="H32" s="309" t="n"/>
      <c r="I32" s="309" t="n"/>
      <c r="J32" s="309" t="n"/>
      <c r="K32" s="309" t="n"/>
      <c r="L32" s="309" t="n"/>
      <c r="M32" s="309" t="n"/>
      <c r="N32" s="309" t="n"/>
      <c r="O32" s="309" t="n"/>
      <c r="P32" s="309" t="n"/>
      <c r="Q32" s="309" t="n"/>
      <c r="R32" s="309" t="n"/>
    </row>
    <row r="33" ht="35.85" customHeight="1">
      <c r="A33" s="304" t="n"/>
      <c r="B33" s="311" t="n"/>
      <c r="C33" s="1113">
        <f>template_label_indicates_that_no_data_entry_is_required_unless_certain_logics_are_selected_in_the_disclosure_itself</f>
        <v/>
      </c>
      <c r="D33" s="1106" t="n"/>
      <c r="E33" s="199" t="n"/>
      <c r="F33" s="299" t="n"/>
      <c r="G33" s="309" t="n"/>
      <c r="H33" s="309" t="n"/>
      <c r="I33" s="309" t="n"/>
      <c r="J33" s="309" t="n"/>
      <c r="K33" s="309" t="n"/>
      <c r="L33" s="309" t="n"/>
      <c r="M33" s="309" t="n"/>
      <c r="N33" s="309" t="n"/>
      <c r="O33" s="309" t="n"/>
      <c r="P33" s="309" t="n"/>
      <c r="Q33" s="309" t="n"/>
      <c r="R33" s="309" t="n"/>
    </row>
    <row r="34" ht="42" customHeight="1">
      <c r="B34" s="312">
        <f>template_label_validation_missing_value_error_velue_inconsistency_invalid_url</f>
        <v/>
      </c>
      <c r="C34" s="1112">
        <f>template_label_indicates_that_either_data_entry_is_incorrect_in_terms_of_format_or_that_certain_information</f>
        <v/>
      </c>
      <c r="D34" s="1106" t="n"/>
      <c r="E34" s="199" t="n"/>
      <c r="F34" s="299" t="n"/>
      <c r="G34" s="306" t="n"/>
      <c r="H34" s="306" t="n"/>
      <c r="I34" s="306" t="n"/>
      <c r="J34" s="306" t="n"/>
      <c r="K34" s="306" t="n"/>
      <c r="L34" s="306" t="n"/>
      <c r="M34" s="306" t="n"/>
      <c r="N34" s="306" t="n"/>
      <c r="O34" s="306" t="n"/>
      <c r="P34" s="306" t="n"/>
      <c r="Q34" s="306" t="n"/>
      <c r="R34" s="306" t="n"/>
    </row>
    <row r="35" ht="22.35" customHeight="1">
      <c r="B35" s="313" t="inlineStr">
        <is>
          <t>Validation OK</t>
        </is>
      </c>
      <c r="C35" s="1112">
        <f>template_label_indicates_that_data_entry_is_ok_and_the_undertaking_can_proceed_to_the_next_disclosure</f>
        <v/>
      </c>
      <c r="D35" s="1106" t="n"/>
      <c r="E35" s="199" t="n"/>
      <c r="F35" s="299" t="n"/>
      <c r="G35" s="306" t="n"/>
      <c r="H35" s="306" t="n"/>
      <c r="I35" s="306" t="n"/>
      <c r="J35" s="306" t="n"/>
      <c r="K35" s="306" t="n"/>
      <c r="L35" s="306" t="n"/>
      <c r="M35" s="306" t="n"/>
      <c r="N35" s="306" t="n"/>
      <c r="O35" s="306" t="n"/>
      <c r="P35" s="306" t="n"/>
      <c r="Q35" s="306" t="n"/>
      <c r="R35" s="306" t="n"/>
    </row>
    <row r="36" ht="22.35" customHeight="1">
      <c r="B36" s="456">
        <f>template_label_validation_classified_or_sensitive_information</f>
        <v/>
      </c>
      <c r="C36" s="1112">
        <f>template_label_indicates_that_the_undertaking_has_omitted_the_data_entry_as_it_is_deemed_to_be_classified_or_sensitive_information</f>
        <v/>
      </c>
      <c r="D36" s="1106" t="n"/>
      <c r="E36" s="199" t="n"/>
      <c r="F36" s="299" t="n"/>
      <c r="G36" s="306" t="n"/>
      <c r="H36" s="306" t="n"/>
      <c r="I36" s="306" t="n"/>
      <c r="J36" s="306" t="n"/>
      <c r="K36" s="306" t="n"/>
      <c r="L36" s="306" t="n"/>
      <c r="M36" s="306" t="n"/>
      <c r="N36" s="306" t="n"/>
      <c r="O36" s="306" t="n"/>
      <c r="P36" s="306" t="n"/>
      <c r="Q36" s="306" t="n"/>
      <c r="R36" s="306" t="n"/>
    </row>
    <row r="37" ht="22.35" customHeight="1">
      <c r="B37" s="314" t="n"/>
      <c r="C37" s="1112">
        <f>template_label_no_value_can_be_entered_in_the_cell</f>
        <v/>
      </c>
      <c r="D37" s="1106" t="n"/>
      <c r="E37" s="199" t="n"/>
      <c r="F37" s="299" t="n"/>
      <c r="G37" s="306" t="n"/>
      <c r="H37" s="306" t="n"/>
      <c r="I37" s="306" t="n"/>
      <c r="J37" s="306" t="n"/>
      <c r="K37" s="306" t="n"/>
      <c r="L37" s="306" t="n"/>
      <c r="M37" s="306" t="n"/>
      <c r="N37" s="306" t="n"/>
      <c r="O37" s="306" t="n"/>
      <c r="P37" s="306" t="n"/>
      <c r="Q37" s="306" t="n"/>
      <c r="R37" s="306" t="n"/>
    </row>
    <row r="38" ht="45.75" customHeight="1">
      <c r="A38" s="304" t="n"/>
      <c r="B38" s="315" t="inlineStr">
        <is>
          <t>[+]</t>
        </is>
      </c>
      <c r="C38" s="1113">
        <f>template_label_lists_can_be_expanded_using_the_plus_button_on_the_left</f>
        <v/>
      </c>
      <c r="D38" s="1106" t="n"/>
      <c r="E38" s="199" t="n"/>
      <c r="F38" s="299" t="n"/>
      <c r="G38" s="316" t="n"/>
      <c r="H38" s="316" t="n"/>
      <c r="I38" s="316" t="n"/>
      <c r="J38" s="316" t="n"/>
      <c r="K38" s="316" t="n"/>
      <c r="L38" s="316" t="n"/>
      <c r="M38" s="316" t="n"/>
      <c r="N38" s="316" t="n"/>
      <c r="O38" s="316" t="n"/>
      <c r="P38" s="316" t="n"/>
      <c r="Q38" s="316" t="n"/>
      <c r="R38" s="316" t="n"/>
    </row>
    <row r="43">
      <c r="B43" s="1114" t="n"/>
      <c r="C43" s="1115" t="n"/>
      <c r="D43" s="1115" t="n"/>
      <c r="E43" s="1116" t="n"/>
    </row>
    <row r="44" ht="97.2" customHeight="1">
      <c r="B44" s="1117">
        <f>template_label_efrag_is_funded_by_the_european_union_through_the_single_market_programme</f>
        <v/>
      </c>
      <c r="E44" s="1108" t="n"/>
    </row>
    <row r="45" ht="21" customHeight="1">
      <c r="B45" s="1118">
        <f>template_label_reproduction_and_use_rights_are_strictly_limited</f>
        <v/>
      </c>
      <c r="C45" s="508" t="n"/>
      <c r="D45" s="508" t="n"/>
      <c r="E45" s="198" t="n"/>
    </row>
  </sheetData>
  <mergeCells count="24">
    <mergeCell ref="B3:C3"/>
    <mergeCell ref="C31:E31"/>
    <mergeCell ref="B15:E15"/>
    <mergeCell ref="B24:E24"/>
    <mergeCell ref="B20:E20"/>
    <mergeCell ref="B45:E45"/>
    <mergeCell ref="C36:E36"/>
    <mergeCell ref="B25:E25"/>
    <mergeCell ref="B22:E22"/>
    <mergeCell ref="C32:E32"/>
    <mergeCell ref="C38:E38"/>
    <mergeCell ref="B27:E27"/>
    <mergeCell ref="C28:E28"/>
    <mergeCell ref="C37:E37"/>
    <mergeCell ref="B43:E43"/>
    <mergeCell ref="B21:E21"/>
    <mergeCell ref="C30:E30"/>
    <mergeCell ref="C34:E34"/>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codeName="Sheet4">
    <outlinePr summaryBelow="1" summaryRight="1"/>
    <pageSetUpPr/>
  </sheetPr>
  <dimension ref="B2:D71"/>
  <sheetViews>
    <sheetView zoomScale="70" zoomScaleNormal="100" workbookViewId="0">
      <selection activeCell="B40" sqref="B40"/>
    </sheetView>
  </sheetViews>
  <sheetFormatPr baseColWidth="8" defaultColWidth="8.88671875" defaultRowHeight="14.4"/>
  <cols>
    <col width="3.6640625" customWidth="1" style="1032" min="1" max="1"/>
    <col width="98.109375" customWidth="1" style="1032" min="2" max="2"/>
    <col width="50.6640625" customWidth="1" style="1032" min="3" max="3"/>
    <col width="45.33203125" customWidth="1" style="1032" min="4" max="4"/>
    <col width="30.109375" customWidth="1" style="1032" min="5" max="5"/>
    <col width="35.6640625" bestFit="1" customWidth="1" style="1032" min="6" max="6"/>
    <col width="8.88671875" customWidth="1" style="1032" min="7" max="16384"/>
  </cols>
  <sheetData>
    <row r="1" ht="15" customHeight="1" thickBot="1"/>
    <row r="2" ht="30" customHeight="1">
      <c r="B2" s="476">
        <f>template_label_table_of_contents_validation</f>
        <v/>
      </c>
      <c r="C2" s="477">
        <f>template_label_overall_validation_status_validation</f>
        <v/>
      </c>
      <c r="D2" s="478">
        <f>template_classified_or_sensitive_information</f>
        <v/>
      </c>
    </row>
    <row r="3" ht="43.2" customHeight="1">
      <c r="B3" s="515">
        <f>template_label_contents_grouping_follows_templates_framework</f>
        <v/>
      </c>
      <c r="C3" s="472">
        <f t="array" ref="C3">IF(SUMPRODUCT(--((C5:C71&lt;&gt;template_label_ok)*(C5:C71&lt;&gt;"-")*(C5:C71&lt;&gt;"")*(C5:C71&lt;&gt;template_label_classified_or_sensitive_information))) &gt; 0, template_label_incomplete, template_label_complete)</f>
        <v/>
      </c>
      <c r="D3" s="550">
        <f>template_filling_sensitive_checkboxes</f>
        <v/>
      </c>
    </row>
    <row r="4" ht="18" customHeight="1">
      <c r="B4" s="1119" t="n"/>
      <c r="C4" s="468">
        <f>template_label_specific_content_validation_status_validation</f>
        <v/>
      </c>
      <c r="D4" s="1119" t="n"/>
    </row>
    <row r="5" ht="14.4" customHeight="1">
      <c r="B5" s="487">
        <f>template_label_general_information_validation</f>
        <v/>
      </c>
      <c r="C5" s="447" t="n"/>
      <c r="D5" s="444" t="n"/>
    </row>
    <row r="6" ht="14.4" customHeight="1">
      <c r="B6" s="491">
        <f>template_label_information_on_the_report_necessary_for_xbrl_validation</f>
        <v/>
      </c>
      <c r="C6" s="469">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c r="D6" s="445" t="n"/>
    </row>
    <row r="7" ht="14.4" customHeight="1" thickBot="1">
      <c r="B7" s="491">
        <f>template_label_information_on_previous_reporting_period_validation</f>
        <v/>
      </c>
      <c r="C7" s="469">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c r="D7" s="445" t="n"/>
    </row>
    <row r="8" ht="18" customHeight="1">
      <c r="B8" s="404">
        <f>template_label_basic_module_validation</f>
        <v/>
      </c>
      <c r="C8" s="470" t="n"/>
      <c r="D8" s="446" t="n"/>
    </row>
    <row r="9">
      <c r="B9" s="487">
        <f>template_label_general_information_validation</f>
        <v/>
      </c>
      <c r="C9" s="447" t="n"/>
      <c r="D9" s="447" t="n"/>
    </row>
    <row r="10">
      <c r="B10" s="488">
        <f>template_label_b1_basis_for_preparation_validation</f>
        <v/>
      </c>
      <c r="C10" s="471">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
      </c>
      <c r="D10" s="474">
        <f>IF(COUNTIF(D12:D15,TRUE)=ROWS(D12:D15),TRUE,FALSE)</f>
        <v/>
      </c>
    </row>
    <row r="11">
      <c r="B11" s="492">
        <f>template_label_b1_basis_for_preparation</f>
        <v/>
      </c>
      <c r="C11" s="469">
        <f>IF(COUNTIF('General Information'!F122,template_label_missing_value)&gt;0,template_label_missing_value,
IF(COUNTIF('General Information'!F122,template_label_ok)&gt;0,template_label_ok,"-"))</f>
        <v/>
      </c>
      <c r="D11" s="455" t="n"/>
    </row>
    <row r="12">
      <c r="B12" s="492">
        <f>template_label_b1_other_undertakings_general_information</f>
        <v/>
      </c>
      <c r="C12" s="469">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
      </c>
      <c r="D12" s="482" t="b">
        <v>0</v>
      </c>
    </row>
    <row r="13">
      <c r="B13" s="492">
        <f>template_label_b1_list_of_subsidiaries</f>
        <v/>
      </c>
      <c r="C13" s="471">
        <f>IF(D13=TRUE, template_label_classified_or_sensitive_information,
IF(
    COUNTIF('General Information'!F290:F389, template_label_missing_value) &gt; 0,
    template_label_missing_value,
    IF(
        COUNTIF('General Information'!F290:F389, template_label_ok) &gt; 0,
        template_label_ok,
        "-"
    )
)
)</f>
        <v/>
      </c>
      <c r="D13" s="479" t="b">
        <v>0</v>
      </c>
    </row>
    <row r="14">
      <c r="B14" s="492">
        <f>template_label_b1_disclosure_of_sustainability_related_certification_or_label</f>
        <v/>
      </c>
      <c r="C14" s="469">
        <f>IF(D14=TRUE, template_label_classified_or_sensitive_information,
IF(
    COUNTIF('General Information'!I395, template_label_missing_value) &gt; 0,
    template_label_missing_value,
    IF(
        COUNTIF('General Information'!I395, template_label_ok) &gt; 0,
        template_label_ok,
        "-"
    )
)
)</f>
        <v/>
      </c>
      <c r="D14" s="479" t="b">
        <v>0</v>
      </c>
    </row>
    <row r="15">
      <c r="B15" s="492">
        <f>template_label_b1_list_of_site</f>
        <v/>
      </c>
      <c r="C15" s="469">
        <f>IF(D15=TRUE, template_label_classified_or_sensitive_information,
IF(
    COUNTIF('General Information'!I404:I503, template_label_missing_value) &gt; 0,
    template_label_missing_value,
    IF(
        COUNTIF('General Information'!I404:I503, template_label_ok) &gt; 0,
        template_label_ok,
        "-"
    )
)
)</f>
        <v/>
      </c>
      <c r="D15" s="479" t="b">
        <v>0</v>
      </c>
    </row>
    <row r="16">
      <c r="B16" s="491">
        <f>template_label_b2_practices_policies_and_future_initiatives_for_transitioning_towards_a_more_sustainable_economy_validation</f>
        <v/>
      </c>
      <c r="C16" s="469">
        <f>IF(D16=TRUE,template_label_classified_or_sensitive_information,
IF(COUNTIF(C17:C18,template_label_error_plus_missing_value_plus_value_inconsistency)&gt;0,template_label_error_plus_missing_value_plus_value_inconsistency,
IF(COUNTIF(C17:C18,template_label_error_plus_value_inconsistency)&gt;0,template_label_error_plus_value_inconsistency,
IF(COUNTIF(C17:C18,template_label_error_plus_missing_value)&gt;0,template_label_error_plus_missing_value,
IF(COUNTIF(C17:C18,template_label_error)&gt;0,template_label_error,
IF(COUNTIF(C17:C18,template_label_missing_value_plus_value_inconsistency)&gt;0,template_label_missing_value_plus_value_inconsistency,
IF(COUNTIF(C17:C18,template_label_value_inconsistency)&gt;0,template_label_value_inconsistency,
IF(COUNTIF(C17:C18,template_label_missing_value)&gt;0,template_label_missing_value,
IF(COUNTIF(C17:C18,template_label_ok)=ROWS(C17:C18),template_label_ok,
IF(COUNTIF(C17:C18,"-")=ROWS(C17:C18),"-",
IF(AND(COUNTIF(C17:C18,template_label_ok)&gt;0, COUNTIF(C17:C18,template_label_error_plus_missing_value_plus_value_inconsistency)=0, COUNTIF(C17:C18,template_label_error_plus_value_inconsistency)=0, COUNTIF(C17:C18,template_label_error_plus_missing_value)=0, COUNTIF(C17:C18,template_label_error)=0, COUNTIF(C17:C18,template_label_missing_value_plus_value_inconsistency)=0, COUNTIF(C17:C18,template_label_value_inconsistency)=0, COUNTIF(C17:C18,template_label_missing_value)=0,OR(COUNTIF(C17:C18,template_label_missing_value)=0, COUNTIF(C17:C18,template_label_missing_value)&gt;0)), template_label_ok,
"-")))))))))
))</f>
        <v/>
      </c>
      <c r="D16" s="475">
        <f>IF(COUNTIF(D17:D18,TRUE)=ROWS(D17:D18),TRUE,FALSE)</f>
        <v/>
      </c>
    </row>
    <row r="17">
      <c r="B17" s="492">
        <f>template_label_b2_practices_policies_and_future_initiatives_for_transitioning_towards_a_more_sustainable_economy</f>
        <v/>
      </c>
      <c r="C17" s="469">
        <f>IF(D17=TRUE, template_label_classified_or_sensitive_information,
IF(
    COUNTIF('General Information'!P510, template_label_missing_value) &gt; 0,
    template_label_missing_value,
    IF(
        COUNTIF('General Information'!P510, template_label_ok) &gt; 0,
        template_label_ok,
        "-"
    )
)
)</f>
        <v/>
      </c>
      <c r="D17" s="479" t="b">
        <v>0</v>
      </c>
    </row>
    <row r="18">
      <c r="B18" s="492">
        <f>template_label_b2_cooperative_specific_disclosures</f>
        <v/>
      </c>
      <c r="C18" s="469">
        <f t="array" ref="C18">IF(D18=TRUE, template_label_classified_or_sensitive_information,
IF(OR('General Information'!E514:E516=template_label_ok),template_label_ok,"-")
)</f>
        <v/>
      </c>
      <c r="D18" s="479" t="b">
        <v>0</v>
      </c>
    </row>
    <row r="19">
      <c r="B19" s="489">
        <f>template_label_environmental_disclosures_validation</f>
        <v/>
      </c>
      <c r="C19" s="447" t="n"/>
      <c r="D19" s="447" t="n"/>
    </row>
    <row r="20">
      <c r="B20" s="488">
        <f>template_label_b3_energy_and_greenhouse_gas_emissions_validation</f>
        <v/>
      </c>
      <c r="C20" s="469">
        <f>IF(D20=TRUE,template_label_classified_or_sensitive_information,
IF(COUNTIF(C21:C24,template_label_error_plus_missing_value_plus_value_inconsistency)&gt;0,template_label_error_plus_missing_value_plus_value_inconsistency,
IF(COUNTIF(C21:C24,template_label_error_plus_value_inconsistency)&gt;0,template_label_error_plus_value_inconsistency,
IF(COUNTIF(C21:C24,template_label_error_plus_missing_value)&gt;0,template_label_error_plus_missing_value,
IF(COUNTIF(C21:C24,template_label_error)&gt;0,template_label_error,
IF(COUNTIF(C21:C24,template_label_missing_value_plus_value_inconsistency)&gt;0,template_label_missing_value_plus_value_inconsistency,
IF(COUNTIF(C21:C24,template_label_value_inconsistency)&gt;0,template_label_value_inconsistency,
IF(COUNTIF(C21:C24,template_label_missing_value)&gt;0,template_label_missing_value,
IF(COUNTIF(C21:C24,template_label_ok)=ROWS(C21:C24),template_label_ok,
IF(COUNTIF(C21:C24,"-")=ROWS(C21:C24),"-",
IF(AND(COUNTIF(C21:C24,template_label_ok)&gt;0, COUNTIF(C21:C24,template_label_error_plus_missing_value_plus_value_inconsistency)=0, COUNTIF(C21:C24,template_label_error_plus_value_inconsistency)=0, COUNTIF(C21:C24,template_label_error_plus_missing_value)=0, COUNTIF(C21:C24,template_label_error)=0, COUNTIF(C21:C24,template_label_missing_value_plus_value_inconsistency)=0, COUNTIF(C21:C24,template_label_value_inconsistency)=0, COUNTIF(C21:C24,template_label_missing_value)=0,OR(COUNTIF(C21:C24,template_label_missing_value)=0, COUNTIF(C21:C24,template_label_missing_value)&gt;0)), template_label_ok,
"-")))))))))
))</f>
        <v/>
      </c>
      <c r="D20" s="475">
        <f>IF(COUNTIF(D21:D24,TRUE)=ROWS(D21:D24),TRUE,FALSE)</f>
        <v/>
      </c>
    </row>
    <row r="21">
      <c r="B21" s="492">
        <f>template_label_b3_total_energy_consumption</f>
        <v/>
      </c>
      <c r="C21" s="469">
        <f>IF(D21=TRUE, template_label_classified_or_sensitive_information,
IF(COUNTIF('Environmental Disclosures'!L5,template_label_missing_value)&gt;0,template_label_missing_value,
IF(COUNTIF('Environmental Disclosures'!L5,template_label_ok)&gt;0,template_label_ok,"-"))
)</f>
        <v/>
      </c>
      <c r="D21" s="479" t="b">
        <v>0</v>
      </c>
    </row>
    <row r="22">
      <c r="B22" s="492">
        <f>template_label_b3_breakdown_of_energy_consumption</f>
        <v/>
      </c>
      <c r="C22" s="471">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
      </c>
      <c r="D22" s="479" t="b">
        <v>0</v>
      </c>
    </row>
    <row r="23">
      <c r="B23" s="492">
        <f>template_label_b3_estimated_greenhouse_gas_emissions</f>
        <v/>
      </c>
      <c r="C23" s="469">
        <f>IF(D23=TRUE, template_label_classified_or_sensitive_information,
IF(COUNTIF('Environmental Disclosures'!L21:L44,template_label_missing_value)&gt;0,template_label_missing_value,
IF(COUNTIF('Environmental Disclosures'!L21:L44,template_label_ok)&gt;0,template_label_ok,"-"))
)</f>
        <v/>
      </c>
      <c r="D23" s="479" t="b">
        <v>0</v>
      </c>
    </row>
    <row r="24">
      <c r="B24" s="492">
        <f>template_label_b3_greenhouse_gas_emission_intensity_per_turnover</f>
        <v/>
      </c>
      <c r="C24" s="471">
        <f>IF(D24=TRUE, template_label_classified_or_sensitive_information,
IF(C23=template_label_ok,template_label_ok,"-")
)</f>
        <v/>
      </c>
      <c r="D24" s="479" t="b">
        <v>0</v>
      </c>
    </row>
    <row r="25">
      <c r="B25" s="491">
        <f>template_label_b4_pollution_of_air_water_and_soil_validation</f>
        <v/>
      </c>
      <c r="C25" s="469">
        <f>IF(D25=TRUE,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
      </c>
      <c r="D25" s="479" t="b">
        <v>0</v>
      </c>
    </row>
    <row r="26">
      <c r="B26" s="491">
        <f>template_label_b5_biodiversity_validation</f>
        <v/>
      </c>
      <c r="C26" s="469">
        <f>IF(D26=TRUE, template_label_classified_or_sensitive_information,
IF(COUNTIF(C27:C28,template_label_error_plus_missing_value_plus_value_inconsistency)&gt;0,template_label_error_plus_missing_value_plus_value_inconsistency,
IF(COUNTIF(C27:C28,template_label_error_plus_value_inconsistency)&gt;0,template_label_error_plus_value_inconsistency,
IF(COUNTIF(C27:C28,template_label_error_plus_missing_value)&gt;0,template_label_error_plus_missing_value,
IF(COUNTIF(C27:C28,template_label_error)&gt;0,template_label_error,
IF(COUNTIF(C27:C28,template_label_missing_value_plus_value_inconsistency)&gt;0,template_label_missing_value_plus_value_inconsistency,
IF(COUNTIF(C27:C28,template_label_value_inconsistency)&gt;0,template_label_value_inconsistency,
IF(COUNTIF(C27:C28,template_label_missing_value)&gt;0,template_label_missing_value,
IF(COUNTIF(C27:C28,template_label_ok)=ROWS(C27:C28),template_label_ok,
IF(COUNTIF(C27:C28,"-")=ROWS(C27:C28),"-",
IF(AND(COUNTIF(C27:C28,template_label_ok)&gt;0, COUNTIF(C27:C28,template_label_error_plus_missing_value_plus_value_inconsistency)=0, COUNTIF(C27:C28,template_label_error_plus_value_inconsistency)=0, COUNTIF(C27:C28,template_label_error_plus_missing_value)=0, COUNTIF(C27:C28,template_label_error)=0, COUNTIF(C27:C28,template_label_missing_value_plus_value_inconsistency)=0, COUNTIF(C27:C28,template_label_value_inconsistency)=0, COUNTIF(C27:C28,template_label_missing_value)=0,OR(COUNTIF(C27:C28,template_label_missing_value)=0, COUNTIF(C27:C28,template_label_missing_value)&gt;0)), template_label_ok,
"-")))))))))
))</f>
        <v/>
      </c>
      <c r="D26" s="475">
        <f>IF(COUNTIF(D27:D28,TRUE)=ROWS(D27:D28),TRUE,FALSE)</f>
        <v/>
      </c>
    </row>
    <row r="27">
      <c r="B27" s="492">
        <f>template_label_b5_sites_in_biodiversity_sensitive_areas</f>
        <v/>
      </c>
      <c r="C27" s="469">
        <f>IF(D27=TRUE,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
      </c>
      <c r="D27" s="479" t="b">
        <v>0</v>
      </c>
    </row>
    <row r="28">
      <c r="B28" s="492">
        <f>template_label_b5_biodiversity_land_use</f>
        <v/>
      </c>
      <c r="C28" s="469">
        <f>IF(D28=TRUE,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
      </c>
      <c r="D28" s="479" t="b">
        <v>0</v>
      </c>
    </row>
    <row r="29">
      <c r="B29" s="491">
        <f>template_label_b6_water_validation</f>
        <v/>
      </c>
      <c r="C29" s="469">
        <f>IF(D29=TRUE, template_label_classified_or_sensitive_information,
IF(COUNTIF(C30:C31,template_label_error_plus_missing_value_plus_value_inconsistency)&gt;0,template_label_error_plus_missing_value_plus_value_inconsistency,
IF(COUNTIF(C30:C31,template_label_error_plus_value_inconsistency)&gt;0,template_label_error_plus_value_inconsistency,
IF(COUNTIF(C30:C31,template_label_error_plus_missing_value)&gt;0,template_label_error_plus_missing_value,
IF(COUNTIF(C30:C31,template_label_error)&gt;0,template_label_error,
IF(COUNTIF(C30:C31,template_label_missing_value_plus_value_inconsistency)&gt;0,template_label_missing_value_plus_value_inconsistency,
IF(COUNTIF(C30:C31,template_label_value_inconsistency)&gt;0,template_label_value_inconsistency,
IF(COUNTIF(C30:C31,template_label_missing_value)&gt;0,template_label_missing_value,
IF(COUNTIF(C30:C31,template_label_ok)=ROWS(C30:C31),template_label_ok,
IF(COUNTIF(C30:C31,"-")=ROWS(C30:C31),"-",
IF(AND(COUNTIF(C30:C31,template_label_ok)&gt;0, COUNTIF(C27:C28,template_label_error_plus_missing_value_plus_value_inconsistency)=0, COUNTIF(C30:C31,template_label_error_plus_value_inconsistency)=0, COUNTIF(C30:C31,template_label_error_plus_missing_value)=0, COUNTIF(C30:C31,template_label_error)=0, COUNTIF(C30:C31,template_label_missing_value_plus_value_inconsistency)=0, COUNTIF(C30:C31,template_label_value_inconsistency)=0, COUNTIF(C30:C31,template_label_missing_value)=0,OR(COUNTIF(C30:C31,template_label_missing_value)=0, COUNTIF(C30:C31,template_label_missing_value)&gt;0)), template_label_ok,
"-")))))))))
))</f>
        <v/>
      </c>
      <c r="D29" s="475">
        <f>IF(COUNTIF(D30:D31,TRUE)=ROWS(D30:D31),TRUE,FALSE)</f>
        <v/>
      </c>
    </row>
    <row r="30">
      <c r="B30" s="492">
        <f>template_label_b6_water_withdrawal</f>
        <v/>
      </c>
      <c r="C30" s="469">
        <f>IF(D30=TRUE, template_label_classified_or_sensitive_information,
IF(COUNTIF('Environmental Disclosures'!E303:F304, template_label_missing_value) &gt; 0,
    template_label_missing_value,
    IF(COUNTIF('Environmental Disclosures'!E303:F304, template_label_ok) &gt; 0,
        template_label_ok,
        "-"))
)</f>
        <v/>
      </c>
      <c r="D30" s="479" t="b">
        <v>0</v>
      </c>
    </row>
    <row r="31">
      <c r="B31" s="492">
        <f>template_label_b6_water_consumption</f>
        <v/>
      </c>
      <c r="C31" s="469">
        <f>IF(D31=TRUE, template_label_classified_or_sensitive_information,
IF(COUNTIF('Environmental Disclosures'!E310:F310, template_label_missing_value) &gt; 0,
    template_label_missing_value,
    IF(COUNTIF('Environmental Disclosures'!E310:F310, template_label_ok) &gt; 0,
        template_label_ok,
        "-"))
)</f>
        <v/>
      </c>
      <c r="D31" s="479" t="b">
        <v>0</v>
      </c>
    </row>
    <row r="32">
      <c r="B32" s="491">
        <f>template_label_b7_resource_use_circular_economy_and_waste_management_validation</f>
        <v/>
      </c>
      <c r="C32" s="469">
        <f>IF(D32=TRUE, template_label_classified_or_sensitive_information,
IF(COUNTIF(C33:C35, template_label_error_plus_missing_value_plus_value_inconsistency) &gt; 0, template_label_error_plus_missing_value_plus_value_inconsistency,
IF(COUNTIF(C33:C35, template_label_error_plus_value_inconsistency) &gt; 0, template_label_error_plus_value_inconsistency,
IF(COUNTIF(C33:C35, template_label_error_plus_missing_value) &gt; 0, template_label_error_plus_missing_value,
IF(COUNTIF(C33:C35, template_label_error) &gt; 0, template_label_error,
IF(COUNTIF(C33:C35, template_label_missing_value_plus_value_inconsistency) &gt; 0, template_label_missing_value_plus_value_inconsistency,
IF(COUNTIF(C33:C35, template_label_value_inconsistency) &gt; 0, template_label_value_inconsistency,
IF(COUNTIF(C33:C35, template_label_missing_value) &gt; 0, template_label_missing_value,
IF(COUNTIF(C33:C35, template_label_ok) = ROWS(C33:C35), template_label_ok,
IF(COUNTIF(C33:C35, "-") = ROWS(C33:C35), "-",
IF(AND(COUNTIF(C33:C35,template_label_ok)&gt;0, COUNTIF(C33:C35,template_label_error_plus_missing_value_plus_value_inconsistency)=0, COUNTIF(C33:C35,template_label_error_plus_value_inconsistency)=0, COUNTIF(C33:C35,template_label_error_plus_missing_value)=0, COUNTIF(C33:C35,template_label_error)=0, COUNTIF(C33:C35,template_label_missing_value_plus_value_inconsistency)=0, COUNTIF(C33:C35,template_label_value_inconsistency)=0, COUNTIF(C33:C35,template_label_missing_value)=0,OR(COUNTIF(C33:C35,template_label_missing_value)=0, COUNTIF(C33:C35,template_label_missing_value)&gt;0)), template_label_ok,
"-")))))))))
))</f>
        <v/>
      </c>
      <c r="D32" s="475">
        <f>IF(COUNTIF(D34:D35,TRUE)=ROWS(D34:D35),TRUE,FALSE)</f>
        <v/>
      </c>
    </row>
    <row r="33">
      <c r="B33" s="492">
        <f>template_label_b7_description_of_circular_economy_principles</f>
        <v/>
      </c>
      <c r="C33" s="469">
        <f>IF(D33=TRUE,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
      </c>
      <c r="D33" s="479" t="b">
        <v>0</v>
      </c>
    </row>
    <row r="34">
      <c r="B34" s="492">
        <f>template_label_b7_waste_generated</f>
        <v/>
      </c>
      <c r="C34" s="469">
        <f>IF(D34=TRUE,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
      </c>
      <c r="D34" s="479" t="b">
        <v>0</v>
      </c>
    </row>
    <row r="35">
      <c r="B35" s="492">
        <f>template_label_b7_annual_mass_flow_of_relevant_materials_used</f>
        <v/>
      </c>
      <c r="C35" s="469">
        <f>IF(D35=TRUE, template_label_classified_or_sensitive_information,
IF(COUNTIF('Environmental Disclosures'!K435:K534, template_label_missing_value) &gt; 0,
    template_label_missing_value,
    IF(COUNTIF('Environmental Disclosures'!K435:K534, template_label_ok) &gt; 0,
        template_label_ok,
        "-"))
)</f>
        <v/>
      </c>
      <c r="D35" s="479" t="b">
        <v>0</v>
      </c>
    </row>
    <row r="36">
      <c r="B36" s="489">
        <f>template_label_social_disclosures_validation</f>
        <v/>
      </c>
      <c r="C36" s="447" t="n"/>
      <c r="D36" s="448" t="n"/>
    </row>
    <row r="37">
      <c r="B37" s="488">
        <f>template_label_b8_workforce_general_characteristics_validation</f>
        <v/>
      </c>
      <c r="C37" s="469">
        <f>IF(D37=TRUE, template_label_classified_or_sensitive_information,
IF(COUNTIF(C38:C41, template_label_error_plus_missing_value_plus_value_inconsistency) &gt; 0, template_label_error_plus_missing_value_plus_value_inconsistency,
IF(COUNTIF(C38:C41, template_label_error_plus_value_inconsistency) &gt; 0, template_label_error_plus_value_inconsistency,
IF(COUNTIF(C38:C41, template_label_error_plus_missing_value) &gt; 0, template_label_error_plus_missing_value,
IF(COUNTIF(C38:C41, template_label_error) &gt; 0, template_label_error,
IF(COUNTIF(C38:C41, template_label_missing_value_plus_value_inconsistency) &gt; 0, template_label_missing_value_plus_value_inconsistency,
IF(COUNTIF(C38:C41, template_label_value_inconsistency) &gt; 0, template_label_value_inconsistency,
IF(COUNTIF(C38:C41, template_label_missing_value) &gt; 0, template_label_missing_value,
IF(COUNTIF(C38:C41, template_label_ok) = ROWS(C38:C41), template_label_ok,
IF(COUNTIF(C38:C41, "-") = ROWS(C38:C41), "-",
IF(AND(COUNTIF(C38:C41,template_label_ok)&gt;0, COUNTIF(C38:C41,template_label_error_plus_missing_value_plus_value_inconsistency)=0, COUNTIF(C38:C41,template_label_error_plus_value_inconsistency)=0, COUNTIF(C38:C41,template_label_error_plus_missing_value)=0, COUNTIF(C38:C41,template_label_error)=0, COUNTIF(C38:C41,template_label_missing_value_plus_value_inconsistency)=0, COUNTIF(C38:C41,template_label_value_inconsistency)=0, COUNTIF(C38:C41,template_label_missing_value)=0,OR(COUNTIF(C38:C41,template_label_missing_value)=0, COUNTIF(C38:C41,template_label_missing_value)&gt;0)), template_label_ok,
"-")))))))))
))</f>
        <v/>
      </c>
      <c r="D37" s="475">
        <f>IF(COUNTIF(D38:D41,TRUE)=ROWS(D38:D41),TRUE,FALSE)</f>
        <v/>
      </c>
    </row>
    <row r="38">
      <c r="B38" s="492">
        <f>template_label_b8_workforce_general_characteristics_type_of_contract</f>
        <v/>
      </c>
      <c r="C38" s="469">
        <f>IF(D38=TRUE, template_label_classified_or_sensitive_information,
IF(COUNTIF('Social Disclosures'!H10, template_label_missing_value) &gt; 0,
    template_label_missing_value,
    IF(COUNTIF('Social Disclosures'!H10, template_label_ok) &gt; 0,
        template_label_ok,
        "-"))
)</f>
        <v/>
      </c>
      <c r="D38" s="479" t="b">
        <v>0</v>
      </c>
    </row>
    <row r="39">
      <c r="B39" s="492">
        <f>template_label_b8_workforce_general_characteristics_gender</f>
        <v/>
      </c>
      <c r="C39" s="469">
        <f>IF(D39=TRUE,template_label_classified_or_sensitive_information,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
      </c>
      <c r="D39" s="479" t="b">
        <v>0</v>
      </c>
    </row>
    <row r="40">
      <c r="B40" s="492">
        <f>template_label_b8_workforce_general_characteristics_country_of_employment</f>
        <v/>
      </c>
      <c r="C40" s="469">
        <f>IF(D40=TRUE, template_label_classified_or_sensitive_information,
IF(COUNTIF('Social Disclosures'!I29:I128, template_label_missing_value) &gt; 0,
    template_label_missing_value,
    IF(COUNTIF('Social Disclosures'!I29:I128, template_label_ok) &gt; 0,
        template_label_ok,
        "-"))
)</f>
        <v/>
      </c>
      <c r="D40" s="479" t="b">
        <v>0</v>
      </c>
    </row>
    <row r="41">
      <c r="B41" s="492">
        <f>template_label_b8_workforce_general_characteristics_turnover_rate</f>
        <v/>
      </c>
      <c r="C41" s="469">
        <f>IF(D41=TRUE, template_label_classified_or_sensitive_information,
IF(COUNTIF('Social Disclosures'!I134:I136, template_label_missing_value) &gt; 0,
    template_label_missing_value,
    IF(COUNTIF('Social Disclosures'!I134:I136, template_label_ok) &gt; 0,
        template_label_ok,
        "-"))
)</f>
        <v/>
      </c>
      <c r="D41" s="479" t="b">
        <v>0</v>
      </c>
    </row>
    <row r="42">
      <c r="B42" s="491">
        <f>template_label_b9_workforce_health_and_safety_validation</f>
        <v/>
      </c>
      <c r="C42" s="469">
        <f>IF(D42=TRUE, template_label_classified_or_sensitive_information,
IF(COUNTIF('Social Disclosures'!I140:I144, template_label_missing_value) &gt; 0,
    template_label_missing_value,
    IF(COUNTIF('Social Disclosures'!I140:I144, template_label_ok) &gt; 0,
        template_label_ok,
        "-"))
)</f>
        <v/>
      </c>
      <c r="D42" s="479" t="b">
        <v>0</v>
      </c>
    </row>
    <row r="43">
      <c r="B43" s="491">
        <f>template_label_b10_workforce_remuneration_collective_bargaining_and_training_validation</f>
        <v/>
      </c>
      <c r="C43" s="469">
        <f>IF(D43=TRUE,template_label_classified_or_sensitive_information,
IF(COUNTIF(C44:C45,template_label_error_plus_missing_value_plus_value_inconsistency)&gt;0,template_label_error_plus_missing_value_plus_value_inconsistency,
IF(COUNTIF(C44:C45,template_label_error_plus_value_inconsistency)&gt;0,template_label_error_plus_value_inconsistency,
IF(COUNTIF(C44:C45,template_label_error_plus_missing_value)&gt;0,template_label_error_plus_missing_value,
IF(COUNTIF(C44:C45,template_label_error)&gt;0,template_label_error,
IF(COUNTIF(C44:C45,template_label_missing_value_plus_value_inconsistency)&gt;0,template_label_missing_value_plus_value_inconsistency,
IF(COUNTIF(C44:C45,template_label_value_inconsistency)&gt;0,template_label_value_inconsistency,
IF(COUNTIF(C44:C45,template_label_missing_value)&gt;0,template_label_missing_value,
IF(COUNTIF(C44:C45,template_label_ok)=ROWS(C44:C45),template_label_ok,
IF(COUNTIF(C44:C45,"-")=ROWS(C44:C45),"-",
IF(AND(COUNTIF(C44:C45,template_label_ok)&gt;0,COUNTIF(C44:C45,template_label_error_plus_missing_value_plus_value_inconsistency)=0,COUNTIF(C44:C45,template_label_error_plus_value_inconsistency)=0,COUNTIF(C44:C45,template_label_error_plus_missing_value)=0,COUNTIF(C44:C45,template_label_error)=0,COUNTIF(C44:C45,template_label_missing_value_plus_value_inconsistency)=0,COUNTIF(C44:C45,template_label_value_inconsistency)=0,COUNTIF(C44:C45,template_label_missing_value)=0,OR(COUNTIF(C44:C45,template_label_missing_value)=0, COUNTIF(C44:C45,template_label_missing_value)&gt;0)),template_label_ok,
"-")))))))))))</f>
        <v/>
      </c>
      <c r="D43" s="475">
        <f>IF(COUNTIF(D44:D45,TRUE)=ROWS(D44:D45),TRUE,FALSE)</f>
        <v/>
      </c>
    </row>
    <row r="44">
      <c r="B44" s="492">
        <f>template_label_b10_workforce_remuneration_collective_bargaining</f>
        <v/>
      </c>
      <c r="C44" s="469">
        <f>IF(D44=TRUE, template_label_classified_or_sensitive_information,
IF(COUNTIF('Social Disclosures'!I147:I151, template_label_missing_value) &gt; 0,
    template_label_missing_value,
    IF(COUNTIF('Social Disclosures'!I147:I151, template_label_ok) &gt; 0,
        template_label_ok,
        "-"))
)</f>
        <v/>
      </c>
      <c r="D44" s="479" t="b">
        <v>0</v>
      </c>
    </row>
    <row r="45">
      <c r="B45" s="492">
        <f>template_label_number_of_annual_training_hours_per_employee_during_the_reporting_period</f>
        <v/>
      </c>
      <c r="C45" s="469">
        <f>IF(D45=TRUE, template_label_classified_or_sensitive_information,
IF(COUNTIF('Social Disclosures'!I157:I160, template_label_missing_value) &gt; 0,
    template_label_missing_value,
    IF(COUNTIF('Social Disclosures'!I157:I160, template_label_ok) &gt; 0,
        template_label_ok,
        "-"))
)</f>
        <v/>
      </c>
      <c r="D45" s="479" t="b">
        <v>0</v>
      </c>
    </row>
    <row r="46">
      <c r="B46" s="489">
        <f>template_label_governance_disclosures_validation</f>
        <v/>
      </c>
      <c r="C46" s="447" t="n"/>
      <c r="D46" s="448" t="n"/>
    </row>
    <row r="47" ht="15" customHeight="1" thickBot="1">
      <c r="B47" s="493">
        <f>template_label_b11_convictions_and_fines_for_corruption_and_bribery_validation</f>
        <v/>
      </c>
      <c r="C47" s="467">
        <f>IF(D47=TRUE, template_label_classified_or_sensitive_information,
IF(COUNTIF('Governance Disclosures'!I6:I7, template_label_missing_value) &gt; 0,
    template_label_missing_value,
    IF(COUNTIF('Governance Disclosures'!I6:I7, template_label_ok) &gt; 0,
        template_label_ok,
        "-"))
)</f>
        <v/>
      </c>
      <c r="D47" s="481" t="b">
        <v>0</v>
      </c>
    </row>
    <row r="48" ht="18" customHeight="1">
      <c r="B48" s="404">
        <f>template_label_comprehensive_module_validation</f>
        <v/>
      </c>
      <c r="C48" s="470" t="n"/>
      <c r="D48" s="449" t="n"/>
    </row>
    <row r="49">
      <c r="B49" s="487">
        <f>template_label_general_information_validation</f>
        <v/>
      </c>
      <c r="C49" s="447" t="n"/>
      <c r="D49" s="448" t="n"/>
    </row>
    <row r="50">
      <c r="B50" s="491">
        <f>template_label_c1_strategy_business_model_and_sustainability_related_initiatives_validation</f>
        <v/>
      </c>
      <c r="C50" s="469">
        <f>IF(D50=TRUE, template_label_classified_or_sensitive_information,
IF(COUNTIF('General Information'!H525:H529, template_label_missing_value) &gt; 0,
    template_label_missing_value,
    IF(COUNTIF('General Information'!H525:H529, template_label_ok) &gt; 0,
        template_label_ok,
        "-"))
)</f>
        <v/>
      </c>
      <c r="D50" s="479" t="b">
        <v>0</v>
      </c>
    </row>
    <row r="51">
      <c r="B51" s="491">
        <f>template_label_c2_description_of_practices_policies_and_future_initiatives_for_transitioning_towards_a_more_sustainable_economy_validation</f>
        <v/>
      </c>
      <c r="C51" s="469">
        <f>IF(D51=TRUE, template_label_classified_or_sensitive_information,
IF(COUNTIF('General Information'!H519:H521, template_label_missing_value) &gt; 0,
    template_label_missing_value,
    IF(COUNTIF('General Information'!H519:H521, template_label_ok) &gt; 0,
        template_label_ok,
        "-"))
)</f>
        <v/>
      </c>
      <c r="D51" s="479" t="b">
        <v>0</v>
      </c>
    </row>
    <row r="52">
      <c r="B52" s="489">
        <f>template_label_environmental_disclosures_validation</f>
        <v/>
      </c>
      <c r="C52" s="447" t="n"/>
      <c r="D52" s="448" t="n"/>
    </row>
    <row r="53">
      <c r="B53" s="488">
        <f>template_label_c3_ghg_reduction_targets_and_climate_transition_validation</f>
        <v/>
      </c>
      <c r="C53" s="469">
        <f>IF(D53=TRUE,template_label_classified_or_sensitive_information,
IF(COUNTIF(C54:C56,template_label_error_plus_missing_value_plus_value_inconsistency)&gt;0,template_label_error_plus_missing_value_plus_value_inconsistency,
IF(COUNTIF(C54:C56,template_label_error_plus_value_inconsistency)&gt;0,template_label_error_plus_value_inconsistency,
IF(COUNTIF(C54:C56,template_label_error_plus_missing_value)&gt;0,template_label_error_plus_missing_value,
IF(COUNTIF(C54:C56,template_label_error)&gt;0,template_label_error,
IF(COUNTIF(C54:C56,template_label_missing_value_plus_value_inconsistency)&gt;0,template_label_missing_value_plus_value_inconsistency,
IF(COUNTIF(C54:C56,template_label_value_inconsistency)&gt;0,template_label_value_inconsistency,
IF(COUNTIF(C54:C56,template_label_missing_value)&gt;0,template_label_missing_value,
IF(COUNTIF(C54:C56,template_label_ok)=ROWS(C54:C56),template_label_ok,
IF(COUNTIF(C54:C56,"-")=ROWS(C54:C56),"-",
IF(AND(COUNTIF(C54:C56,template_label_ok)&gt;0,
COUNTIF(C54:C56,template_label_error_plus_missing_value_plus_value_inconsistency)=0,
COUNTIF(C54:C56,template_label_error_plus_value_inconsistency)=0,
COUNTIF(C54:C56,template_label_error_plus_missing_value)=0,
COUNTIF(C54:C56,template_label_error)=0,
COUNTIF(C54:C56,template_label_missing_value_plus_value_inconsistency)=0,
COUNTIF(C54:C56,template_label_value_inconsistency)=0,
COUNTIF(C54:C56,template_label_missing_value)=0),
template_label_ok,
"-")))))))))))</f>
        <v/>
      </c>
      <c r="D53" s="475">
        <f>IF(COUNTIF(D54:D56,TRUE)=ROWS(D54:D56),TRUE,FALSE)</f>
        <v/>
      </c>
    </row>
    <row r="54">
      <c r="B54" s="492">
        <f>template_label_c3_ghg_reduction_targets</f>
        <v/>
      </c>
      <c r="C54" s="469">
        <f>IF(D54=TRUE,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
      </c>
      <c r="D54" s="479" t="b">
        <v>0</v>
      </c>
    </row>
    <row r="55">
      <c r="B55" s="492">
        <f>template_label_c3_disclosure_of_list_of_main_actions_the_entity_seeks_in_order_to_achieve_its_targets</f>
        <v/>
      </c>
      <c r="C55" s="469">
        <f>IF(D55=TRUE, template_label_classified_or_sensitive_information,
IF(COUNTIF('Environmental Disclosures'!L52, template_label_missing_value) &gt; 0,
    template_label_missing_value,
    IF(COUNTIF('Environmental Disclosures'!L52, template_label_ok) &gt; 0,
        template_label_ok,
        "-"))
)</f>
        <v/>
      </c>
      <c r="D55" s="479" t="b">
        <v>0</v>
      </c>
    </row>
    <row r="56">
      <c r="B56" s="492">
        <f>template_label_c3_transition_plan_for_undertakings_operating_in_high_climate_impact_sectors</f>
        <v/>
      </c>
      <c r="C56" s="469">
        <f>IF(D56=TRUE,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
      </c>
      <c r="D56" s="479" t="b">
        <v>0</v>
      </c>
    </row>
    <row r="57">
      <c r="B57" s="491">
        <f>template_label_c4_climate_risks_validation</f>
        <v/>
      </c>
      <c r="C57" s="469">
        <f>IF(D57=TRUE, template_label_classified_or_sensitive_information,
IF(COUNTIF('Environmental Disclosures'!L540:L544, template_label_missing_value) &gt; 0,
    template_label_missing_value,
    IF(COUNTIF('Environmental Disclosures'!L540:L544, template_label_ok) &gt; 0,
        template_label_ok,
        "-"))
)</f>
        <v/>
      </c>
      <c r="D57" s="479" t="b">
        <v>0</v>
      </c>
    </row>
    <row r="58">
      <c r="B58" s="489">
        <f>template_label_social_disclosures_validation</f>
        <v/>
      </c>
      <c r="C58" s="447" t="n"/>
      <c r="D58" s="448" t="n"/>
    </row>
    <row r="59">
      <c r="B59" s="491">
        <f>template_label_c5_additional_general_workforce_characteristics_validation</f>
        <v/>
      </c>
      <c r="C59" s="469">
        <f>IF(D59=TRUE, template_label_classified_or_sensitive_information,
IF(COUNTIF('Social Disclosures'!I165:I169, template_label_ok) &gt; 0,
    template_label_ok,
    "-")
)</f>
        <v/>
      </c>
      <c r="D59" s="479" t="b">
        <v>0</v>
      </c>
    </row>
    <row r="60">
      <c r="B60" s="491">
        <f>template_label_c6_additional_own_workforce_information_human_rights_policies_and_processes_validation</f>
        <v/>
      </c>
      <c r="C60" s="469">
        <f>IF(D60=TRUE,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
      </c>
      <c r="D60" s="479" t="b">
        <v>0</v>
      </c>
    </row>
    <row r="61">
      <c r="B61" s="494">
        <f>template_label_c7_severe_negative_human_rights_incidents_validation</f>
        <v/>
      </c>
      <c r="C61" s="472">
        <f>IF(D61=TRUE,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
      </c>
      <c r="D61" s="479" t="b">
        <v>0</v>
      </c>
    </row>
    <row r="62">
      <c r="B62" s="490">
        <f>template_label_governance_disclosures_validation</f>
        <v/>
      </c>
      <c r="C62" s="473" t="n"/>
      <c r="D62" s="448" t="n"/>
    </row>
    <row r="63">
      <c r="B63" s="488">
        <f>template_label_c8_revenues_from_certain_sectors_and_exclusion_from_eu_reference_benchmarks_validation</f>
        <v/>
      </c>
      <c r="C63" s="469">
        <f>IF(D63=TRUE,template_label_classified_or_sensitive_information,
IF(COUNTIF(C64:C65,template_label_error_plus_missing_value_plus_value_inconsistency)&gt;0,template_label_error_plus_missing_value_plus_value_inconsistency,
IF(COUNTIF(C64:C65,template_label_error_plus_value_inconsistency)&gt;0,template_label_error_plus_value_inconsistency,
IF(COUNTIF(C64:C65,template_label_error_plus_missing_value)&gt;0,template_label_error_plus_missing_value,
IF(COUNTIF(C64:C65,template_label_error)&gt;0,template_label_error,
IF(COUNTIF(C64:C65,template_label_missing_value_plus_value_inconsistency)&gt;0,template_label_missing_value_plus_value_inconsistency,
IF(COUNTIF(C64:C65,template_label_value_inconsistency)&gt;0,template_label_value_inconsistency,
IF(COUNTIF(C64:C65,template_label_missing_value)&gt;0,template_label_missing_value,
IF(COUNTIF(C64:C65,template_label_ok)=ROWS(C64:C65),template_label_ok,
IF(COUNTIF(C64:C65,"-")=ROWS(C64:C65),"-",
IF(AND(COUNTIF(C64:C65,template_label_ok)&gt;0,
COUNTIF(C64:C65,template_label_error_plus_missing_value_plus_value_inconsistency)=0,
COUNTIF(C64:C65,template_label_error_plus_value_inconsistency)=0,
COUNTIF(C64:C65,template_label_error_plus_missing_value)=0,
COUNTIF(C64:C65,template_label_error)=0,
COUNTIF(C64:C65,template_label_missing_value_plus_value_inconsistency)=0,
COUNTIF(C64:C65,template_label_value_inconsistency)=0,
COUNTIF(C64:C65,template_label_missing_value)=0),
template_label_ok,
"-")))))))))))</f>
        <v/>
      </c>
      <c r="D63" s="475">
        <f>IF(COUNTIF(D64:D65,TRUE)=ROWS(D64:D65),TRUE,FALSE)</f>
        <v/>
      </c>
    </row>
    <row r="64">
      <c r="B64" s="492">
        <f>template_label_c8_revenues_from_certain_sectors</f>
        <v/>
      </c>
      <c r="C64" s="469">
        <f>IF(D64=TRUE, template_label_classified_or_sensitive_information,
IF(COUNTIF('Governance Disclosures'!I12:I18, template_label_value_inconsistency) &gt; 0,
    template_label_value_inconsistency,
    IF(COUNTIF('Governance Disclosures'!I12:I18, template_label_ok) &gt; 0,
        template_label_ok,
        "-"))
)</f>
        <v/>
      </c>
      <c r="D64" s="479" t="b">
        <v>0</v>
      </c>
    </row>
    <row r="65">
      <c r="B65" s="492">
        <f>template_label_c8_exclusion_from_eu_reference_benchmarks</f>
        <v/>
      </c>
      <c r="C65" s="469">
        <f>IF(D65=TRUE, template_label_classified_or_sensitive_information,
IF(COUNTIF('Governance Disclosures'!I22:I26, template_label_missing_value) &gt; 0,
    template_label_missing_value,
    IF(COUNTIF('Governance Disclosures'!I22:I26, template_label_ok) &gt; 0,
        template_label_ok,
        "-"))
)</f>
        <v/>
      </c>
      <c r="D65" s="479" t="b">
        <v>0</v>
      </c>
    </row>
    <row r="66" ht="15" customHeight="1" thickBot="1">
      <c r="B66" s="491">
        <f>template_label_c9_gender_diversity_ratio_in_the_governance_body_validation</f>
        <v/>
      </c>
      <c r="C66" s="469">
        <f>IF(D66=TRUE, template_label_classified_or_sensitive_information,
IF(COUNTIF('Governance Disclosures'!I31:I32, template_label_missing_value) &gt; 0,
    template_label_missing_value,
    IF(COUNTIF('Governance Disclosures'!I31:I32, template_label_ok) &gt; 0,
        template_label_ok,
        "-"))
)</f>
        <v/>
      </c>
      <c r="D66" s="479" t="b">
        <v>0</v>
      </c>
    </row>
    <row r="67">
      <c r="B67" s="495">
        <f>template_label_additional_disclosures_validation</f>
        <v/>
      </c>
      <c r="C67" s="446" t="n"/>
      <c r="D67" s="480" t="n"/>
    </row>
    <row r="68">
      <c r="B68" s="491">
        <f>template_label_disclosure_of_any_other_general_and_or_entity_specific_information_on_the_reporting_period</f>
        <v/>
      </c>
      <c r="C68" s="469">
        <f>IF(D68=TRUE, template_label_classified_or_sensitive_information,
IF('General Information'!I533 = template_label_ok, template_label_ok, "-")
)</f>
        <v/>
      </c>
      <c r="D68" s="479" t="b">
        <v>0</v>
      </c>
    </row>
    <row r="69">
      <c r="B69" s="491">
        <f>template_label_disclosure_of_any_other_environmental_and_or_entity_specific_environmental_disclosures</f>
        <v/>
      </c>
      <c r="C69" s="469">
        <f>IF(D69=TRUE, template_label_classified_or_sensitive_information,
IF('Environmental Disclosures'!M548 = template_label_ok, template_label_ok, "-")
)</f>
        <v/>
      </c>
      <c r="D69" s="479" t="b">
        <v>0</v>
      </c>
    </row>
    <row r="70">
      <c r="B70" s="491">
        <f>template_label_disclosure_of_any_other_social_and_or_entity_specific_social_disclosures</f>
        <v/>
      </c>
      <c r="C70" s="469">
        <f>IF(D70=TRUE, template_label_classified_or_sensitive_information,
IF('Social Disclosures'!I200 = template_label_ok, template_label_ok, "-")
)</f>
        <v/>
      </c>
      <c r="D70" s="479" t="b">
        <v>0</v>
      </c>
    </row>
    <row r="71" ht="15" customHeight="1" thickBot="1">
      <c r="B71" s="493">
        <f>template_label_disclosure_of_any_other_governance_and_or_entity_specific_governance_disclosures</f>
        <v/>
      </c>
      <c r="C71" s="467">
        <f>IF(D71=TRUE, template_label_classified_or_sensitive_information,
IF('Governance Disclosures'!I38 = template_label_ok, template_label_ok, "-")
)</f>
        <v/>
      </c>
      <c r="D71" s="481" t="b">
        <v>0</v>
      </c>
    </row>
  </sheetData>
  <mergeCells count="2">
    <mergeCell ref="D3:D4"/>
    <mergeCell ref="B3:B4"/>
  </mergeCells>
  <conditionalFormatting sqref="B2:C2">
    <cfRule type="expression" priority="392" dxfId="1">
      <formula>B$47="INCOMPLETE"</formula>
    </cfRule>
    <cfRule type="expression" priority="393" dxfId="0">
      <formula>B$47="COMPLETE"</formula>
    </cfRule>
  </conditionalFormatting>
  <conditionalFormatting sqref="C3">
    <cfRule type="expression" priority="31" dxfId="1">
      <formula>$C$3=template_label_incomplete</formula>
    </cfRule>
    <cfRule type="expression" priority="32" dxfId="0">
      <formula>$C$3=template_label_complete</formula>
    </cfRule>
  </conditionalFormatting>
  <conditionalFormatting sqref="C6:C8 C10:C48 C50:C71">
    <cfRule type="expression" priority="1" dxfId="27">
      <formula>$C6=template_label_classified_or_sensitive_information</formula>
    </cfRule>
    <cfRule type="expression" priority="22" dxfId="1">
      <formula>$C6=template_label_value_inconsistency</formula>
    </cfRule>
    <cfRule type="expression" priority="23" dxfId="1">
      <formula>$C6=template_label_invalid_url</formula>
    </cfRule>
    <cfRule type="expression" priority="24" dxfId="1">
      <formula>$C6=template_label_error_plus_missing_value_plus_value_inconsistency</formula>
    </cfRule>
    <cfRule type="expression" priority="25" dxfId="1">
      <formula>$C6=template_label_error_plus_value_inconsistency</formula>
    </cfRule>
    <cfRule type="expression" priority="26" dxfId="1">
      <formula>$C6=template_label_error_plus_missing_value</formula>
    </cfRule>
    <cfRule type="expression" priority="27" dxfId="1">
      <formula>$C6=template_label_missing_value_plus_value_inconsistency</formula>
    </cfRule>
    <cfRule type="expression" priority="28" dxfId="1">
      <formula>$C6=template_label_missing_value</formula>
    </cfRule>
    <cfRule type="expression" priority="29" dxfId="1">
      <formula>$C6=template_label_error</formula>
    </cfRule>
    <cfRule type="expression" priority="30" dxfId="0">
      <formula>$C6=template_label_ok</formula>
    </cfRule>
  </conditionalFormatting>
  <conditionalFormatting sqref="D8:D9">
    <cfRule type="expression" priority="2" dxfId="1">
      <formula>$C8=template_label_value_inconsistency</formula>
    </cfRule>
    <cfRule type="expression" priority="3" dxfId="1">
      <formula>$C8=template_label_invalid_url</formula>
    </cfRule>
    <cfRule type="expression" priority="4" dxfId="1">
      <formula>$C8=template_label_error_plus_missing_value_plus_value_inconsistency</formula>
    </cfRule>
    <cfRule type="expression" priority="5" dxfId="1">
      <formula>$C8=template_label_error_plus_value_inconsistency</formula>
    </cfRule>
    <cfRule type="expression" priority="6" dxfId="1">
      <formula>$C8=template_label_error_plus_missing_value</formula>
    </cfRule>
    <cfRule type="expression" priority="7" dxfId="1">
      <formula>$C8=template_label_missing_value_plus_value_inconsistency</formula>
    </cfRule>
    <cfRule type="expression" priority="8" dxfId="1">
      <formula>$C8=template_label_missing_value</formula>
    </cfRule>
    <cfRule type="expression" priority="9" dxfId="1">
      <formula>$C8=template_label_error</formula>
    </cfRule>
    <cfRule type="expression" priority="10" dxfId="0">
      <formula>$C8=template_label_ok</formula>
    </cfRule>
  </conditionalFormatting>
  <conditionalFormatting sqref="D19">
    <cfRule type="expression" priority="11" dxfId="1">
      <formula>$C19=template_label_value_inconsistency</formula>
    </cfRule>
    <cfRule type="expression" priority="12" dxfId="1">
      <formula>$C19=template_label_invalid_url</formula>
    </cfRule>
    <cfRule type="expression" priority="13" dxfId="1">
      <formula>$C19=template_label_error_plus_missing_value_plus_value_inconsistency</formula>
    </cfRule>
    <cfRule type="expression" priority="14" dxfId="1">
      <formula>$C19=template_label_error_plus_value_inconsistency</formula>
    </cfRule>
    <cfRule type="expression" priority="15" dxfId="1">
      <formula>$C19=template_label_error_plus_missing_value</formula>
    </cfRule>
    <cfRule type="expression" priority="16" dxfId="1">
      <formula>$C19=template_label_missing_value_plus_value_inconsistency</formula>
    </cfRule>
    <cfRule type="expression" priority="17" dxfId="1">
      <formula>$C19=template_label_missing_value</formula>
    </cfRule>
    <cfRule type="expression" priority="18" dxfId="1">
      <formula>$C19=template_label_error</formula>
    </cfRule>
    <cfRule type="expression" priority="19" dxfId="0">
      <formula>$C19=template_label_ok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3" location="template_b1_list_of_subsidiaries" display="             List of subsidiaries"/>
    <hyperlink ref="B14" location="template_b1_disclosure_of_sustainability_related_certifications_or_labels" display="             Disclosure of sustainability-related certification(s) or label(s)"/>
    <hyperlink ref="B15" location="template_b1_list_of_sites" display="             List of site(s)"/>
    <hyperlink ref="B16" location="template_b2_practices_policies_and_future_initiatives_for_transitioning_towards_a_more_sustainable_economy" display="· B2 - Practices, policies and future initiatives for transitioning towards a more sustainable economy"/>
    <hyperlink ref="B17" location="template_b2_practices_policies_and_future_initiatives_for_transitioning_towards_a_more_sustainable_economy" display="             Practices, policies and future initiatives for transitioning towards a more sustainable economy"/>
    <hyperlink ref="B18" location="template_b2_cooperative_specific_disclosures" display="             Cooperative specific disclosures"/>
    <hyperlink ref="B19" location="'Environmental Disclosures'!A1" display="Environmental Disclosures"/>
    <hyperlink ref="B20" location="template_b3_total_energy_consumption_in_MWh" display="· B3 - Energy and greenhouse gas emissions"/>
    <hyperlink ref="B21" location="template_b3_total_energy_consumption_in_MWh" display="              Total Energy Consumption (in MWh)"/>
    <hyperlink ref="B22" location="template_b3_breakdown_of_energy_consumption_in_MWh" display="              Breakdown of energy consumption (in MWh)"/>
    <hyperlink ref="B23" location="template_b3_estimated_greenhouse_gas_emissions_considering_the_GHG_protocol_version_2004_in_tCO2e" display="              Estimated Greenhouse Gas Emissions considering the GHG Protocol Version 2004 (in tCO2e)"/>
    <hyperlink ref="B24" location="template_b3_greenhouse_gas_emission_intensity_per_turnover" display="              Greenhouse gas emission intensity per turnover"/>
    <hyperlink ref="B25" location="template_b4_pollution_of_air_water_and_soil" display="· B4 - Pollution of air, water and soil"/>
    <hyperlink ref="B26" location="template_B5_sites_in_biodiversity_sensitive_areas" display="· B5 - Biodiversity"/>
    <hyperlink ref="B27" location="template_B5_sites_in_biodiversity_sensitive_areas" display="             Sites in biodiversity sensitive areas"/>
    <hyperlink ref="B28" location="template_b5_biodiversity_land_use" display="             Biodiversity - Land-use"/>
    <hyperlink ref="B29" location="template_b6_water_withdrawal" display="· B6 - Water"/>
    <hyperlink ref="B30" location="template_b6_water_withdrawal" display="              Water Withdrawal"/>
    <hyperlink ref="B31" location="template_b6_water_consumption" display="              Water Consumption"/>
    <hyperlink ref="B32" location="template_b7_description_of_circular_economy_principles" display="· B7 - Resource use, circular economy and waste management"/>
    <hyperlink ref="B33" location="template_b7_description_of_circular_economy_principles" display="               Description of circular economy principles"/>
    <hyperlink ref="B34" location="template_b7_waste_generated" display="               Waste generated"/>
    <hyperlink ref="B35" location="template_b7_annual_mass_flow_of_relevant_materials_used" display="               Annual mass-flow of relevant materials used"/>
    <hyperlink ref="B36" location="'Social Disclosures'!A1" display="Social Disclosures"/>
    <hyperlink ref="B37" location="template_b8_workforce_general_characteristics_type_of_contract" display="· B8 - Workforce - General characteristics"/>
    <hyperlink ref="B38" location="template_b8_workforce_general_characteristics_type_of_contract" display="              Type of contract"/>
    <hyperlink ref="B39" location="template_b8_workforce_general_characteristics_gender" display="              Gender"/>
    <hyperlink ref="B40" location="template_b8_workforce_general_characteristics_country_of_employment" display="              Country of employment"/>
    <hyperlink ref="B41" location="template_b8_workforce_general_characteristics_turnover_rate" display="              Turnover rate"/>
    <hyperlink ref="B42" location="template_b9_workforce_health_and_safety" display="· B9 - Workforce – Health and safety"/>
    <hyperlink ref="B43" location="template_b10_workforce_remuneration_collective_bargaining_and_training" display="· B10 - Workforce – Remuneration, collective bargaining and training "/>
    <hyperlink ref="B44" location="'Table of Contents &amp; Validation'!C146" display="'Table of Contents &amp; Validation'!C146"/>
    <hyperlink ref="B45" location="'Table of Contents &amp; Validation'!C154" display="'Table of Contents &amp; Validation'!C154"/>
    <hyperlink ref="B46" location="'Governance Disclosures'!A1" display="Governance Disclosures"/>
    <hyperlink ref="B47" location="template_b11_convictions_and_fines_for_corruption_and_bribery" display="· B11 - Convictions and fines for corruption and bribery"/>
    <hyperlink ref="B49" location="'General Information'!A1" display="General Information"/>
    <hyperlink ref="B50" location="template_c1_strategy_business_model_and_sustainability" display="· C1 - Strategy: Business Model and Sustainability – Related Initiatives"/>
    <hyperlink ref="B51" location="template_c2_description_of_practices_policies_and_future_initiatives_for_transitioning_towards_a_more_sustainable_economy" display="· C2 - Description of practices, policies and future initiatives for transitioning towards a more sustainable economy"/>
    <hyperlink ref="B52" location="'Environmental Disclosures'!A1" display="Environmental Disclosures"/>
    <hyperlink ref="B53" location="template_c3_GHG_reduction_targets_in_tC02e" display="· C3 - GHG reduction targets and climate transition"/>
    <hyperlink ref="B54" location="template_c3_GHG_reduction_targets_in_tC02e" display="              GHG reduction targets (in tC02e)"/>
    <hyperlink ref="B55" location="template_c3_disclosure_of_list_of_main_actions_the_entity_seeks_in_order_to_achieve_its_targets" display="              Disclosure of list of main actions the entity seeks in order  to achieve its targets"/>
    <hyperlink ref="B56" location="template_c3_transition_plan_for_undertakings_operating_in_high_climate_impact_sectors" display="              Transition plan for undertakings operating in high climate impact sectors"/>
    <hyperlink ref="B57" location="template_c4_climate_risks" display="· C4 - Climate risks"/>
    <hyperlink ref="B58" location="'Social Disclosures'!A1" display="Social Disclosures"/>
    <hyperlink ref="B59" location="template_c5_additional_general_workforce_characteristics" display="· C5 - Additional (general) workforce characteristics"/>
    <hyperlink ref="B60" location="template_c6_additional_own_workforce_information_human_rights_policies_and_processes" display="· C6 - Additional own workforce information - Human rights policies and processes"/>
    <hyperlink ref="B61" location="template_c7_severe_negative_human_rights_incidents" display="· C7 - Severe negative human rights incidents"/>
    <hyperlink ref="B62" location="'Governance Disclosures'!A1" display="Governance Disclosures"/>
    <hyperlink ref="B63" location="template_c8_revenues_from_certain_sectors" display="· C8 - Revenues from certain sectors and exclusion from EU reference benchmarks"/>
    <hyperlink ref="B64" location="template_c8_revenues_from_certain_sectors" display="              Revenues from certain sectors"/>
    <hyperlink ref="B65" location="template_c8_exclusion_from_EU_reference_benchmarks" display="              Exclusion from EU reference benchmarks"/>
    <hyperlink ref="B66" location="template_c9_gender_diversity_ratio_in_the_governance_body" display="· C9 - Gender diversity ratio in the governance body"/>
    <hyperlink ref="B68" location="template_disclosure_of_any_other_general_and_or_entity_specific_information_on_the_reporting_period" display="· Disclosure of any other general and/or entity specific information on the reporting period"/>
    <hyperlink ref="B69" location="template_disclosure_of_any_other_environmental_and_or_entity_specific_enviromental_disclosures" display="· Disclosure of any other environmental and/or entity specific enviromental disclosures"/>
    <hyperlink ref="B70" location="template_disclosure_of_any_other_social_and_or_entity_specific_social_disclosures" display="· Disclosure of any other social and/or entity specific social disclosures"/>
    <hyperlink ref="B71"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33"/>
  <sheetViews>
    <sheetView showGridLines="0" zoomScaleNormal="100" workbookViewId="0">
      <selection activeCell="D13" sqref="D13:E13"/>
    </sheetView>
  </sheetViews>
  <sheetFormatPr baseColWidth="8" defaultColWidth="8.88671875" defaultRowHeight="14.4" outlineLevelRow="2"/>
  <cols>
    <col width="10.33203125" bestFit="1" customWidth="1" min="1" max="1"/>
    <col width="10" bestFit="1" customWidth="1" min="2" max="2"/>
    <col width="54.88671875" customWidth="1" min="3" max="3"/>
    <col width="56.33203125" customWidth="1" min="4" max="4"/>
    <col width="41.33203125" customWidth="1" min="5" max="5"/>
    <col width="31.6640625" customWidth="1" style="2" min="6" max="6"/>
    <col width="13.5546875" bestFit="1" customWidth="1" min="7" max="7"/>
    <col width="91.6640625" customWidth="1" min="8" max="8"/>
    <col width="13.33203125"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406">
        <f>template_label_paragraph_reference</f>
        <v/>
      </c>
      <c r="B1" s="406">
        <f>template_label_paragraph_guidance_reference</f>
        <v/>
      </c>
    </row>
    <row r="2" ht="14.4" customHeight="1" thickBot="1">
      <c r="B2" s="87" t="n"/>
      <c r="C2" s="599">
        <f>template_label_information_on_the_report_necessary_for_xbrl &amp; " " &amp; template_label_always_to_be_reported</f>
        <v/>
      </c>
      <c r="D2" s="1120" t="n"/>
      <c r="E2" s="1121" t="n"/>
    </row>
    <row r="3" ht="14.4" customHeight="1">
      <c r="B3" s="87" t="n"/>
      <c r="C3" s="436">
        <f>template_label_name_of_the_reporting_entity</f>
        <v/>
      </c>
      <c r="D3" s="605" t="inlineStr">
        <is>
          <t>Company XYZ</t>
        </is>
      </c>
      <c r="E3" s="1122" t="n"/>
      <c r="F3" s="598">
        <f>IF(D3 = "", template_label_missing_value, template_label_ok)</f>
        <v/>
      </c>
    </row>
    <row r="4" ht="14.4" customHeight="1">
      <c r="B4" s="87" t="n"/>
      <c r="C4" s="115">
        <f>template_label_identifier_of_the_reporting_entity</f>
        <v/>
      </c>
      <c r="D4" s="326" t="inlineStr">
        <is>
          <t>LEI</t>
        </is>
      </c>
      <c r="E4" s="56" t="inlineStr">
        <is>
          <t>TestCode1234</t>
        </is>
      </c>
      <c r="F4" s="598">
        <f>IF(OR(D4 = "", E4 = ""), template_label_missing_value, template_label_ok)</f>
        <v/>
      </c>
      <c r="G4">
        <f>template_label_identifier_warning</f>
        <v/>
      </c>
    </row>
    <row r="5" ht="14.4" customHeight="1" thickBot="1">
      <c r="C5" s="5">
        <f>template_label_currency_of_the_monetary_values_in_the_report</f>
        <v/>
      </c>
      <c r="D5" s="606" t="inlineStr">
        <is>
          <t>EUR</t>
        </is>
      </c>
      <c r="E5" s="1123" t="n"/>
      <c r="F5" s="598">
        <f>IF(D5 = "", template_label_missing_value, template_label_ok)</f>
        <v/>
      </c>
      <c r="H5" s="52" t="n"/>
    </row>
    <row r="6" ht="14.4" customHeight="1">
      <c r="C6" s="220">
        <f>template_label_starting_year</f>
        <v/>
      </c>
      <c r="D6" s="592" t="n">
        <v>2024</v>
      </c>
      <c r="E6" s="1122" t="n"/>
      <c r="F6" s="598">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552">
        <f>template_label_date_warning</f>
        <v/>
      </c>
    </row>
    <row r="7" ht="14.4" customHeight="1">
      <c r="C7" s="125">
        <f>template_label_starting_month</f>
        <v/>
      </c>
      <c r="D7" s="607" t="n">
        <v>1</v>
      </c>
      <c r="E7" s="1124" t="n"/>
    </row>
    <row r="8" ht="14.4" customHeight="1">
      <c r="C8" s="125">
        <f>template_label_starting_day</f>
        <v/>
      </c>
      <c r="D8" s="587" t="n">
        <v>1</v>
      </c>
      <c r="E8" s="1124" t="n"/>
    </row>
    <row r="9" ht="14.4" customHeight="1" thickBot="1">
      <c r="C9" s="112">
        <f>template_label_reporting_period_start_date</f>
        <v/>
      </c>
      <c r="D9" s="591">
        <f>IF(OR(ISBLANK(D6), ISBLANK(D7), ISBLANK(D8)), "-", D6 &amp; "-" &amp; TEXT(D7, "00") &amp; "-" &amp; TEXT(D8, "00"))</f>
        <v/>
      </c>
      <c r="E9" s="1125" t="n"/>
      <c r="H9" s="52" t="n"/>
    </row>
    <row r="10" ht="14.4" customHeight="1">
      <c r="C10" s="220">
        <f>template_label_ending_year</f>
        <v/>
      </c>
      <c r="D10" s="592" t="n">
        <v>2024</v>
      </c>
      <c r="E10" s="1122" t="n"/>
      <c r="F10" s="598">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552">
        <f>template_label_date_warning</f>
        <v/>
      </c>
    </row>
    <row r="11" ht="14.4" customHeight="1">
      <c r="C11" s="125">
        <f>template_label_ending_month</f>
        <v/>
      </c>
      <c r="D11" s="593" t="n">
        <v>12</v>
      </c>
      <c r="E11" s="1124" t="n"/>
    </row>
    <row r="12" ht="14.4" customHeight="1">
      <c r="C12" s="125" t="inlineStr">
        <is>
          <t>Ending day</t>
        </is>
      </c>
      <c r="D12" s="594" t="n">
        <v>31</v>
      </c>
      <c r="E12" s="1124" t="n"/>
    </row>
    <row r="13" ht="14.4" customHeight="1" thickBot="1">
      <c r="B13" s="87" t="n"/>
      <c r="C13" s="112">
        <f>template_label_reporting_period_end_date</f>
        <v/>
      </c>
      <c r="D13" s="591">
        <f>IF(OR(ISBLANK(D10), ISBLANK(D11), ISBLANK(D12)), "-", D10 &amp; "-" &amp; TEXT(D11, "00") &amp; "-" &amp; TEXT(D12, "00"))</f>
        <v/>
      </c>
      <c r="E13" s="1125" t="n"/>
      <c r="F13" s="598" t="n"/>
    </row>
    <row r="14">
      <c r="B14" s="87" t="n"/>
      <c r="C14" s="88" t="n"/>
      <c r="D14" s="88" t="n"/>
      <c r="E14" s="89" t="n"/>
      <c r="F14" s="598" t="n"/>
    </row>
    <row r="15" ht="15" customHeight="1" thickBot="1">
      <c r="B15" s="87" t="n"/>
      <c r="E15" s="12" t="n"/>
    </row>
    <row r="16" ht="15" customHeight="1" thickBot="1">
      <c r="B16" s="87" t="n"/>
      <c r="C16" s="601">
        <f>template_label_information_on_previous_reporting_period</f>
        <v/>
      </c>
      <c r="D16" s="1120" t="n"/>
      <c r="E16" s="1120" t="n"/>
    </row>
    <row r="17">
      <c r="B17" s="87" t="n"/>
      <c r="C17" s="604" t="n">
        <v>16</v>
      </c>
      <c r="F17" s="221" t="n"/>
    </row>
    <row r="18" ht="14.4" customHeight="1">
      <c r="C18" s="603">
        <f>template_label_disclosures_from_the_previous_reporting_period_that_remain_unchanged</f>
        <v/>
      </c>
      <c r="D18" s="199" t="n"/>
      <c r="E18" s="57" t="b">
        <v>1</v>
      </c>
      <c r="F18" s="598">
        <f>IF(E18 = FALSE, "", template_label_ok)</f>
        <v/>
      </c>
    </row>
    <row r="19" ht="14.4" customHeight="1">
      <c r="C19" s="597">
        <f>template_label_disclosures_for_which_no_changes_are_reported_compared_to_the_previous_period_reporting</f>
        <v/>
      </c>
      <c r="D19" s="1115" t="n"/>
      <c r="E19" s="764" t="inlineStr">
        <is>
          <t>B2 – Practices, policies and future initiatives for transitioning towards a more sustainable economy</t>
        </is>
      </c>
      <c r="F19" s="598">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E20" s="59" t="inlineStr">
        <is>
          <t>B3 – Energy and greenhouse gas emissions</t>
        </is>
      </c>
      <c r="F20" s="598">
        <f>IF($E$18 = FALSE, "",
IF(E20 = "", "",
IF(COUNTIF($E$19:$E$118, E20) &gt; 1, template_label_value_inconsistency, template_label_ok)))</f>
        <v/>
      </c>
    </row>
    <row r="21" ht="14.4" customHeight="1">
      <c r="C21" s="8" t="n"/>
      <c r="E21" s="59" t="n"/>
      <c r="F21" s="598">
        <f>IF($E$18 = FALSE, "",
IF(E21 = "", "",
IF(COUNTIF($E$19:$E$118, E21) &gt; 1, template_label_value_inconsistency, template_label_ok)))</f>
        <v/>
      </c>
    </row>
    <row r="22" hidden="1" outlineLevel="2" ht="14.4" customHeight="1">
      <c r="C22" s="8" t="n"/>
      <c r="E22" s="59" t="n"/>
      <c r="F22" s="598">
        <f>IF($E$18 = FALSE, "",
IF(E22 = "", "",
IF(COUNTIF($E$19:$E$118, E22) &gt; 1, template_label_value_inconsistency, template_label_ok)))</f>
        <v/>
      </c>
    </row>
    <row r="23" hidden="1" outlineLevel="2" ht="14.4" customHeight="1" thickBot="1">
      <c r="C23" s="8" t="n"/>
      <c r="E23" s="59" t="n"/>
      <c r="F23" s="598">
        <f>IF($E$18 = FALSE, "",
IF(E23 = "", "",
IF(COUNTIF($E$19:$E$118, E23) &gt; 1, template_label_value_inconsistency, template_label_ok)))</f>
        <v/>
      </c>
    </row>
    <row r="24" hidden="1" outlineLevel="2" ht="14.4" customHeight="1" thickBot="1">
      <c r="C24" s="8" t="n"/>
      <c r="E24" s="59" t="n"/>
      <c r="F24" s="598">
        <f>IF($E$18 = FALSE, "",
IF(E24 = "", "",
IF(COUNTIF($E$19:$E$118, E24) &gt; 1, template_label_value_inconsistency, template_label_ok)))</f>
        <v/>
      </c>
    </row>
    <row r="25" hidden="1" outlineLevel="2" ht="14.4" customHeight="1" thickBot="1">
      <c r="C25" s="8" t="n"/>
      <c r="E25" s="59" t="n"/>
      <c r="F25" s="598">
        <f>IF($E$18 = FALSE, "",
IF(E25 = "", "",
IF(COUNTIF($E$19:$E$118, E25) &gt; 1, template_label_value_inconsistency, template_label_ok)))</f>
        <v/>
      </c>
    </row>
    <row r="26" hidden="1" outlineLevel="2" ht="14.4" customHeight="1" thickBot="1">
      <c r="C26" s="8" t="n"/>
      <c r="E26" s="59" t="n"/>
      <c r="F26" s="598">
        <f>IF($E$18 = FALSE, "",
IF(E26 = "", "",
IF(COUNTIF($E$19:$E$118, E26) &gt; 1, template_label_value_inconsistency, template_label_ok)))</f>
        <v/>
      </c>
    </row>
    <row r="27" hidden="1" outlineLevel="2" ht="14.4" customHeight="1" thickBot="1">
      <c r="C27" s="8" t="n"/>
      <c r="E27" s="59" t="n"/>
      <c r="F27" s="598">
        <f>IF($E$18 = FALSE, "",
IF(E27 = "", "",
IF(COUNTIF($E$19:$E$118, E27) &gt; 1, template_label_value_inconsistency, template_label_ok)))</f>
        <v/>
      </c>
    </row>
    <row r="28" hidden="1" outlineLevel="2" ht="14.4" customHeight="1" thickBot="1">
      <c r="C28" s="8" t="n"/>
      <c r="E28" s="59" t="n"/>
      <c r="F28" s="598" t="n"/>
    </row>
    <row r="29" hidden="1" outlineLevel="2" ht="14.4" customHeight="1" thickBot="1">
      <c r="C29" s="8" t="n"/>
      <c r="E29" s="59" t="n"/>
      <c r="F29" s="598" t="n"/>
    </row>
    <row r="30" hidden="1" outlineLevel="2" ht="14.4" customHeight="1" thickBot="1">
      <c r="C30" s="8" t="n"/>
      <c r="E30" s="59" t="n"/>
      <c r="F30" s="598" t="n"/>
    </row>
    <row r="31" hidden="1" outlineLevel="2" ht="14.4" customHeight="1" thickBot="1">
      <c r="C31" s="8" t="n"/>
      <c r="E31" s="59" t="n"/>
      <c r="F31" s="598" t="n"/>
    </row>
    <row r="32" hidden="1" outlineLevel="2" ht="14.4" customHeight="1" thickBot="1">
      <c r="C32" s="8" t="n"/>
      <c r="E32" s="59" t="n"/>
      <c r="F32" s="598" t="n"/>
    </row>
    <row r="33" hidden="1" outlineLevel="2" ht="14.4" customHeight="1" thickBot="1">
      <c r="C33" s="8" t="n"/>
      <c r="E33" s="59" t="n"/>
      <c r="F33" s="598" t="n"/>
    </row>
    <row r="34" hidden="1" outlineLevel="2" ht="14.4" customHeight="1" thickBot="1">
      <c r="C34" s="8" t="n"/>
      <c r="E34" s="59" t="n"/>
      <c r="F34" s="598" t="n"/>
    </row>
    <row r="35" hidden="1" outlineLevel="2" ht="14.4" customHeight="1" thickBot="1">
      <c r="C35" s="8" t="n"/>
      <c r="E35" s="59" t="n"/>
      <c r="F35" s="598" t="n"/>
    </row>
    <row r="36" hidden="1" outlineLevel="2" ht="14.4" customHeight="1" thickBot="1">
      <c r="C36" s="8" t="n"/>
      <c r="E36" s="59" t="n"/>
      <c r="F36" s="598" t="n"/>
    </row>
    <row r="37" hidden="1" outlineLevel="2" ht="14.4" customHeight="1" thickBot="1">
      <c r="C37" s="8" t="n"/>
      <c r="E37" s="59" t="n"/>
      <c r="F37" s="598" t="n"/>
    </row>
    <row r="38" hidden="1" outlineLevel="2" ht="14.4" customHeight="1" thickBot="1">
      <c r="C38" s="8" t="n"/>
      <c r="E38" s="59" t="n"/>
      <c r="F38" s="598" t="n"/>
    </row>
    <row r="39" hidden="1" outlineLevel="2" ht="14.4" customHeight="1" thickBot="1">
      <c r="C39" s="8" t="n"/>
      <c r="E39" s="59" t="n"/>
      <c r="F39" s="598" t="n"/>
    </row>
    <row r="40" hidden="1" outlineLevel="2" ht="14.4" customHeight="1" thickBot="1">
      <c r="C40" s="8" t="n"/>
      <c r="E40" s="59" t="n"/>
      <c r="F40" s="598" t="n"/>
    </row>
    <row r="41" hidden="1" outlineLevel="2" ht="14.4" customHeight="1" thickBot="1">
      <c r="C41" s="8" t="n"/>
      <c r="E41" s="59" t="n"/>
      <c r="F41" s="598" t="n"/>
    </row>
    <row r="42" hidden="1" outlineLevel="2" ht="14.4" customHeight="1" thickBot="1">
      <c r="C42" s="8" t="n"/>
      <c r="E42" s="59" t="n"/>
      <c r="F42" s="598" t="n"/>
    </row>
    <row r="43" hidden="1" outlineLevel="2" ht="14.4" customHeight="1" thickBot="1">
      <c r="C43" s="8" t="n"/>
      <c r="E43" s="59" t="n"/>
      <c r="F43" s="598" t="n"/>
    </row>
    <row r="44" hidden="1" outlineLevel="2" ht="14.4" customHeight="1" thickBot="1">
      <c r="C44" s="8" t="n"/>
      <c r="E44" s="59" t="n"/>
      <c r="F44" s="598" t="n"/>
    </row>
    <row r="45" hidden="1" outlineLevel="2" ht="14.4" customHeight="1" thickBot="1">
      <c r="C45" s="8" t="n"/>
      <c r="E45" s="59" t="n"/>
      <c r="F45" s="598" t="n"/>
    </row>
    <row r="46" hidden="1" outlineLevel="2" ht="14.4" customHeight="1" thickBot="1">
      <c r="C46" s="8" t="n"/>
      <c r="E46" s="59" t="n"/>
      <c r="F46" s="598" t="n"/>
    </row>
    <row r="47" hidden="1" outlineLevel="2" ht="14.4" customHeight="1" thickBot="1">
      <c r="C47" s="8" t="n"/>
      <c r="E47" s="59" t="n"/>
      <c r="F47" s="598" t="n"/>
    </row>
    <row r="48" hidden="1" outlineLevel="2" ht="14.4" customHeight="1" thickBot="1">
      <c r="C48" s="8" t="n"/>
      <c r="E48" s="59" t="n"/>
      <c r="F48" s="598" t="n"/>
    </row>
    <row r="49" hidden="1" outlineLevel="2" ht="14.4" customHeight="1" thickBot="1">
      <c r="C49" s="8" t="n"/>
      <c r="E49" s="59" t="n"/>
      <c r="F49" s="598" t="n"/>
    </row>
    <row r="50" hidden="1" outlineLevel="2" ht="14.4" customHeight="1" thickBot="1">
      <c r="C50" s="8" t="n"/>
      <c r="E50" s="59" t="n"/>
      <c r="F50" s="598" t="n"/>
    </row>
    <row r="51" hidden="1" outlineLevel="2" ht="14.4" customHeight="1" thickBot="1">
      <c r="C51" s="8" t="n"/>
      <c r="E51" s="59" t="n"/>
      <c r="F51" s="598" t="n"/>
    </row>
    <row r="52" hidden="1" outlineLevel="2" ht="14.4" customHeight="1" thickBot="1">
      <c r="C52" s="8" t="n"/>
      <c r="E52" s="59" t="n"/>
      <c r="F52" s="598" t="n"/>
    </row>
    <row r="53" hidden="1" outlineLevel="2" ht="14.4" customHeight="1" thickBot="1">
      <c r="C53" s="8" t="n"/>
      <c r="E53" s="59" t="n"/>
      <c r="F53" s="598" t="n"/>
    </row>
    <row r="54" hidden="1" outlineLevel="2" ht="14.4" customHeight="1" thickBot="1">
      <c r="C54" s="8" t="n"/>
      <c r="E54" s="59" t="n"/>
      <c r="F54" s="598" t="n"/>
    </row>
    <row r="55" hidden="1" outlineLevel="2" ht="14.4" customHeight="1" thickBot="1">
      <c r="C55" s="8" t="n"/>
      <c r="E55" s="59" t="n"/>
      <c r="F55" s="598" t="n"/>
    </row>
    <row r="56" hidden="1" outlineLevel="2" ht="14.4" customHeight="1" thickBot="1">
      <c r="C56" s="8" t="n"/>
      <c r="E56" s="59" t="n"/>
      <c r="F56" s="598" t="n"/>
    </row>
    <row r="57" hidden="1" outlineLevel="2" ht="14.4" customHeight="1" thickBot="1">
      <c r="C57" s="8" t="n"/>
      <c r="E57" s="59" t="n"/>
      <c r="F57" s="598" t="n"/>
    </row>
    <row r="58" hidden="1" outlineLevel="2" ht="14.4" customHeight="1" thickBot="1">
      <c r="C58" s="8" t="n"/>
      <c r="E58" s="59" t="n"/>
      <c r="F58" s="598" t="n"/>
    </row>
    <row r="59" hidden="1" outlineLevel="2" ht="14.4" customHeight="1" thickBot="1">
      <c r="C59" s="8" t="n"/>
      <c r="E59" s="59" t="n"/>
      <c r="F59" s="598" t="n"/>
    </row>
    <row r="60" hidden="1" outlineLevel="2" ht="14.4" customHeight="1" thickBot="1">
      <c r="C60" s="8" t="n"/>
      <c r="E60" s="59" t="n"/>
      <c r="F60" s="598" t="n"/>
    </row>
    <row r="61" hidden="1" outlineLevel="2" ht="14.4" customHeight="1" thickBot="1">
      <c r="C61" s="8" t="n"/>
      <c r="E61" s="59" t="n"/>
      <c r="F61" s="598" t="n"/>
    </row>
    <row r="62" hidden="1" outlineLevel="2" ht="14.4" customHeight="1" thickBot="1">
      <c r="C62" s="8" t="n"/>
      <c r="E62" s="59" t="n"/>
      <c r="F62" s="598" t="n"/>
    </row>
    <row r="63" hidden="1" outlineLevel="2" ht="14.4" customHeight="1" thickBot="1">
      <c r="C63" s="8" t="n"/>
      <c r="E63" s="59" t="n"/>
      <c r="F63" s="598" t="n"/>
    </row>
    <row r="64" hidden="1" outlineLevel="2" ht="14.4" customHeight="1" thickBot="1">
      <c r="C64" s="8" t="n"/>
      <c r="E64" s="59" t="n"/>
      <c r="F64" s="598" t="n"/>
    </row>
    <row r="65" hidden="1" outlineLevel="2" ht="14.4" customHeight="1" thickBot="1">
      <c r="C65" s="8" t="n"/>
      <c r="E65" s="59" t="n"/>
      <c r="F65" s="598" t="n"/>
    </row>
    <row r="66" hidden="1" outlineLevel="2" ht="14.4" customHeight="1" thickBot="1">
      <c r="C66" s="8" t="n"/>
      <c r="E66" s="59" t="n"/>
      <c r="F66" s="598" t="n"/>
    </row>
    <row r="67" hidden="1" outlineLevel="2" ht="14.4" customHeight="1" thickBot="1">
      <c r="C67" s="8" t="n"/>
      <c r="E67" s="59" t="n"/>
      <c r="F67" s="598" t="n"/>
    </row>
    <row r="68" hidden="1" outlineLevel="2" ht="14.4" customHeight="1" thickBot="1">
      <c r="C68" s="8" t="n"/>
      <c r="E68" s="59" t="n"/>
      <c r="F68" s="598" t="n"/>
    </row>
    <row r="69" hidden="1" outlineLevel="2" ht="14.4" customHeight="1" thickBot="1">
      <c r="C69" s="8" t="n"/>
      <c r="E69" s="59" t="n"/>
      <c r="F69" s="598" t="n"/>
    </row>
    <row r="70" hidden="1" outlineLevel="2" ht="14.4" customHeight="1" thickBot="1">
      <c r="C70" s="8" t="n"/>
      <c r="E70" s="59" t="n"/>
      <c r="F70" s="598" t="n"/>
    </row>
    <row r="71" hidden="1" outlineLevel="2" ht="14.4" customHeight="1" thickBot="1">
      <c r="C71" s="8" t="n"/>
      <c r="E71" s="59" t="n"/>
      <c r="F71" s="598" t="n"/>
    </row>
    <row r="72" hidden="1" outlineLevel="2" ht="14.4" customHeight="1" thickBot="1">
      <c r="C72" s="8" t="n"/>
      <c r="E72" s="59" t="n"/>
      <c r="F72" s="598" t="n"/>
    </row>
    <row r="73" hidden="1" outlineLevel="2" ht="14.4" customHeight="1" thickBot="1">
      <c r="C73" s="8" t="n"/>
      <c r="E73" s="59" t="n"/>
      <c r="F73" s="598" t="n"/>
    </row>
    <row r="74" hidden="1" outlineLevel="2" ht="14.4" customHeight="1" thickBot="1">
      <c r="C74" s="8" t="n"/>
      <c r="E74" s="59" t="n"/>
      <c r="F74" s="598" t="n"/>
    </row>
    <row r="75" hidden="1" outlineLevel="2" ht="14.4" customHeight="1" thickBot="1">
      <c r="C75" s="8" t="n"/>
      <c r="E75" s="59" t="n"/>
      <c r="F75" s="598" t="n"/>
    </row>
    <row r="76" hidden="1" outlineLevel="2" ht="14.4" customHeight="1" thickBot="1">
      <c r="C76" s="8" t="n"/>
      <c r="E76" s="59" t="n"/>
      <c r="F76" s="598" t="n"/>
    </row>
    <row r="77" hidden="1" outlineLevel="2" ht="14.4" customHeight="1" thickBot="1">
      <c r="C77" s="8" t="n"/>
      <c r="E77" s="59" t="n"/>
      <c r="F77" s="598" t="n"/>
    </row>
    <row r="78" hidden="1" outlineLevel="2" ht="14.4" customHeight="1" thickBot="1">
      <c r="C78" s="8" t="n"/>
      <c r="E78" s="59" t="n"/>
      <c r="F78" s="598" t="n"/>
    </row>
    <row r="79" hidden="1" outlineLevel="2" ht="14.4" customHeight="1" thickBot="1">
      <c r="C79" s="8" t="n"/>
      <c r="E79" s="59" t="n"/>
      <c r="F79" s="598" t="n"/>
    </row>
    <row r="80" hidden="1" outlineLevel="2" ht="14.4" customHeight="1" thickBot="1">
      <c r="C80" s="8" t="n"/>
      <c r="E80" s="59" t="n"/>
      <c r="F80" s="598" t="n"/>
    </row>
    <row r="81" hidden="1" outlineLevel="2" ht="14.4" customHeight="1" thickBot="1">
      <c r="C81" s="8" t="n"/>
      <c r="E81" s="59" t="n"/>
      <c r="F81" s="598" t="n"/>
    </row>
    <row r="82" hidden="1" outlineLevel="2" ht="14.4" customHeight="1" thickBot="1">
      <c r="C82" s="8" t="n"/>
      <c r="E82" s="59" t="n"/>
      <c r="F82" s="598" t="n"/>
    </row>
    <row r="83" hidden="1" outlineLevel="2" ht="14.4" customHeight="1" thickBot="1">
      <c r="C83" s="8" t="n"/>
      <c r="E83" s="59" t="n"/>
      <c r="F83" s="598" t="n"/>
    </row>
    <row r="84" hidden="1" outlineLevel="2" ht="14.4" customHeight="1" thickBot="1">
      <c r="C84" s="8" t="n"/>
      <c r="E84" s="59" t="n"/>
      <c r="F84" s="598" t="n"/>
    </row>
    <row r="85" hidden="1" outlineLevel="2" ht="14.4" customHeight="1" thickBot="1">
      <c r="C85" s="8" t="n"/>
      <c r="E85" s="59" t="n"/>
      <c r="F85" s="598" t="n"/>
    </row>
    <row r="86" hidden="1" outlineLevel="2" ht="14.4" customHeight="1" thickBot="1">
      <c r="C86" s="8" t="n"/>
      <c r="E86" s="59" t="n"/>
      <c r="F86" s="598" t="n"/>
    </row>
    <row r="87" hidden="1" outlineLevel="2" ht="14.4" customHeight="1" thickBot="1">
      <c r="C87" s="8" t="n"/>
      <c r="E87" s="59" t="n"/>
      <c r="F87" s="598" t="n"/>
    </row>
    <row r="88" hidden="1" outlineLevel="2" ht="14.4" customHeight="1" thickBot="1">
      <c r="C88" s="8" t="n"/>
      <c r="E88" s="59" t="n"/>
      <c r="F88" s="598" t="n"/>
    </row>
    <row r="89" hidden="1" outlineLevel="2" ht="14.4" customHeight="1" thickBot="1">
      <c r="C89" s="8" t="n"/>
      <c r="E89" s="59" t="n"/>
      <c r="F89" s="598" t="n"/>
    </row>
    <row r="90" hidden="1" outlineLevel="2" ht="14.4" customHeight="1" thickBot="1">
      <c r="C90" s="8" t="n"/>
      <c r="E90" s="59" t="n"/>
      <c r="F90" s="598" t="n"/>
    </row>
    <row r="91" hidden="1" outlineLevel="2" ht="14.4" customHeight="1" thickBot="1">
      <c r="C91" s="8" t="n"/>
      <c r="E91" s="59" t="n"/>
      <c r="F91" s="598" t="n"/>
    </row>
    <row r="92" hidden="1" outlineLevel="2" ht="14.4" customHeight="1" thickBot="1">
      <c r="C92" s="8" t="n"/>
      <c r="E92" s="59" t="n"/>
      <c r="F92" s="598" t="n"/>
    </row>
    <row r="93" hidden="1" outlineLevel="2" ht="14.4" customHeight="1" thickBot="1">
      <c r="C93" s="8" t="n"/>
      <c r="E93" s="59" t="n"/>
      <c r="F93" s="598" t="n"/>
    </row>
    <row r="94" hidden="1" outlineLevel="2" ht="14.4" customHeight="1" thickBot="1">
      <c r="C94" s="8" t="n"/>
      <c r="E94" s="59" t="n"/>
      <c r="F94" s="598" t="n"/>
    </row>
    <row r="95" hidden="1" outlineLevel="2" ht="14.4" customHeight="1" thickBot="1">
      <c r="C95" s="8" t="n"/>
      <c r="E95" s="59" t="n"/>
      <c r="F95" s="598" t="n"/>
    </row>
    <row r="96" hidden="1" outlineLevel="2" ht="14.4" customHeight="1" thickBot="1">
      <c r="C96" s="8" t="n"/>
      <c r="E96" s="59" t="n"/>
      <c r="F96" s="598" t="n"/>
    </row>
    <row r="97" hidden="1" outlineLevel="2" ht="14.4" customHeight="1" thickBot="1">
      <c r="C97" s="8" t="n"/>
      <c r="E97" s="59" t="n"/>
      <c r="F97" s="598" t="n"/>
    </row>
    <row r="98" hidden="1" outlineLevel="2" ht="14.4" customHeight="1" thickBot="1">
      <c r="C98" s="8" t="n"/>
      <c r="E98" s="59" t="n"/>
      <c r="F98" s="598" t="n"/>
    </row>
    <row r="99" hidden="1" outlineLevel="2" ht="14.4" customHeight="1" thickBot="1">
      <c r="C99" s="8" t="n"/>
      <c r="E99" s="59" t="n"/>
      <c r="F99" s="598" t="n"/>
    </row>
    <row r="100" hidden="1" outlineLevel="2" ht="14.4" customHeight="1" thickBot="1">
      <c r="C100" s="8" t="n"/>
      <c r="E100" s="59" t="n"/>
      <c r="F100" s="598" t="n"/>
    </row>
    <row r="101" hidden="1" outlineLevel="2" ht="14.4" customHeight="1" thickBot="1">
      <c r="C101" s="8" t="n"/>
      <c r="E101" s="59" t="n"/>
      <c r="F101" s="598" t="n"/>
    </row>
    <row r="102" hidden="1" outlineLevel="2" ht="14.4" customHeight="1" thickBot="1">
      <c r="C102" s="8" t="n"/>
      <c r="E102" s="59" t="n"/>
      <c r="F102" s="598" t="n"/>
    </row>
    <row r="103" hidden="1" outlineLevel="2" ht="14.4" customHeight="1" thickBot="1">
      <c r="C103" s="8" t="n"/>
      <c r="E103" s="59" t="n"/>
      <c r="F103" s="598" t="n"/>
    </row>
    <row r="104" hidden="1" outlineLevel="2" ht="14.4" customHeight="1" thickBot="1">
      <c r="C104" s="8" t="n"/>
      <c r="E104" s="59" t="n"/>
      <c r="F104" s="598" t="n"/>
    </row>
    <row r="105" hidden="1" outlineLevel="2" ht="14.4" customHeight="1" thickBot="1">
      <c r="C105" s="8" t="n"/>
      <c r="E105" s="59" t="n"/>
      <c r="F105" s="598" t="n"/>
    </row>
    <row r="106" hidden="1" outlineLevel="2" ht="14.4" customHeight="1" thickBot="1">
      <c r="C106" s="8" t="n"/>
      <c r="E106" s="59" t="n"/>
      <c r="F106" s="598" t="n"/>
    </row>
    <row r="107" hidden="1" outlineLevel="2" ht="14.4" customHeight="1" thickBot="1">
      <c r="C107" s="8" t="n"/>
      <c r="E107" s="59" t="n"/>
      <c r="F107" s="598" t="n"/>
    </row>
    <row r="108" hidden="1" outlineLevel="2" ht="14.4" customHeight="1" thickBot="1">
      <c r="C108" s="8" t="n"/>
      <c r="E108" s="59" t="n"/>
      <c r="F108" s="598" t="n"/>
    </row>
    <row r="109" hidden="1" outlineLevel="2" ht="14.4" customHeight="1" thickBot="1">
      <c r="C109" s="8" t="n"/>
      <c r="E109" s="59" t="n"/>
      <c r="F109" s="598" t="n"/>
    </row>
    <row r="110" hidden="1" outlineLevel="2" ht="14.4" customHeight="1" thickBot="1">
      <c r="C110" s="8" t="n"/>
      <c r="E110" s="59" t="n"/>
      <c r="F110" s="598" t="n"/>
    </row>
    <row r="111" hidden="1" outlineLevel="2" ht="14.4" customHeight="1" thickBot="1">
      <c r="C111" s="8" t="n"/>
      <c r="E111" s="59" t="n"/>
      <c r="F111" s="598" t="n"/>
    </row>
    <row r="112" hidden="1" outlineLevel="2" ht="14.4" customHeight="1" thickBot="1">
      <c r="C112" s="8" t="n"/>
      <c r="E112" s="59" t="n"/>
      <c r="F112" s="598" t="n"/>
    </row>
    <row r="113" hidden="1" outlineLevel="2" ht="14.4" customHeight="1" thickBot="1">
      <c r="C113" s="8" t="n"/>
      <c r="E113" s="59" t="n"/>
      <c r="F113" s="598" t="n"/>
    </row>
    <row r="114" hidden="1" outlineLevel="2" ht="14.4" customHeight="1" thickBot="1">
      <c r="C114" s="8" t="n"/>
      <c r="E114" s="59" t="n"/>
      <c r="F114" s="598" t="n"/>
    </row>
    <row r="115" hidden="1" outlineLevel="2" ht="14.4" customHeight="1" thickBot="1">
      <c r="C115" s="8" t="n"/>
      <c r="E115" s="59" t="n"/>
      <c r="F115" s="598" t="n"/>
    </row>
    <row r="116" hidden="1" outlineLevel="2" ht="14.4" customHeight="1" thickBot="1">
      <c r="C116" s="8" t="n"/>
      <c r="E116" s="59" t="n"/>
      <c r="F116" s="598" t="n"/>
    </row>
    <row r="117" hidden="1" outlineLevel="2" ht="14.4" customHeight="1" thickBot="1">
      <c r="C117" s="8" t="n"/>
      <c r="E117" s="59" t="n"/>
      <c r="F117" s="598" t="n"/>
    </row>
    <row r="118" hidden="1" outlineLevel="2" ht="14.4" customHeight="1" thickBot="1">
      <c r="C118" s="8" t="n"/>
      <c r="E118" s="59" t="n"/>
      <c r="F118" s="598" t="n"/>
    </row>
    <row r="119" collapsed="1" ht="14.4" customHeight="1" thickBot="1">
      <c r="B119" s="90" t="n"/>
      <c r="C119" s="567">
        <f>template_label_link_to_previous_report_containing_disclosures_that_remain_unchanged</f>
        <v/>
      </c>
      <c r="D119" s="1125" t="n"/>
      <c r="E119" s="205" t="inlineStr">
        <is>
          <t>www.Test.Report.com</t>
        </is>
      </c>
      <c r="F119" s="598">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B120" s="91" t="n"/>
    </row>
    <row r="121" ht="17.7" customHeight="1" thickBot="1">
      <c r="C121" s="596">
        <f>template_label_b1_basis_for_preparation &amp; " " &amp; template_label_from &amp; " " &amp; template_starting_date_display &amp; " " &amp; template_label_to &amp; " " &amp; template_ending_date_display &amp; " " &amp; template_label_always_to_be_reported</f>
        <v/>
      </c>
      <c r="D121" s="1120" t="n"/>
      <c r="E121" s="1126" t="n"/>
    </row>
    <row r="122">
      <c r="A122" s="551" t="inlineStr">
        <is>
          <t>24(a)</t>
        </is>
      </c>
      <c r="B122" s="222" t="inlineStr">
        <is>
          <t>N/A</t>
        </is>
      </c>
      <c r="C122" s="602">
        <f>template_label_basis_for_preparation</f>
        <v/>
      </c>
      <c r="D122" s="198" t="n"/>
      <c r="E122" s="437" t="inlineStr">
        <is>
          <t>Option B (Basic Module and Comprehensive Module)</t>
        </is>
      </c>
      <c r="F122" s="598">
        <f>IF(
'Table of Contents &amp; Validation'!D11=TRUE, IF(E122 = "", "", template_label_ok),
IF(E122 = "", template_label_missing_value, template_label_ok)
)</f>
        <v/>
      </c>
    </row>
    <row r="123" ht="14.4" customHeight="1">
      <c r="A123" s="551" t="inlineStr">
        <is>
          <t>24(b)</t>
        </is>
      </c>
      <c r="B123" s="222" t="inlineStr">
        <is>
          <t>N/A</t>
        </is>
      </c>
      <c r="C123" s="1127">
        <f>template_label_list_of_omitted_disclosures_deemed_to_be_classified_or_sensitive_information</f>
        <v/>
      </c>
      <c r="D123" s="1115" t="n"/>
      <c r="E123" s="403">
        <f>_xlfn.XLOOKUP('Technical Sheet'!A28, 'Technical Sheet'!E106:E167, 'Table of Contents &amp; Validation'!B10:B71, "")</f>
        <v/>
      </c>
      <c r="F123" s="563">
        <f>template_label_bold_omitted_information</f>
        <v/>
      </c>
    </row>
    <row r="124" ht="14.4" customHeight="1">
      <c r="A124" s="450" t="n"/>
      <c r="B124" s="387" t="n"/>
      <c r="C124" s="8" t="n"/>
      <c r="E124" s="403">
        <f>_xlfn.XLOOKUP('Technical Sheet'!A29, 'Technical Sheet'!E107:E168, 'Table of Contents &amp; Validation'!B11:B72, "")</f>
        <v/>
      </c>
    </row>
    <row r="125" ht="14.4" customHeight="1">
      <c r="A125" s="450" t="n"/>
      <c r="B125" s="387" t="n"/>
      <c r="C125" s="8" t="n"/>
      <c r="E125" s="403">
        <f>_xlfn.XLOOKUP('Technical Sheet'!A30, 'Technical Sheet'!E108:E169, 'Table of Contents &amp; Validation'!B12:B73, "")</f>
        <v/>
      </c>
    </row>
    <row r="126" hidden="1" outlineLevel="1" ht="14.4" customHeight="1">
      <c r="A126" s="450" t="n"/>
      <c r="B126" s="387" t="n"/>
      <c r="C126" s="8" t="n"/>
      <c r="E126" s="403">
        <f>_xlfn.XLOOKUP('Technical Sheet'!A31, 'Technical Sheet'!E109:E170, 'Table of Contents &amp; Validation'!B13:B74, "")</f>
        <v/>
      </c>
    </row>
    <row r="127" hidden="1" outlineLevel="1" ht="14.4" customHeight="1">
      <c r="A127" s="450" t="n"/>
      <c r="B127" s="387" t="n"/>
      <c r="C127" s="8" t="n"/>
      <c r="E127" s="403">
        <f>_xlfn.XLOOKUP('Technical Sheet'!A32, 'Technical Sheet'!E110:E171, 'Table of Contents &amp; Validation'!B14:B75, "")</f>
        <v/>
      </c>
    </row>
    <row r="128" hidden="1" outlineLevel="1" ht="14.4" customHeight="1">
      <c r="A128" s="450" t="n"/>
      <c r="B128" s="387" t="n"/>
      <c r="C128" s="8" t="n"/>
      <c r="E128" s="403">
        <f>_xlfn.XLOOKUP('Technical Sheet'!A33, 'Technical Sheet'!E111:E172, 'Table of Contents &amp; Validation'!B15:B76, "")</f>
        <v/>
      </c>
    </row>
    <row r="129" hidden="1" outlineLevel="1" ht="14.4" customHeight="1">
      <c r="A129" s="450" t="n"/>
      <c r="B129" s="387" t="n"/>
      <c r="C129" s="8" t="n"/>
      <c r="E129" s="403">
        <f>_xlfn.XLOOKUP('Technical Sheet'!A34, 'Technical Sheet'!E112:E173, 'Table of Contents &amp; Validation'!B16:B77, "")</f>
        <v/>
      </c>
    </row>
    <row r="130" hidden="1" outlineLevel="1" ht="14.4" customHeight="1">
      <c r="A130" s="450" t="n"/>
      <c r="B130" s="387" t="n"/>
      <c r="C130" s="8" t="n"/>
      <c r="E130" s="403">
        <f>_xlfn.XLOOKUP('Technical Sheet'!A35, 'Technical Sheet'!E113:E174, 'Table of Contents &amp; Validation'!B17:B78, "")</f>
        <v/>
      </c>
    </row>
    <row r="131" hidden="1" outlineLevel="1" ht="14.4" customHeight="1">
      <c r="A131" s="450" t="n"/>
      <c r="B131" s="387" t="n"/>
      <c r="C131" s="8" t="n"/>
      <c r="E131" s="403">
        <f>_xlfn.XLOOKUP('Technical Sheet'!A36, 'Technical Sheet'!E114:E175, 'Table of Contents &amp; Validation'!B18:B79, "")</f>
        <v/>
      </c>
    </row>
    <row r="132" hidden="1" outlineLevel="1" ht="14.4" customHeight="1">
      <c r="A132" s="450" t="n"/>
      <c r="B132" s="387" t="n"/>
      <c r="C132" s="8" t="n"/>
      <c r="E132" s="403">
        <f>_xlfn.XLOOKUP('Technical Sheet'!A37, 'Technical Sheet'!E115:E176, 'Table of Contents &amp; Validation'!B19:B80, "")</f>
        <v/>
      </c>
    </row>
    <row r="133" hidden="1" outlineLevel="1" ht="14.4" customHeight="1">
      <c r="A133" s="450" t="n"/>
      <c r="B133" s="387" t="n"/>
      <c r="C133" s="8" t="n"/>
      <c r="E133" s="403">
        <f>_xlfn.XLOOKUP('Technical Sheet'!A38, 'Technical Sheet'!E116:E177, 'Table of Contents &amp; Validation'!B20:B81, "")</f>
        <v/>
      </c>
    </row>
    <row r="134" hidden="1" outlineLevel="1" ht="14.4" customHeight="1">
      <c r="A134" s="450" t="n"/>
      <c r="B134" s="387" t="n"/>
      <c r="C134" s="8" t="n"/>
      <c r="E134" s="403">
        <f>_xlfn.XLOOKUP('Technical Sheet'!A39, 'Technical Sheet'!E117:E178, 'Table of Contents &amp; Validation'!B21:B82, "")</f>
        <v/>
      </c>
    </row>
    <row r="135" hidden="1" outlineLevel="1" ht="14.4" customHeight="1">
      <c r="A135" s="450" t="n"/>
      <c r="B135" s="387" t="n"/>
      <c r="C135" s="8" t="n"/>
      <c r="E135" s="403">
        <f>_xlfn.XLOOKUP('Technical Sheet'!A40, 'Technical Sheet'!E118:E179, 'Table of Contents &amp; Validation'!B22:B83, "")</f>
        <v/>
      </c>
    </row>
    <row r="136" hidden="1" outlineLevel="1" ht="14.4" customHeight="1">
      <c r="A136" s="450" t="n"/>
      <c r="B136" s="387" t="n"/>
      <c r="C136" s="8" t="n"/>
      <c r="E136" s="403">
        <f>_xlfn.XLOOKUP('Technical Sheet'!A41, 'Technical Sheet'!E119:E180, 'Table of Contents &amp; Validation'!B23:B84, "")</f>
        <v/>
      </c>
    </row>
    <row r="137" hidden="1" outlineLevel="1" ht="14.4" customHeight="1">
      <c r="A137" s="450" t="n"/>
      <c r="B137" s="387" t="n"/>
      <c r="C137" s="8" t="n"/>
      <c r="E137" s="403">
        <f>_xlfn.XLOOKUP('Technical Sheet'!A42, 'Technical Sheet'!E120:E181, 'Table of Contents &amp; Validation'!B24:B85, "")</f>
        <v/>
      </c>
    </row>
    <row r="138" hidden="1" outlineLevel="1" ht="14.4" customHeight="1">
      <c r="A138" s="450" t="n"/>
      <c r="B138" s="387" t="n"/>
      <c r="C138" s="8" t="n"/>
      <c r="E138" s="403">
        <f>_xlfn.XLOOKUP('Technical Sheet'!A43, 'Technical Sheet'!E121:E182, 'Table of Contents &amp; Validation'!B25:B86, "")</f>
        <v/>
      </c>
    </row>
    <row r="139" hidden="1" outlineLevel="1" ht="14.4" customHeight="1">
      <c r="A139" s="450" t="n"/>
      <c r="B139" s="387" t="n"/>
      <c r="C139" s="8" t="n"/>
      <c r="E139" s="403">
        <f>_xlfn.XLOOKUP('Technical Sheet'!A44, 'Technical Sheet'!E122:E183, 'Table of Contents &amp; Validation'!B26:B87, "")</f>
        <v/>
      </c>
    </row>
    <row r="140" hidden="1" outlineLevel="1" ht="14.4" customHeight="1">
      <c r="A140" s="450" t="n"/>
      <c r="B140" s="387" t="n"/>
      <c r="C140" s="8" t="n"/>
      <c r="E140" s="403">
        <f>_xlfn.XLOOKUP('Technical Sheet'!A45, 'Technical Sheet'!E123:E184, 'Table of Contents &amp; Validation'!B27:B88, "")</f>
        <v/>
      </c>
    </row>
    <row r="141" hidden="1" outlineLevel="1" ht="14.4" customHeight="1">
      <c r="A141" s="450" t="n"/>
      <c r="B141" s="387" t="n"/>
      <c r="C141" s="8" t="n"/>
      <c r="E141" s="403">
        <f>_xlfn.XLOOKUP('Technical Sheet'!A46, 'Technical Sheet'!E124:E185, 'Table of Contents &amp; Validation'!B28:B89, "")</f>
        <v/>
      </c>
    </row>
    <row r="142" hidden="1" outlineLevel="1" ht="14.4" customHeight="1">
      <c r="A142" s="450" t="n"/>
      <c r="B142" s="387" t="n"/>
      <c r="C142" s="8" t="n"/>
      <c r="E142" s="403">
        <f>_xlfn.XLOOKUP('Technical Sheet'!A47, 'Technical Sheet'!E125:E186, 'Table of Contents &amp; Validation'!B29:B90, "")</f>
        <v/>
      </c>
    </row>
    <row r="143" hidden="1" outlineLevel="1" ht="14.4" customHeight="1">
      <c r="A143" s="450" t="n"/>
      <c r="B143" s="387" t="n"/>
      <c r="C143" s="8" t="n"/>
      <c r="E143" s="403">
        <f>_xlfn.XLOOKUP('Technical Sheet'!A48, 'Technical Sheet'!E126:E187, 'Table of Contents &amp; Validation'!B30:B91, "")</f>
        <v/>
      </c>
    </row>
    <row r="144" hidden="1" outlineLevel="1" ht="14.4" customHeight="1">
      <c r="A144" s="450" t="n"/>
      <c r="B144" s="387" t="n"/>
      <c r="C144" s="8" t="n"/>
      <c r="E144" s="403">
        <f>_xlfn.XLOOKUP('Technical Sheet'!A49, 'Technical Sheet'!E127:E188, 'Table of Contents &amp; Validation'!B31:B92, "")</f>
        <v/>
      </c>
    </row>
    <row r="145" hidden="1" outlineLevel="1" ht="14.4" customHeight="1">
      <c r="A145" s="450" t="n"/>
      <c r="B145" s="387" t="n"/>
      <c r="C145" s="8" t="n"/>
      <c r="E145" s="403">
        <f>_xlfn.XLOOKUP('Technical Sheet'!A50, 'Technical Sheet'!E128:E189, 'Table of Contents &amp; Validation'!B32:B93, "")</f>
        <v/>
      </c>
    </row>
    <row r="146" hidden="1" outlineLevel="1" ht="14.4" customHeight="1">
      <c r="A146" s="450" t="n"/>
      <c r="B146" s="387" t="n"/>
      <c r="C146" s="8" t="n"/>
      <c r="E146" s="403">
        <f>_xlfn.XLOOKUP('Technical Sheet'!A51, 'Technical Sheet'!E129:E190, 'Table of Contents &amp; Validation'!B33:B94, "")</f>
        <v/>
      </c>
    </row>
    <row r="147" hidden="1" outlineLevel="1" ht="14.4" customHeight="1">
      <c r="A147" s="450" t="n"/>
      <c r="B147" s="387" t="n"/>
      <c r="C147" s="8" t="n"/>
      <c r="E147" s="403">
        <f>_xlfn.XLOOKUP('Technical Sheet'!A52, 'Technical Sheet'!E130:E191, 'Table of Contents &amp; Validation'!B34:B95, "")</f>
        <v/>
      </c>
    </row>
    <row r="148" hidden="1" outlineLevel="1" ht="14.4" customHeight="1">
      <c r="A148" s="450" t="n"/>
      <c r="B148" s="387" t="n"/>
      <c r="C148" s="8" t="n"/>
      <c r="E148" s="403">
        <f>_xlfn.XLOOKUP('Technical Sheet'!A53, 'Technical Sheet'!E131:E192, 'Table of Contents &amp; Validation'!B35:B96, "")</f>
        <v/>
      </c>
    </row>
    <row r="149" hidden="1" outlineLevel="1" ht="14.4" customHeight="1">
      <c r="A149" s="450" t="n"/>
      <c r="B149" s="387" t="n"/>
      <c r="C149" s="8" t="n"/>
      <c r="E149" s="403">
        <f>_xlfn.XLOOKUP('Technical Sheet'!A54, 'Technical Sheet'!E132:E193, 'Table of Contents &amp; Validation'!B36:B97, "")</f>
        <v/>
      </c>
    </row>
    <row r="150" hidden="1" outlineLevel="1" ht="14.4" customHeight="1">
      <c r="A150" s="450" t="n"/>
      <c r="B150" s="387" t="n"/>
      <c r="C150" s="8" t="n"/>
      <c r="E150" s="403">
        <f>_xlfn.XLOOKUP('Technical Sheet'!A55, 'Technical Sheet'!E133:E194, 'Table of Contents &amp; Validation'!B37:B98, "")</f>
        <v/>
      </c>
    </row>
    <row r="151" hidden="1" outlineLevel="1" ht="14.4" customHeight="1">
      <c r="A151" s="450" t="n"/>
      <c r="B151" s="387" t="n"/>
      <c r="C151" s="8" t="n"/>
      <c r="E151" s="403">
        <f>_xlfn.XLOOKUP('Technical Sheet'!A56, 'Technical Sheet'!E134:E195, 'Table of Contents &amp; Validation'!B38:B99, "")</f>
        <v/>
      </c>
    </row>
    <row r="152" hidden="1" outlineLevel="1" ht="14.4" customHeight="1">
      <c r="A152" s="450" t="n"/>
      <c r="B152" s="387" t="n"/>
      <c r="C152" s="8" t="n"/>
      <c r="E152" s="403">
        <f>_xlfn.XLOOKUP('Technical Sheet'!A57, 'Technical Sheet'!E135:E196, 'Table of Contents &amp; Validation'!B39:B100, "")</f>
        <v/>
      </c>
    </row>
    <row r="153" hidden="1" outlineLevel="1" ht="14.4" customHeight="1">
      <c r="A153" s="450" t="n"/>
      <c r="B153" s="387" t="n"/>
      <c r="C153" s="8" t="n"/>
      <c r="E153" s="403">
        <f>_xlfn.XLOOKUP('Technical Sheet'!A58, 'Technical Sheet'!E136:E197, 'Table of Contents &amp; Validation'!B40:B101, "")</f>
        <v/>
      </c>
    </row>
    <row r="154" hidden="1" outlineLevel="1" ht="14.4" customHeight="1">
      <c r="A154" s="450" t="n"/>
      <c r="B154" s="387" t="n"/>
      <c r="C154" s="8" t="n"/>
      <c r="E154" s="403">
        <f>_xlfn.XLOOKUP('Technical Sheet'!A59, 'Technical Sheet'!E137:E198, 'Table of Contents &amp; Validation'!B41:B102, "")</f>
        <v/>
      </c>
    </row>
    <row r="155" hidden="1" outlineLevel="1" ht="14.4" customHeight="1">
      <c r="A155" s="450" t="n"/>
      <c r="B155" s="387" t="n"/>
      <c r="C155" s="8" t="n"/>
      <c r="E155" s="403">
        <f>_xlfn.XLOOKUP('Technical Sheet'!A60, 'Technical Sheet'!E138:E199, 'Table of Contents &amp; Validation'!B42:B103, "")</f>
        <v/>
      </c>
    </row>
    <row r="156" hidden="1" outlineLevel="1" ht="14.4" customHeight="1">
      <c r="A156" s="450" t="n"/>
      <c r="B156" s="387" t="n"/>
      <c r="C156" s="8" t="n"/>
      <c r="E156" s="403">
        <f>_xlfn.XLOOKUP('Technical Sheet'!A61, 'Technical Sheet'!E139:E200, 'Table of Contents &amp; Validation'!B43:B104, "")</f>
        <v/>
      </c>
    </row>
    <row r="157" hidden="1" outlineLevel="1" ht="14.4" customHeight="1">
      <c r="A157" s="450" t="n"/>
      <c r="B157" s="387" t="n"/>
      <c r="C157" s="8" t="n"/>
      <c r="E157" s="403">
        <f>_xlfn.XLOOKUP('Technical Sheet'!A62, 'Technical Sheet'!E140:E201, 'Table of Contents &amp; Validation'!B44:B105, "")</f>
        <v/>
      </c>
    </row>
    <row r="158" hidden="1" outlineLevel="1" ht="14.4" customHeight="1">
      <c r="A158" s="450" t="n"/>
      <c r="B158" s="387" t="n"/>
      <c r="C158" s="8" t="n"/>
      <c r="E158" s="403">
        <f>_xlfn.XLOOKUP('Technical Sheet'!A63, 'Technical Sheet'!E141:E202, 'Table of Contents &amp; Validation'!B45:B106, "")</f>
        <v/>
      </c>
    </row>
    <row r="159" hidden="1" outlineLevel="1" ht="14.4" customHeight="1">
      <c r="A159" s="450" t="n"/>
      <c r="B159" s="387" t="n"/>
      <c r="C159" s="8" t="n"/>
      <c r="E159" s="403">
        <f>_xlfn.XLOOKUP('Technical Sheet'!A64, 'Technical Sheet'!E142:E203, 'Table of Contents &amp; Validation'!B46:B107, "")</f>
        <v/>
      </c>
    </row>
    <row r="160" hidden="1" outlineLevel="1" ht="14.4" customHeight="1">
      <c r="A160" s="450" t="n"/>
      <c r="B160" s="387" t="n"/>
      <c r="C160" s="8" t="n"/>
      <c r="E160" s="403">
        <f>_xlfn.XLOOKUP('Technical Sheet'!A65, 'Technical Sheet'!E143:E204, 'Table of Contents &amp; Validation'!B47:B108, "")</f>
        <v/>
      </c>
    </row>
    <row r="161" hidden="1" outlineLevel="1" ht="14.4" customHeight="1">
      <c r="A161" s="450" t="n"/>
      <c r="B161" s="387" t="n"/>
      <c r="C161" s="8" t="n"/>
      <c r="E161" s="403">
        <f>_xlfn.XLOOKUP('Technical Sheet'!A66, 'Technical Sheet'!E144:E205, 'Table of Contents &amp; Validation'!B48:B109, "")</f>
        <v/>
      </c>
    </row>
    <row r="162" hidden="1" outlineLevel="1" ht="14.4" customHeight="1">
      <c r="A162" s="450" t="n"/>
      <c r="B162" s="387" t="n"/>
      <c r="C162" s="8" t="n"/>
      <c r="E162" s="403">
        <f>_xlfn.XLOOKUP('Technical Sheet'!A67, 'Technical Sheet'!E145:E206, 'Table of Contents &amp; Validation'!B49:B110, "")</f>
        <v/>
      </c>
    </row>
    <row r="163" hidden="1" outlineLevel="1" ht="14.4" customHeight="1">
      <c r="A163" s="450" t="n"/>
      <c r="B163" s="387" t="n"/>
      <c r="C163" s="8" t="n"/>
      <c r="E163" s="403">
        <f>_xlfn.XLOOKUP('Technical Sheet'!A68, 'Technical Sheet'!E146:E207, 'Table of Contents &amp; Validation'!B50:B111, "")</f>
        <v/>
      </c>
    </row>
    <row r="164" hidden="1" outlineLevel="1" ht="14.4" customHeight="1">
      <c r="A164" s="450" t="n"/>
      <c r="B164" s="387" t="n"/>
      <c r="C164" s="8" t="n"/>
      <c r="E164" s="403">
        <f>_xlfn.XLOOKUP('Technical Sheet'!A69, 'Technical Sheet'!E147:E208, 'Table of Contents &amp; Validation'!B51:B112, "")</f>
        <v/>
      </c>
    </row>
    <row r="165" hidden="1" outlineLevel="1" ht="14.4" customHeight="1">
      <c r="A165" s="450" t="n"/>
      <c r="B165" s="387" t="n"/>
      <c r="C165" s="8" t="n"/>
      <c r="E165" s="403">
        <f>_xlfn.XLOOKUP('Technical Sheet'!A70, 'Technical Sheet'!E148:E209, 'Table of Contents &amp; Validation'!B52:B113, "")</f>
        <v/>
      </c>
    </row>
    <row r="166" hidden="1" outlineLevel="1" ht="14.4" customHeight="1">
      <c r="A166" s="450" t="n"/>
      <c r="B166" s="387" t="n"/>
      <c r="C166" s="8" t="n"/>
      <c r="E166" s="403">
        <f>_xlfn.XLOOKUP('Technical Sheet'!A71, 'Technical Sheet'!E149:E210, 'Table of Contents &amp; Validation'!B53:B114, "")</f>
        <v/>
      </c>
    </row>
    <row r="167" hidden="1" outlineLevel="1" ht="14.4" customHeight="1">
      <c r="A167" s="450" t="n"/>
      <c r="B167" s="387" t="n"/>
      <c r="C167" s="8" t="n"/>
      <c r="E167" s="403">
        <f>_xlfn.XLOOKUP('Technical Sheet'!A72, 'Technical Sheet'!E150:E211, 'Table of Contents &amp; Validation'!B54:B115, "")</f>
        <v/>
      </c>
    </row>
    <row r="168" hidden="1" outlineLevel="1" ht="14.4" customHeight="1">
      <c r="A168" s="450" t="n"/>
      <c r="B168" s="387" t="n"/>
      <c r="C168" s="8" t="n"/>
      <c r="E168" s="403">
        <f>_xlfn.XLOOKUP('Technical Sheet'!A73, 'Technical Sheet'!E151:E212, 'Table of Contents &amp; Validation'!B55:B116, "")</f>
        <v/>
      </c>
    </row>
    <row r="169" hidden="1" outlineLevel="1" ht="14.4" customHeight="1">
      <c r="A169" s="450" t="n"/>
      <c r="B169" s="387" t="n"/>
      <c r="C169" s="8" t="n"/>
      <c r="E169" s="403">
        <f>_xlfn.XLOOKUP('Technical Sheet'!A74, 'Technical Sheet'!E152:E213, 'Table of Contents &amp; Validation'!B56:B117, "")</f>
        <v/>
      </c>
    </row>
    <row r="170" hidden="1" outlineLevel="1" ht="14.4" customHeight="1">
      <c r="A170" s="450" t="n"/>
      <c r="B170" s="387" t="n"/>
      <c r="C170" s="8" t="n"/>
      <c r="E170" s="403">
        <f>_xlfn.XLOOKUP('Technical Sheet'!A75, 'Technical Sheet'!E153:E214, 'Table of Contents &amp; Validation'!B57:B118, "")</f>
        <v/>
      </c>
    </row>
    <row r="171" hidden="1" outlineLevel="1" ht="14.4" customHeight="1">
      <c r="A171" s="450" t="n"/>
      <c r="B171" s="387" t="n"/>
      <c r="C171" s="8" t="n"/>
      <c r="E171" s="403">
        <f>_xlfn.XLOOKUP('Technical Sheet'!A76, 'Technical Sheet'!E154:E215, 'Table of Contents &amp; Validation'!B58:B119, "")</f>
        <v/>
      </c>
    </row>
    <row r="172" hidden="1" outlineLevel="1" ht="14.4" customHeight="1">
      <c r="A172" s="450" t="n"/>
      <c r="B172" s="387" t="n"/>
      <c r="C172" s="8" t="n"/>
      <c r="E172" s="403">
        <f>_xlfn.XLOOKUP('Technical Sheet'!A77, 'Technical Sheet'!E155:E216, 'Table of Contents &amp; Validation'!B59:B120, "")</f>
        <v/>
      </c>
    </row>
    <row r="173" hidden="1" outlineLevel="1" ht="14.4" customHeight="1">
      <c r="A173" s="450" t="n"/>
      <c r="B173" s="387" t="n"/>
      <c r="C173" s="8" t="n"/>
      <c r="E173" s="403">
        <f>_xlfn.XLOOKUP('Technical Sheet'!A78, 'Technical Sheet'!E156:E217, 'Table of Contents &amp; Validation'!B60:B121, "")</f>
        <v/>
      </c>
    </row>
    <row r="174" collapsed="1" ht="14.4" customHeight="1" thickBot="1">
      <c r="A174" s="3" t="n"/>
      <c r="B174" s="1128" t="n"/>
      <c r="C174" s="1129" t="n"/>
      <c r="D174" s="12" t="n"/>
      <c r="E174" s="511">
        <f>_xlfn.XLOOKUP('Technical Sheet'!A79, 'Technical Sheet'!E157:E218, 'Table of Contents &amp; Validation'!B61:B122, "")</f>
        <v/>
      </c>
      <c r="F174" s="483" t="n"/>
    </row>
    <row r="175" ht="14.4" customHeight="1" thickBot="1"/>
    <row r="176" ht="14.4" customHeight="1" thickBot="1">
      <c r="C176" s="596">
        <f>template_label_b1_other_undertakings_general_information &amp; " " &amp; template_label_from &amp; " " &amp; template_starting_date_display &amp; " " &amp; template_label_to &amp; " " &amp; template_ending_date_display &amp; " " &amp; template_label_always_to_be_reported</f>
        <v/>
      </c>
      <c r="D176" s="1120" t="n"/>
      <c r="E176" s="1126" t="n"/>
    </row>
    <row r="177">
      <c r="A177" s="551" t="inlineStr">
        <is>
          <t>24(c)</t>
        </is>
      </c>
      <c r="B177" s="222" t="inlineStr">
        <is>
          <t>N/A</t>
        </is>
      </c>
      <c r="C177" s="602">
        <f>template_label_basis_for_reporting</f>
        <v/>
      </c>
      <c r="D177" s="198" t="n"/>
      <c r="E177" s="437" t="inlineStr">
        <is>
          <t>Sustainability report prepared on a consolidated basis</t>
        </is>
      </c>
      <c r="F177" s="598">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
      </c>
    </row>
    <row r="178">
      <c r="A178" s="551" t="inlineStr">
        <is>
          <t>24(e)(i)</t>
        </is>
      </c>
      <c r="B178" s="559" t="n">
        <v>4</v>
      </c>
      <c r="C178" s="560">
        <f>template_label_undertakings_legal_form</f>
        <v/>
      </c>
      <c r="D178" s="199" t="n"/>
      <c r="E178" s="60" t="inlineStr">
        <is>
          <t>private limited liability undertaking</t>
        </is>
      </c>
      <c r="F178" s="598">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
      </c>
      <c r="G178">
        <f>template_label_other_warning</f>
        <v/>
      </c>
    </row>
    <row r="179">
      <c r="A179" s="3" t="n"/>
      <c r="B179" s="1128" t="n"/>
      <c r="C179" s="590">
        <f>template_label_other_undertakings_legal_form_specification</f>
        <v/>
      </c>
      <c r="D179" s="199" t="n"/>
      <c r="E179" s="62" t="n"/>
      <c r="F179" s="598">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ht="14.4" customHeight="1">
      <c r="A180" s="551" t="inlineStr">
        <is>
          <t>24(e)(ii)</t>
        </is>
      </c>
      <c r="B180" s="559" t="inlineStr">
        <is>
          <t>5-6</t>
        </is>
      </c>
      <c r="C180" s="589">
        <f>template_label_nace_sector_classification_code</f>
        <v/>
      </c>
      <c r="D180" s="1115" t="n"/>
      <c r="E180" s="60" t="inlineStr">
        <is>
          <t>NACE G - 47.22 Retail sale of meat and meat products</t>
        </is>
      </c>
      <c r="F180" s="598">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
      </c>
      <c r="G180">
        <f>template_label_NACE_warning</f>
        <v/>
      </c>
    </row>
    <row r="181" ht="14.4" customHeight="1">
      <c r="A181" s="450" t="n"/>
      <c r="B181" s="387" t="n"/>
      <c r="C181" s="8" t="n"/>
      <c r="E181" s="60" t="inlineStr">
        <is>
          <t>NACE G - 47.21 Retail sale of fruit and vegetables</t>
        </is>
      </c>
      <c r="F181" s="598">
        <f>IF(COUNTIF(enum_ListNACECategories, E181) &gt; 0, template_label_error,
IF(E181 = "", "",
IF(COUNTIF($E$180:$E$279, E181) &gt; 1, template_label_value_inconsistency, template_label_ok)))</f>
        <v/>
      </c>
    </row>
    <row r="182" ht="14.4" customHeight="1">
      <c r="A182" s="450" t="n"/>
      <c r="B182" s="387" t="n"/>
      <c r="C182" s="8" t="n"/>
      <c r="E182" s="60" t="n"/>
      <c r="F182" s="598">
        <f>IF(COUNTIF(enum_ListNACECategories, E182) &gt; 0, template_label_error,
IF(E182 = "", "",
IF(COUNTIF($E$180:$E$279, E182) &gt; 1, template_label_value_inconsistency, template_label_ok)))</f>
        <v/>
      </c>
    </row>
    <row r="183" hidden="1" outlineLevel="2" ht="14.4" customHeight="1">
      <c r="A183" s="450" t="n"/>
      <c r="B183" s="387" t="n"/>
      <c r="C183" s="8" t="n"/>
      <c r="E183" s="60" t="n"/>
      <c r="F183" s="598">
        <f>IF(COUNTIF(enum_ListNACECategories, E183) &gt; 0, template_label_error,
IF(E183 = "", "",
IF(COUNTIF($E$180:$E$279, E183) &gt; 1, template_label_value_inconsistency, template_label_ok)))</f>
        <v/>
      </c>
    </row>
    <row r="184" hidden="1" outlineLevel="2" ht="14.4" customHeight="1">
      <c r="A184" s="450" t="n"/>
      <c r="B184" s="387" t="n"/>
      <c r="C184" s="8" t="n"/>
      <c r="E184" s="60" t="n"/>
      <c r="F184" s="598">
        <f>IF(COUNTIF(enum_ListNACECategories, E184) &gt; 0, template_label_error,
IF(E184 = "", "",
IF(COUNTIF($E$180:$E$279, E184) &gt; 1, template_label_value_inconsistency, template_label_ok)))</f>
        <v/>
      </c>
    </row>
    <row r="185" hidden="1" outlineLevel="2" ht="14.4" customHeight="1">
      <c r="A185" s="450" t="n"/>
      <c r="B185" s="387" t="n"/>
      <c r="C185" s="8" t="n"/>
      <c r="E185" s="60" t="n"/>
      <c r="F185" s="598">
        <f>IF(COUNTIF(enum_ListNACECategories, E185) &gt; 0, template_label_error,
IF(E185 = "", "",
IF(COUNTIF($E$180:$E$279, E185) &gt; 1, template_label_value_inconsistency, template_label_ok)))</f>
        <v/>
      </c>
    </row>
    <row r="186" hidden="1" outlineLevel="2" ht="14.4" customHeight="1">
      <c r="A186" s="450" t="n"/>
      <c r="B186" s="387" t="n"/>
      <c r="C186" s="8" t="n"/>
      <c r="E186" s="60" t="n"/>
      <c r="F186" s="598">
        <f>IF(COUNTIF(enum_ListNACECategories, E186) &gt; 0, template_label_error,
IF(E186 = "", "",
IF(COUNTIF($E$180:$E$279, E186) &gt; 1, template_label_value_inconsistency, template_label_ok)))</f>
        <v/>
      </c>
    </row>
    <row r="187" hidden="1" outlineLevel="2" ht="14.4" customHeight="1">
      <c r="A187" s="450" t="n"/>
      <c r="B187" s="387" t="n"/>
      <c r="C187" s="8" t="n"/>
      <c r="E187" s="60" t="n"/>
      <c r="F187" s="598">
        <f>IF(COUNTIF(enum_ListNACECategories, E187) &gt; 0, template_label_error,
IF(E187 = "", "",
IF(COUNTIF($E$180:$E$279, E187) &gt; 1, template_label_value_inconsistency, template_label_ok)))</f>
        <v/>
      </c>
    </row>
    <row r="188" hidden="1" outlineLevel="2" ht="14.4" customHeight="1">
      <c r="A188" s="450" t="n"/>
      <c r="B188" s="387" t="n"/>
      <c r="C188" s="8" t="n"/>
      <c r="E188" s="60" t="n"/>
      <c r="F188" s="598">
        <f>IF(COUNTIF(enum_ListNACECategories, E188) &gt; 0, template_label_error,
IF(E188 = "", "",
IF(COUNTIF($E$180:$E$279, E188) &gt; 1, template_label_value_inconsistency, template_label_ok)))</f>
        <v/>
      </c>
    </row>
    <row r="189" hidden="1" outlineLevel="2" ht="14.4" customHeight="1">
      <c r="A189" s="450" t="n"/>
      <c r="B189" s="387" t="n"/>
      <c r="C189" s="8" t="n"/>
      <c r="E189" s="60" t="n"/>
      <c r="F189" s="598">
        <f>IF(COUNTIF(enum_ListNACECategories, E189) &gt; 0, template_label_error,
IF(E189 = "", "",
IF(COUNTIF($E$180:$E$279, E189) &gt; 1, template_label_value_inconsistency, template_label_ok)))</f>
        <v/>
      </c>
    </row>
    <row r="190" hidden="1" outlineLevel="2" ht="14.4" customHeight="1">
      <c r="A190" s="450" t="n"/>
      <c r="B190" s="387" t="n"/>
      <c r="C190" s="8" t="n"/>
      <c r="E190" s="60" t="n"/>
      <c r="F190" s="598">
        <f>IF(COUNTIF(enum_ListNACECategories, E190) &gt; 0, template_label_error,
IF(E190 = "", "",
IF(COUNTIF($E$180:$E$279, E190) &gt; 1, template_label_value_inconsistency, template_label_ok)))</f>
        <v/>
      </c>
    </row>
    <row r="191" hidden="1" outlineLevel="2" ht="14.4" customHeight="1">
      <c r="A191" s="450" t="n"/>
      <c r="B191" s="387" t="n"/>
      <c r="C191" s="8" t="n"/>
      <c r="E191" s="60" t="n"/>
      <c r="F191" s="598">
        <f>IF(COUNTIF(enum_ListNACECategories, E191) &gt; 0, template_label_error,
IF(E191 = "", "",
IF(COUNTIF($E$180:$E$279, E191) &gt; 1, template_label_value_inconsistency, template_label_ok)))</f>
        <v/>
      </c>
    </row>
    <row r="192" hidden="1" outlineLevel="2" ht="14.4" customHeight="1">
      <c r="A192" s="450" t="n"/>
      <c r="B192" s="387" t="n"/>
      <c r="C192" s="8" t="n"/>
      <c r="E192" s="60" t="n"/>
      <c r="F192" s="598">
        <f>IF(COUNTIF(enum_ListNACECategories, E192) &gt; 0, template_label_error,
IF(E192 = "", "",
IF(COUNTIF($E$180:$E$279, E192) &gt; 1, template_label_value_inconsistency, template_label_ok)))</f>
        <v/>
      </c>
    </row>
    <row r="193" hidden="1" outlineLevel="2" ht="14.4" customHeight="1">
      <c r="A193" s="450" t="n"/>
      <c r="B193" s="387" t="n"/>
      <c r="C193" s="8" t="n"/>
      <c r="E193" s="60" t="n"/>
      <c r="F193" s="598">
        <f>IF(COUNTIF(enum_ListNACECategories, E193) &gt; 0, template_label_error,
IF(E193 = "", "",
IF(COUNTIF($E$180:$E$279, E193) &gt; 1, template_label_value_inconsistency, template_label_ok)))</f>
        <v/>
      </c>
    </row>
    <row r="194" hidden="1" outlineLevel="2" ht="14.4" customHeight="1">
      <c r="A194" s="450" t="n"/>
      <c r="B194" s="387" t="n"/>
      <c r="C194" s="8" t="n"/>
      <c r="E194" s="60" t="n"/>
      <c r="F194" s="598">
        <f>IF(COUNTIF(enum_ListNACECategories, E194) &gt; 0, template_label_error,
IF(E194 = "", "",
IF(COUNTIF($E$180:$E$279, E194) &gt; 1, template_label_value_inconsistency, template_label_ok)))</f>
        <v/>
      </c>
    </row>
    <row r="195" hidden="1" outlineLevel="2" ht="14.4" customHeight="1">
      <c r="A195" s="450" t="n"/>
      <c r="B195" s="387" t="n"/>
      <c r="C195" s="8" t="n"/>
      <c r="E195" s="60" t="n"/>
      <c r="F195" s="598">
        <f>IF(COUNTIF(enum_ListNACECategories, E195) &gt; 0, template_label_error,
IF(E195 = "", "",
IF(COUNTIF($E$180:$E$279, E195) &gt; 1, template_label_value_inconsistency, template_label_ok)))</f>
        <v/>
      </c>
    </row>
    <row r="196" hidden="1" outlineLevel="2" ht="14.4" customHeight="1">
      <c r="A196" s="450" t="n"/>
      <c r="B196" s="387" t="n"/>
      <c r="C196" s="8" t="n"/>
      <c r="E196" s="60" t="n"/>
      <c r="F196" s="598">
        <f>IF(COUNTIF(enum_ListNACECategories, E196) &gt; 0, template_label_error,
IF(E196 = "", "",
IF(COUNTIF($E$180:$E$279, E196) &gt; 1, template_label_value_inconsistency, template_label_ok)))</f>
        <v/>
      </c>
    </row>
    <row r="197" hidden="1" outlineLevel="2" ht="14.4" customHeight="1">
      <c r="A197" s="450" t="n"/>
      <c r="B197" s="387" t="n"/>
      <c r="C197" s="8" t="n"/>
      <c r="E197" s="60" t="n"/>
      <c r="F197" s="598">
        <f>IF(COUNTIF(enum_ListNACECategories, E197) &gt; 0, template_label_error,
IF(E197 = "", "",
IF(COUNTIF($E$180:$E$279, E197) &gt; 1, template_label_value_inconsistency, template_label_ok)))</f>
        <v/>
      </c>
    </row>
    <row r="198" hidden="1" outlineLevel="2" ht="14.4" customHeight="1">
      <c r="A198" s="450" t="n"/>
      <c r="B198" s="387" t="n"/>
      <c r="C198" s="8" t="n"/>
      <c r="E198" s="60" t="n"/>
      <c r="F198" s="598">
        <f>IF(COUNTIF(enum_ListNACECategories, E198) &gt; 0, template_label_error,
IF(E198 = "", "",
IF(COUNTIF($E$180:$E$279, E198) &gt; 1, template_label_value_inconsistency, template_label_ok)))</f>
        <v/>
      </c>
    </row>
    <row r="199" hidden="1" outlineLevel="2" ht="14.4" customHeight="1">
      <c r="A199" s="450" t="n"/>
      <c r="B199" s="387" t="n"/>
      <c r="C199" s="8" t="n"/>
      <c r="E199" s="60" t="n"/>
      <c r="F199" s="598">
        <f>IF(COUNTIF(enum_ListNACECategories, E199) &gt; 0, template_label_error,
IF(E199 = "", "",
IF(COUNTIF($E$180:$E$279, E199) &gt; 1, template_label_value_inconsistency, template_label_ok)))</f>
        <v/>
      </c>
    </row>
    <row r="200" hidden="1" outlineLevel="2" ht="14.4" customHeight="1">
      <c r="A200" s="450" t="n"/>
      <c r="B200" s="387" t="n"/>
      <c r="C200" s="8" t="n"/>
      <c r="E200" s="60" t="n"/>
      <c r="F200" s="598">
        <f>IF(COUNTIF(enum_ListNACECategories, E200) &gt; 0, template_label_error,
IF(E200 = "", "",
IF(COUNTIF($E$180:$E$279, E200) &gt; 1, template_label_value_inconsistency, template_label_ok)))</f>
        <v/>
      </c>
    </row>
    <row r="201" hidden="1" outlineLevel="2" ht="14.4" customHeight="1">
      <c r="A201" s="450" t="n"/>
      <c r="B201" s="387" t="n"/>
      <c r="C201" s="8" t="n"/>
      <c r="E201" s="60" t="n"/>
      <c r="F201" s="598">
        <f>IF(COUNTIF(enum_ListNACECategories, E201) &gt; 0, template_label_error,
IF(E201 = "", "",
IF(COUNTIF($E$180:$E$279, E201) &gt; 1, template_label_value_inconsistency, template_label_ok)))</f>
        <v/>
      </c>
    </row>
    <row r="202" hidden="1" outlineLevel="2" ht="14.4" customHeight="1">
      <c r="A202" s="450" t="n"/>
      <c r="B202" s="387" t="n"/>
      <c r="C202" s="8" t="n"/>
      <c r="E202" s="60" t="n"/>
      <c r="F202" s="598">
        <f>IF(COUNTIF(enum_ListNACECategories, E202) &gt; 0, template_label_error,
IF(E202 = "", "",
IF(COUNTIF($E$180:$E$279, E202) &gt; 1, template_label_value_inconsistency, template_label_ok)))</f>
        <v/>
      </c>
    </row>
    <row r="203" hidden="1" outlineLevel="2" ht="14.4" customHeight="1">
      <c r="A203" s="450" t="n"/>
      <c r="B203" s="387" t="n"/>
      <c r="C203" s="8" t="n"/>
      <c r="E203" s="60" t="n"/>
      <c r="F203" s="598">
        <f>IF(COUNTIF(enum_ListNACECategories, E203) &gt; 0, template_label_error,
IF(E203 = "", "",
IF(COUNTIF($E$180:$E$279, E203) &gt; 1, template_label_value_inconsistency, template_label_ok)))</f>
        <v/>
      </c>
    </row>
    <row r="204" hidden="1" outlineLevel="2" ht="14.4" customHeight="1">
      <c r="A204" s="450" t="n"/>
      <c r="B204" s="387" t="n"/>
      <c r="C204" s="8" t="n"/>
      <c r="E204" s="60" t="n"/>
      <c r="F204" s="598">
        <f>IF(COUNTIF(enum_ListNACECategories, E204) &gt; 0, template_label_error,
IF(E204 = "", "",
IF(COUNTIF($E$180:$E$279, E204) &gt; 1, template_label_value_inconsistency, template_label_ok)))</f>
        <v/>
      </c>
    </row>
    <row r="205" hidden="1" outlineLevel="2" ht="14.4" customHeight="1">
      <c r="A205" s="450" t="n"/>
      <c r="B205" s="387" t="n"/>
      <c r="C205" s="8" t="n"/>
      <c r="E205" s="60" t="n"/>
      <c r="F205" s="598">
        <f>IF(COUNTIF(enum_ListNACECategories, E205) &gt; 0, template_label_error,
IF(E205 = "", "",
IF(COUNTIF($E$180:$E$279, E205) &gt; 1, template_label_value_inconsistency, template_label_ok)))</f>
        <v/>
      </c>
    </row>
    <row r="206" hidden="1" outlineLevel="2" ht="14.4" customHeight="1">
      <c r="A206" s="450" t="n"/>
      <c r="B206" s="387" t="n"/>
      <c r="C206" s="8" t="n"/>
      <c r="E206" s="60" t="n"/>
      <c r="F206" s="598">
        <f>IF(COUNTIF(enum_ListNACECategories, E206) &gt; 0, template_label_error,
IF(E206 = "", "",
IF(COUNTIF($E$180:$E$279, E206) &gt; 1, template_label_value_inconsistency, template_label_ok)))</f>
        <v/>
      </c>
    </row>
    <row r="207" hidden="1" outlineLevel="2" ht="14.4" customHeight="1">
      <c r="A207" s="450" t="n"/>
      <c r="B207" s="387" t="n"/>
      <c r="C207" s="8" t="n"/>
      <c r="E207" s="60" t="n"/>
      <c r="F207" s="598">
        <f>IF(COUNTIF(enum_ListNACECategories, E207) &gt; 0, template_label_error,
IF(E207 = "", "",
IF(COUNTIF($E$180:$E$279, E207) &gt; 1, template_label_value_inconsistency, template_label_ok)))</f>
        <v/>
      </c>
    </row>
    <row r="208" hidden="1" outlineLevel="2" ht="14.4" customHeight="1">
      <c r="A208" s="450" t="n"/>
      <c r="B208" s="387" t="n"/>
      <c r="C208" s="8" t="n"/>
      <c r="E208" s="60" t="n"/>
      <c r="F208" s="598">
        <f>IF(COUNTIF(enum_ListNACECategories, E208) &gt; 0, template_label_error,
IF(E208 = "", "",
IF(COUNTIF($E$180:$E$279, E208) &gt; 1, template_label_value_inconsistency, template_label_ok)))</f>
        <v/>
      </c>
    </row>
    <row r="209" hidden="1" outlineLevel="2" ht="14.4" customHeight="1">
      <c r="A209" s="450" t="n"/>
      <c r="B209" s="387" t="n"/>
      <c r="C209" s="8" t="n"/>
      <c r="E209" s="60" t="n"/>
      <c r="F209" s="598">
        <f>IF(COUNTIF(enum_ListNACECategories, E209) &gt; 0, template_label_error,
IF(E209 = "", "",
IF(COUNTIF($E$180:$E$279, E209) &gt; 1, template_label_value_inconsistency, template_label_ok)))</f>
        <v/>
      </c>
    </row>
    <row r="210" hidden="1" outlineLevel="2" ht="14.4" customHeight="1">
      <c r="A210" s="450" t="n"/>
      <c r="B210" s="387" t="n"/>
      <c r="C210" s="8" t="n"/>
      <c r="E210" s="60" t="n"/>
      <c r="F210" s="598">
        <f>IF(COUNTIF(enum_ListNACECategories, E210) &gt; 0, template_label_error,
IF(E210 = "", "",
IF(COUNTIF($E$180:$E$279, E210) &gt; 1, template_label_value_inconsistency, template_label_ok)))</f>
        <v/>
      </c>
    </row>
    <row r="211" hidden="1" outlineLevel="2" ht="14.4" customHeight="1">
      <c r="A211" s="450" t="n"/>
      <c r="B211" s="387" t="n"/>
      <c r="C211" s="8" t="n"/>
      <c r="E211" s="60" t="n"/>
      <c r="F211" s="598">
        <f>IF(COUNTIF(enum_ListNACECategories, E211) &gt; 0, template_label_error,
IF(E211 = "", "",
IF(COUNTIF($E$180:$E$279, E211) &gt; 1, template_label_value_inconsistency, template_label_ok)))</f>
        <v/>
      </c>
    </row>
    <row r="212" hidden="1" outlineLevel="2" ht="14.4" customHeight="1">
      <c r="A212" s="450" t="n"/>
      <c r="B212" s="387" t="n"/>
      <c r="C212" s="8" t="n"/>
      <c r="E212" s="60" t="n"/>
      <c r="F212" s="598">
        <f>IF(COUNTIF(enum_ListNACECategories, E212) &gt; 0, template_label_error,
IF(E212 = "", "",
IF(COUNTIF($E$180:$E$279, E212) &gt; 1, template_label_value_inconsistency, template_label_ok)))</f>
        <v/>
      </c>
    </row>
    <row r="213" hidden="1" outlineLevel="2" ht="14.4" customHeight="1">
      <c r="A213" s="450" t="n"/>
      <c r="B213" s="387" t="n"/>
      <c r="C213" s="8" t="n"/>
      <c r="E213" s="60" t="n"/>
      <c r="F213" s="598">
        <f>IF(COUNTIF(enum_ListNACECategories, E213) &gt; 0, template_label_error,
IF(E213 = "", "",
IF(COUNTIF($E$180:$E$279, E213) &gt; 1, template_label_value_inconsistency, template_label_ok)))</f>
        <v/>
      </c>
    </row>
    <row r="214" hidden="1" outlineLevel="2" ht="14.4" customHeight="1">
      <c r="A214" s="450" t="n"/>
      <c r="B214" s="387" t="n"/>
      <c r="C214" s="8" t="n"/>
      <c r="E214" s="60" t="n"/>
      <c r="F214" s="598">
        <f>IF(COUNTIF(enum_ListNACECategories, E214) &gt; 0, template_label_error,
IF(E214 = "", "",
IF(COUNTIF($E$180:$E$279, E214) &gt; 1, template_label_value_inconsistency, template_label_ok)))</f>
        <v/>
      </c>
    </row>
    <row r="215" hidden="1" outlineLevel="2" ht="14.4" customHeight="1">
      <c r="A215" s="450" t="n"/>
      <c r="B215" s="387" t="n"/>
      <c r="C215" s="8" t="n"/>
      <c r="E215" s="60" t="n"/>
      <c r="F215" s="598">
        <f>IF(COUNTIF(enum_ListNACECategories, E215) &gt; 0, template_label_error,
IF(E215 = "", "",
IF(COUNTIF($E$180:$E$279, E215) &gt; 1, template_label_value_inconsistency, template_label_ok)))</f>
        <v/>
      </c>
    </row>
    <row r="216" hidden="1" outlineLevel="2" ht="14.4" customHeight="1">
      <c r="A216" s="450" t="n"/>
      <c r="B216" s="387" t="n"/>
      <c r="C216" s="8" t="n"/>
      <c r="E216" s="60" t="n"/>
      <c r="F216" s="598">
        <f>IF(COUNTIF(enum_ListNACECategories, E216) &gt; 0, template_label_error,
IF(E216 = "", "",
IF(COUNTIF($E$180:$E$279, E216) &gt; 1, template_label_value_inconsistency, template_label_ok)))</f>
        <v/>
      </c>
    </row>
    <row r="217" hidden="1" outlineLevel="2" ht="14.4" customHeight="1">
      <c r="A217" s="450" t="n"/>
      <c r="B217" s="387" t="n"/>
      <c r="C217" s="8" t="n"/>
      <c r="E217" s="60" t="n"/>
      <c r="F217" s="598">
        <f>IF(COUNTIF(enum_ListNACECategories, E217) &gt; 0, template_label_error,
IF(E217 = "", "",
IF(COUNTIF($E$180:$E$279, E217) &gt; 1, template_label_value_inconsistency, template_label_ok)))</f>
        <v/>
      </c>
    </row>
    <row r="218" hidden="1" outlineLevel="2" ht="14.4" customHeight="1">
      <c r="A218" s="450" t="n"/>
      <c r="B218" s="387" t="n"/>
      <c r="C218" s="8" t="n"/>
      <c r="E218" s="60" t="n"/>
      <c r="F218" s="598">
        <f>IF(COUNTIF(enum_ListNACECategories, E218) &gt; 0, template_label_error,
IF(E218 = "", "",
IF(COUNTIF($E$180:$E$279, E218) &gt; 1, template_label_value_inconsistency, template_label_ok)))</f>
        <v/>
      </c>
    </row>
    <row r="219" hidden="1" outlineLevel="2" ht="14.4" customHeight="1">
      <c r="A219" s="450" t="n"/>
      <c r="B219" s="387" t="n"/>
      <c r="C219" s="8" t="n"/>
      <c r="E219" s="60" t="n"/>
      <c r="F219" s="598">
        <f>IF(COUNTIF(enum_ListNACECategories, E219) &gt; 0, template_label_error,
IF(E219 = "", "",
IF(COUNTIF($E$180:$E$279, E219) &gt; 1, template_label_value_inconsistency, template_label_ok)))</f>
        <v/>
      </c>
    </row>
    <row r="220" hidden="1" outlineLevel="2" ht="14.4" customHeight="1">
      <c r="A220" s="450" t="n"/>
      <c r="B220" s="387" t="n"/>
      <c r="C220" s="8" t="n"/>
      <c r="E220" s="60" t="n"/>
      <c r="F220" s="598">
        <f>IF(COUNTIF(enum_ListNACECategories, E220) &gt; 0, template_label_error,
IF(E220 = "", "",
IF(COUNTIF($E$180:$E$279, E220) &gt; 1, template_label_value_inconsistency, template_label_ok)))</f>
        <v/>
      </c>
    </row>
    <row r="221" hidden="1" outlineLevel="2" ht="14.4" customHeight="1">
      <c r="A221" s="450" t="n"/>
      <c r="B221" s="387" t="n"/>
      <c r="C221" s="8" t="n"/>
      <c r="E221" s="60" t="n"/>
      <c r="F221" s="598">
        <f>IF(COUNTIF(enum_ListNACECategories, E221) &gt; 0, template_label_error,
IF(E221 = "", "",
IF(COUNTIF($E$180:$E$279, E221) &gt; 1, template_label_value_inconsistency, template_label_ok)))</f>
        <v/>
      </c>
    </row>
    <row r="222" hidden="1" outlineLevel="2" ht="14.4" customHeight="1">
      <c r="A222" s="450" t="n"/>
      <c r="B222" s="387" t="n"/>
      <c r="C222" s="8" t="n"/>
      <c r="E222" s="60" t="n"/>
      <c r="F222" s="598">
        <f>IF(COUNTIF(enum_ListNACECategories, E222) &gt; 0, template_label_error,
IF(E222 = "", "",
IF(COUNTIF($E$180:$E$279, E222) &gt; 1, template_label_value_inconsistency, template_label_ok)))</f>
        <v/>
      </c>
    </row>
    <row r="223" hidden="1" outlineLevel="2" ht="14.4" customHeight="1">
      <c r="A223" s="450" t="n"/>
      <c r="B223" s="387" t="n"/>
      <c r="C223" s="8" t="n"/>
      <c r="E223" s="60" t="n"/>
      <c r="F223" s="598">
        <f>IF(COUNTIF(enum_ListNACECategories, E223) &gt; 0, template_label_error,
IF(E223 = "", "",
IF(COUNTIF($E$180:$E$279, E223) &gt; 1, template_label_value_inconsistency, template_label_ok)))</f>
        <v/>
      </c>
    </row>
    <row r="224" hidden="1" outlineLevel="2" ht="14.4" customHeight="1">
      <c r="A224" s="450" t="n"/>
      <c r="B224" s="387" t="n"/>
      <c r="C224" s="8" t="n"/>
      <c r="E224" s="60" t="n"/>
      <c r="F224" s="598">
        <f>IF(COUNTIF(enum_ListNACECategories, E224) &gt; 0, template_label_error,
IF(E224 = "", "",
IF(COUNTIF($E$180:$E$279, E224) &gt; 1, template_label_value_inconsistency, template_label_ok)))</f>
        <v/>
      </c>
    </row>
    <row r="225" hidden="1" outlineLevel="2" ht="14.4" customHeight="1">
      <c r="A225" s="450" t="n"/>
      <c r="B225" s="387" t="n"/>
      <c r="C225" s="8" t="n"/>
      <c r="E225" s="60" t="n"/>
      <c r="F225" s="598">
        <f>IF(COUNTIF(enum_ListNACECategories, E225) &gt; 0, template_label_error,
IF(E225 = "", "",
IF(COUNTIF($E$180:$E$279, E225) &gt; 1, template_label_value_inconsistency, template_label_ok)))</f>
        <v/>
      </c>
    </row>
    <row r="226" hidden="1" outlineLevel="2" ht="14.4" customHeight="1">
      <c r="A226" s="450" t="n"/>
      <c r="B226" s="387" t="n"/>
      <c r="C226" s="8" t="n"/>
      <c r="E226" s="60" t="n"/>
      <c r="F226" s="598">
        <f>IF(COUNTIF(enum_ListNACECategories, E226) &gt; 0, template_label_error,
IF(E226 = "", "",
IF(COUNTIF($E$180:$E$279, E226) &gt; 1, template_label_value_inconsistency, template_label_ok)))</f>
        <v/>
      </c>
    </row>
    <row r="227" hidden="1" outlineLevel="2" ht="14.4" customHeight="1">
      <c r="A227" s="450" t="n"/>
      <c r="B227" s="387" t="n"/>
      <c r="C227" s="8" t="n"/>
      <c r="E227" s="60" t="n"/>
      <c r="F227" s="598">
        <f>IF(COUNTIF(enum_ListNACECategories, E227) &gt; 0, template_label_error,
IF(E227 = "", "",
IF(COUNTIF($E$180:$E$279, E227) &gt; 1, template_label_value_inconsistency, template_label_ok)))</f>
        <v/>
      </c>
    </row>
    <row r="228" hidden="1" outlineLevel="2" ht="14.4" customHeight="1">
      <c r="A228" s="450" t="n"/>
      <c r="B228" s="387" t="n"/>
      <c r="C228" s="8" t="n"/>
      <c r="E228" s="60" t="n"/>
      <c r="F228" s="598">
        <f>IF(COUNTIF(enum_ListNACECategories, E228) &gt; 0, template_label_error,
IF(E228 = "", "",
IF(COUNTIF($E$180:$E$279, E228) &gt; 1, template_label_value_inconsistency, template_label_ok)))</f>
        <v/>
      </c>
    </row>
    <row r="229" hidden="1" outlineLevel="2" ht="14.4" customHeight="1">
      <c r="A229" s="450" t="n"/>
      <c r="B229" s="387" t="n"/>
      <c r="C229" s="8" t="n"/>
      <c r="E229" s="60" t="n"/>
      <c r="F229" s="598">
        <f>IF(COUNTIF(enum_ListNACECategories, E229) &gt; 0, template_label_error,
IF(E229 = "", "",
IF(COUNTIF($E$180:$E$279, E229) &gt; 1, template_label_value_inconsistency, template_label_ok)))</f>
        <v/>
      </c>
    </row>
    <row r="230" hidden="1" outlineLevel="2" ht="14.4" customHeight="1">
      <c r="A230" s="450" t="n"/>
      <c r="B230" s="387" t="n"/>
      <c r="C230" s="8" t="n"/>
      <c r="E230" s="60" t="n"/>
      <c r="F230" s="598">
        <f>IF(COUNTIF(enum_ListNACECategories, E230) &gt; 0, template_label_error,
IF(E230 = "", "",
IF(COUNTIF($E$180:$E$279, E230) &gt; 1, template_label_value_inconsistency, template_label_ok)))</f>
        <v/>
      </c>
    </row>
    <row r="231" hidden="1" outlineLevel="2" ht="14.4" customHeight="1">
      <c r="A231" s="450" t="n"/>
      <c r="B231" s="387" t="n"/>
      <c r="C231" s="8" t="n"/>
      <c r="E231" s="60" t="n"/>
      <c r="F231" s="598">
        <f>IF(COUNTIF(enum_ListNACECategories, E231) &gt; 0, template_label_error,
IF(E231 = "", "",
IF(COUNTIF($E$180:$E$279, E231) &gt; 1, template_label_value_inconsistency, template_label_ok)))</f>
        <v/>
      </c>
    </row>
    <row r="232" hidden="1" outlineLevel="2" ht="14.4" customHeight="1">
      <c r="A232" s="450" t="n"/>
      <c r="B232" s="387" t="n"/>
      <c r="C232" s="8" t="n"/>
      <c r="E232" s="60" t="n"/>
      <c r="F232" s="598">
        <f>IF(COUNTIF(enum_ListNACECategories, E232) &gt; 0, template_label_error,
IF(E232 = "", "",
IF(COUNTIF($E$180:$E$279, E232) &gt; 1, template_label_value_inconsistency, template_label_ok)))</f>
        <v/>
      </c>
    </row>
    <row r="233" hidden="1" outlineLevel="2" ht="14.4" customHeight="1">
      <c r="A233" s="450" t="n"/>
      <c r="B233" s="387" t="n"/>
      <c r="C233" s="8" t="n"/>
      <c r="E233" s="60" t="n"/>
      <c r="F233" s="598">
        <f>IF(COUNTIF(enum_ListNACECategories, E233) &gt; 0, template_label_error,
IF(E233 = "", "",
IF(COUNTIF($E$180:$E$279, E233) &gt; 1, template_label_value_inconsistency, template_label_ok)))</f>
        <v/>
      </c>
    </row>
    <row r="234" hidden="1" outlineLevel="2" ht="14.4" customHeight="1">
      <c r="A234" s="450" t="n"/>
      <c r="B234" s="387" t="n"/>
      <c r="C234" s="8" t="n"/>
      <c r="E234" s="60" t="n"/>
      <c r="F234" s="598">
        <f>IF(COUNTIF(enum_ListNACECategories, E234) &gt; 0, template_label_error,
IF(E234 = "", "",
IF(COUNTIF($E$180:$E$279, E234) &gt; 1, template_label_value_inconsistency, template_label_ok)))</f>
        <v/>
      </c>
    </row>
    <row r="235" hidden="1" outlineLevel="2" ht="14.4" customHeight="1">
      <c r="A235" s="450" t="n"/>
      <c r="B235" s="387" t="n"/>
      <c r="C235" s="8" t="n"/>
      <c r="E235" s="60" t="n"/>
      <c r="F235" s="598">
        <f>IF(COUNTIF(enum_ListNACECategories, E235) &gt; 0, template_label_error,
IF(E235 = "", "",
IF(COUNTIF($E$180:$E$279, E235) &gt; 1, template_label_value_inconsistency, template_label_ok)))</f>
        <v/>
      </c>
    </row>
    <row r="236" hidden="1" outlineLevel="2" ht="14.4" customHeight="1">
      <c r="A236" s="450" t="n"/>
      <c r="B236" s="387" t="n"/>
      <c r="C236" s="8" t="n"/>
      <c r="E236" s="60" t="n"/>
      <c r="F236" s="598">
        <f>IF(COUNTIF(enum_ListNACECategories, E236) &gt; 0, template_label_error,
IF(E236 = "", "",
IF(COUNTIF($E$180:$E$279, E236) &gt; 1, template_label_value_inconsistency, template_label_ok)))</f>
        <v/>
      </c>
    </row>
    <row r="237" hidden="1" outlineLevel="2" ht="14.4" customHeight="1">
      <c r="A237" s="450" t="n"/>
      <c r="B237" s="387" t="n"/>
      <c r="C237" s="8" t="n"/>
      <c r="E237" s="60" t="n"/>
      <c r="F237" s="598">
        <f>IF(COUNTIF(enum_ListNACECategories, E237) &gt; 0, template_label_error,
IF(E237 = "", "",
IF(COUNTIF($E$180:$E$279, E237) &gt; 1, template_label_value_inconsistency, template_label_ok)))</f>
        <v/>
      </c>
    </row>
    <row r="238" hidden="1" outlineLevel="2" ht="14.4" customHeight="1">
      <c r="A238" s="450" t="n"/>
      <c r="B238" s="387" t="n"/>
      <c r="C238" s="8" t="n"/>
      <c r="E238" s="60" t="n"/>
      <c r="F238" s="598">
        <f>IF(COUNTIF(enum_ListNACECategories, E238) &gt; 0, template_label_error,
IF(E238 = "", "",
IF(COUNTIF($E$180:$E$279, E238) &gt; 1, template_label_value_inconsistency, template_label_ok)))</f>
        <v/>
      </c>
    </row>
    <row r="239" hidden="1" outlineLevel="2" ht="14.4" customHeight="1">
      <c r="A239" s="450" t="n"/>
      <c r="B239" s="387" t="n"/>
      <c r="C239" s="8" t="n"/>
      <c r="E239" s="60" t="n"/>
      <c r="F239" s="598">
        <f>IF(COUNTIF(enum_ListNACECategories, E239) &gt; 0, template_label_error,
IF(E239 = "", "",
IF(COUNTIF($E$180:$E$279, E239) &gt; 1, template_label_value_inconsistency, template_label_ok)))</f>
        <v/>
      </c>
    </row>
    <row r="240" hidden="1" outlineLevel="2" ht="14.4" customHeight="1">
      <c r="A240" s="450" t="n"/>
      <c r="B240" s="387" t="n"/>
      <c r="C240" s="8" t="n"/>
      <c r="E240" s="60" t="n"/>
      <c r="F240" s="598">
        <f>IF(COUNTIF(enum_ListNACECategories, E240) &gt; 0, template_label_error,
IF(E240 = "", "",
IF(COUNTIF($E$180:$E$279, E240) &gt; 1, template_label_value_inconsistency, template_label_ok)))</f>
        <v/>
      </c>
    </row>
    <row r="241" hidden="1" outlineLevel="2" ht="14.4" customHeight="1">
      <c r="A241" s="450" t="n"/>
      <c r="B241" s="387" t="n"/>
      <c r="C241" s="8" t="n"/>
      <c r="E241" s="60" t="n"/>
      <c r="F241" s="598">
        <f>IF(COUNTIF(enum_ListNACECategories, E241) &gt; 0, template_label_error,
IF(E241 = "", "",
IF(COUNTIF($E$180:$E$279, E241) &gt; 1, template_label_value_inconsistency, template_label_ok)))</f>
        <v/>
      </c>
    </row>
    <row r="242" hidden="1" outlineLevel="2" ht="14.4" customHeight="1">
      <c r="A242" s="450" t="n"/>
      <c r="B242" s="387" t="n"/>
      <c r="C242" s="8" t="n"/>
      <c r="E242" s="60" t="n"/>
      <c r="F242" s="598">
        <f>IF(COUNTIF(enum_ListNACECategories, E242) &gt; 0, template_label_error,
IF(E242 = "", "",
IF(COUNTIF($E$180:$E$279, E242) &gt; 1, template_label_value_inconsistency, template_label_ok)))</f>
        <v/>
      </c>
    </row>
    <row r="243" hidden="1" outlineLevel="2" ht="14.4" customHeight="1">
      <c r="A243" s="450" t="n"/>
      <c r="B243" s="387" t="n"/>
      <c r="C243" s="8" t="n"/>
      <c r="E243" s="60" t="n"/>
      <c r="F243" s="598">
        <f>IF(COUNTIF(enum_ListNACECategories, E243) &gt; 0, template_label_error,
IF(E243 = "", "",
IF(COUNTIF($E$180:$E$279, E243) &gt; 1, template_label_value_inconsistency, template_label_ok)))</f>
        <v/>
      </c>
    </row>
    <row r="244" hidden="1" outlineLevel="2" ht="14.4" customHeight="1">
      <c r="A244" s="450" t="n"/>
      <c r="B244" s="387" t="n"/>
      <c r="C244" s="8" t="n"/>
      <c r="E244" s="60" t="n"/>
      <c r="F244" s="598">
        <f>IF(COUNTIF(enum_ListNACECategories, E244) &gt; 0, template_label_error,
IF(E244 = "", "",
IF(COUNTIF($E$180:$E$279, E244) &gt; 1, template_label_value_inconsistency, template_label_ok)))</f>
        <v/>
      </c>
    </row>
    <row r="245" hidden="1" outlineLevel="2" ht="14.4" customHeight="1">
      <c r="A245" s="450" t="n"/>
      <c r="B245" s="387" t="n"/>
      <c r="C245" s="8" t="n"/>
      <c r="E245" s="60" t="n"/>
      <c r="F245" s="598">
        <f>IF(COUNTIF(enum_ListNACECategories, E245) &gt; 0, template_label_error,
IF(E245 = "", "",
IF(COUNTIF($E$180:$E$279, E245) &gt; 1, template_label_value_inconsistency, template_label_ok)))</f>
        <v/>
      </c>
    </row>
    <row r="246" hidden="1" outlineLevel="2" ht="14.4" customHeight="1">
      <c r="A246" s="450" t="n"/>
      <c r="B246" s="387" t="n"/>
      <c r="C246" s="8" t="n"/>
      <c r="E246" s="60" t="n"/>
      <c r="F246" s="598">
        <f>IF(COUNTIF(enum_ListNACECategories, E246) &gt; 0, template_label_error,
IF(E246 = "", "",
IF(COUNTIF($E$180:$E$279, E246) &gt; 1, template_label_value_inconsistency, template_label_ok)))</f>
        <v/>
      </c>
    </row>
    <row r="247" hidden="1" outlineLevel="2" ht="14.4" customHeight="1">
      <c r="A247" s="450" t="n"/>
      <c r="B247" s="387" t="n"/>
      <c r="C247" s="8" t="n"/>
      <c r="E247" s="60" t="n"/>
      <c r="F247" s="598">
        <f>IF(COUNTIF(enum_ListNACECategories, E247) &gt; 0, template_label_error,
IF(E247 = "", "",
IF(COUNTIF($E$180:$E$279, E247) &gt; 1, template_label_value_inconsistency, template_label_ok)))</f>
        <v/>
      </c>
    </row>
    <row r="248" hidden="1" outlineLevel="2" ht="14.4" customHeight="1">
      <c r="A248" s="450" t="n"/>
      <c r="B248" s="387" t="n"/>
      <c r="C248" s="8" t="n"/>
      <c r="E248" s="60" t="n"/>
      <c r="F248" s="598">
        <f>IF(COUNTIF(enum_ListNACECategories, E248) &gt; 0, template_label_error,
IF(E248 = "", "",
IF(COUNTIF($E$180:$E$279, E248) &gt; 1, template_label_value_inconsistency, template_label_ok)))</f>
        <v/>
      </c>
    </row>
    <row r="249" hidden="1" outlineLevel="2" ht="14.4" customHeight="1">
      <c r="A249" s="450" t="n"/>
      <c r="B249" s="387" t="n"/>
      <c r="C249" s="8" t="n"/>
      <c r="E249" s="60" t="n"/>
      <c r="F249" s="598">
        <f>IF(COUNTIF(enum_ListNACECategories, E249) &gt; 0, template_label_error,
IF(E249 = "", "",
IF(COUNTIF($E$180:$E$279, E249) &gt; 1, template_label_value_inconsistency, template_label_ok)))</f>
        <v/>
      </c>
    </row>
    <row r="250" hidden="1" outlineLevel="2" ht="14.4" customHeight="1">
      <c r="A250" s="450" t="n"/>
      <c r="B250" s="387" t="n"/>
      <c r="C250" s="8" t="n"/>
      <c r="E250" s="60" t="n"/>
      <c r="F250" s="598">
        <f>IF(COUNTIF(enum_ListNACECategories, E250) &gt; 0, template_label_error,
IF(E250 = "", "",
IF(COUNTIF($E$180:$E$279, E250) &gt; 1, template_label_value_inconsistency, template_label_ok)))</f>
        <v/>
      </c>
    </row>
    <row r="251" hidden="1" outlineLevel="2" ht="14.4" customHeight="1">
      <c r="A251" s="450" t="n"/>
      <c r="B251" s="387" t="n"/>
      <c r="C251" s="8" t="n"/>
      <c r="E251" s="60" t="n"/>
      <c r="F251" s="598">
        <f>IF(COUNTIF(enum_ListNACECategories, E251) &gt; 0, template_label_error,
IF(E251 = "", "",
IF(COUNTIF($E$180:$E$279, E251) &gt; 1, template_label_value_inconsistency, template_label_ok)))</f>
        <v/>
      </c>
    </row>
    <row r="252" hidden="1" outlineLevel="2" ht="14.4" customHeight="1">
      <c r="A252" s="450" t="n"/>
      <c r="B252" s="387" t="n"/>
      <c r="C252" s="8" t="n"/>
      <c r="E252" s="60" t="n"/>
      <c r="F252" s="598">
        <f>IF(COUNTIF(enum_ListNACECategories, E252) &gt; 0, template_label_error,
IF(E252 = "", "",
IF(COUNTIF($E$180:$E$279, E252) &gt; 1, template_label_value_inconsistency, template_label_ok)))</f>
        <v/>
      </c>
    </row>
    <row r="253" hidden="1" outlineLevel="2" ht="14.4" customHeight="1">
      <c r="A253" s="450" t="n"/>
      <c r="B253" s="387" t="n"/>
      <c r="C253" s="8" t="n"/>
      <c r="E253" s="60" t="n"/>
      <c r="F253" s="598">
        <f>IF(COUNTIF(enum_ListNACECategories, E253) &gt; 0, template_label_error,
IF(E253 = "", "",
IF(COUNTIF($E$180:$E$279, E253) &gt; 1, template_label_value_inconsistency, template_label_ok)))</f>
        <v/>
      </c>
    </row>
    <row r="254" hidden="1" outlineLevel="2" ht="14.4" customHeight="1">
      <c r="A254" s="450" t="n"/>
      <c r="B254" s="387" t="n"/>
      <c r="C254" s="8" t="n"/>
      <c r="E254" s="60" t="n"/>
      <c r="F254" s="598">
        <f>IF(COUNTIF(enum_ListNACECategories, E254) &gt; 0, template_label_error,
IF(E254 = "", "",
IF(COUNTIF($E$180:$E$279, E254) &gt; 1, template_label_value_inconsistency, template_label_ok)))</f>
        <v/>
      </c>
    </row>
    <row r="255" hidden="1" outlineLevel="2" ht="14.4" customHeight="1">
      <c r="A255" s="450" t="n"/>
      <c r="B255" s="387" t="n"/>
      <c r="C255" s="8" t="n"/>
      <c r="E255" s="60" t="n"/>
      <c r="F255" s="598">
        <f>IF(COUNTIF(enum_ListNACECategories, E255) &gt; 0, template_label_error,
IF(E255 = "", "",
IF(COUNTIF($E$180:$E$279, E255) &gt; 1, template_label_value_inconsistency, template_label_ok)))</f>
        <v/>
      </c>
    </row>
    <row r="256" hidden="1" outlineLevel="2" ht="14.4" customHeight="1">
      <c r="A256" s="450" t="n"/>
      <c r="B256" s="387" t="n"/>
      <c r="C256" s="8" t="n"/>
      <c r="E256" s="60" t="n"/>
      <c r="F256" s="598">
        <f>IF(COUNTIF(enum_ListNACECategories, E256) &gt; 0, template_label_error,
IF(E256 = "", "",
IF(COUNTIF($E$180:$E$279, E256) &gt; 1, template_label_value_inconsistency, template_label_ok)))</f>
        <v/>
      </c>
    </row>
    <row r="257" hidden="1" outlineLevel="2" ht="14.4" customHeight="1">
      <c r="A257" s="450" t="n"/>
      <c r="B257" s="387" t="n"/>
      <c r="C257" s="8" t="n"/>
      <c r="E257" s="60" t="n"/>
      <c r="F257" s="598">
        <f>IF(COUNTIF(enum_ListNACECategories, E257) &gt; 0, template_label_error,
IF(E257 = "", "",
IF(COUNTIF($E$180:$E$279, E257) &gt; 1, template_label_value_inconsistency, template_label_ok)))</f>
        <v/>
      </c>
    </row>
    <row r="258" hidden="1" outlineLevel="2" ht="14.4" customHeight="1">
      <c r="A258" s="450" t="n"/>
      <c r="B258" s="387" t="n"/>
      <c r="C258" s="8" t="n"/>
      <c r="E258" s="60" t="n"/>
      <c r="F258" s="598">
        <f>IF(COUNTIF(enum_ListNACECategories, E258) &gt; 0, template_label_error,
IF(E258 = "", "",
IF(COUNTIF($E$180:$E$279, E258) &gt; 1, template_label_value_inconsistency, template_label_ok)))</f>
        <v/>
      </c>
    </row>
    <row r="259" hidden="1" outlineLevel="2" ht="14.4" customHeight="1">
      <c r="A259" s="450" t="n"/>
      <c r="B259" s="387" t="n"/>
      <c r="C259" s="8" t="n"/>
      <c r="E259" s="60" t="n"/>
      <c r="F259" s="598">
        <f>IF(COUNTIF(enum_ListNACECategories, E259) &gt; 0, template_label_error,
IF(E259 = "", "",
IF(COUNTIF($E$180:$E$279, E259) &gt; 1, template_label_value_inconsistency, template_label_ok)))</f>
        <v/>
      </c>
    </row>
    <row r="260" hidden="1" outlineLevel="2" ht="14.4" customHeight="1">
      <c r="A260" s="450" t="n"/>
      <c r="B260" s="387" t="n"/>
      <c r="C260" s="8" t="n"/>
      <c r="E260" s="60" t="n"/>
      <c r="F260" s="598">
        <f>IF(COUNTIF(enum_ListNACECategories, E260) &gt; 0, template_label_error,
IF(E260 = "", "",
IF(COUNTIF($E$180:$E$279, E260) &gt; 1, template_label_value_inconsistency, template_label_ok)))</f>
        <v/>
      </c>
    </row>
    <row r="261" hidden="1" outlineLevel="2" ht="14.4" customHeight="1">
      <c r="A261" s="450" t="n"/>
      <c r="B261" s="387" t="n"/>
      <c r="C261" s="8" t="n"/>
      <c r="E261" s="60" t="n"/>
      <c r="F261" s="598">
        <f>IF(COUNTIF(enum_ListNACECategories, E261) &gt; 0, template_label_error,
IF(E261 = "", "",
IF(COUNTIF($E$180:$E$279, E261) &gt; 1, template_label_value_inconsistency, template_label_ok)))</f>
        <v/>
      </c>
    </row>
    <row r="262" hidden="1" outlineLevel="2" ht="14.4" customHeight="1">
      <c r="A262" s="450" t="n"/>
      <c r="B262" s="387" t="n"/>
      <c r="C262" s="8" t="n"/>
      <c r="E262" s="60" t="n"/>
      <c r="F262" s="598">
        <f>IF(COUNTIF(enum_ListNACECategories, E262) &gt; 0, template_label_error,
IF(E262 = "", "",
IF(COUNTIF($E$180:$E$279, E262) &gt; 1, template_label_value_inconsistency, template_label_ok)))</f>
        <v/>
      </c>
    </row>
    <row r="263" hidden="1" outlineLevel="2" ht="14.4" customHeight="1">
      <c r="A263" s="450" t="n"/>
      <c r="B263" s="387" t="n"/>
      <c r="C263" s="8" t="n"/>
      <c r="E263" s="60" t="n"/>
      <c r="F263" s="598">
        <f>IF(COUNTIF(enum_ListNACECategories, E263) &gt; 0, template_label_error,
IF(E263 = "", "",
IF(COUNTIF($E$180:$E$279, E263) &gt; 1, template_label_value_inconsistency, template_label_ok)))</f>
        <v/>
      </c>
    </row>
    <row r="264" hidden="1" outlineLevel="2" ht="14.4" customHeight="1">
      <c r="A264" s="450" t="n"/>
      <c r="B264" s="387" t="n"/>
      <c r="C264" s="8" t="n"/>
      <c r="E264" s="60" t="n"/>
      <c r="F264" s="598">
        <f>IF(COUNTIF(enum_ListNACECategories, E264) &gt; 0, template_label_error,
IF(E264 = "", "",
IF(COUNTIF($E$180:$E$279, E264) &gt; 1, template_label_value_inconsistency, template_label_ok)))</f>
        <v/>
      </c>
    </row>
    <row r="265" hidden="1" outlineLevel="2" ht="14.4" customHeight="1">
      <c r="A265" s="450" t="n"/>
      <c r="B265" s="387" t="n"/>
      <c r="C265" s="8" t="n"/>
      <c r="E265" s="60" t="n"/>
      <c r="F265" s="598">
        <f>IF(COUNTIF(enum_ListNACECategories, E265) &gt; 0, template_label_error,
IF(E265 = "", "",
IF(COUNTIF($E$180:$E$279, E265) &gt; 1, template_label_value_inconsistency, template_label_ok)))</f>
        <v/>
      </c>
    </row>
    <row r="266" hidden="1" outlineLevel="2" ht="14.4" customHeight="1">
      <c r="A266" s="450" t="n"/>
      <c r="B266" s="387" t="n"/>
      <c r="C266" s="8" t="n"/>
      <c r="E266" s="60" t="n"/>
      <c r="F266" s="598">
        <f>IF(COUNTIF(enum_ListNACECategories, E266) &gt; 0, template_label_error,
IF(E266 = "", "",
IF(COUNTIF($E$180:$E$279, E266) &gt; 1, template_label_value_inconsistency, template_label_ok)))</f>
        <v/>
      </c>
    </row>
    <row r="267" hidden="1" outlineLevel="2" ht="14.4" customHeight="1">
      <c r="A267" s="450" t="n"/>
      <c r="B267" s="387" t="n"/>
      <c r="C267" s="8" t="n"/>
      <c r="E267" s="60" t="n"/>
      <c r="F267" s="598">
        <f>IF(COUNTIF(enum_ListNACECategories, E267) &gt; 0, template_label_error,
IF(E267 = "", "",
IF(COUNTIF($E$180:$E$279, E267) &gt; 1, template_label_value_inconsistency, template_label_ok)))</f>
        <v/>
      </c>
    </row>
    <row r="268" hidden="1" outlineLevel="2" ht="14.4" customHeight="1">
      <c r="A268" s="450" t="n"/>
      <c r="B268" s="387" t="n"/>
      <c r="C268" s="8" t="n"/>
      <c r="E268" s="60" t="n"/>
      <c r="F268" s="598">
        <f>IF(COUNTIF(enum_ListNACECategories, E268) &gt; 0, template_label_error,
IF(E268 = "", "",
IF(COUNTIF($E$180:$E$279, E268) &gt; 1, template_label_value_inconsistency, template_label_ok)))</f>
        <v/>
      </c>
    </row>
    <row r="269" hidden="1" outlineLevel="2" ht="14.4" customHeight="1">
      <c r="A269" s="450" t="n"/>
      <c r="B269" s="387" t="n"/>
      <c r="C269" s="8" t="n"/>
      <c r="E269" s="60" t="n"/>
      <c r="F269" s="598">
        <f>IF(COUNTIF(enum_ListNACECategories, E269) &gt; 0, template_label_error,
IF(E269 = "", "",
IF(COUNTIF($E$180:$E$279, E269) &gt; 1, template_label_value_inconsistency, template_label_ok)))</f>
        <v/>
      </c>
    </row>
    <row r="270" hidden="1" outlineLevel="2" ht="14.4" customHeight="1">
      <c r="A270" s="450" t="n"/>
      <c r="B270" s="387" t="n"/>
      <c r="C270" s="8" t="n"/>
      <c r="E270" s="60" t="n"/>
      <c r="F270" s="598">
        <f>IF(COUNTIF(enum_ListNACECategories, E270) &gt; 0, template_label_error,
IF(E270 = "", "",
IF(COUNTIF($E$180:$E$279, E270) &gt; 1, template_label_value_inconsistency, template_label_ok)))</f>
        <v/>
      </c>
    </row>
    <row r="271" hidden="1" outlineLevel="2" ht="14.4" customHeight="1">
      <c r="A271" s="450" t="n"/>
      <c r="B271" s="387" t="n"/>
      <c r="C271" s="8" t="n"/>
      <c r="E271" s="60" t="n"/>
      <c r="F271" s="598">
        <f>IF(COUNTIF(enum_ListNACECategories, E271) &gt; 0, template_label_error,
IF(E271 = "", "",
IF(COUNTIF($E$180:$E$279, E271) &gt; 1, template_label_value_inconsistency, template_label_ok)))</f>
        <v/>
      </c>
    </row>
    <row r="272" hidden="1" outlineLevel="2" ht="14.4" customHeight="1">
      <c r="A272" s="450" t="n"/>
      <c r="B272" s="387" t="n"/>
      <c r="C272" s="8" t="n"/>
      <c r="E272" s="60" t="n"/>
      <c r="F272" s="598">
        <f>IF(COUNTIF(enum_ListNACECategories, E272) &gt; 0, template_label_error,
IF(E272 = "", "",
IF(COUNTIF($E$180:$E$279, E272) &gt; 1, template_label_value_inconsistency, template_label_ok)))</f>
        <v/>
      </c>
    </row>
    <row r="273" hidden="1" outlineLevel="2" ht="14.4" customHeight="1">
      <c r="A273" s="450" t="n"/>
      <c r="B273" s="387" t="n"/>
      <c r="C273" s="8" t="n"/>
      <c r="E273" s="60" t="n"/>
      <c r="F273" s="598">
        <f>IF(COUNTIF(enum_ListNACECategories, E273) &gt; 0, template_label_error,
IF(E273 = "", "",
IF(COUNTIF($E$180:$E$279, E273) &gt; 1, template_label_value_inconsistency, template_label_ok)))</f>
        <v/>
      </c>
    </row>
    <row r="274" hidden="1" outlineLevel="2" ht="14.4" customHeight="1">
      <c r="A274" s="450" t="n"/>
      <c r="B274" s="387" t="n"/>
      <c r="C274" s="8" t="n"/>
      <c r="E274" s="60" t="n"/>
      <c r="F274" s="598">
        <f>IF(COUNTIF(enum_ListNACECategories, E274) &gt; 0, template_label_error,
IF(E274 = "", "",
IF(COUNTIF($E$180:$E$279, E274) &gt; 1, template_label_value_inconsistency, template_label_ok)))</f>
        <v/>
      </c>
    </row>
    <row r="275" hidden="1" outlineLevel="2" ht="14.4" customHeight="1">
      <c r="A275" s="450" t="n"/>
      <c r="B275" s="387" t="n"/>
      <c r="C275" s="8" t="n"/>
      <c r="E275" s="60" t="n"/>
      <c r="F275" s="598">
        <f>IF(COUNTIF(enum_ListNACECategories, E275) &gt; 0, template_label_error,
IF(E275 = "", "",
IF(COUNTIF($E$180:$E$279, E275) &gt; 1, template_label_value_inconsistency, template_label_ok)))</f>
        <v/>
      </c>
    </row>
    <row r="276" hidden="1" outlineLevel="2" ht="14.4" customHeight="1">
      <c r="A276" s="450" t="n"/>
      <c r="B276" s="387" t="n"/>
      <c r="C276" s="8" t="n"/>
      <c r="E276" s="60" t="n"/>
      <c r="F276" s="598">
        <f>IF(COUNTIF(enum_ListNACECategories, E276) &gt; 0, template_label_error,
IF(E276 = "", "",
IF(COUNTIF($E$180:$E$279, E276) &gt; 1, template_label_value_inconsistency, template_label_ok)))</f>
        <v/>
      </c>
    </row>
    <row r="277" hidden="1" outlineLevel="2" ht="14.4" customHeight="1">
      <c r="A277" s="450" t="n"/>
      <c r="B277" s="387" t="n"/>
      <c r="C277" s="8" t="n"/>
      <c r="E277" s="60" t="n"/>
      <c r="F277" s="598">
        <f>IF(COUNTIF(enum_ListNACECategories, E277) &gt; 0, template_label_error,
IF(E277 = "", "",
IF(COUNTIF($E$180:$E$279, E277) &gt; 1, template_label_value_inconsistency, template_label_ok)))</f>
        <v/>
      </c>
    </row>
    <row r="278" hidden="1" outlineLevel="2" ht="14.4" customHeight="1">
      <c r="A278" s="450" t="n"/>
      <c r="B278" s="387" t="n"/>
      <c r="C278" s="8" t="n"/>
      <c r="E278" s="60" t="n"/>
      <c r="F278" s="598">
        <f>IF(COUNTIF(enum_ListNACECategories, E278) &gt; 0, template_label_error,
IF(E278 = "", "",
IF(COUNTIF($E$180:$E$279, E278) &gt; 1, template_label_value_inconsistency, template_label_ok)))</f>
        <v/>
      </c>
    </row>
    <row r="279" hidden="1" outlineLevel="2" ht="14.4" customHeight="1">
      <c r="A279" s="3" t="n"/>
      <c r="B279" s="1128" t="n"/>
      <c r="C279" s="8" t="n"/>
      <c r="E279" s="60" t="n"/>
      <c r="F279" s="598">
        <f>IF(COUNTIF(enum_ListNACECategories, E279) &gt; 0, template_label_error,
IF(E279 = "", "",
IF(COUNTIF($E$180:$E$279, E279) &gt; 1, template_label_value_inconsistency, template_label_ok)))</f>
        <v/>
      </c>
    </row>
    <row r="280" collapsed="1" ht="14.4" customHeight="1">
      <c r="A280" s="551" t="inlineStr">
        <is>
          <t>24(e)(iii)</t>
        </is>
      </c>
      <c r="B280" s="222" t="inlineStr">
        <is>
          <t>N/A</t>
        </is>
      </c>
      <c r="C280" s="560">
        <f>template_label_size_of_balance_sheet_in &amp; " " &amp; template_currency</f>
        <v/>
      </c>
      <c r="D280" s="199" t="n"/>
      <c r="E280" s="815" t="n">
        <v>600000</v>
      </c>
      <c r="F280" s="598">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
      </c>
    </row>
    <row r="281" ht="14.4" customHeight="1">
      <c r="A281" s="551" t="inlineStr">
        <is>
          <t>24(e)(iv)</t>
        </is>
      </c>
      <c r="B281" s="222" t="inlineStr">
        <is>
          <t>N/A</t>
        </is>
      </c>
      <c r="C281" s="560">
        <f>template_label_turnover_in &amp; " " &amp; template_currency</f>
        <v/>
      </c>
      <c r="D281" s="199" t="n"/>
      <c r="E281" s="815" t="n">
        <v>235000</v>
      </c>
      <c r="F281" s="598">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ht="14.4" customHeight="1">
      <c r="A282" s="551" t="inlineStr">
        <is>
          <t>24(e)(v)</t>
        </is>
      </c>
      <c r="B282" s="559" t="inlineStr">
        <is>
          <t>7-8</t>
        </is>
      </c>
      <c r="C282" s="560">
        <f>+template_label_number_of_employees</f>
        <v/>
      </c>
      <c r="D282" s="199" t="n"/>
      <c r="E282" s="674" t="n">
        <v>151</v>
      </c>
      <c r="F282" s="598">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ht="14.4" customHeight="1">
      <c r="A283" s="551" t="inlineStr">
        <is>
          <t>24(e)(v)</t>
        </is>
      </c>
      <c r="B283" s="559" t="inlineStr">
        <is>
          <t>7-8</t>
        </is>
      </c>
      <c r="C283" s="562">
        <f>template_label_employee_counting_methodology_end_of_reporting_period_or_average_during_the_reporting_period</f>
        <v/>
      </c>
      <c r="D283" s="1106" t="n"/>
      <c r="E283" s="674" t="inlineStr">
        <is>
          <t>As an average across the reporting period</t>
        </is>
      </c>
      <c r="F283" s="598">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ht="14.4" customHeight="1">
      <c r="A284" s="551" t="inlineStr">
        <is>
          <t>24(e)(v)</t>
        </is>
      </c>
      <c r="B284" s="559" t="inlineStr">
        <is>
          <t>7-8</t>
        </is>
      </c>
      <c r="C284" s="560">
        <f>template_label_employee_counting_methodology_headcount_or_fulltime_equivalent</f>
        <v/>
      </c>
      <c r="D284" s="199" t="n"/>
      <c r="E284" s="61" t="inlineStr">
        <is>
          <t>Full-time equivalent (FTE)</t>
        </is>
      </c>
      <c r="F284" s="598">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ht="14.4" customHeight="1" thickBot="1">
      <c r="A285" s="551" t="inlineStr">
        <is>
          <t>24(e)(vi)</t>
        </is>
      </c>
      <c r="B285" s="559" t="inlineStr">
        <is>
          <t>9-12</t>
        </is>
      </c>
      <c r="C285" s="561">
        <f>template_label_country_of_primary_operations_and_location_of_significant_asset</f>
        <v/>
      </c>
      <c r="D285" s="1125" t="n"/>
      <c r="E285" s="65" t="inlineStr">
        <is>
          <t>Italy</t>
        </is>
      </c>
      <c r="F285" s="598">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
      </c>
    </row>
    <row r="286" ht="15" customHeight="1" thickBot="1">
      <c r="B286" s="87" t="n"/>
    </row>
    <row r="287" ht="14.4" customHeight="1" thickBot="1">
      <c r="B287" s="87" t="n"/>
      <c r="C287" s="588">
        <f> template_label_b1_list_of_subsidiaries &amp; " " &amp; template_label_from &amp; " " &amp; template_starting_date_display &amp; " " &amp; template_label_to &amp; " " &amp; template_ending_date_display &amp; " " &amp; template_label_if_applicable</f>
        <v/>
      </c>
      <c r="D287" s="1120" t="n"/>
      <c r="E287" s="1121" t="n"/>
    </row>
    <row r="288" ht="14.4" customHeight="1">
      <c r="B288" s="87" t="n"/>
      <c r="C288" s="553" t="inlineStr">
        <is>
          <t>24(d)</t>
        </is>
      </c>
      <c r="D288" s="508" t="n"/>
      <c r="E288" s="198" t="n"/>
    </row>
    <row r="289" ht="14.4" customHeight="1">
      <c r="B289" s="87" t="n"/>
      <c r="C289" s="4">
        <f>template_label_id</f>
        <v/>
      </c>
      <c r="D289" s="1">
        <f>template_label_name</f>
        <v/>
      </c>
      <c r="E289" s="411">
        <f>template_label_registered_address</f>
        <v/>
      </c>
    </row>
    <row r="290" ht="14.4" customHeight="1">
      <c r="B290" s="87" t="n"/>
      <c r="C290" s="208" t="n">
        <v>1</v>
      </c>
      <c r="D290" s="362" t="inlineStr">
        <is>
          <t>Company XYZ Subsidiary 1</t>
        </is>
      </c>
      <c r="E290" s="213" t="inlineStr">
        <is>
          <t>Street XYZ, Country</t>
        </is>
      </c>
      <c r="F290" s="598">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
      </c>
      <c r="G290">
        <f>template_label_additional_rows_warning</f>
        <v/>
      </c>
    </row>
    <row r="291" ht="14.4" customHeight="1">
      <c r="B291" s="87" t="n"/>
      <c r="C291" s="208" t="n">
        <v>2</v>
      </c>
      <c r="D291" s="362" t="n"/>
      <c r="E291" s="213" t="n"/>
      <c r="F291" s="598">
        <f>IF(AND(D291&lt;&gt;"",E291=""), template_label_missing_value,
IF(AND(D291&lt;&gt;"",E291&lt;&gt;""), template_label_ok,
IF(AND(D291="",E291=""), "", template_label_missing_value)))</f>
        <v/>
      </c>
    </row>
    <row r="292" ht="14.4" customHeight="1" thickBot="1">
      <c r="C292" s="210" t="n">
        <v>3</v>
      </c>
      <c r="D292" s="412" t="n"/>
      <c r="E292" s="214" t="n"/>
      <c r="F292" s="598">
        <f>IF(AND(D292&lt;&gt;"",E292=""), template_label_missing_value,
IF(AND(D292&lt;&gt;"",E292&lt;&gt;""), template_label_ok,
IF(AND(D292="",E292=""), "", template_label_missing_value)))</f>
        <v/>
      </c>
    </row>
    <row r="293" hidden="1" outlineLevel="1" ht="14.4" customHeight="1" thickBot="1">
      <c r="C293" s="209" t="n">
        <v>4</v>
      </c>
      <c r="D293" s="67" t="n"/>
      <c r="E293" s="68" t="n"/>
      <c r="F293" s="86">
        <f>IF(AND(D293&lt;&gt;"",E293=""), template_label_missing_value,
IF(AND(D293&lt;&gt;"",E293&lt;&gt;""), template_label_ok,
IF(AND(D293="",E293=""), "", template_label_missing_value)))</f>
        <v/>
      </c>
    </row>
    <row r="294" hidden="1" outlineLevel="1" ht="14.4" customHeight="1">
      <c r="C294" s="209" t="n">
        <v>5</v>
      </c>
      <c r="D294" s="69" t="n"/>
      <c r="E294" s="213" t="n"/>
      <c r="F294" s="86">
        <f>IF(AND(D294&lt;&gt;"",E294=""), template_label_missing_value,
IF(AND(D294&lt;&gt;"",E294&lt;&gt;""), template_label_ok,
IF(AND(D294="",E294=""), "", template_label_missing_value)))</f>
        <v/>
      </c>
    </row>
    <row r="295" hidden="1" outlineLevel="1" ht="14.4" customHeight="1" thickBot="1">
      <c r="C295" s="208" t="n">
        <v>6</v>
      </c>
      <c r="D295" s="69" t="n"/>
      <c r="E295" s="213" t="n"/>
      <c r="F295" s="86">
        <f>IF(AND(D295&lt;&gt;"",E295=""), template_label_missing_value,
IF(AND(D295&lt;&gt;"",E295&lt;&gt;""), template_label_ok,
IF(AND(D295="",E295=""), "", template_label_missing_value)))</f>
        <v/>
      </c>
    </row>
    <row r="296" hidden="1" outlineLevel="1" ht="14.4" customHeight="1" thickBot="1">
      <c r="C296" s="208" t="n">
        <v>7</v>
      </c>
      <c r="D296" s="69" t="n"/>
      <c r="E296" s="213" t="n"/>
      <c r="F296" s="86">
        <f>IF(AND(D296&lt;&gt;"",E296=""), template_label_missing_value,
IF(AND(D296&lt;&gt;"",E296&lt;&gt;""), template_label_ok,
IF(AND(D296="",E296=""), "", template_label_missing_value)))</f>
        <v/>
      </c>
    </row>
    <row r="297" hidden="1" outlineLevel="1" ht="14.4" customHeight="1" thickBot="1">
      <c r="C297" s="209" t="n">
        <v>8</v>
      </c>
      <c r="D297" s="69" t="n"/>
      <c r="E297" s="213" t="n"/>
      <c r="F297" s="86">
        <f>IF(AND(D297&lt;&gt;"",E297=""), template_label_missing_value,
IF(AND(D297&lt;&gt;"",E297&lt;&gt;""), template_label_ok,
IF(AND(D297="",E297=""), "", template_label_missing_value)))</f>
        <v/>
      </c>
    </row>
    <row r="298" hidden="1" outlineLevel="1" ht="14.4" customHeight="1" thickBot="1">
      <c r="C298" s="208" t="n">
        <v>9</v>
      </c>
      <c r="D298" s="69" t="n"/>
      <c r="E298" s="213" t="n"/>
      <c r="F298" s="86">
        <f>IF(AND(D298&lt;&gt;"",E298=""), template_label_missing_value,
IF(AND(D298&lt;&gt;"",E298&lt;&gt;""), template_label_ok,
IF(AND(D298="",E298=""), "", template_label_missing_value)))</f>
        <v/>
      </c>
    </row>
    <row r="299" hidden="1" outlineLevel="1" ht="14.4" customHeight="1" thickBot="1">
      <c r="C299" s="208" t="n">
        <v>10</v>
      </c>
      <c r="D299" s="69" t="n"/>
      <c r="E299" s="213" t="n"/>
      <c r="F299" s="86">
        <f>IF(AND(D299&lt;&gt;"",E299=""), template_label_missing_value,
IF(AND(D299&lt;&gt;"",E299&lt;&gt;""), template_label_ok,
IF(AND(D299="",E299=""), "", template_label_missing_value)))</f>
        <v/>
      </c>
    </row>
    <row r="300" hidden="1" outlineLevel="1" ht="14.4" customHeight="1" thickBot="1">
      <c r="C300" s="209" t="n">
        <v>11</v>
      </c>
      <c r="D300" s="69" t="n"/>
      <c r="E300" s="213" t="n"/>
      <c r="F300" s="86">
        <f>IF(AND(D300&lt;&gt;"",E300=""), template_label_missing_value,
IF(AND(D300&lt;&gt;"",E300&lt;&gt;""), template_label_ok,
IF(AND(D300="",E300=""), "", template_label_missing_value)))</f>
        <v/>
      </c>
    </row>
    <row r="301" hidden="1" outlineLevel="1" ht="14.4" customHeight="1" thickBot="1">
      <c r="C301" s="208" t="n">
        <v>12</v>
      </c>
      <c r="D301" s="69" t="n"/>
      <c r="E301" s="213" t="n"/>
      <c r="F301" s="86">
        <f>IF(AND(D301&lt;&gt;"",E301=""), template_label_missing_value,
IF(AND(D301&lt;&gt;"",E301&lt;&gt;""), template_label_ok,
IF(AND(D301="",E301=""), "", template_label_missing_value)))</f>
        <v/>
      </c>
    </row>
    <row r="302" hidden="1" outlineLevel="1" ht="14.4" customHeight="1" thickBot="1">
      <c r="C302" s="208" t="n">
        <v>13</v>
      </c>
      <c r="D302" s="69" t="n"/>
      <c r="E302" s="213" t="n"/>
      <c r="F302" s="86">
        <f>IF(AND(D302&lt;&gt;"",E302=""), template_label_missing_value,
IF(AND(D302&lt;&gt;"",E302&lt;&gt;""), template_label_ok,
IF(AND(D302="",E302=""), "", template_label_missing_value)))</f>
        <v/>
      </c>
    </row>
    <row r="303" hidden="1" outlineLevel="1" ht="14.4" customHeight="1" thickBot="1">
      <c r="C303" s="209" t="n">
        <v>14</v>
      </c>
      <c r="D303" s="69" t="n"/>
      <c r="E303" s="213" t="n"/>
      <c r="F303" s="86">
        <f>IF(AND(D303&lt;&gt;"",E303=""), template_label_missing_value,
IF(AND(D303&lt;&gt;"",E303&lt;&gt;""), template_label_ok,
IF(AND(D303="",E303=""), "", template_label_missing_value)))</f>
        <v/>
      </c>
    </row>
    <row r="304" hidden="1" outlineLevel="1" ht="14.4" customHeight="1" thickBot="1">
      <c r="C304" s="208" t="n">
        <v>15</v>
      </c>
      <c r="D304" s="69" t="n"/>
      <c r="E304" s="213" t="n"/>
      <c r="F304" s="86">
        <f>IF(AND(D304&lt;&gt;"",E304=""), template_label_missing_value,
IF(AND(D304&lt;&gt;"",E304&lt;&gt;""), template_label_ok,
IF(AND(D304="",E304=""), "", template_label_missing_value)))</f>
        <v/>
      </c>
    </row>
    <row r="305" hidden="1" outlineLevel="1" ht="14.4" customHeight="1" thickBot="1">
      <c r="C305" s="208" t="n">
        <v>16</v>
      </c>
      <c r="D305" s="69" t="n"/>
      <c r="E305" s="213" t="n"/>
      <c r="F305" s="86">
        <f>IF(AND(D305&lt;&gt;"",E305=""), template_label_missing_value,
IF(AND(D305&lt;&gt;"",E305&lt;&gt;""), template_label_ok,
IF(AND(D305="",E305=""), "", template_label_missing_value)))</f>
        <v/>
      </c>
    </row>
    <row r="306" hidden="1" outlineLevel="1" ht="14.4" customHeight="1" thickBot="1">
      <c r="C306" s="209" t="n">
        <v>17</v>
      </c>
      <c r="D306" s="69" t="n"/>
      <c r="E306" s="213" t="n"/>
      <c r="F306" s="86">
        <f>IF(AND(D306&lt;&gt;"",E306=""), template_label_missing_value,
IF(AND(D306&lt;&gt;"",E306&lt;&gt;""), template_label_ok,
IF(AND(D306="",E306=""), "", template_label_missing_value)))</f>
        <v/>
      </c>
    </row>
    <row r="307" hidden="1" outlineLevel="1" ht="14.4" customHeight="1" thickBot="1">
      <c r="C307" s="208" t="n">
        <v>18</v>
      </c>
      <c r="D307" s="69" t="n"/>
      <c r="E307" s="213" t="n"/>
      <c r="F307" s="86">
        <f>IF(AND(D307&lt;&gt;"",E307=""), template_label_missing_value,
IF(AND(D307&lt;&gt;"",E307&lt;&gt;""), template_label_ok,
IF(AND(D307="",E307=""), "", template_label_missing_value)))</f>
        <v/>
      </c>
    </row>
    <row r="308" hidden="1" outlineLevel="1" ht="14.4" customHeight="1" thickBot="1">
      <c r="C308" s="208" t="n">
        <v>19</v>
      </c>
      <c r="D308" s="69" t="n"/>
      <c r="E308" s="213" t="n"/>
      <c r="F308" s="86">
        <f>IF(AND(D308&lt;&gt;"",E308=""), template_label_missing_value,
IF(AND(D308&lt;&gt;"",E308&lt;&gt;""), template_label_ok,
IF(AND(D308="",E308=""), "", template_label_missing_value)))</f>
        <v/>
      </c>
    </row>
    <row r="309" hidden="1" outlineLevel="1" ht="14.4" customHeight="1" thickBot="1">
      <c r="C309" s="209" t="n">
        <v>20</v>
      </c>
      <c r="D309" s="69" t="n"/>
      <c r="E309" s="213" t="n"/>
      <c r="F309" s="86">
        <f>IF(AND(D309&lt;&gt;"",E309=""), template_label_missing_value,
IF(AND(D309&lt;&gt;"",E309&lt;&gt;""), template_label_ok,
IF(AND(D309="",E309=""), "", template_label_missing_value)))</f>
        <v/>
      </c>
    </row>
    <row r="310" hidden="1" outlineLevel="1" ht="14.4" customHeight="1" thickBot="1">
      <c r="C310" s="208" t="n">
        <v>21</v>
      </c>
      <c r="D310" s="69" t="n"/>
      <c r="E310" s="213" t="n"/>
      <c r="F310" s="86">
        <f>IF(AND(D310&lt;&gt;"",E310=""), template_label_missing_value,
IF(AND(D310&lt;&gt;"",E310&lt;&gt;""), template_label_ok,
IF(AND(D310="",E310=""), "", template_label_missing_value)))</f>
        <v/>
      </c>
    </row>
    <row r="311" hidden="1" outlineLevel="1" ht="14.4" customHeight="1" thickBot="1">
      <c r="C311" s="208" t="n">
        <v>22</v>
      </c>
      <c r="D311" s="69" t="n"/>
      <c r="E311" s="213" t="n"/>
      <c r="F311" s="86">
        <f>IF(AND(D311&lt;&gt;"",E311=""), template_label_missing_value,
IF(AND(D311&lt;&gt;"",E311&lt;&gt;""), template_label_ok,
IF(AND(D311="",E311=""), "", template_label_missing_value)))</f>
        <v/>
      </c>
    </row>
    <row r="312" hidden="1" outlineLevel="1" ht="14.4" customHeight="1" thickBot="1">
      <c r="C312" s="209" t="n">
        <v>23</v>
      </c>
      <c r="D312" s="69" t="n"/>
      <c r="E312" s="213" t="n"/>
      <c r="F312" s="86">
        <f>IF(AND(D312&lt;&gt;"",E312=""), template_label_missing_value,
IF(AND(D312&lt;&gt;"",E312&lt;&gt;""), template_label_ok,
IF(AND(D312="",E312=""), "", template_label_missing_value)))</f>
        <v/>
      </c>
    </row>
    <row r="313" hidden="1" outlineLevel="1" ht="14.4" customHeight="1" thickBot="1">
      <c r="C313" s="208" t="n">
        <v>24</v>
      </c>
      <c r="D313" s="69" t="n"/>
      <c r="E313" s="213" t="n"/>
      <c r="F313" s="86">
        <f>IF(AND(D313&lt;&gt;"",E313=""), template_label_missing_value,
IF(AND(D313&lt;&gt;"",E313&lt;&gt;""), template_label_ok,
IF(AND(D313="",E313=""), "", template_label_missing_value)))</f>
        <v/>
      </c>
    </row>
    <row r="314" hidden="1" outlineLevel="1" ht="14.4" customHeight="1" thickBot="1">
      <c r="C314" s="208" t="n">
        <v>25</v>
      </c>
      <c r="D314" s="69" t="n"/>
      <c r="E314" s="213" t="n"/>
      <c r="F314" s="86">
        <f>IF(AND(D314&lt;&gt;"",E314=""), template_label_missing_value,
IF(AND(D314&lt;&gt;"",E314&lt;&gt;""), template_label_ok,
IF(AND(D314="",E314=""), "", template_label_missing_value)))</f>
        <v/>
      </c>
    </row>
    <row r="315" hidden="1" outlineLevel="1" ht="14.4" customHeight="1" thickBot="1">
      <c r="C315" s="209" t="n"/>
      <c r="D315" s="69" t="n"/>
      <c r="E315" s="213" t="n"/>
      <c r="F315" s="86">
        <f>IF(AND(D315&lt;&gt;"",E315=""), template_label_missing_value,
IF(AND(D315&lt;&gt;"",E315&lt;&gt;""), template_label_ok,
IF(AND(D315="",E315=""), "", template_label_missing_value)))</f>
        <v/>
      </c>
    </row>
    <row r="316" hidden="1" outlineLevel="1" ht="14.4" customHeight="1" thickBot="1">
      <c r="C316" s="208" t="n"/>
      <c r="D316" s="69" t="n"/>
      <c r="E316" s="213" t="n"/>
      <c r="F316" s="86">
        <f>IF(AND(D316&lt;&gt;"",E316=""), template_label_missing_value,
IF(AND(D316&lt;&gt;"",E316&lt;&gt;""), template_label_ok,
IF(AND(D316="",E316=""), "", template_label_missing_value)))</f>
        <v/>
      </c>
    </row>
    <row r="317" hidden="1" outlineLevel="1" ht="14.4" customHeight="1" thickBot="1">
      <c r="C317" s="208" t="n"/>
      <c r="D317" s="69" t="n"/>
      <c r="E317" s="213" t="n"/>
      <c r="F317" s="86">
        <f>IF(AND(D317&lt;&gt;"",E317=""), template_label_missing_value,
IF(AND(D317&lt;&gt;"",E317&lt;&gt;""), template_label_ok,
IF(AND(D317="",E317=""), "", template_label_missing_value)))</f>
        <v/>
      </c>
    </row>
    <row r="318" hidden="1" outlineLevel="1" ht="14.4" customHeight="1" thickBot="1">
      <c r="C318" s="209" t="n"/>
      <c r="D318" s="69" t="n"/>
      <c r="E318" s="213" t="n"/>
      <c r="F318" s="86">
        <f>IF(AND(D318&lt;&gt;"",E318=""), template_label_missing_value,
IF(AND(D318&lt;&gt;"",E318&lt;&gt;""), template_label_ok,
IF(AND(D318="",E318=""), "", template_label_missing_value)))</f>
        <v/>
      </c>
    </row>
    <row r="319" hidden="1" outlineLevel="1" ht="14.4" customHeight="1" thickBot="1">
      <c r="C319" s="208" t="n"/>
      <c r="D319" s="69" t="n"/>
      <c r="E319" s="213" t="n"/>
      <c r="F319" s="86">
        <f>IF(AND(D319&lt;&gt;"",E319=""), template_label_missing_value,
IF(AND(D319&lt;&gt;"",E319&lt;&gt;""), template_label_ok,
IF(AND(D319="",E319=""), "", template_label_missing_value)))</f>
        <v/>
      </c>
    </row>
    <row r="320" hidden="1" outlineLevel="1" ht="14.4" customHeight="1" thickBot="1">
      <c r="C320" s="208" t="n"/>
      <c r="D320" s="69" t="n"/>
      <c r="E320" s="213" t="n"/>
      <c r="F320" s="86">
        <f>IF(AND(D320&lt;&gt;"",E320=""), template_label_missing_value,
IF(AND(D320&lt;&gt;"",E320&lt;&gt;""), template_label_ok,
IF(AND(D320="",E320=""), "", template_label_missing_value)))</f>
        <v/>
      </c>
    </row>
    <row r="321" hidden="1" outlineLevel="1" ht="14.4" customHeight="1" thickBot="1">
      <c r="C321" s="209" t="n"/>
      <c r="D321" s="69" t="n"/>
      <c r="E321" s="213" t="n"/>
      <c r="F321" s="86">
        <f>IF(AND(D321&lt;&gt;"",E321=""), template_label_missing_value,
IF(AND(D321&lt;&gt;"",E321&lt;&gt;""), template_label_ok,
IF(AND(D321="",E321=""), "", template_label_missing_value)))</f>
        <v/>
      </c>
    </row>
    <row r="322" hidden="1" outlineLevel="1" ht="14.4" customHeight="1" thickBot="1">
      <c r="C322" s="208" t="n"/>
      <c r="D322" s="69" t="n"/>
      <c r="E322" s="213" t="n"/>
      <c r="F322" s="86">
        <f>IF(AND(D322&lt;&gt;"",E322=""), template_label_missing_value,
IF(AND(D322&lt;&gt;"",E322&lt;&gt;""), template_label_ok,
IF(AND(D322="",E322=""), "", template_label_missing_value)))</f>
        <v/>
      </c>
    </row>
    <row r="323" hidden="1" outlineLevel="1" ht="14.4" customHeight="1" thickBot="1">
      <c r="C323" s="208" t="n"/>
      <c r="D323" s="69" t="n"/>
      <c r="E323" s="213" t="n"/>
      <c r="F323" s="86">
        <f>IF(AND(D323&lt;&gt;"",E323=""), template_label_missing_value,
IF(AND(D323&lt;&gt;"",E323&lt;&gt;""), template_label_ok,
IF(AND(D323="",E323=""), "", template_label_missing_value)))</f>
        <v/>
      </c>
    </row>
    <row r="324" hidden="1" outlineLevel="1" ht="14.4" customHeight="1" thickBot="1">
      <c r="C324" s="209" t="n"/>
      <c r="D324" s="69" t="n"/>
      <c r="E324" s="213" t="n"/>
      <c r="F324" s="86">
        <f>IF(AND(D324&lt;&gt;"",E324=""), template_label_missing_value,
IF(AND(D324&lt;&gt;"",E324&lt;&gt;""), template_label_ok,
IF(AND(D324="",E324=""), "", template_label_missing_value)))</f>
        <v/>
      </c>
    </row>
    <row r="325" hidden="1" outlineLevel="1" ht="14.4" customHeight="1" thickBot="1">
      <c r="C325" s="208" t="n"/>
      <c r="D325" s="69" t="n"/>
      <c r="E325" s="213" t="n"/>
      <c r="F325" s="86">
        <f>IF(AND(D325&lt;&gt;"",E325=""), template_label_missing_value,
IF(AND(D325&lt;&gt;"",E325&lt;&gt;""), template_label_ok,
IF(AND(D325="",E325=""), "", template_label_missing_value)))</f>
        <v/>
      </c>
    </row>
    <row r="326" hidden="1" outlineLevel="1" ht="14.4" customHeight="1" thickBot="1">
      <c r="C326" s="208" t="n"/>
      <c r="D326" s="69" t="n"/>
      <c r="E326" s="213" t="n"/>
      <c r="F326" s="86">
        <f>IF(AND(D326&lt;&gt;"",E326=""), template_label_missing_value,
IF(AND(D326&lt;&gt;"",E326&lt;&gt;""), template_label_ok,
IF(AND(D326="",E326=""), "", template_label_missing_value)))</f>
        <v/>
      </c>
    </row>
    <row r="327" hidden="1" outlineLevel="1" ht="14.4" customHeight="1" thickBot="1">
      <c r="C327" s="209" t="n"/>
      <c r="D327" s="69" t="n"/>
      <c r="E327" s="213" t="n"/>
      <c r="F327" s="86">
        <f>IF(AND(D327&lt;&gt;"",E327=""), template_label_missing_value,
IF(AND(D327&lt;&gt;"",E327&lt;&gt;""), template_label_ok,
IF(AND(D327="",E327=""), "", template_label_missing_value)))</f>
        <v/>
      </c>
    </row>
    <row r="328" hidden="1" outlineLevel="1" ht="14.4" customHeight="1" thickBot="1">
      <c r="C328" s="208" t="n"/>
      <c r="D328" s="69" t="n"/>
      <c r="E328" s="213" t="n"/>
      <c r="F328" s="86">
        <f>IF(AND(D328&lt;&gt;"",E328=""), template_label_missing_value,
IF(AND(D328&lt;&gt;"",E328&lt;&gt;""), template_label_ok,
IF(AND(D328="",E328=""), "", template_label_missing_value)))</f>
        <v/>
      </c>
    </row>
    <row r="329" hidden="1" outlineLevel="1" ht="14.4" customHeight="1" thickBot="1">
      <c r="C329" s="208" t="n"/>
      <c r="D329" s="69" t="n"/>
      <c r="E329" s="213" t="n"/>
      <c r="F329" s="86">
        <f>IF(AND(D329&lt;&gt;"",E329=""), template_label_missing_value,
IF(AND(D329&lt;&gt;"",E329&lt;&gt;""), template_label_ok,
IF(AND(D329="",E329=""), "", template_label_missing_value)))</f>
        <v/>
      </c>
    </row>
    <row r="330" hidden="1" outlineLevel="1" ht="14.4" customHeight="1" thickBot="1">
      <c r="C330" s="209" t="n"/>
      <c r="D330" s="69" t="n"/>
      <c r="E330" s="213" t="n"/>
      <c r="F330" s="86">
        <f>IF(AND(D330&lt;&gt;"",E330=""), template_label_missing_value,
IF(AND(D330&lt;&gt;"",E330&lt;&gt;""), template_label_ok,
IF(AND(D330="",E330=""), "", template_label_missing_value)))</f>
        <v/>
      </c>
    </row>
    <row r="331" hidden="1" outlineLevel="1" ht="14.4" customHeight="1" thickBot="1">
      <c r="C331" s="208" t="n"/>
      <c r="D331" s="69" t="n"/>
      <c r="E331" s="213" t="n"/>
      <c r="F331" s="86">
        <f>IF(AND(D331&lt;&gt;"",E331=""), template_label_missing_value,
IF(AND(D331&lt;&gt;"",E331&lt;&gt;""), template_label_ok,
IF(AND(D331="",E331=""), "", template_label_missing_value)))</f>
        <v/>
      </c>
    </row>
    <row r="332" hidden="1" outlineLevel="1" ht="14.4" customHeight="1" thickBot="1">
      <c r="C332" s="208" t="n"/>
      <c r="D332" s="69" t="n"/>
      <c r="E332" s="213" t="n"/>
      <c r="F332" s="86">
        <f>IF(AND(D332&lt;&gt;"",E332=""), template_label_missing_value,
IF(AND(D332&lt;&gt;"",E332&lt;&gt;""), template_label_ok,
IF(AND(D332="",E332=""), "", template_label_missing_value)))</f>
        <v/>
      </c>
    </row>
    <row r="333" hidden="1" outlineLevel="1" ht="14.4" customHeight="1" thickBot="1">
      <c r="C333" s="209" t="n"/>
      <c r="D333" s="69" t="n"/>
      <c r="E333" s="213" t="n"/>
      <c r="F333" s="86">
        <f>IF(AND(D333&lt;&gt;"",E333=""), template_label_missing_value,
IF(AND(D333&lt;&gt;"",E333&lt;&gt;""), template_label_ok,
IF(AND(D333="",E333=""), "", template_label_missing_value)))</f>
        <v/>
      </c>
    </row>
    <row r="334" hidden="1" outlineLevel="1" ht="14.4" customHeight="1" thickBot="1">
      <c r="C334" s="208" t="n"/>
      <c r="D334" s="69" t="n"/>
      <c r="E334" s="213" t="n"/>
      <c r="F334" s="86">
        <f>IF(AND(D334&lt;&gt;"",E334=""), template_label_missing_value,
IF(AND(D334&lt;&gt;"",E334&lt;&gt;""), template_label_ok,
IF(AND(D334="",E334=""), "", template_label_missing_value)))</f>
        <v/>
      </c>
    </row>
    <row r="335" hidden="1" outlineLevel="1" ht="14.4" customHeight="1" thickBot="1">
      <c r="C335" s="208" t="n"/>
      <c r="D335" s="69" t="n"/>
      <c r="E335" s="213" t="n"/>
      <c r="F335" s="86">
        <f>IF(AND(D335&lt;&gt;"",E335=""), template_label_missing_value,
IF(AND(D335&lt;&gt;"",E335&lt;&gt;""), template_label_ok,
IF(AND(D335="",E335=""), "", template_label_missing_value)))</f>
        <v/>
      </c>
    </row>
    <row r="336" hidden="1" outlineLevel="1" ht="14.4" customHeight="1" thickBot="1">
      <c r="C336" s="209" t="n"/>
      <c r="D336" s="69" t="n"/>
      <c r="E336" s="213" t="n"/>
      <c r="F336" s="86">
        <f>IF(AND(D336&lt;&gt;"",E336=""), template_label_missing_value,
IF(AND(D336&lt;&gt;"",E336&lt;&gt;""), template_label_ok,
IF(AND(D336="",E336=""), "", template_label_missing_value)))</f>
        <v/>
      </c>
    </row>
    <row r="337" hidden="1" outlineLevel="1" ht="14.4" customHeight="1" thickBot="1">
      <c r="C337" s="208" t="n"/>
      <c r="D337" s="69" t="n"/>
      <c r="E337" s="213" t="n"/>
      <c r="F337" s="86">
        <f>IF(AND(D337&lt;&gt;"",E337=""), template_label_missing_value,
IF(AND(D337&lt;&gt;"",E337&lt;&gt;""), template_label_ok,
IF(AND(D337="",E337=""), "", template_label_missing_value)))</f>
        <v/>
      </c>
    </row>
    <row r="338" hidden="1" outlineLevel="1" ht="14.4" customHeight="1" thickBot="1">
      <c r="C338" s="208" t="n"/>
      <c r="D338" s="69" t="n"/>
      <c r="E338" s="213" t="n"/>
      <c r="F338" s="86">
        <f>IF(AND(D338&lt;&gt;"",E338=""), template_label_missing_value,
IF(AND(D338&lt;&gt;"",E338&lt;&gt;""), template_label_ok,
IF(AND(D338="",E338=""), "", template_label_missing_value)))</f>
        <v/>
      </c>
    </row>
    <row r="339" hidden="1" outlineLevel="1" ht="14.4" customHeight="1" thickBot="1">
      <c r="C339" s="209" t="n"/>
      <c r="D339" s="69" t="n"/>
      <c r="E339" s="213" t="n"/>
      <c r="F339" s="86">
        <f>IF(AND(D339&lt;&gt;"",E339=""), template_label_missing_value,
IF(AND(D339&lt;&gt;"",E339&lt;&gt;""), template_label_ok,
IF(AND(D339="",E339=""), "", template_label_missing_value)))</f>
        <v/>
      </c>
    </row>
    <row r="340" hidden="1" outlineLevel="1" ht="14.4" customHeight="1" thickBot="1">
      <c r="C340" s="208" t="n"/>
      <c r="D340" s="69" t="n"/>
      <c r="E340" s="213" t="n"/>
      <c r="F340" s="86">
        <f>IF(AND(D340&lt;&gt;"",E340=""), template_label_missing_value,
IF(AND(D340&lt;&gt;"",E340&lt;&gt;""), template_label_ok,
IF(AND(D340="",E340=""), "", template_label_missing_value)))</f>
        <v/>
      </c>
    </row>
    <row r="341" hidden="1" outlineLevel="1" ht="14.4" customHeight="1" thickBot="1">
      <c r="C341" s="208" t="n"/>
      <c r="D341" s="69" t="n"/>
      <c r="E341" s="213" t="n"/>
      <c r="F341" s="86">
        <f>IF(AND(D341&lt;&gt;"",E341=""), template_label_missing_value,
IF(AND(D341&lt;&gt;"",E341&lt;&gt;""), template_label_ok,
IF(AND(D341="",E341=""), "", template_label_missing_value)))</f>
        <v/>
      </c>
    </row>
    <row r="342" hidden="1" outlineLevel="1" ht="14.4" customHeight="1" thickBot="1">
      <c r="C342" s="209" t="n"/>
      <c r="D342" s="69" t="n"/>
      <c r="E342" s="213" t="n"/>
      <c r="F342" s="86">
        <f>IF(AND(D342&lt;&gt;"",E342=""), template_label_missing_value,
IF(AND(D342&lt;&gt;"",E342&lt;&gt;""), template_label_ok,
IF(AND(D342="",E342=""), "", template_label_missing_value)))</f>
        <v/>
      </c>
    </row>
    <row r="343" hidden="1" outlineLevel="1" ht="14.4" customHeight="1" thickBot="1">
      <c r="C343" s="208" t="n"/>
      <c r="D343" s="69" t="n"/>
      <c r="E343" s="213" t="n"/>
      <c r="F343" s="86">
        <f>IF(AND(D343&lt;&gt;"",E343=""), template_label_missing_value,
IF(AND(D343&lt;&gt;"",E343&lt;&gt;""), template_label_ok,
IF(AND(D343="",E343=""), "", template_label_missing_value)))</f>
        <v/>
      </c>
    </row>
    <row r="344" hidden="1" outlineLevel="1" ht="14.4" customHeight="1" thickBot="1">
      <c r="C344" s="208" t="n"/>
      <c r="D344" s="69" t="n"/>
      <c r="E344" s="213" t="n"/>
      <c r="F344" s="86">
        <f>IF(AND(D344&lt;&gt;"",E344=""), template_label_missing_value,
IF(AND(D344&lt;&gt;"",E344&lt;&gt;""), template_label_ok,
IF(AND(D344="",E344=""), "", template_label_missing_value)))</f>
        <v/>
      </c>
    </row>
    <row r="345" hidden="1" outlineLevel="1" ht="14.4" customHeight="1" thickBot="1">
      <c r="C345" s="209" t="n"/>
      <c r="D345" s="69" t="n"/>
      <c r="E345" s="213" t="n"/>
      <c r="F345" s="86">
        <f>IF(AND(D345&lt;&gt;"",E345=""), template_label_missing_value,
IF(AND(D345&lt;&gt;"",E345&lt;&gt;""), template_label_ok,
IF(AND(D345="",E345=""), "", template_label_missing_value)))</f>
        <v/>
      </c>
    </row>
    <row r="346" hidden="1" outlineLevel="1" ht="14.4" customHeight="1" thickBot="1">
      <c r="C346" s="208" t="n"/>
      <c r="D346" s="69" t="n"/>
      <c r="E346" s="213" t="n"/>
      <c r="F346" s="86">
        <f>IF(AND(D346&lt;&gt;"",E346=""), template_label_missing_value,
IF(AND(D346&lt;&gt;"",E346&lt;&gt;""), template_label_ok,
IF(AND(D346="",E346=""), "", template_label_missing_value)))</f>
        <v/>
      </c>
    </row>
    <row r="347" hidden="1" outlineLevel="1" ht="14.4" customHeight="1" thickBot="1">
      <c r="C347" s="208" t="n"/>
      <c r="D347" s="69" t="n"/>
      <c r="E347" s="213" t="n"/>
      <c r="F347" s="86">
        <f>IF(AND(D347&lt;&gt;"",E347=""), template_label_missing_value,
IF(AND(D347&lt;&gt;"",E347&lt;&gt;""), template_label_ok,
IF(AND(D347="",E347=""), "", template_label_missing_value)))</f>
        <v/>
      </c>
    </row>
    <row r="348" hidden="1" outlineLevel="1" ht="14.4" customHeight="1" thickBot="1">
      <c r="C348" s="209" t="n"/>
      <c r="D348" s="69" t="n"/>
      <c r="E348" s="213" t="n"/>
      <c r="F348" s="86">
        <f>IF(AND(D348&lt;&gt;"",E348=""), template_label_missing_value,
IF(AND(D348&lt;&gt;"",E348&lt;&gt;""), template_label_ok,
IF(AND(D348="",E348=""), "", template_label_missing_value)))</f>
        <v/>
      </c>
    </row>
    <row r="349" hidden="1" outlineLevel="1" ht="14.4" customHeight="1" thickBot="1">
      <c r="C349" s="208" t="n"/>
      <c r="D349" s="69" t="n"/>
      <c r="E349" s="213" t="n"/>
      <c r="F349" s="86">
        <f>IF(AND(D349&lt;&gt;"",E349=""), template_label_missing_value,
IF(AND(D349&lt;&gt;"",E349&lt;&gt;""), template_label_ok,
IF(AND(D349="",E349=""), "", template_label_missing_value)))</f>
        <v/>
      </c>
    </row>
    <row r="350" hidden="1" outlineLevel="1" ht="14.4" customHeight="1" thickBot="1">
      <c r="C350" s="208" t="n"/>
      <c r="D350" s="69" t="n"/>
      <c r="E350" s="213" t="n"/>
      <c r="F350" s="86">
        <f>IF(AND(D350&lt;&gt;"",E350=""), template_label_missing_value,
IF(AND(D350&lt;&gt;"",E350&lt;&gt;""), template_label_ok,
IF(AND(D350="",E350=""), "", template_label_missing_value)))</f>
        <v/>
      </c>
    </row>
    <row r="351" hidden="1" outlineLevel="1" ht="14.4" customHeight="1" thickBot="1">
      <c r="C351" s="209" t="n"/>
      <c r="D351" s="69" t="n"/>
      <c r="E351" s="213" t="n"/>
      <c r="F351" s="86">
        <f>IF(AND(D351&lt;&gt;"",E351=""), template_label_missing_value,
IF(AND(D351&lt;&gt;"",E351&lt;&gt;""), template_label_ok,
IF(AND(D351="",E351=""), "", template_label_missing_value)))</f>
        <v/>
      </c>
    </row>
    <row r="352" hidden="1" outlineLevel="1" ht="14.4" customHeight="1" thickBot="1">
      <c r="C352" s="208" t="n"/>
      <c r="D352" s="69" t="n"/>
      <c r="E352" s="213" t="n"/>
      <c r="F352" s="86">
        <f>IF(AND(D352&lt;&gt;"",E352=""), template_label_missing_value,
IF(AND(D352&lt;&gt;"",E352&lt;&gt;""), template_label_ok,
IF(AND(D352="",E352=""), "", template_label_missing_value)))</f>
        <v/>
      </c>
    </row>
    <row r="353" hidden="1" outlineLevel="1" ht="14.4" customHeight="1" thickBot="1">
      <c r="C353" s="208" t="n"/>
      <c r="D353" s="69" t="n"/>
      <c r="E353" s="213" t="n"/>
      <c r="F353" s="86">
        <f>IF(AND(D353&lt;&gt;"",E353=""), template_label_missing_value,
IF(AND(D353&lt;&gt;"",E353&lt;&gt;""), template_label_ok,
IF(AND(D353="",E353=""), "", template_label_missing_value)))</f>
        <v/>
      </c>
    </row>
    <row r="354" hidden="1" outlineLevel="1" ht="14.4" customHeight="1" thickBot="1">
      <c r="C354" s="209" t="n"/>
      <c r="D354" s="69" t="n"/>
      <c r="E354" s="213" t="n"/>
      <c r="F354" s="86">
        <f>IF(AND(D354&lt;&gt;"",E354=""), template_label_missing_value,
IF(AND(D354&lt;&gt;"",E354&lt;&gt;""), template_label_ok,
IF(AND(D354="",E354=""), "", template_label_missing_value)))</f>
        <v/>
      </c>
    </row>
    <row r="355" hidden="1" outlineLevel="1" ht="14.4" customHeight="1" thickBot="1">
      <c r="C355" s="208" t="n"/>
      <c r="D355" s="69" t="n"/>
      <c r="E355" s="213" t="n"/>
      <c r="F355" s="86">
        <f>IF(AND(D355&lt;&gt;"",E355=""), template_label_missing_value,
IF(AND(D355&lt;&gt;"",E355&lt;&gt;""), template_label_ok,
IF(AND(D355="",E355=""), "", template_label_missing_value)))</f>
        <v/>
      </c>
    </row>
    <row r="356" hidden="1" outlineLevel="1" ht="14.4" customHeight="1" thickBot="1">
      <c r="C356" s="208" t="n"/>
      <c r="D356" s="69" t="n"/>
      <c r="E356" s="213" t="n"/>
      <c r="F356" s="86">
        <f>IF(AND(D356&lt;&gt;"",E356=""), template_label_missing_value,
IF(AND(D356&lt;&gt;"",E356&lt;&gt;""), template_label_ok,
IF(AND(D356="",E356=""), "", template_label_missing_value)))</f>
        <v/>
      </c>
    </row>
    <row r="357" hidden="1" outlineLevel="1" ht="14.4" customHeight="1" thickBot="1">
      <c r="C357" s="209" t="n"/>
      <c r="D357" s="69" t="n"/>
      <c r="E357" s="213" t="n"/>
      <c r="F357" s="86">
        <f>IF(AND(D357&lt;&gt;"",E357=""), template_label_missing_value,
IF(AND(D357&lt;&gt;"",E357&lt;&gt;""), template_label_ok,
IF(AND(D357="",E357=""), "", template_label_missing_value)))</f>
        <v/>
      </c>
    </row>
    <row r="358" hidden="1" outlineLevel="1" ht="14.4" customHeight="1" thickBot="1">
      <c r="C358" s="208" t="n"/>
      <c r="D358" s="69" t="n"/>
      <c r="E358" s="213" t="n"/>
      <c r="F358" s="86">
        <f>IF(AND(D358&lt;&gt;"",E358=""), template_label_missing_value,
IF(AND(D358&lt;&gt;"",E358&lt;&gt;""), template_label_ok,
IF(AND(D358="",E358=""), "", template_label_missing_value)))</f>
        <v/>
      </c>
    </row>
    <row r="359" hidden="1" outlineLevel="1" ht="14.4" customHeight="1" thickBot="1">
      <c r="C359" s="208" t="n"/>
      <c r="D359" s="69" t="n"/>
      <c r="E359" s="213" t="n"/>
      <c r="F359" s="86">
        <f>IF(AND(D359&lt;&gt;"",E359=""), template_label_missing_value,
IF(AND(D359&lt;&gt;"",E359&lt;&gt;""), template_label_ok,
IF(AND(D359="",E359=""), "", template_label_missing_value)))</f>
        <v/>
      </c>
    </row>
    <row r="360" hidden="1" outlineLevel="1" ht="14.4" customHeight="1" thickBot="1">
      <c r="C360" s="209" t="n"/>
      <c r="D360" s="69" t="n"/>
      <c r="E360" s="213" t="n"/>
      <c r="F360" s="86">
        <f>IF(AND(D360&lt;&gt;"",E360=""), template_label_missing_value,
IF(AND(D360&lt;&gt;"",E360&lt;&gt;""), template_label_ok,
IF(AND(D360="",E360=""), "", template_label_missing_value)))</f>
        <v/>
      </c>
    </row>
    <row r="361" hidden="1" outlineLevel="1" ht="14.4" customHeight="1" thickBot="1">
      <c r="C361" s="208" t="n"/>
      <c r="D361" s="69" t="n"/>
      <c r="E361" s="213" t="n"/>
      <c r="F361" s="86">
        <f>IF(AND(D361&lt;&gt;"",E361=""), template_label_missing_value,
IF(AND(D361&lt;&gt;"",E361&lt;&gt;""), template_label_ok,
IF(AND(D361="",E361=""), "", template_label_missing_value)))</f>
        <v/>
      </c>
    </row>
    <row r="362" hidden="1" outlineLevel="1" ht="14.4" customHeight="1" thickBot="1">
      <c r="C362" s="208" t="n"/>
      <c r="D362" s="69" t="n"/>
      <c r="E362" s="213" t="n"/>
      <c r="F362" s="86">
        <f>IF(AND(D362&lt;&gt;"",E362=""), template_label_missing_value,
IF(AND(D362&lt;&gt;"",E362&lt;&gt;""), template_label_ok,
IF(AND(D362="",E362=""), "", template_label_missing_value)))</f>
        <v/>
      </c>
    </row>
    <row r="363" hidden="1" outlineLevel="1" ht="14.4" customHeight="1" thickBot="1">
      <c r="C363" s="209" t="n"/>
      <c r="D363" s="69" t="n"/>
      <c r="E363" s="213" t="n"/>
      <c r="F363" s="86">
        <f>IF(AND(D363&lt;&gt;"",E363=""), template_label_missing_value,
IF(AND(D363&lt;&gt;"",E363&lt;&gt;""), template_label_ok,
IF(AND(D363="",E363=""), "", template_label_missing_value)))</f>
        <v/>
      </c>
    </row>
    <row r="364" hidden="1" outlineLevel="1" ht="14.4" customHeight="1" thickBot="1">
      <c r="C364" s="208" t="n"/>
      <c r="D364" s="69" t="n"/>
      <c r="E364" s="213" t="n"/>
      <c r="F364" s="86">
        <f>IF(AND(D364&lt;&gt;"",E364=""), template_label_missing_value,
IF(AND(D364&lt;&gt;"",E364&lt;&gt;""), template_label_ok,
IF(AND(D364="",E364=""), "", template_label_missing_value)))</f>
        <v/>
      </c>
    </row>
    <row r="365" hidden="1" outlineLevel="1" ht="14.4" customHeight="1" thickBot="1">
      <c r="C365" s="208" t="n"/>
      <c r="D365" s="69" t="n"/>
      <c r="E365" s="213" t="n"/>
      <c r="F365" s="86">
        <f>IF(AND(D365&lt;&gt;"",E365=""), template_label_missing_value,
IF(AND(D365&lt;&gt;"",E365&lt;&gt;""), template_label_ok,
IF(AND(D365="",E365=""), "", template_label_missing_value)))</f>
        <v/>
      </c>
    </row>
    <row r="366" hidden="1" outlineLevel="1" ht="14.4" customHeight="1" thickBot="1">
      <c r="C366" s="209" t="n"/>
      <c r="D366" s="69" t="n"/>
      <c r="E366" s="213" t="n"/>
      <c r="F366" s="86">
        <f>IF(AND(D366&lt;&gt;"",E366=""), template_label_missing_value,
IF(AND(D366&lt;&gt;"",E366&lt;&gt;""), template_label_ok,
IF(AND(D366="",E366=""), "", template_label_missing_value)))</f>
        <v/>
      </c>
    </row>
    <row r="367" hidden="1" outlineLevel="1" ht="14.4" customHeight="1" thickBot="1">
      <c r="C367" s="208" t="n"/>
      <c r="D367" s="69" t="n"/>
      <c r="E367" s="213" t="n"/>
      <c r="F367" s="86">
        <f>IF(AND(D367&lt;&gt;"",E367=""), template_label_missing_value,
IF(AND(D367&lt;&gt;"",E367&lt;&gt;""), template_label_ok,
IF(AND(D367="",E367=""), "", template_label_missing_value)))</f>
        <v/>
      </c>
    </row>
    <row r="368" hidden="1" outlineLevel="1" ht="14.4" customHeight="1" thickBot="1">
      <c r="C368" s="208" t="n"/>
      <c r="D368" s="69" t="n"/>
      <c r="E368" s="213" t="n"/>
      <c r="F368" s="86">
        <f>IF(AND(D368&lt;&gt;"",E368=""), template_label_missing_value,
IF(AND(D368&lt;&gt;"",E368&lt;&gt;""), template_label_ok,
IF(AND(D368="",E368=""), "", template_label_missing_value)))</f>
        <v/>
      </c>
    </row>
    <row r="369" hidden="1" outlineLevel="1" ht="14.4" customHeight="1" thickBot="1">
      <c r="C369" s="209" t="n"/>
      <c r="D369" s="69" t="n"/>
      <c r="E369" s="213" t="n"/>
      <c r="F369" s="86">
        <f>IF(AND(D369&lt;&gt;"",E369=""), template_label_missing_value,
IF(AND(D369&lt;&gt;"",E369&lt;&gt;""), template_label_ok,
IF(AND(D369="",E369=""), "", template_label_missing_value)))</f>
        <v/>
      </c>
    </row>
    <row r="370" hidden="1" outlineLevel="1" ht="14.4" customHeight="1" thickBot="1">
      <c r="C370" s="208" t="n"/>
      <c r="D370" s="69" t="n"/>
      <c r="E370" s="213" t="n"/>
      <c r="F370" s="86">
        <f>IF(AND(D370&lt;&gt;"",E370=""), template_label_missing_value,
IF(AND(D370&lt;&gt;"",E370&lt;&gt;""), template_label_ok,
IF(AND(D370="",E370=""), "", template_label_missing_value)))</f>
        <v/>
      </c>
    </row>
    <row r="371" hidden="1" outlineLevel="1" ht="14.4" customHeight="1" thickBot="1">
      <c r="C371" s="208" t="n"/>
      <c r="D371" s="69" t="n"/>
      <c r="E371" s="213" t="n"/>
      <c r="F371" s="86">
        <f>IF(AND(D371&lt;&gt;"",E371=""), template_label_missing_value,
IF(AND(D371&lt;&gt;"",E371&lt;&gt;""), template_label_ok,
IF(AND(D371="",E371=""), "", template_label_missing_value)))</f>
        <v/>
      </c>
    </row>
    <row r="372" hidden="1" outlineLevel="1" ht="14.4" customHeight="1" thickBot="1">
      <c r="C372" s="209" t="n"/>
      <c r="D372" s="69" t="n"/>
      <c r="E372" s="213" t="n"/>
      <c r="F372" s="86">
        <f>IF(AND(D372&lt;&gt;"",E372=""), template_label_missing_value,
IF(AND(D372&lt;&gt;"",E372&lt;&gt;""), template_label_ok,
IF(AND(D372="",E372=""), "", template_label_missing_value)))</f>
        <v/>
      </c>
    </row>
    <row r="373" hidden="1" outlineLevel="1" ht="14.4" customHeight="1" thickBot="1">
      <c r="C373" s="208" t="n"/>
      <c r="D373" s="69" t="n"/>
      <c r="E373" s="213" t="n"/>
      <c r="F373" s="86">
        <f>IF(AND(D373&lt;&gt;"",E373=""), template_label_missing_value,
IF(AND(D373&lt;&gt;"",E373&lt;&gt;""), template_label_ok,
IF(AND(D373="",E373=""), "", template_label_missing_value)))</f>
        <v/>
      </c>
    </row>
    <row r="374" hidden="1" outlineLevel="1" ht="14.4" customHeight="1" thickBot="1">
      <c r="C374" s="208" t="n"/>
      <c r="D374" s="69" t="n"/>
      <c r="E374" s="213" t="n"/>
      <c r="F374" s="86">
        <f>IF(AND(D374&lt;&gt;"",E374=""), template_label_missing_value,
IF(AND(D374&lt;&gt;"",E374&lt;&gt;""), template_label_ok,
IF(AND(D374="",E374=""), "", template_label_missing_value)))</f>
        <v/>
      </c>
    </row>
    <row r="375" hidden="1" outlineLevel="1" ht="14.4" customHeight="1" thickBot="1">
      <c r="C375" s="209" t="n"/>
      <c r="D375" s="69" t="n"/>
      <c r="E375" s="213" t="n"/>
      <c r="F375" s="86">
        <f>IF(AND(D375&lt;&gt;"",E375=""), template_label_missing_value,
IF(AND(D375&lt;&gt;"",E375&lt;&gt;""), template_label_ok,
IF(AND(D375="",E375=""), "", template_label_missing_value)))</f>
        <v/>
      </c>
    </row>
    <row r="376" hidden="1" outlineLevel="1" ht="14.4" customHeight="1" thickBot="1">
      <c r="C376" s="208" t="n"/>
      <c r="D376" s="69" t="n"/>
      <c r="E376" s="213" t="n"/>
      <c r="F376" s="86">
        <f>IF(AND(D376&lt;&gt;"",E376=""), template_label_missing_value,
IF(AND(D376&lt;&gt;"",E376&lt;&gt;""), template_label_ok,
IF(AND(D376="",E376=""), "", template_label_missing_value)))</f>
        <v/>
      </c>
    </row>
    <row r="377" hidden="1" outlineLevel="1" ht="14.4" customHeight="1" thickBot="1">
      <c r="C377" s="208" t="n"/>
      <c r="D377" s="69" t="n"/>
      <c r="E377" s="213" t="n"/>
      <c r="F377" s="86">
        <f>IF(AND(D377&lt;&gt;"",E377=""), template_label_missing_value,
IF(AND(D377&lt;&gt;"",E377&lt;&gt;""), template_label_ok,
IF(AND(D377="",E377=""), "", template_label_missing_value)))</f>
        <v/>
      </c>
    </row>
    <row r="378" hidden="1" outlineLevel="1" ht="14.4" customHeight="1" thickBot="1">
      <c r="C378" s="209" t="n"/>
      <c r="D378" s="69" t="n"/>
      <c r="E378" s="213" t="n"/>
      <c r="F378" s="86">
        <f>IF(AND(D378&lt;&gt;"",E378=""), template_label_missing_value,
IF(AND(D378&lt;&gt;"",E378&lt;&gt;""), template_label_ok,
IF(AND(D378="",E378=""), "", template_label_missing_value)))</f>
        <v/>
      </c>
    </row>
    <row r="379" hidden="1" outlineLevel="1" ht="14.4" customHeight="1" thickBot="1">
      <c r="C379" s="208" t="n"/>
      <c r="D379" s="69" t="n"/>
      <c r="E379" s="213" t="n"/>
      <c r="F379" s="86">
        <f>IF(AND(D379&lt;&gt;"",E379=""), template_label_missing_value,
IF(AND(D379&lt;&gt;"",E379&lt;&gt;""), template_label_ok,
IF(AND(D379="",E379=""), "", template_label_missing_value)))</f>
        <v/>
      </c>
    </row>
    <row r="380" hidden="1" outlineLevel="1" ht="14.4" customHeight="1" thickBot="1">
      <c r="C380" s="208" t="n"/>
      <c r="D380" s="69" t="n"/>
      <c r="E380" s="213" t="n"/>
      <c r="F380" s="86">
        <f>IF(AND(D380&lt;&gt;"",E380=""), template_label_missing_value,
IF(AND(D380&lt;&gt;"",E380&lt;&gt;""), template_label_ok,
IF(AND(D380="",E380=""), "", template_label_missing_value)))</f>
        <v/>
      </c>
    </row>
    <row r="381" hidden="1" outlineLevel="1" ht="14.4" customHeight="1" thickBot="1">
      <c r="C381" s="209" t="n"/>
      <c r="D381" s="69" t="n"/>
      <c r="E381" s="213" t="n"/>
      <c r="F381" s="86">
        <f>IF(AND(D381&lt;&gt;"",E381=""), template_label_missing_value,
IF(AND(D381&lt;&gt;"",E381&lt;&gt;""), template_label_ok,
IF(AND(D381="",E381=""), "", template_label_missing_value)))</f>
        <v/>
      </c>
    </row>
    <row r="382" hidden="1" outlineLevel="1" ht="14.4" customHeight="1" thickBot="1">
      <c r="C382" s="208" t="n"/>
      <c r="D382" s="69" t="n"/>
      <c r="E382" s="213" t="n"/>
      <c r="F382" s="86">
        <f>IF(AND(D382&lt;&gt;"",E382=""), template_label_missing_value,
IF(AND(D382&lt;&gt;"",E382&lt;&gt;""), template_label_ok,
IF(AND(D382="",E382=""), "", template_label_missing_value)))</f>
        <v/>
      </c>
    </row>
    <row r="383" hidden="1" outlineLevel="1" ht="14.4" customHeight="1" thickBot="1">
      <c r="C383" s="208" t="n"/>
      <c r="D383" s="69" t="n"/>
      <c r="E383" s="213" t="n"/>
      <c r="F383" s="86">
        <f>IF(AND(D383&lt;&gt;"",E383=""), template_label_missing_value,
IF(AND(D383&lt;&gt;"",E383&lt;&gt;""), template_label_ok,
IF(AND(D383="",E383=""), "", template_label_missing_value)))</f>
        <v/>
      </c>
    </row>
    <row r="384" hidden="1" outlineLevel="1" ht="14.4" customHeight="1" thickBot="1">
      <c r="C384" s="209" t="n"/>
      <c r="D384" s="69" t="n"/>
      <c r="E384" s="213" t="n"/>
      <c r="F384" s="86">
        <f>IF(AND(D384&lt;&gt;"",E384=""), template_label_missing_value,
IF(AND(D384&lt;&gt;"",E384&lt;&gt;""), template_label_ok,
IF(AND(D384="",E384=""), "", template_label_missing_value)))</f>
        <v/>
      </c>
    </row>
    <row r="385" hidden="1" outlineLevel="1" ht="14.4" customHeight="1" thickBot="1">
      <c r="C385" s="208" t="n"/>
      <c r="D385" s="69" t="n"/>
      <c r="E385" s="213" t="n"/>
      <c r="F385" s="86">
        <f>IF(AND(D385&lt;&gt;"",E385=""), template_label_missing_value,
IF(AND(D385&lt;&gt;"",E385&lt;&gt;""), template_label_ok,
IF(AND(D385="",E385=""), "", template_label_missing_value)))</f>
        <v/>
      </c>
    </row>
    <row r="386" hidden="1" outlineLevel="1" ht="14.4" customHeight="1" thickBot="1">
      <c r="C386" s="208" t="n"/>
      <c r="D386" s="69" t="n"/>
      <c r="E386" s="213" t="n"/>
      <c r="F386" s="86">
        <f>IF(AND(D386&lt;&gt;"",E386=""), template_label_missing_value,
IF(AND(D386&lt;&gt;"",E386&lt;&gt;""), template_label_ok,
IF(AND(D386="",E386=""), "", template_label_missing_value)))</f>
        <v/>
      </c>
    </row>
    <row r="387" hidden="1" outlineLevel="1" ht="14.4" customHeight="1" thickBot="1">
      <c r="C387" s="209" t="n"/>
      <c r="D387" s="69" t="n"/>
      <c r="E387" s="213" t="n"/>
      <c r="F387" s="86">
        <f>IF(AND(D387&lt;&gt;"",E387=""), template_label_missing_value,
IF(AND(D387&lt;&gt;"",E387&lt;&gt;""), template_label_ok,
IF(AND(D387="",E387=""), "", template_label_missing_value)))</f>
        <v/>
      </c>
    </row>
    <row r="388" hidden="1" outlineLevel="1" ht="14.4" customHeight="1" thickBot="1">
      <c r="C388" s="208" t="n"/>
      <c r="D388" s="69" t="n"/>
      <c r="E388" s="213" t="n"/>
      <c r="F388" s="86">
        <f>IF(AND(D388&lt;&gt;"",E388=""), template_label_missing_value,
IF(AND(D388&lt;&gt;"",E388&lt;&gt;""), template_label_ok,
IF(AND(D388="",E388=""), "", template_label_missing_value)))</f>
        <v/>
      </c>
    </row>
    <row r="389" hidden="1" outlineLevel="1" ht="14.4" customHeight="1" thickBot="1">
      <c r="C389" s="210" t="n"/>
      <c r="D389" s="71" t="n"/>
      <c r="E389" s="214" t="n"/>
      <c r="F389" s="86">
        <f>IF(AND(D389&lt;&gt;"",E389=""), template_label_missing_value,
IF(AND(D389&lt;&gt;"",E389&lt;&gt;""), template_label_ok,
IF(AND(D389="",E389=""), "", template_label_missing_value)))</f>
        <v/>
      </c>
    </row>
    <row r="390" collapsed="1" ht="15" customHeight="1" thickBot="1"/>
    <row r="391" ht="14.4" customHeight="1" thickBot="1">
      <c r="C391" s="588">
        <f> template_label_b1_disclosure_of_sustainability_related_certification_or_label &amp; " " &amp; template_label_from &amp; " " &amp; template_starting_date_display &amp; " " &amp; template_label_to &amp; " " &amp; template_ending_date_display &amp; " " &amp; template_label_if_applicable</f>
        <v/>
      </c>
      <c r="D391" s="1120" t="n"/>
      <c r="E391" s="1120" t="n"/>
      <c r="F391" s="1120" t="n"/>
      <c r="G391" s="1120" t="n"/>
      <c r="H391" s="1121" t="n"/>
    </row>
    <row r="392" ht="14.4" customHeight="1">
      <c r="C392" s="553" t="n">
        <v>25</v>
      </c>
      <c r="D392" s="508" t="n"/>
      <c r="E392" s="508" t="n"/>
      <c r="F392" s="508" t="n"/>
      <c r="G392" s="508" t="n"/>
      <c r="H392" s="198" t="n"/>
    </row>
    <row r="393" ht="14.4" customHeight="1">
      <c r="C393" s="586" t="n">
        <v>13</v>
      </c>
      <c r="D393" s="1106" t="n"/>
      <c r="E393" s="1106" t="n"/>
      <c r="F393" s="1106" t="n"/>
      <c r="G393" s="1106" t="n"/>
      <c r="H393" s="199" t="n"/>
    </row>
    <row r="394" ht="14.4" customHeight="1">
      <c r="C394" s="639">
        <f>template_label_has_the_undertaking_obtained_any_sustainability_related_certification_or_label</f>
        <v/>
      </c>
      <c r="D394" s="1106" t="n"/>
      <c r="E394" s="640" t="b">
        <v>1</v>
      </c>
      <c r="F394" s="1130" t="n"/>
      <c r="G394" s="1130" t="n"/>
      <c r="H394" s="1130" t="n"/>
    </row>
    <row r="395" ht="30" customHeight="1" thickBot="1">
      <c r="C395" s="600">
        <f>template_label_description_of_sustainability_related_certification_or_label</f>
        <v/>
      </c>
      <c r="D395" s="1131" t="n"/>
      <c r="E395" s="557" t="inlineStr">
        <is>
          <t>Lorem ipsum dolor sit amet, consectetur adipiscing elit, sed do eiusmod tempor incididunt ut labore et dolore magna aliqua. 
Ut enim ad minim veniam, quis nostrud exercitation ullamco laboris nisi ut aliquip ex ea commodo consequat.</t>
        </is>
      </c>
      <c r="F395" s="1132" t="n"/>
      <c r="G395" s="1132" t="n"/>
      <c r="H395" s="1132" t="n"/>
      <c r="I395" s="518">
        <f>IF(AND(E394=TRUE,E395=""), template_label_missing_value,
IF(AND(E394=TRUE,E395&lt;&gt;""), template_label_ok, ""))</f>
        <v/>
      </c>
    </row>
    <row r="396" ht="15" customHeight="1" thickBot="1"/>
    <row r="397" ht="15" customHeight="1" thickBot="1">
      <c r="C397" s="588">
        <f>template_label_b1_list_of_site&amp; " " &amp; template_label_from &amp; " " &amp; template_starting_date_display &amp; " " &amp; template_label_to &amp; " " &amp; template_ending_date_display &amp; " " &amp; template_label_always_to_be_reported</f>
        <v/>
      </c>
      <c r="D397" s="1120" t="n"/>
      <c r="E397" s="1120" t="n"/>
      <c r="F397" s="1120" t="n"/>
      <c r="G397" s="1120" t="n"/>
      <c r="H397" s="1121" t="n"/>
    </row>
    <row r="398">
      <c r="C398" s="553" t="inlineStr">
        <is>
          <t>24(e)(vii)</t>
        </is>
      </c>
      <c r="D398" s="508" t="n"/>
      <c r="E398" s="508" t="n"/>
      <c r="F398" s="508" t="n"/>
      <c r="G398" s="508" t="n"/>
      <c r="H398" s="198" t="n"/>
    </row>
    <row r="399">
      <c r="C399" s="641" t="inlineStr">
        <is>
          <t xml:space="preserve"> 9-12</t>
        </is>
      </c>
    </row>
    <row r="400">
      <c r="C400" s="609">
        <f>template_label_id</f>
        <v/>
      </c>
      <c r="D400" s="555">
        <f>template_label_address</f>
        <v/>
      </c>
      <c r="E400" s="555">
        <f>template_label_postal_code</f>
        <v/>
      </c>
      <c r="F400" s="554">
        <f>template_label_city</f>
        <v/>
      </c>
      <c r="G400" s="555">
        <f>template_label_country</f>
        <v/>
      </c>
      <c r="H400" s="608">
        <f>template_label_gps_coordinates</f>
        <v/>
      </c>
      <c r="I400" s="618" t="n"/>
    </row>
    <row r="401" ht="78" customHeight="1">
      <c r="C401" s="1133" t="n"/>
      <c r="D401" s="450" t="n"/>
      <c r="E401" s="450" t="n"/>
      <c r="F401" s="450" t="n"/>
      <c r="G401" s="450" t="n"/>
      <c r="H401" s="415">
        <f>template_label_automatic_geolocation</f>
        <v/>
      </c>
      <c r="I401" s="618" t="n"/>
      <c r="J401" s="2" t="n"/>
    </row>
    <row r="402" ht="53.4" customHeight="1">
      <c r="C402" s="1133" t="n"/>
      <c r="D402" s="450" t="n"/>
      <c r="E402" s="450" t="n"/>
      <c r="F402" s="450" t="n"/>
      <c r="G402" s="450" t="n"/>
      <c r="H402" s="416" t="inlineStr">
        <is>
          <t>Nominatim Usage Policy (Geocoding Policy)
Privacy Policy</t>
        </is>
      </c>
      <c r="I402" s="618" t="n"/>
      <c r="J402" s="2" t="n"/>
    </row>
    <row r="403">
      <c r="C403" s="13" t="n"/>
      <c r="D403" s="3" t="n"/>
      <c r="E403" s="3" t="n"/>
      <c r="F403" s="3" t="n"/>
      <c r="G403" s="3" t="n"/>
      <c r="H403" s="417" t="b">
        <v>1</v>
      </c>
      <c r="I403" s="618" t="n"/>
      <c r="J403" s="302" t="n"/>
    </row>
    <row r="404">
      <c r="C404" s="208" t="n">
        <v>1</v>
      </c>
      <c r="D404" s="72" t="inlineStr">
        <is>
          <t>Duomo Square</t>
        </is>
      </c>
      <c r="E404" s="73" t="inlineStr">
        <is>
          <t>20122</t>
        </is>
      </c>
      <c r="F404" s="413" t="inlineStr">
        <is>
          <t>Milan</t>
        </is>
      </c>
      <c r="G404" s="72" t="inlineStr">
        <is>
          <t>Italy</t>
        </is>
      </c>
      <c r="H404" s="418">
        <f>IF(COUNTA(D404:G404)=COLUMNS(D404:G404), IFERROR('Technical Sheet'!G2, "-"), "-")</f>
        <v/>
      </c>
      <c r="I404" s="872">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
      </c>
      <c r="J404" s="193">
        <f>IF(AND(D404&lt;&gt;"", E404&lt;&gt;"", F404&lt;&gt;"", G404&lt;&gt;""),
    IFERROR(HYPERLINK("https://www.openstreetmap.org/search?lat=" &amp; 'Technical Sheet'!E2 &amp; "&amp;lon=" &amp; 'Technical Sheet'!F2, "OpenStreetMap Link"),
    ""),
"")</f>
        <v/>
      </c>
      <c r="K404" s="1134">
        <f>LOWER(SUBSTITUTE(D404," ","+" )) &amp; "+" &amp; LOWER(SUBSTITUTE(E404," ","+" )) &amp; "+" &amp; LOWER(SUBSTITUTE(F404," ","+" )) &amp; "+" &amp; LOWER(SUBSTITUTE(G404," ","+" )) &amp; "+"</f>
        <v/>
      </c>
      <c r="L404">
        <f>template_label_geolocalisation_warning</f>
        <v/>
      </c>
      <c r="M404" s="88" t="n"/>
    </row>
    <row r="405">
      <c r="C405" s="208" t="n">
        <v>2</v>
      </c>
      <c r="D405" s="72" t="n"/>
      <c r="E405" s="73" t="n"/>
      <c r="F405" s="413" t="n"/>
      <c r="G405" s="72" t="n"/>
      <c r="H405" s="418">
        <f>IF(COUNTA(D405:G405)=COLUMNS(D405:G405), IFERROR('Technical Sheet'!G3, "-"), "-")</f>
        <v/>
      </c>
      <c r="I405" s="872">
        <f>IF(AND(D405&lt;&gt;"", E405&lt;&gt;"", F405&lt;&gt;"", G405&lt;&gt;"", H405&lt;&gt;""), template_label_ok,
    IF(AND(D405="", E405="", F405="", G405="", H405="-"), "",
        template_label_missing_value
    )
)</f>
        <v/>
      </c>
      <c r="J405" s="193">
        <f>IF(AND(D405&lt;&gt;"", E405&lt;&gt;"", F405&lt;&gt;"", G405&lt;&gt;""),
    IFERROR(HYPERLINK("https://www.openstreetmap.org/search?lat=" &amp; 'Technical Sheet'!E3 &amp; "&amp;lon=" &amp; 'Technical Sheet'!F3, "OpenStreetMap Link"),
    ""),
"")</f>
        <v/>
      </c>
      <c r="K405" s="1134">
        <f>LOWER(SUBSTITUTE(D405," ","+" )) &amp; "+" &amp; LOWER(SUBSTITUTE(E405," ","+" )) &amp; "+" &amp; LOWER(SUBSTITUTE(F405," ","+" )) &amp; "+" &amp; LOWER(SUBSTITUTE(G405," ","+" )) &amp; "+"</f>
        <v/>
      </c>
    </row>
    <row r="406" ht="15" customHeight="1" thickBot="1">
      <c r="C406" s="210" t="n">
        <v>3</v>
      </c>
      <c r="D406" s="78" t="n"/>
      <c r="E406" s="79" t="n"/>
      <c r="F406" s="419" t="n"/>
      <c r="G406" s="78" t="n"/>
      <c r="H406" s="363">
        <f>IF(COUNTA(D406:G406)=COLUMNS(D406:G406), IFERROR('Technical Sheet'!G4, "-"), "-")</f>
        <v/>
      </c>
      <c r="I406" s="872">
        <f>IF(AND(D406&lt;&gt;"", E406&lt;&gt;"", F406&lt;&gt;"", G406&lt;&gt;"", H406&lt;&gt;""), template_label_ok,
IF(AND(D406="", E406="", F406="", G406="", H406="-"), "",
template_label_missing_value)
)</f>
        <v/>
      </c>
      <c r="J406" s="193">
        <f>IF(AND(D406&lt;&gt;"", E406&lt;&gt;"", F406&lt;&gt;"", G406&lt;&gt;""),
    IFERROR(HYPERLINK("https://www.openstreetmap.org/search?lat=" &amp; 'Technical Sheet'!E4 &amp; "&amp;lon=" &amp; 'Technical Sheet'!F4, "OpenStreetMap Link"),
    ""),
"")</f>
        <v/>
      </c>
      <c r="K406" s="1134">
        <f>LOWER(SUBSTITUTE(D406," ","+" )) &amp; "+" &amp; LOWER(SUBSTITUTE(E406," ","+" )) &amp; "+" &amp; LOWER(SUBSTITUTE(F406," ","+" )) &amp; "+" &amp; LOWER(SUBSTITUTE(G406," ","+" )) &amp; "+"</f>
        <v/>
      </c>
      <c r="L406">
        <f>template_label_additional_rows_warning</f>
        <v/>
      </c>
    </row>
    <row r="407" hidden="1" outlineLevel="1">
      <c r="C407" s="209" t="n">
        <v>4</v>
      </c>
      <c r="D407" s="75" t="n"/>
      <c r="E407" s="76" t="n"/>
      <c r="F407" s="77" t="n"/>
      <c r="G407" s="75" t="n"/>
      <c r="H407" s="188">
        <f>IF(COUNTA(D407:G407)=COLUMNS(D407:G407), IFERROR('Technical Sheet'!G5, "-"), "-")</f>
        <v/>
      </c>
      <c r="I407" s="872">
        <f>IF(AND(D407&lt;&gt;"", E407&lt;&gt;"", F407&lt;&gt;"", G407&lt;&gt;"", H407&lt;&gt;""), template_label_ok,
IF(AND(D407="", E407="", F407="", G407="", H407="-"), "",
template_label_missing_value)
)</f>
        <v/>
      </c>
      <c r="J407" s="193">
        <f>IF(AND(D407&lt;&gt;"", E407&lt;&gt;"", F407&lt;&gt;"", G407&lt;&gt;""),
    IFERROR(HYPERLINK("https://www.openstreetmap.org/search?lat=" &amp; 'Technical Sheet'!E5 &amp; "&amp;lon=" &amp; 'Technical Sheet'!F5, "OpenStreetMap Link"),
    ""),
"")</f>
        <v/>
      </c>
      <c r="K407" s="1134">
        <f>LOWER(SUBSTITUTE(D407," ","+" )) &amp; "+" &amp; LOWER(SUBSTITUTE(E407," ","+" )) &amp; "+" &amp; LOWER(SUBSTITUTE(F407," ","+" )) &amp; "+" &amp; LOWER(SUBSTITUTE(G407," ","+" )) &amp; "+"</f>
        <v/>
      </c>
    </row>
    <row r="408" hidden="1" outlineLevel="1">
      <c r="C408" s="209" t="n">
        <v>5</v>
      </c>
      <c r="D408" s="72" t="n"/>
      <c r="E408" s="73" t="n"/>
      <c r="F408" s="74" t="n"/>
      <c r="G408" s="72" t="n"/>
      <c r="H408" s="187">
        <f>IF(COUNTA(D408:G408)=COLUMNS(D408:G408), IFERROR('Technical Sheet'!G6, "-"), "-")</f>
        <v/>
      </c>
      <c r="I408" s="872">
        <f>IF(AND(D408&lt;&gt;"", E408&lt;&gt;"", F408&lt;&gt;"", G408&lt;&gt;"", H408&lt;&gt;""), template_label_ok,
IF(AND(D408="", E408="", F408="", G408="", H408="-"), "",
template_label_missing_value)
)</f>
        <v/>
      </c>
      <c r="J408" s="193">
        <f>IF(AND(D408&lt;&gt;"", E408&lt;&gt;"", F408&lt;&gt;"", G408&lt;&gt;""),
    IFERROR(HYPERLINK("https://www.openstreetmap.org/search?lat=" &amp; 'Technical Sheet'!E6 &amp; "&amp;lon=" &amp; 'Technical Sheet'!F6, "OpenStreetMap Link"),
    ""),
"")</f>
        <v/>
      </c>
      <c r="K408" s="1134">
        <f>LOWER(SUBSTITUTE(D408," ","+" )) &amp; "+" &amp; LOWER(SUBSTITUTE(E408," ","+" )) &amp; "+" &amp; LOWER(SUBSTITUTE(F408," ","+" )) &amp; "+" &amp; LOWER(SUBSTITUTE(G408," ","+" )) &amp; "+"</f>
        <v/>
      </c>
    </row>
    <row r="409" hidden="1" outlineLevel="1">
      <c r="C409" s="208" t="n">
        <v>6</v>
      </c>
      <c r="D409" s="72" t="n"/>
      <c r="E409" s="73" t="n"/>
      <c r="F409" s="74" t="n"/>
      <c r="G409" s="72" t="n"/>
      <c r="H409" s="187">
        <f>IF(COUNTA(D409:G409)=COLUMNS(D409:G409), IFERROR('Technical Sheet'!G7, "-"), "-")</f>
        <v/>
      </c>
      <c r="I409" s="872">
        <f>IF(AND(D409&lt;&gt;"", E409&lt;&gt;"", F409&lt;&gt;"", G409&lt;&gt;"", H409&lt;&gt;""), template_label_ok,
IF(AND(D409="", E409="", F409="", G409="", H409="-"), "",
template_label_missing_value)
)</f>
        <v/>
      </c>
      <c r="J409" s="193">
        <f>IF(AND(D409&lt;&gt;"", E409&lt;&gt;"", F409&lt;&gt;"", G409&lt;&gt;""),
    IFERROR(HYPERLINK("https://www.openstreetmap.org/search?lat=" &amp; 'Technical Sheet'!E7 &amp; "&amp;lon=" &amp; 'Technical Sheet'!F7, "OpenStreetMap Link"),
    ""),
"")</f>
        <v/>
      </c>
      <c r="K409" s="1134">
        <f>LOWER(SUBSTITUTE(D409," ","+" )) &amp; "+" &amp; LOWER(SUBSTITUTE(E409," ","+" )) &amp; "+" &amp; LOWER(SUBSTITUTE(F409," ","+" )) &amp; "+" &amp; LOWER(SUBSTITUTE(G409," ","+" )) &amp; "+"</f>
        <v/>
      </c>
    </row>
    <row r="410" hidden="1" outlineLevel="1">
      <c r="C410" s="208" t="n">
        <v>7</v>
      </c>
      <c r="D410" s="72" t="n"/>
      <c r="E410" s="73" t="n"/>
      <c r="F410" s="74" t="n"/>
      <c r="G410" s="72" t="n"/>
      <c r="H410" s="187">
        <f>IF(COUNTA(D410:G410)=COLUMNS(D410:G410), IFERROR('Technical Sheet'!G8, "-"), "-")</f>
        <v/>
      </c>
      <c r="I410" s="872">
        <f>IF(AND(D410&lt;&gt;"", E410&lt;&gt;"", F410&lt;&gt;"", G410&lt;&gt;"", H410&lt;&gt;""), template_label_ok,
IF(AND(D410="", E410="", F410="", G410="", H410="-"), "",
template_label_missing_value)
)</f>
        <v/>
      </c>
      <c r="J410" s="193">
        <f>IF(AND(D410&lt;&gt;"", E410&lt;&gt;"", F410&lt;&gt;"", G410&lt;&gt;""),
    IFERROR(HYPERLINK("https://www.openstreetmap.org/search?lat=" &amp; 'Technical Sheet'!E8 &amp; "&amp;lon=" &amp; 'Technical Sheet'!F8, "OpenStreetMap Link"),
    ""),
"")</f>
        <v/>
      </c>
      <c r="K410" s="1134">
        <f>LOWER(SUBSTITUTE(D410," ","+" )) &amp; "+" &amp; LOWER(SUBSTITUTE(E410," ","+" )) &amp; "+" &amp; LOWER(SUBSTITUTE(F410," ","+" )) &amp; "+" &amp; LOWER(SUBSTITUTE(G410," ","+" )) &amp; "+"</f>
        <v/>
      </c>
    </row>
    <row r="411" hidden="1" outlineLevel="1">
      <c r="C411" s="209" t="n">
        <v>8</v>
      </c>
      <c r="D411" s="72" t="n"/>
      <c r="E411" s="73" t="n"/>
      <c r="F411" s="74" t="n"/>
      <c r="G411" s="72" t="n"/>
      <c r="H411" s="187">
        <f>IF(COUNTA(D411:G411)=COLUMNS(D411:G411), IFERROR('Technical Sheet'!G9, "-"), "-")</f>
        <v/>
      </c>
      <c r="I411" s="872">
        <f>IF(AND(D411&lt;&gt;"", E411&lt;&gt;"", F411&lt;&gt;"", G411&lt;&gt;"", H411&lt;&gt;""), template_label_ok,
IF(AND(D411="", E411="", F411="", G411="", H411="-"), "",
template_label_missing_value)
)</f>
        <v/>
      </c>
      <c r="J411" s="193">
        <f>IF(AND(D411&lt;&gt;"", E411&lt;&gt;"", F411&lt;&gt;"", G411&lt;&gt;""),
    IFERROR(HYPERLINK("https://www.openstreetmap.org/search?lat=" &amp; 'Technical Sheet'!E9 &amp; "&amp;lon=" &amp; 'Technical Sheet'!F9, "OpenStreetMap Link"),
    ""),
"")</f>
        <v/>
      </c>
      <c r="K411" s="1134">
        <f>LOWER(SUBSTITUTE(D411," ","+" )) &amp; "+" &amp; LOWER(SUBSTITUTE(E411," ","+" )) &amp; "+" &amp; LOWER(SUBSTITUTE(F411," ","+" )) &amp; "+" &amp; LOWER(SUBSTITUTE(G411," ","+" )) &amp; "+"</f>
        <v/>
      </c>
    </row>
    <row r="412" hidden="1" outlineLevel="1">
      <c r="C412" s="208" t="n">
        <v>9</v>
      </c>
      <c r="D412" s="72" t="n"/>
      <c r="E412" s="73" t="n"/>
      <c r="F412" s="74" t="n"/>
      <c r="G412" s="72" t="n"/>
      <c r="H412" s="187">
        <f>IF(COUNTA(D412:G412)=COLUMNS(D412:G412), IFERROR('Technical Sheet'!G10, "-"), "-")</f>
        <v/>
      </c>
      <c r="I412" s="872">
        <f>IF(AND(D412&lt;&gt;"", E412&lt;&gt;"", F412&lt;&gt;"", G412&lt;&gt;"", H412&lt;&gt;""), template_label_ok,
IF(AND(D412="", E412="", F412="", G412="", H412="-"), "",
template_label_missing_value)
)</f>
        <v/>
      </c>
      <c r="J412" s="193">
        <f>IF(AND(D412&lt;&gt;"", E412&lt;&gt;"", F412&lt;&gt;"", G412&lt;&gt;""),
    IFERROR(HYPERLINK("https://www.openstreetmap.org/search?lat=" &amp; 'Technical Sheet'!E10 &amp; "&amp;lon=" &amp; 'Technical Sheet'!F10, "OpenStreetMap Link"),
    ""),
"")</f>
        <v/>
      </c>
      <c r="K412" s="1134">
        <f>LOWER(SUBSTITUTE(D412," ","+" )) &amp; "+" &amp; LOWER(SUBSTITUTE(E412," ","+" )) &amp; "+" &amp; LOWER(SUBSTITUTE(F412," ","+" )) &amp; "+" &amp; LOWER(SUBSTITUTE(G412," ","+" )) &amp; "+"</f>
        <v/>
      </c>
    </row>
    <row r="413" hidden="1" outlineLevel="1">
      <c r="C413" s="208" t="n">
        <v>10</v>
      </c>
      <c r="D413" s="72" t="n"/>
      <c r="E413" s="73" t="n"/>
      <c r="F413" s="74" t="n"/>
      <c r="G413" s="72" t="n"/>
      <c r="H413" s="187">
        <f>IF(COUNTA(D413:G413)=COLUMNS(D413:G413), IFERROR('Technical Sheet'!G11, "-"), "-")</f>
        <v/>
      </c>
      <c r="I413" s="872">
        <f>IF(AND(D413&lt;&gt;"", E413&lt;&gt;"", F413&lt;&gt;"", G413&lt;&gt;"", H413&lt;&gt;""), template_label_ok,
IF(AND(D413="", E413="", F413="", G413="", H413="-"), "",
template_label_missing_value)
)</f>
        <v/>
      </c>
      <c r="J413" s="193">
        <f>IF(AND(D413&lt;&gt;"", E413&lt;&gt;"", F413&lt;&gt;"", G413&lt;&gt;""),
    IFERROR(HYPERLINK("https://www.openstreetmap.org/search?lat=" &amp; 'Technical Sheet'!E11 &amp; "&amp;lon=" &amp; 'Technical Sheet'!F11, "OpenStreetMap Link"),
    ""),
"")</f>
        <v/>
      </c>
      <c r="K413" s="1134">
        <f>LOWER(SUBSTITUTE(D413," ","+" )) &amp; "+" &amp; LOWER(SUBSTITUTE(E413," ","+" )) &amp; "+" &amp; LOWER(SUBSTITUTE(F413," ","+" )) &amp; "+" &amp; LOWER(SUBSTITUTE(G413," ","+" )) &amp; "+"</f>
        <v/>
      </c>
    </row>
    <row r="414" hidden="1" outlineLevel="1">
      <c r="C414" s="209" t="n">
        <v>11</v>
      </c>
      <c r="D414" s="72" t="n"/>
      <c r="E414" s="73" t="n"/>
      <c r="F414" s="74" t="n"/>
      <c r="G414" s="72" t="n"/>
      <c r="H414" s="187">
        <f>IF(COUNTA(D414:G414)=COLUMNS(D414:G414), IFERROR('Technical Sheet'!G12, "-"), "-")</f>
        <v/>
      </c>
      <c r="I414" s="872">
        <f>IF(AND(D414&lt;&gt;"", E414&lt;&gt;"", F414&lt;&gt;"", G414&lt;&gt;"", H414&lt;&gt;""), template_label_ok,
IF(AND(D414="", E414="", F414="", G414="", H414="-"), "",
template_label_missing_value)
)</f>
        <v/>
      </c>
      <c r="J414" s="193">
        <f>IF(AND(D414&lt;&gt;"", E414&lt;&gt;"", F414&lt;&gt;"", G414&lt;&gt;""),
    IFERROR(HYPERLINK("https://www.openstreetmap.org/search?lat=" &amp; 'Technical Sheet'!E12 &amp; "&amp;lon=" &amp; 'Technical Sheet'!F12, "OpenStreetMap Link"),
    ""),
"")</f>
        <v/>
      </c>
      <c r="K414" s="1134">
        <f>LOWER(SUBSTITUTE(D414," ","+" )) &amp; "+" &amp; LOWER(SUBSTITUTE(E414," ","+" )) &amp; "+" &amp; LOWER(SUBSTITUTE(F414," ","+" )) &amp; "+" &amp; LOWER(SUBSTITUTE(G414," ","+" )) &amp; "+"</f>
        <v/>
      </c>
    </row>
    <row r="415" hidden="1" outlineLevel="1">
      <c r="C415" s="208" t="n">
        <v>12</v>
      </c>
      <c r="D415" s="72" t="n"/>
      <c r="E415" s="73" t="n"/>
      <c r="F415" s="74" t="n"/>
      <c r="G415" s="72" t="n"/>
      <c r="H415" s="187">
        <f>IF(COUNTA(D415:G415)=COLUMNS(D415:G415), IFERROR('Technical Sheet'!G13, "-"), "-")</f>
        <v/>
      </c>
      <c r="I415" s="872">
        <f>IF(AND(D415&lt;&gt;"", E415&lt;&gt;"", F415&lt;&gt;"", G415&lt;&gt;"", H415&lt;&gt;""), template_label_ok,
IF(AND(D415="", E415="", F415="", G415="", H415="-"), "",
template_label_missing_value)
)</f>
        <v/>
      </c>
      <c r="J415" s="193">
        <f>IF(AND(D415&lt;&gt;"", E415&lt;&gt;"", F415&lt;&gt;"", G415&lt;&gt;""),
    IFERROR(HYPERLINK("https://www.openstreetmap.org/search?lat=" &amp; 'Technical Sheet'!E13 &amp; "&amp;lon=" &amp; 'Technical Sheet'!F13, "OpenStreetMap Link"),
    ""),
"")</f>
        <v/>
      </c>
      <c r="K415" s="1134">
        <f>LOWER(SUBSTITUTE(D415," ","+" )) &amp; "+" &amp; LOWER(SUBSTITUTE(E415," ","+" )) &amp; "+" &amp; LOWER(SUBSTITUTE(F415," ","+" )) &amp; "+" &amp; LOWER(SUBSTITUTE(G415," ","+" )) &amp; "+"</f>
        <v/>
      </c>
    </row>
    <row r="416" hidden="1" outlineLevel="1">
      <c r="C416" s="208" t="n">
        <v>13</v>
      </c>
      <c r="D416" s="72" t="n"/>
      <c r="E416" s="73" t="n"/>
      <c r="F416" s="74" t="n"/>
      <c r="G416" s="72" t="n"/>
      <c r="H416" s="187">
        <f>IF(COUNTA(D416:G416)=COLUMNS(D416:G416), IFERROR('Technical Sheet'!G14, "-"), "-")</f>
        <v/>
      </c>
      <c r="I416" s="872">
        <f>IF(AND(D416&lt;&gt;"", E416&lt;&gt;"", F416&lt;&gt;"", G416&lt;&gt;"", H416&lt;&gt;""), template_label_ok,
IF(AND(D416="", E416="", F416="", G416="", H416="-"), "",
template_label_missing_value)
)</f>
        <v/>
      </c>
      <c r="J416" s="193">
        <f>IF(AND(D416&lt;&gt;"", E416&lt;&gt;"", F416&lt;&gt;"", G416&lt;&gt;""),
    IFERROR(HYPERLINK("https://www.openstreetmap.org/search?lat=" &amp; 'Technical Sheet'!E14 &amp; "&amp;lon=" &amp; 'Technical Sheet'!F14, "OpenStreetMap Link"),
    ""),
"")</f>
        <v/>
      </c>
      <c r="K416" s="1134">
        <f>LOWER(SUBSTITUTE(D416," ","+" )) &amp; "+" &amp; LOWER(SUBSTITUTE(E416," ","+" )) &amp; "+" &amp; LOWER(SUBSTITUTE(F416," ","+" )) &amp; "+" &amp; LOWER(SUBSTITUTE(G416," ","+" )) &amp; "+"</f>
        <v/>
      </c>
    </row>
    <row r="417" hidden="1" outlineLevel="1">
      <c r="C417" s="209" t="n">
        <v>14</v>
      </c>
      <c r="D417" s="72" t="n"/>
      <c r="E417" s="73" t="n"/>
      <c r="F417" s="74" t="n"/>
      <c r="G417" s="72" t="n"/>
      <c r="H417" s="187">
        <f>IF(COUNTA(D417:G417)=COLUMNS(D417:G417), IFERROR('Technical Sheet'!G15, "-"), "-")</f>
        <v/>
      </c>
      <c r="I417" s="872">
        <f>IF(AND(D417&lt;&gt;"", E417&lt;&gt;"", F417&lt;&gt;"", G417&lt;&gt;"", H417&lt;&gt;""), template_label_ok,
IF(AND(D417="", E417="", F417="", G417="", H417="-"), "",
template_label_missing_value)
)</f>
        <v/>
      </c>
      <c r="J417" s="193">
        <f>IF(AND(D417&lt;&gt;"", E417&lt;&gt;"", F417&lt;&gt;"", G417&lt;&gt;""),
    IFERROR(HYPERLINK("https://www.openstreetmap.org/search?lat=" &amp; 'Technical Sheet'!E15 &amp; "&amp;lon=" &amp; 'Technical Sheet'!F15, "OpenStreetMap Link"),
    ""),
"")</f>
        <v/>
      </c>
      <c r="K417" s="1134">
        <f>LOWER(SUBSTITUTE(D417," ","+" )) &amp; "+" &amp; LOWER(SUBSTITUTE(E417," ","+" )) &amp; "+" &amp; LOWER(SUBSTITUTE(F417," ","+" )) &amp; "+" &amp; LOWER(SUBSTITUTE(G417," ","+" )) &amp; "+"</f>
        <v/>
      </c>
    </row>
    <row r="418" hidden="1" outlineLevel="1">
      <c r="C418" s="208" t="n">
        <v>15</v>
      </c>
      <c r="D418" s="72" t="n"/>
      <c r="E418" s="73" t="n"/>
      <c r="F418" s="74" t="n"/>
      <c r="G418" s="72" t="n"/>
      <c r="H418" s="187">
        <f>IF(COUNTA(D418:G418)=COLUMNS(D418:G418), IFERROR('Technical Sheet'!G16, "-"), "-")</f>
        <v/>
      </c>
      <c r="I418" s="872">
        <f>IF(AND(D418&lt;&gt;"", E418&lt;&gt;"", F418&lt;&gt;"", G418&lt;&gt;"", H418&lt;&gt;""), template_label_ok,
IF(AND(D418="", E418="", F418="", G418="", H418="-"), "",
template_label_missing_value)
)</f>
        <v/>
      </c>
      <c r="J418" s="193">
        <f>IF(AND(D418&lt;&gt;"", E418&lt;&gt;"", F418&lt;&gt;"", G418&lt;&gt;""),
    IFERROR(HYPERLINK("https://www.openstreetmap.org/search?lat=" &amp; 'Technical Sheet'!E16 &amp; "&amp;lon=" &amp; 'Technical Sheet'!F16, "OpenStreetMap Link"),
    ""),
"")</f>
        <v/>
      </c>
      <c r="K418" s="1134">
        <f>LOWER(SUBSTITUTE(D418," ","+" )) &amp; "+" &amp; LOWER(SUBSTITUTE(E418," ","+" )) &amp; "+" &amp; LOWER(SUBSTITUTE(F418," ","+" )) &amp; "+" &amp; LOWER(SUBSTITUTE(G418," ","+" )) &amp; "+"</f>
        <v/>
      </c>
    </row>
    <row r="419" hidden="1" outlineLevel="1">
      <c r="C419" s="208" t="n">
        <v>16</v>
      </c>
      <c r="D419" s="72" t="n"/>
      <c r="E419" s="73" t="n"/>
      <c r="F419" s="74" t="n"/>
      <c r="G419" s="72" t="n"/>
      <c r="H419" s="187">
        <f>IF(COUNTA(D419:G419)=COLUMNS(D419:G419), IFERROR('Technical Sheet'!G17, "-"), "-")</f>
        <v/>
      </c>
      <c r="I419" s="872">
        <f>IF(AND(D419&lt;&gt;"", E419&lt;&gt;"", F419&lt;&gt;"", G419&lt;&gt;"", H419&lt;&gt;""), template_label_ok,
IF(AND(D419="", E419="", F419="", G419="", H419="-"), "",
template_label_missing_value)
)</f>
        <v/>
      </c>
      <c r="J419" s="193">
        <f>IF(AND(D419&lt;&gt;"", E419&lt;&gt;"", F419&lt;&gt;"", G419&lt;&gt;""),
    IFERROR(HYPERLINK("https://www.openstreetmap.org/search?lat=" &amp; 'Technical Sheet'!E17 &amp; "&amp;lon=" &amp; 'Technical Sheet'!F17, "OpenStreetMap Link"),
    ""),
"")</f>
        <v/>
      </c>
      <c r="K419" s="1134">
        <f>LOWER(SUBSTITUTE(D419," ","+" )) &amp; "+" &amp; LOWER(SUBSTITUTE(E419," ","+" )) &amp; "+" &amp; LOWER(SUBSTITUTE(F419," ","+" )) &amp; "+" &amp; LOWER(SUBSTITUTE(G419," ","+" )) &amp; "+"</f>
        <v/>
      </c>
    </row>
    <row r="420" hidden="1" outlineLevel="1">
      <c r="C420" s="209" t="n">
        <v>17</v>
      </c>
      <c r="D420" s="72" t="n"/>
      <c r="E420" s="73" t="n"/>
      <c r="F420" s="74" t="n"/>
      <c r="G420" s="72" t="n"/>
      <c r="H420" s="187">
        <f>IF(COUNTA(D420:G420)=COLUMNS(D420:G420), IFERROR('Technical Sheet'!G18, "-"), "-")</f>
        <v/>
      </c>
      <c r="I420" s="872">
        <f>IF(AND(D420&lt;&gt;"", E420&lt;&gt;"", F420&lt;&gt;"", G420&lt;&gt;"", H420&lt;&gt;""), template_label_ok,
IF(AND(D420="", E420="", F420="", G420="", H420="-"), "",
template_label_missing_value)
)</f>
        <v/>
      </c>
      <c r="J420" s="193">
        <f>IF(AND(D420&lt;&gt;"", E420&lt;&gt;"", F420&lt;&gt;"", G420&lt;&gt;""),
    IFERROR(HYPERLINK("https://www.openstreetmap.org/search?lat=" &amp; 'Technical Sheet'!E18 &amp; "&amp;lon=" &amp; 'Technical Sheet'!F18, "OpenStreetMap Link"),
    ""),
"")</f>
        <v/>
      </c>
      <c r="K420" s="1134">
        <f>LOWER(SUBSTITUTE(D420," ","+" )) &amp; "+" &amp; LOWER(SUBSTITUTE(E420," ","+" )) &amp; "+" &amp; LOWER(SUBSTITUTE(F420," ","+" )) &amp; "+" &amp; LOWER(SUBSTITUTE(G420," ","+" )) &amp; "+"</f>
        <v/>
      </c>
    </row>
    <row r="421" hidden="1" outlineLevel="1">
      <c r="C421" s="208" t="n">
        <v>18</v>
      </c>
      <c r="D421" s="72" t="n"/>
      <c r="E421" s="73" t="n"/>
      <c r="F421" s="74" t="n"/>
      <c r="G421" s="72" t="n"/>
      <c r="H421" s="187">
        <f>IF(COUNTA(D421:G421)=COLUMNS(D421:G421), IFERROR('Technical Sheet'!G19, "-"), "-")</f>
        <v/>
      </c>
      <c r="I421" s="872">
        <f>IF(AND(D421&lt;&gt;"", E421&lt;&gt;"", F421&lt;&gt;"", G421&lt;&gt;"", H421&lt;&gt;""), template_label_ok,
IF(AND(D421="", E421="", F421="", G421="", H421="-"), "",
template_label_missing_value)
)</f>
        <v/>
      </c>
      <c r="J421" s="193">
        <f>IF(AND(D421&lt;&gt;"", E421&lt;&gt;"", F421&lt;&gt;"", G421&lt;&gt;""),
    IFERROR(HYPERLINK("https://www.openstreetmap.org/search?lat=" &amp; 'Technical Sheet'!E19 &amp; "&amp;lon=" &amp; 'Technical Sheet'!F19, "OpenStreetMap Link"),
    ""),
"")</f>
        <v/>
      </c>
      <c r="K421" s="1134">
        <f>LOWER(SUBSTITUTE(D421," ","+" )) &amp; "+" &amp; LOWER(SUBSTITUTE(E421," ","+" )) &amp; "+" &amp; LOWER(SUBSTITUTE(F421," ","+" )) &amp; "+" &amp; LOWER(SUBSTITUTE(G421," ","+" )) &amp; "+"</f>
        <v/>
      </c>
    </row>
    <row r="422" hidden="1" outlineLevel="1">
      <c r="C422" s="208" t="n">
        <v>19</v>
      </c>
      <c r="D422" s="72" t="n"/>
      <c r="E422" s="73" t="n"/>
      <c r="F422" s="74" t="n"/>
      <c r="G422" s="72" t="n"/>
      <c r="H422" s="187">
        <f>IF(COUNTA(D422:G422)=COLUMNS(D422:G422), IFERROR('Technical Sheet'!G20, "-"), "-")</f>
        <v/>
      </c>
      <c r="I422" s="872">
        <f>IF(AND(D422&lt;&gt;"", E422&lt;&gt;"", F422&lt;&gt;"", G422&lt;&gt;"", H422&lt;&gt;""), template_label_ok,
IF(AND(D422="", E422="", F422="", G422="", H422="-"), "",
template_label_missing_value)
)</f>
        <v/>
      </c>
      <c r="J422" s="193">
        <f>IF(AND(D422&lt;&gt;"", E422&lt;&gt;"", F422&lt;&gt;"", G422&lt;&gt;""),
    IFERROR(HYPERLINK("https://www.openstreetmap.org/search?lat=" &amp; 'Technical Sheet'!E20 &amp; "&amp;lon=" &amp; 'Technical Sheet'!F20, "OpenStreetMap Link"),
    ""),
"")</f>
        <v/>
      </c>
      <c r="K422" s="1134">
        <f>LOWER(SUBSTITUTE(D422," ","+" )) &amp; "+" &amp; LOWER(SUBSTITUTE(E422," ","+" )) &amp; "+" &amp; LOWER(SUBSTITUTE(F422," ","+" )) &amp; "+" &amp; LOWER(SUBSTITUTE(G422," ","+" )) &amp; "+"</f>
        <v/>
      </c>
    </row>
    <row r="423" hidden="1" outlineLevel="1">
      <c r="C423" s="209" t="n">
        <v>20</v>
      </c>
      <c r="D423" s="72" t="n"/>
      <c r="E423" s="73" t="n"/>
      <c r="F423" s="74" t="n"/>
      <c r="G423" s="72" t="n"/>
      <c r="H423" s="187">
        <f>IF(COUNTA(D423:G423)=COLUMNS(D423:G423), IFERROR('Technical Sheet'!G21, "-"), "-")</f>
        <v/>
      </c>
      <c r="I423" s="872">
        <f>IF(AND(D423&lt;&gt;"", E423&lt;&gt;"", F423&lt;&gt;"", G423&lt;&gt;"", H423&lt;&gt;""), template_label_ok,
IF(AND(D423="", E423="", F423="", G423="", H423="-"), "",
template_label_missing_value)
)</f>
        <v/>
      </c>
      <c r="J423" s="193">
        <f>IF(AND(D423&lt;&gt;"", E423&lt;&gt;"", F423&lt;&gt;"", G423&lt;&gt;""),
    IFERROR(HYPERLINK("https://www.openstreetmap.org/search?lat=" &amp; 'Technical Sheet'!E21 &amp; "&amp;lon=" &amp; 'Technical Sheet'!F21, "OpenStreetMap Link"),
    ""),
"")</f>
        <v/>
      </c>
      <c r="K423" s="1134">
        <f>LOWER(SUBSTITUTE(D423," ","+" )) &amp; "+" &amp; LOWER(SUBSTITUTE(E423," ","+" )) &amp; "+" &amp; LOWER(SUBSTITUTE(F423," ","+" )) &amp; "+" &amp; LOWER(SUBSTITUTE(G423," ","+" )) &amp; "+"</f>
        <v/>
      </c>
    </row>
    <row r="424" hidden="1" outlineLevel="1">
      <c r="C424" s="208" t="n">
        <v>21</v>
      </c>
      <c r="D424" s="72" t="n"/>
      <c r="E424" s="73" t="n"/>
      <c r="F424" s="74" t="n"/>
      <c r="G424" s="72" t="n"/>
      <c r="H424" s="187">
        <f>IF(COUNTA(D424:G424)=COLUMNS(D424:G424), IFERROR('Technical Sheet'!G22, "-"), "-")</f>
        <v/>
      </c>
      <c r="I424" s="872">
        <f>IF(AND(D424&lt;&gt;"", E424&lt;&gt;"", F424&lt;&gt;"", G424&lt;&gt;"", H424&lt;&gt;""), template_label_ok,
IF(AND(D424="", E424="", F424="", G424="", H424="-"), "",
template_label_missing_value)
)</f>
        <v/>
      </c>
      <c r="J424" s="193">
        <f>IF(AND(D424&lt;&gt;"", E424&lt;&gt;"", F424&lt;&gt;"", G424&lt;&gt;""),
    IFERROR(HYPERLINK("https://www.openstreetmap.org/search?lat=" &amp; 'Technical Sheet'!E22 &amp; "&amp;lon=" &amp; 'Technical Sheet'!F22, "OpenStreetMap Link"),
    ""),
"")</f>
        <v/>
      </c>
      <c r="K424" s="1134">
        <f>LOWER(SUBSTITUTE(D424," ","+" )) &amp; "+" &amp; LOWER(SUBSTITUTE(E424," ","+" )) &amp; "+" &amp; LOWER(SUBSTITUTE(F424," ","+" )) &amp; "+" &amp; LOWER(SUBSTITUTE(G424," ","+" )) &amp; "+"</f>
        <v/>
      </c>
    </row>
    <row r="425" hidden="1" outlineLevel="1">
      <c r="C425" s="208" t="n">
        <v>22</v>
      </c>
      <c r="D425" s="72" t="n"/>
      <c r="E425" s="73" t="n"/>
      <c r="F425" s="74" t="n"/>
      <c r="G425" s="72" t="n"/>
      <c r="H425" s="187">
        <f>IF(COUNTA(D425:G425)=COLUMNS(D425:G425), IFERROR('Technical Sheet'!G23, "-"), "-")</f>
        <v/>
      </c>
      <c r="I425" s="872">
        <f>IF(AND(D425&lt;&gt;"", E425&lt;&gt;"", F425&lt;&gt;"", G425&lt;&gt;"", H425&lt;&gt;""), template_label_ok,
IF(AND(D425="", E425="", F425="", G425="", H425="-"), "",
template_label_missing_value)
)</f>
        <v/>
      </c>
      <c r="J425" s="193">
        <f>IF(AND(D425&lt;&gt;"", E425&lt;&gt;"", F425&lt;&gt;"", G425&lt;&gt;""),
    IFERROR(HYPERLINK("https://www.openstreetmap.org/search?lat=" &amp; 'Technical Sheet'!E23 &amp; "&amp;lon=" &amp; 'Technical Sheet'!F23, "OpenStreetMap Link"),
    ""),
"")</f>
        <v/>
      </c>
      <c r="K425" s="1134">
        <f>LOWER(SUBSTITUTE(D425," ","+" )) &amp; "+" &amp; LOWER(SUBSTITUTE(E425," ","+" )) &amp; "+" &amp; LOWER(SUBSTITUTE(F425," ","+" )) &amp; "+" &amp; LOWER(SUBSTITUTE(G425," ","+" )) &amp; "+"</f>
        <v/>
      </c>
    </row>
    <row r="426" hidden="1" outlineLevel="1">
      <c r="C426" s="209" t="n">
        <v>23</v>
      </c>
      <c r="D426" s="72" t="n"/>
      <c r="E426" s="73" t="n"/>
      <c r="F426" s="74" t="n"/>
      <c r="G426" s="72" t="n"/>
      <c r="H426" s="187">
        <f>IF(COUNTA(D426:G426)=COLUMNS(D426:G426), IFERROR('Technical Sheet'!G24, "-"), "-")</f>
        <v/>
      </c>
      <c r="I426" s="872">
        <f>IF(AND(D426&lt;&gt;"", E426&lt;&gt;"", F426&lt;&gt;"", G426&lt;&gt;"", H426&lt;&gt;""), template_label_ok,
IF(AND(D426="", E426="", F426="", G426="", H426="-"), "",
template_label_missing_value)
)</f>
        <v/>
      </c>
      <c r="J426" s="193">
        <f>IF(AND(D426&lt;&gt;"", E426&lt;&gt;"", F426&lt;&gt;"", G426&lt;&gt;""),
    IFERROR(HYPERLINK("https://www.openstreetmap.org/search?lat=" &amp; 'Technical Sheet'!E24 &amp; "&amp;lon=" &amp; 'Technical Sheet'!F24, "OpenStreetMap Link"),
    ""),
"")</f>
        <v/>
      </c>
      <c r="K426" s="1134">
        <f>LOWER(SUBSTITUTE(D426," ","+" )) &amp; "+" &amp; LOWER(SUBSTITUTE(E426," ","+" )) &amp; "+" &amp; LOWER(SUBSTITUTE(F426," ","+" )) &amp; "+" &amp; LOWER(SUBSTITUTE(G426," ","+" )) &amp; "+"</f>
        <v/>
      </c>
    </row>
    <row r="427" hidden="1" outlineLevel="1">
      <c r="C427" s="208" t="n">
        <v>24</v>
      </c>
      <c r="D427" s="81" t="n"/>
      <c r="E427" s="82" t="n"/>
      <c r="F427" s="83" t="n"/>
      <c r="G427" s="81" t="n"/>
      <c r="H427" s="187">
        <f>IF(COUNTA(D427:G427)=COLUMNS(D427:G427), IFERROR('Technical Sheet'!G25, "-"), "-")</f>
        <v/>
      </c>
      <c r="I427" s="872">
        <f>IF(AND(D427&lt;&gt;"", E427&lt;&gt;"", F427&lt;&gt;"", G427&lt;&gt;"", H427&lt;&gt;""), template_label_ok,
IF(AND(D427="", E427="", F427="", G427="", H427="-"), "",
template_label_missing_value)
)</f>
        <v/>
      </c>
      <c r="J427" s="193" t="n"/>
      <c r="K427" s="1134" t="n"/>
    </row>
    <row r="428" hidden="1" outlineLevel="1">
      <c r="C428" s="208" t="n">
        <v>25</v>
      </c>
      <c r="D428" s="81" t="n"/>
      <c r="E428" s="82" t="n"/>
      <c r="F428" s="83" t="n"/>
      <c r="G428" s="81" t="n"/>
      <c r="H428" s="187">
        <f>IF(COUNTA(D428:G428)=COLUMNS(D428:G428), IFERROR('Technical Sheet'!G26, "-"), "-")</f>
        <v/>
      </c>
      <c r="I428" s="872">
        <f>IF(AND(D428&lt;&gt;"", E428&lt;&gt;"", F428&lt;&gt;"", G428&lt;&gt;"", H428&lt;&gt;""), template_label_ok,
IF(AND(D428="", E428="", F428="", G428="", H428="-"), "",
template_label_missing_value)
)</f>
        <v/>
      </c>
      <c r="J428" s="193" t="n"/>
      <c r="K428" s="1134" t="n"/>
    </row>
    <row r="429" hidden="1" outlineLevel="1">
      <c r="C429" s="209" t="n"/>
      <c r="D429" s="81" t="n"/>
      <c r="E429" s="82" t="n"/>
      <c r="F429" s="83" t="n"/>
      <c r="G429" s="81" t="n"/>
      <c r="H429" s="187">
        <f>IF(COUNTA(D429:G429)=COLUMNS(D429:G429), IFERROR('Technical Sheet'!G27, "-"), "-")</f>
        <v/>
      </c>
      <c r="I429" s="872">
        <f>IF(AND(D429&lt;&gt;"", E429&lt;&gt;"", F429&lt;&gt;"", G429&lt;&gt;"", H429&lt;&gt;""), template_label_ok,
IF(AND(D429="", E429="", F429="", G429="", H429="-"), "",
template_label_missing_value)
)</f>
        <v/>
      </c>
      <c r="J429" s="193" t="n"/>
      <c r="K429" s="1134" t="n"/>
    </row>
    <row r="430" hidden="1" outlineLevel="1">
      <c r="C430" s="208" t="n"/>
      <c r="D430" s="81" t="n"/>
      <c r="E430" s="82" t="n"/>
      <c r="F430" s="83" t="n"/>
      <c r="G430" s="81" t="n"/>
      <c r="H430" s="187">
        <f>IF(COUNTA(D430:G430)=COLUMNS(D430:G430), IFERROR('Technical Sheet'!#REF!, "-"), "-")</f>
        <v/>
      </c>
      <c r="I430" s="872">
        <f>IF(AND(D430&lt;&gt;"", E430&lt;&gt;"", F430&lt;&gt;"", G430&lt;&gt;"", H430&lt;&gt;""), template_label_ok,
IF(AND(D430="", E430="", F430="", G430="", H430="-"), "",
template_label_missing_value)
)</f>
        <v/>
      </c>
      <c r="J430" s="193" t="n"/>
      <c r="K430" s="1134" t="n"/>
    </row>
    <row r="431" hidden="1" outlineLevel="1">
      <c r="C431" s="208" t="n"/>
      <c r="D431" s="81" t="n"/>
      <c r="E431" s="82" t="n"/>
      <c r="F431" s="83" t="n"/>
      <c r="G431" s="81" t="n"/>
      <c r="H431" s="187">
        <f>IF(COUNTA(D431:G431)=COLUMNS(D431:G431), IFERROR('Technical Sheet'!G28, "-"), "-")</f>
        <v/>
      </c>
      <c r="I431" s="872">
        <f>IF(AND(D431&lt;&gt;"", E431&lt;&gt;"", F431&lt;&gt;"", G431&lt;&gt;"", H431&lt;&gt;""), template_label_ok,
IF(AND(D431="", E431="", F431="", G431="", H431="-"), "",
template_label_missing_value)
)</f>
        <v/>
      </c>
      <c r="J431" s="193" t="n"/>
      <c r="K431" s="1134" t="n"/>
    </row>
    <row r="432" hidden="1" outlineLevel="1">
      <c r="C432" s="209" t="n"/>
      <c r="D432" s="81" t="n"/>
      <c r="E432" s="82" t="n"/>
      <c r="F432" s="83" t="n"/>
      <c r="G432" s="81" t="n"/>
      <c r="H432" s="187">
        <f>IF(COUNTA(D432:G432)=COLUMNS(D432:G432), IFERROR('Technical Sheet'!G29, "-"), "-")</f>
        <v/>
      </c>
      <c r="I432" s="872">
        <f>IF(AND(D432&lt;&gt;"", E432&lt;&gt;"", F432&lt;&gt;"", G432&lt;&gt;"", H432&lt;&gt;""), template_label_ok,
IF(AND(D432="", E432="", F432="", G432="", H432="-"), "",
template_label_missing_value)
)</f>
        <v/>
      </c>
      <c r="J432" s="193" t="n"/>
      <c r="K432" s="1134" t="n"/>
    </row>
    <row r="433" hidden="1" outlineLevel="1">
      <c r="C433" s="208" t="n"/>
      <c r="D433" s="81" t="n"/>
      <c r="E433" s="82" t="n"/>
      <c r="F433" s="83" t="n"/>
      <c r="G433" s="81" t="n"/>
      <c r="H433" s="187">
        <f>IF(COUNTA(D433:G433)=COLUMNS(D433:G433), IFERROR('Technical Sheet'!G30, "-"), "-")</f>
        <v/>
      </c>
      <c r="I433" s="872">
        <f>IF(AND(D433&lt;&gt;"", E433&lt;&gt;"", F433&lt;&gt;"", G433&lt;&gt;"", H433&lt;&gt;""), template_label_ok,
IF(AND(D433="", E433="", F433="", G433="", H433="-"), "",
template_label_missing_value)
)</f>
        <v/>
      </c>
      <c r="J433" s="193" t="n"/>
      <c r="K433" s="1134" t="n"/>
    </row>
    <row r="434" hidden="1" outlineLevel="1">
      <c r="C434" s="208" t="n"/>
      <c r="D434" s="81" t="n"/>
      <c r="E434" s="82" t="n"/>
      <c r="F434" s="83" t="n"/>
      <c r="G434" s="81" t="n"/>
      <c r="H434" s="187">
        <f>IF(COUNTA(D434:G434)=COLUMNS(D434:G434), IFERROR('Technical Sheet'!G31, "-"), "-")</f>
        <v/>
      </c>
      <c r="I434" s="872">
        <f>IF(AND(D434&lt;&gt;"", E434&lt;&gt;"", F434&lt;&gt;"", G434&lt;&gt;"", H434&lt;&gt;""), template_label_ok,
IF(AND(D434="", E434="", F434="", G434="", H434="-"), "",
template_label_missing_value)
)</f>
        <v/>
      </c>
      <c r="J434" s="193" t="n"/>
      <c r="K434" s="1134" t="n"/>
    </row>
    <row r="435" hidden="1" outlineLevel="1">
      <c r="C435" s="209" t="n"/>
      <c r="D435" s="81" t="n"/>
      <c r="E435" s="82" t="n"/>
      <c r="F435" s="83" t="n"/>
      <c r="G435" s="81" t="n"/>
      <c r="H435" s="187">
        <f>IF(COUNTA(D435:G435)=COLUMNS(D435:G435), IFERROR('Technical Sheet'!G32, "-"), "-")</f>
        <v/>
      </c>
      <c r="I435" s="872">
        <f>IF(AND(D435&lt;&gt;"", E435&lt;&gt;"", F435&lt;&gt;"", G435&lt;&gt;"", H435&lt;&gt;""), template_label_ok,
IF(AND(D435="", E435="", F435="", G435="", H435="-"), "",
template_label_missing_value)
)</f>
        <v/>
      </c>
      <c r="J435" s="193" t="n"/>
      <c r="K435" s="1134" t="n"/>
    </row>
    <row r="436" hidden="1" outlineLevel="1">
      <c r="C436" s="208" t="n"/>
      <c r="D436" s="81" t="n"/>
      <c r="E436" s="82" t="n"/>
      <c r="F436" s="83" t="n"/>
      <c r="G436" s="81" t="n"/>
      <c r="H436" s="187">
        <f>IF(COUNTA(D436:G436)=COLUMNS(D436:G436), IFERROR('Technical Sheet'!G33, "-"), "-")</f>
        <v/>
      </c>
      <c r="I436" s="872">
        <f>IF(AND(D436&lt;&gt;"", E436&lt;&gt;"", F436&lt;&gt;"", G436&lt;&gt;"", H436&lt;&gt;""), template_label_ok,
IF(AND(D436="", E436="", F436="", G436="", H436="-"), "",
template_label_missing_value)
)</f>
        <v/>
      </c>
      <c r="J436" s="193" t="n"/>
      <c r="K436" s="1134" t="n"/>
    </row>
    <row r="437" hidden="1" outlineLevel="1">
      <c r="C437" s="208" t="n"/>
      <c r="D437" s="81" t="n"/>
      <c r="E437" s="82" t="n"/>
      <c r="F437" s="83" t="n"/>
      <c r="G437" s="81" t="n"/>
      <c r="H437" s="187">
        <f>IF(COUNTA(D437:G437)=COLUMNS(D437:G437), IFERROR('Technical Sheet'!G34, "-"), "-")</f>
        <v/>
      </c>
      <c r="I437" s="872">
        <f>IF(AND(D437&lt;&gt;"", E437&lt;&gt;"", F437&lt;&gt;"", G437&lt;&gt;"", H437&lt;&gt;""), template_label_ok,
IF(AND(D437="", E437="", F437="", G437="", H437="-"), "",
template_label_missing_value)
)</f>
        <v/>
      </c>
      <c r="J437" s="193" t="n"/>
      <c r="K437" s="1134" t="n"/>
    </row>
    <row r="438" hidden="1" outlineLevel="1">
      <c r="C438" s="209" t="n"/>
      <c r="D438" s="81" t="n"/>
      <c r="E438" s="82" t="n"/>
      <c r="F438" s="83" t="n"/>
      <c r="G438" s="81" t="n"/>
      <c r="H438" s="187">
        <f>IF(COUNTA(D438:G438)=COLUMNS(D438:G438), IFERROR('Technical Sheet'!G35, "-"), "-")</f>
        <v/>
      </c>
      <c r="I438" s="872">
        <f>IF(AND(D438&lt;&gt;"", E438&lt;&gt;"", F438&lt;&gt;"", G438&lt;&gt;"", H438&lt;&gt;""), template_label_ok,
IF(AND(D438="", E438="", F438="", G438="", H438="-"), "",
template_label_missing_value)
)</f>
        <v/>
      </c>
      <c r="J438" s="193" t="n"/>
      <c r="K438" s="1134" t="n"/>
    </row>
    <row r="439" hidden="1" outlineLevel="1">
      <c r="C439" s="208" t="n"/>
      <c r="D439" s="81" t="n"/>
      <c r="E439" s="82" t="n"/>
      <c r="F439" s="83" t="n"/>
      <c r="G439" s="81" t="n"/>
      <c r="H439" s="187">
        <f>IF(COUNTA(D439:G439)=COLUMNS(D439:G439), IFERROR('Technical Sheet'!G36, "-"), "-")</f>
        <v/>
      </c>
      <c r="I439" s="872">
        <f>IF(AND(D439&lt;&gt;"", E439&lt;&gt;"", F439&lt;&gt;"", G439&lt;&gt;"", H439&lt;&gt;""), template_label_ok,
IF(AND(D439="", E439="", F439="", G439="", H439="-"), "",
template_label_missing_value)
)</f>
        <v/>
      </c>
      <c r="J439" s="193" t="n"/>
      <c r="K439" s="1134" t="n"/>
    </row>
    <row r="440" hidden="1" outlineLevel="1">
      <c r="C440" s="208" t="n"/>
      <c r="D440" s="81" t="n"/>
      <c r="E440" s="82" t="n"/>
      <c r="F440" s="83" t="n"/>
      <c r="G440" s="81" t="n"/>
      <c r="H440" s="187">
        <f>IF(COUNTA(D440:G440)=COLUMNS(D440:G440), IFERROR('Technical Sheet'!G37, "-"), "-")</f>
        <v/>
      </c>
      <c r="I440" s="872">
        <f>IF(AND(D440&lt;&gt;"", E440&lt;&gt;"", F440&lt;&gt;"", G440&lt;&gt;"", H440&lt;&gt;""), template_label_ok,
IF(AND(D440="", E440="", F440="", G440="", H440="-"), "",
template_label_missing_value)
)</f>
        <v/>
      </c>
      <c r="J440" s="193" t="n"/>
      <c r="K440" s="1134" t="n"/>
    </row>
    <row r="441" hidden="1" outlineLevel="1">
      <c r="C441" s="209" t="n"/>
      <c r="D441" s="81" t="n"/>
      <c r="E441" s="82" t="n"/>
      <c r="F441" s="83" t="n"/>
      <c r="G441" s="81" t="n"/>
      <c r="H441" s="187">
        <f>IF(COUNTA(D441:G441)=COLUMNS(D441:G441), IFERROR('Technical Sheet'!G38, "-"), "-")</f>
        <v/>
      </c>
      <c r="I441" s="872">
        <f>IF(AND(D441&lt;&gt;"", E441&lt;&gt;"", F441&lt;&gt;"", G441&lt;&gt;"", H441&lt;&gt;""), template_label_ok,
IF(AND(D441="", E441="", F441="", G441="", H441="-"), "",
template_label_missing_value)
)</f>
        <v/>
      </c>
      <c r="J441" s="193" t="n"/>
      <c r="K441" s="1134" t="n"/>
    </row>
    <row r="442" hidden="1" outlineLevel="1">
      <c r="C442" s="208" t="n"/>
      <c r="D442" s="81" t="n"/>
      <c r="E442" s="82" t="n"/>
      <c r="F442" s="83" t="n"/>
      <c r="G442" s="81" t="n"/>
      <c r="H442" s="187">
        <f>IF(COUNTA(D442:G442)=COLUMNS(D442:G442), IFERROR('Technical Sheet'!G39, "-"), "-")</f>
        <v/>
      </c>
      <c r="I442" s="872">
        <f>IF(AND(D442&lt;&gt;"", E442&lt;&gt;"", F442&lt;&gt;"", G442&lt;&gt;"", H442&lt;&gt;""), template_label_ok,
IF(AND(D442="", E442="", F442="", G442="", H442="-"), "",
template_label_missing_value)
)</f>
        <v/>
      </c>
      <c r="J442" s="193" t="n"/>
      <c r="K442" s="1134" t="n"/>
    </row>
    <row r="443" hidden="1" outlineLevel="1">
      <c r="C443" s="208" t="n"/>
      <c r="D443" s="81" t="n"/>
      <c r="E443" s="82" t="n"/>
      <c r="F443" s="83" t="n"/>
      <c r="G443" s="81" t="n"/>
      <c r="H443" s="187">
        <f>IF(COUNTA(D443:G443)=COLUMNS(D443:G443), IFERROR('Technical Sheet'!G40, "-"), "-")</f>
        <v/>
      </c>
      <c r="I443" s="872">
        <f>IF(AND(D443&lt;&gt;"", E443&lt;&gt;"", F443&lt;&gt;"", G443&lt;&gt;"", H443&lt;&gt;""), template_label_ok,
IF(AND(D443="", E443="", F443="", G443="", H443="-"), "",
template_label_missing_value)
)</f>
        <v/>
      </c>
      <c r="J443" s="193" t="n"/>
      <c r="K443" s="1134" t="n"/>
    </row>
    <row r="444" hidden="1" outlineLevel="1">
      <c r="C444" s="209" t="n"/>
      <c r="D444" s="81" t="n"/>
      <c r="E444" s="82" t="n"/>
      <c r="F444" s="83" t="n"/>
      <c r="G444" s="81" t="n"/>
      <c r="H444" s="187">
        <f>IF(COUNTA(D444:G444)=COLUMNS(D444:G444), IFERROR('Technical Sheet'!G41, "-"), "-")</f>
        <v/>
      </c>
      <c r="I444" s="872">
        <f>IF(AND(D444&lt;&gt;"", E444&lt;&gt;"", F444&lt;&gt;"", G444&lt;&gt;"", H444&lt;&gt;""), template_label_ok,
IF(AND(D444="", E444="", F444="", G444="", H444="-"), "",
template_label_missing_value)
)</f>
        <v/>
      </c>
      <c r="J444" s="193" t="n"/>
      <c r="K444" s="1134" t="n"/>
    </row>
    <row r="445" hidden="1" outlineLevel="1">
      <c r="C445" s="208" t="n"/>
      <c r="D445" s="81" t="n"/>
      <c r="E445" s="82" t="n"/>
      <c r="F445" s="83" t="n"/>
      <c r="G445" s="81" t="n"/>
      <c r="H445" s="187">
        <f>IF(COUNTA(D445:G445)=COLUMNS(D445:G445), IFERROR('Technical Sheet'!G42, "-"), "-")</f>
        <v/>
      </c>
      <c r="I445" s="872">
        <f>IF(AND(D445&lt;&gt;"", E445&lt;&gt;"", F445&lt;&gt;"", G445&lt;&gt;"", H445&lt;&gt;""), template_label_ok,
IF(AND(D445="", E445="", F445="", G445="", H445="-"), "",
template_label_missing_value)
)</f>
        <v/>
      </c>
      <c r="J445" s="193" t="n"/>
      <c r="K445" s="1134" t="n"/>
    </row>
    <row r="446" hidden="1" outlineLevel="1">
      <c r="C446" s="208" t="n"/>
      <c r="D446" s="81" t="n"/>
      <c r="E446" s="82" t="n"/>
      <c r="F446" s="83" t="n"/>
      <c r="G446" s="81" t="n"/>
      <c r="H446" s="187">
        <f>IF(COUNTA(D446:G446)=COLUMNS(D446:G446), IFERROR('Technical Sheet'!G43, "-"), "-")</f>
        <v/>
      </c>
      <c r="I446" s="872">
        <f>IF(AND(D446&lt;&gt;"", E446&lt;&gt;"", F446&lt;&gt;"", G446&lt;&gt;"", H446&lt;&gt;""), template_label_ok,
IF(AND(D446="", E446="", F446="", G446="", H446="-"), "",
template_label_missing_value)
)</f>
        <v/>
      </c>
      <c r="J446" s="193" t="n"/>
      <c r="K446" s="1134" t="n"/>
    </row>
    <row r="447" hidden="1" outlineLevel="1">
      <c r="C447" s="209" t="n"/>
      <c r="D447" s="81" t="n"/>
      <c r="E447" s="82" t="n"/>
      <c r="F447" s="83" t="n"/>
      <c r="G447" s="81" t="n"/>
      <c r="H447" s="187">
        <f>IF(COUNTA(D447:G447)=COLUMNS(D447:G447), IFERROR('Technical Sheet'!G44, "-"), "-")</f>
        <v/>
      </c>
      <c r="I447" s="872">
        <f>IF(AND(D447&lt;&gt;"", E447&lt;&gt;"", F447&lt;&gt;"", G447&lt;&gt;"", H447&lt;&gt;""), template_label_ok,
IF(AND(D447="", E447="", F447="", G447="", H447="-"), "",
template_label_missing_value)
)</f>
        <v/>
      </c>
      <c r="J447" s="193" t="n"/>
      <c r="K447" s="1134" t="n"/>
    </row>
    <row r="448" hidden="1" outlineLevel="1">
      <c r="C448" s="208" t="n"/>
      <c r="D448" s="81" t="n"/>
      <c r="E448" s="82" t="n"/>
      <c r="F448" s="83" t="n"/>
      <c r="G448" s="81" t="n"/>
      <c r="H448" s="187">
        <f>IF(COUNTA(D448:G448)=COLUMNS(D448:G448), IFERROR('Technical Sheet'!G45, "-"), "-")</f>
        <v/>
      </c>
      <c r="I448" s="872">
        <f>IF(AND(D448&lt;&gt;"", E448&lt;&gt;"", F448&lt;&gt;"", G448&lt;&gt;"", H448&lt;&gt;""), template_label_ok,
IF(AND(D448="", E448="", F448="", G448="", H448="-"), "",
template_label_missing_value)
)</f>
        <v/>
      </c>
      <c r="J448" s="193" t="n"/>
      <c r="K448" s="1134" t="n"/>
    </row>
    <row r="449" hidden="1" outlineLevel="1">
      <c r="C449" s="208" t="n"/>
      <c r="D449" s="81" t="n"/>
      <c r="E449" s="82" t="n"/>
      <c r="F449" s="83" t="n"/>
      <c r="G449" s="81" t="n"/>
      <c r="H449" s="187">
        <f>IF(COUNTA(D449:G449)=COLUMNS(D449:G449), IFERROR('Technical Sheet'!G46, "-"), "-")</f>
        <v/>
      </c>
      <c r="I449" s="872">
        <f>IF(AND(D449&lt;&gt;"", E449&lt;&gt;"", F449&lt;&gt;"", G449&lt;&gt;"", H449&lt;&gt;""), template_label_ok,
IF(AND(D449="", E449="", F449="", G449="", H449="-"), "",
template_label_missing_value)
)</f>
        <v/>
      </c>
      <c r="J449" s="193" t="n"/>
      <c r="K449" s="1134" t="n"/>
    </row>
    <row r="450" hidden="1" outlineLevel="1">
      <c r="C450" s="209" t="n"/>
      <c r="D450" s="81" t="n"/>
      <c r="E450" s="82" t="n"/>
      <c r="F450" s="83" t="n"/>
      <c r="G450" s="81" t="n"/>
      <c r="H450" s="187">
        <f>IF(COUNTA(D450:G450)=COLUMNS(D450:G450), IFERROR('Technical Sheet'!G47, "-"), "-")</f>
        <v/>
      </c>
      <c r="I450" s="872">
        <f>IF(AND(D450&lt;&gt;"", E450&lt;&gt;"", F450&lt;&gt;"", G450&lt;&gt;"", H450&lt;&gt;""), template_label_ok,
IF(AND(D450="", E450="", F450="", G450="", H450="-"), "",
template_label_missing_value)
)</f>
        <v/>
      </c>
      <c r="J450" s="193" t="n"/>
      <c r="K450" s="1134" t="n"/>
    </row>
    <row r="451" hidden="1" outlineLevel="1">
      <c r="C451" s="208" t="n"/>
      <c r="D451" s="81" t="n"/>
      <c r="E451" s="82" t="n"/>
      <c r="F451" s="83" t="n"/>
      <c r="G451" s="81" t="n"/>
      <c r="H451" s="187">
        <f>IF(COUNTA(D451:G451)=COLUMNS(D451:G451), IFERROR('Technical Sheet'!G48, "-"), "-")</f>
        <v/>
      </c>
      <c r="I451" s="872">
        <f>IF(AND(D451&lt;&gt;"", E451&lt;&gt;"", F451&lt;&gt;"", G451&lt;&gt;"", H451&lt;&gt;""), template_label_ok,
IF(AND(D451="", E451="", F451="", G451="", H451="-"), "",
template_label_missing_value)
)</f>
        <v/>
      </c>
      <c r="J451" s="193" t="n"/>
      <c r="K451" s="1134" t="n"/>
    </row>
    <row r="452" hidden="1" outlineLevel="1">
      <c r="C452" s="208" t="n"/>
      <c r="D452" s="81" t="n"/>
      <c r="E452" s="82" t="n"/>
      <c r="F452" s="83" t="n"/>
      <c r="G452" s="81" t="n"/>
      <c r="H452" s="187">
        <f>IF(COUNTA(D452:G452)=COLUMNS(D452:G452), IFERROR('Technical Sheet'!G49, "-"), "-")</f>
        <v/>
      </c>
      <c r="I452" s="872">
        <f>IF(AND(D452&lt;&gt;"", E452&lt;&gt;"", F452&lt;&gt;"", G452&lt;&gt;"", H452&lt;&gt;""), template_label_ok,
IF(AND(D452="", E452="", F452="", G452="", H452="-"), "",
template_label_missing_value)
)</f>
        <v/>
      </c>
      <c r="J452" s="193" t="n"/>
      <c r="K452" s="1134" t="n"/>
    </row>
    <row r="453" hidden="1" outlineLevel="1">
      <c r="C453" s="209" t="n"/>
      <c r="D453" s="81" t="n"/>
      <c r="E453" s="82" t="n"/>
      <c r="F453" s="83" t="n"/>
      <c r="G453" s="81" t="n"/>
      <c r="H453" s="187">
        <f>IF(COUNTA(D453:G453)=COLUMNS(D453:G453), IFERROR('Technical Sheet'!G50, "-"), "-")</f>
        <v/>
      </c>
      <c r="I453" s="872">
        <f>IF(AND(D453&lt;&gt;"", E453&lt;&gt;"", F453&lt;&gt;"", G453&lt;&gt;"", H453&lt;&gt;""), template_label_ok,
IF(AND(D453="", E453="", F453="", G453="", H453="-"), "",
template_label_missing_value)
)</f>
        <v/>
      </c>
      <c r="J453" s="193" t="n"/>
      <c r="K453" s="1134" t="n"/>
    </row>
    <row r="454" hidden="1" outlineLevel="1">
      <c r="C454" s="208" t="n"/>
      <c r="D454" s="81" t="n"/>
      <c r="E454" s="82" t="n"/>
      <c r="F454" s="83" t="n"/>
      <c r="G454" s="81" t="n"/>
      <c r="H454" s="187">
        <f>IF(COUNTA(D454:G454)=COLUMNS(D454:G454), IFERROR('Technical Sheet'!G51, "-"), "-")</f>
        <v/>
      </c>
      <c r="I454" s="872">
        <f>IF(AND(D454&lt;&gt;"", E454&lt;&gt;"", F454&lt;&gt;"", G454&lt;&gt;"", H454&lt;&gt;""), template_label_ok,
IF(AND(D454="", E454="", F454="", G454="", H454="-"), "",
template_label_missing_value)
)</f>
        <v/>
      </c>
      <c r="J454" s="193" t="n"/>
      <c r="K454" s="1134" t="n"/>
    </row>
    <row r="455" hidden="1" outlineLevel="1">
      <c r="C455" s="208" t="n"/>
      <c r="D455" s="81" t="n"/>
      <c r="E455" s="82" t="n"/>
      <c r="F455" s="83" t="n"/>
      <c r="G455" s="81" t="n"/>
      <c r="H455" s="187">
        <f>IF(COUNTA(D455:G455)=COLUMNS(D455:G455), IFERROR('Technical Sheet'!G52, "-"), "-")</f>
        <v/>
      </c>
      <c r="I455" s="872">
        <f>IF(AND(D455&lt;&gt;"", E455&lt;&gt;"", F455&lt;&gt;"", G455&lt;&gt;"", H455&lt;&gt;""), template_label_ok,
IF(AND(D455="", E455="", F455="", G455="", H455="-"), "",
template_label_missing_value)
)</f>
        <v/>
      </c>
      <c r="J455" s="193" t="n"/>
      <c r="K455" s="1134" t="n"/>
    </row>
    <row r="456" hidden="1" outlineLevel="1">
      <c r="C456" s="209" t="n"/>
      <c r="D456" s="81" t="n"/>
      <c r="E456" s="82" t="n"/>
      <c r="F456" s="83" t="n"/>
      <c r="G456" s="81" t="n"/>
      <c r="H456" s="187">
        <f>IF(COUNTA(D456:G456)=COLUMNS(D456:G456), IFERROR('Technical Sheet'!G53, "-"), "-")</f>
        <v/>
      </c>
      <c r="I456" s="872">
        <f>IF(AND(D456&lt;&gt;"", E456&lt;&gt;"", F456&lt;&gt;"", G456&lt;&gt;"", H456&lt;&gt;""), template_label_ok,
IF(AND(D456="", E456="", F456="", G456="", H456="-"), "",
template_label_missing_value)
)</f>
        <v/>
      </c>
      <c r="J456" s="193" t="n"/>
      <c r="K456" s="1134" t="n"/>
    </row>
    <row r="457" hidden="1" outlineLevel="1">
      <c r="C457" s="208" t="n"/>
      <c r="D457" s="81" t="n"/>
      <c r="E457" s="82" t="n"/>
      <c r="F457" s="83" t="n"/>
      <c r="G457" s="81" t="n"/>
      <c r="H457" s="187">
        <f>IF(COUNTA(D457:G457)=COLUMNS(D457:G457), IFERROR('Technical Sheet'!G54, "-"), "-")</f>
        <v/>
      </c>
      <c r="I457" s="872">
        <f>IF(AND(D457&lt;&gt;"", E457&lt;&gt;"", F457&lt;&gt;"", G457&lt;&gt;"", H457&lt;&gt;""), template_label_ok,
IF(AND(D457="", E457="", F457="", G457="", H457="-"), "",
template_label_missing_value)
)</f>
        <v/>
      </c>
      <c r="J457" s="193" t="n"/>
      <c r="K457" s="1134" t="n"/>
    </row>
    <row r="458" hidden="1" outlineLevel="1">
      <c r="C458" s="208" t="n"/>
      <c r="D458" s="81" t="n"/>
      <c r="E458" s="82" t="n"/>
      <c r="F458" s="83" t="n"/>
      <c r="G458" s="81" t="n"/>
      <c r="H458" s="187">
        <f>IF(COUNTA(D458:G458)=COLUMNS(D458:G458), IFERROR('Technical Sheet'!G55, "-"), "-")</f>
        <v/>
      </c>
      <c r="I458" s="872">
        <f>IF(AND(D458&lt;&gt;"", E458&lt;&gt;"", F458&lt;&gt;"", G458&lt;&gt;"", H458&lt;&gt;""), template_label_ok,
IF(AND(D458="", E458="", F458="", G458="", H458="-"), "",
template_label_missing_value)
)</f>
        <v/>
      </c>
      <c r="J458" s="193" t="n"/>
      <c r="K458" s="1134" t="n"/>
    </row>
    <row r="459" hidden="1" outlineLevel="1">
      <c r="C459" s="209" t="n"/>
      <c r="D459" s="81" t="n"/>
      <c r="E459" s="82" t="n"/>
      <c r="F459" s="83" t="n"/>
      <c r="G459" s="81" t="n"/>
      <c r="H459" s="187">
        <f>IF(COUNTA(D459:G459)=COLUMNS(D459:G459), IFERROR('Technical Sheet'!G56, "-"), "-")</f>
        <v/>
      </c>
      <c r="I459" s="872">
        <f>IF(AND(D459&lt;&gt;"", E459&lt;&gt;"", F459&lt;&gt;"", G459&lt;&gt;"", H459&lt;&gt;""), template_label_ok,
IF(AND(D459="", E459="", F459="", G459="", H459="-"), "",
template_label_missing_value)
)</f>
        <v/>
      </c>
      <c r="J459" s="193" t="n"/>
      <c r="K459" s="1134" t="n"/>
    </row>
    <row r="460" hidden="1" outlineLevel="1">
      <c r="C460" s="208" t="n"/>
      <c r="D460" s="81" t="n"/>
      <c r="E460" s="82" t="n"/>
      <c r="F460" s="83" t="n"/>
      <c r="G460" s="81" t="n"/>
      <c r="H460" s="187">
        <f>IF(COUNTA(D460:G460)=COLUMNS(D460:G460), IFERROR('Technical Sheet'!G57, "-"), "-")</f>
        <v/>
      </c>
      <c r="I460" s="872">
        <f>IF(AND(D460&lt;&gt;"", E460&lt;&gt;"", F460&lt;&gt;"", G460&lt;&gt;"", H460&lt;&gt;""), template_label_ok,
IF(AND(D460="", E460="", F460="", G460="", H460="-"), "",
template_label_missing_value)
)</f>
        <v/>
      </c>
      <c r="J460" s="193" t="n"/>
      <c r="K460" s="1134" t="n"/>
    </row>
    <row r="461" hidden="1" outlineLevel="1">
      <c r="C461" s="208" t="n"/>
      <c r="D461" s="81" t="n"/>
      <c r="E461" s="82" t="n"/>
      <c r="F461" s="83" t="n"/>
      <c r="G461" s="81" t="n"/>
      <c r="H461" s="187">
        <f>IF(COUNTA(D461:G461)=COLUMNS(D461:G461), IFERROR('Technical Sheet'!G58, "-"), "-")</f>
        <v/>
      </c>
      <c r="I461" s="872">
        <f>IF(AND(D461&lt;&gt;"", E461&lt;&gt;"", F461&lt;&gt;"", G461&lt;&gt;"", H461&lt;&gt;""), template_label_ok,
IF(AND(D461="", E461="", F461="", G461="", H461="-"), "",
template_label_missing_value)
)</f>
        <v/>
      </c>
      <c r="J461" s="193" t="n"/>
      <c r="K461" s="1134" t="n"/>
    </row>
    <row r="462" hidden="1" outlineLevel="1">
      <c r="C462" s="209" t="n"/>
      <c r="D462" s="81" t="n"/>
      <c r="E462" s="82" t="n"/>
      <c r="F462" s="83" t="n"/>
      <c r="G462" s="81" t="n"/>
      <c r="H462" s="187">
        <f>IF(COUNTA(D462:G462)=COLUMNS(D462:G462), IFERROR('Technical Sheet'!G59, "-"), "-")</f>
        <v/>
      </c>
      <c r="I462" s="872">
        <f>IF(AND(D462&lt;&gt;"", E462&lt;&gt;"", F462&lt;&gt;"", G462&lt;&gt;"", H462&lt;&gt;""), template_label_ok,
IF(AND(D462="", E462="", F462="", G462="", H462="-"), "",
template_label_missing_value)
)</f>
        <v/>
      </c>
      <c r="J462" s="193" t="n"/>
      <c r="K462" s="1134" t="n"/>
    </row>
    <row r="463" hidden="1" outlineLevel="1">
      <c r="C463" s="208" t="n"/>
      <c r="D463" s="81" t="n"/>
      <c r="E463" s="82" t="n"/>
      <c r="F463" s="83" t="n"/>
      <c r="G463" s="81" t="n"/>
      <c r="H463" s="187">
        <f>IF(COUNTA(D463:G463)=COLUMNS(D463:G463), IFERROR('Technical Sheet'!G60, "-"), "-")</f>
        <v/>
      </c>
      <c r="I463" s="872">
        <f>IF(AND(D463&lt;&gt;"", E463&lt;&gt;"", F463&lt;&gt;"", G463&lt;&gt;"", H463&lt;&gt;""), template_label_ok,
IF(AND(D463="", E463="", F463="", G463="", H463="-"), "",
template_label_missing_value)
)</f>
        <v/>
      </c>
      <c r="J463" s="193" t="n"/>
      <c r="K463" s="1134" t="n"/>
    </row>
    <row r="464" hidden="1" outlineLevel="1">
      <c r="C464" s="208" t="n"/>
      <c r="D464" s="81" t="n"/>
      <c r="E464" s="82" t="n"/>
      <c r="F464" s="83" t="n"/>
      <c r="G464" s="81" t="n"/>
      <c r="H464" s="187">
        <f>IF(COUNTA(D464:G464)=COLUMNS(D464:G464), IFERROR('Technical Sheet'!G61, "-"), "-")</f>
        <v/>
      </c>
      <c r="I464" s="872">
        <f>IF(AND(D464&lt;&gt;"", E464&lt;&gt;"", F464&lt;&gt;"", G464&lt;&gt;"", H464&lt;&gt;""), template_label_ok,
IF(AND(D464="", E464="", F464="", G464="", H464="-"), "",
template_label_missing_value)
)</f>
        <v/>
      </c>
      <c r="J464" s="193" t="n"/>
      <c r="K464" s="1134" t="n"/>
    </row>
    <row r="465" hidden="1" outlineLevel="1">
      <c r="C465" s="209" t="n"/>
      <c r="D465" s="81" t="n"/>
      <c r="E465" s="82" t="n"/>
      <c r="F465" s="83" t="n"/>
      <c r="G465" s="81" t="n"/>
      <c r="H465" s="187">
        <f>IF(COUNTA(D465:G465)=COLUMNS(D465:G465), IFERROR('Technical Sheet'!G62, "-"), "-")</f>
        <v/>
      </c>
      <c r="I465" s="872">
        <f>IF(AND(D465&lt;&gt;"", E465&lt;&gt;"", F465&lt;&gt;"", G465&lt;&gt;"", H465&lt;&gt;""), template_label_ok,
IF(AND(D465="", E465="", F465="", G465="", H465="-"), "",
template_label_missing_value)
)</f>
        <v/>
      </c>
      <c r="J465" s="193" t="n"/>
      <c r="K465" s="1134" t="n"/>
    </row>
    <row r="466" hidden="1" outlineLevel="1">
      <c r="C466" s="208" t="n"/>
      <c r="D466" s="81" t="n"/>
      <c r="E466" s="82" t="n"/>
      <c r="F466" s="83" t="n"/>
      <c r="G466" s="81" t="n"/>
      <c r="H466" s="187">
        <f>IF(COUNTA(D466:G466)=COLUMNS(D466:G466), IFERROR('Technical Sheet'!G63, "-"), "-")</f>
        <v/>
      </c>
      <c r="I466" s="872">
        <f>IF(AND(D466&lt;&gt;"", E466&lt;&gt;"", F466&lt;&gt;"", G466&lt;&gt;"", H466&lt;&gt;""), template_label_ok,
IF(AND(D466="", E466="", F466="", G466="", H466="-"), "",
template_label_missing_value)
)</f>
        <v/>
      </c>
      <c r="J466" s="193" t="n"/>
      <c r="K466" s="1134" t="n"/>
    </row>
    <row r="467" hidden="1" outlineLevel="1">
      <c r="C467" s="208" t="n"/>
      <c r="D467" s="81" t="n"/>
      <c r="E467" s="82" t="n"/>
      <c r="F467" s="83" t="n"/>
      <c r="G467" s="81" t="n"/>
      <c r="H467" s="187">
        <f>IF(COUNTA(D467:G467)=COLUMNS(D467:G467), IFERROR('Technical Sheet'!G64, "-"), "-")</f>
        <v/>
      </c>
      <c r="I467" s="872">
        <f>IF(AND(D467&lt;&gt;"", E467&lt;&gt;"", F467&lt;&gt;"", G467&lt;&gt;"", H467&lt;&gt;""), template_label_ok,
IF(AND(D467="", E467="", F467="", G467="", H467="-"), "",
template_label_missing_value)
)</f>
        <v/>
      </c>
      <c r="J467" s="193" t="n"/>
      <c r="K467" s="1134" t="n"/>
    </row>
    <row r="468" hidden="1" outlineLevel="1">
      <c r="C468" s="209" t="n"/>
      <c r="D468" s="81" t="n"/>
      <c r="E468" s="82" t="n"/>
      <c r="F468" s="83" t="n"/>
      <c r="G468" s="81" t="n"/>
      <c r="H468" s="187">
        <f>IF(COUNTA(D468:G468)=COLUMNS(D468:G468), IFERROR('Technical Sheet'!G65, "-"), "-")</f>
        <v/>
      </c>
      <c r="I468" s="872">
        <f>IF(AND(D468&lt;&gt;"", E468&lt;&gt;"", F468&lt;&gt;"", G468&lt;&gt;"", H468&lt;&gt;""), template_label_ok,
IF(AND(D468="", E468="", F468="", G468="", H468="-"), "",
template_label_missing_value)
)</f>
        <v/>
      </c>
      <c r="J468" s="193" t="n"/>
      <c r="K468" s="1134" t="n"/>
    </row>
    <row r="469" hidden="1" outlineLevel="1">
      <c r="C469" s="208" t="n"/>
      <c r="D469" s="81" t="n"/>
      <c r="E469" s="82" t="n"/>
      <c r="F469" s="83" t="n"/>
      <c r="G469" s="81" t="n"/>
      <c r="H469" s="187">
        <f>IF(COUNTA(D469:G469)=COLUMNS(D469:G469), IFERROR('Technical Sheet'!G66, "-"), "-")</f>
        <v/>
      </c>
      <c r="I469" s="872">
        <f>IF(AND(D469&lt;&gt;"", E469&lt;&gt;"", F469&lt;&gt;"", G469&lt;&gt;"", H469&lt;&gt;""), template_label_ok,
IF(AND(D469="", E469="", F469="", G469="", H469="-"), "",
template_label_missing_value)
)</f>
        <v/>
      </c>
      <c r="J469" s="193" t="n"/>
      <c r="K469" s="1134" t="n"/>
    </row>
    <row r="470" hidden="1" outlineLevel="1">
      <c r="C470" s="208" t="n"/>
      <c r="D470" s="81" t="n"/>
      <c r="E470" s="82" t="n"/>
      <c r="F470" s="83" t="n"/>
      <c r="G470" s="81" t="n"/>
      <c r="H470" s="187">
        <f>IF(COUNTA(D470:G470)=COLUMNS(D470:G470), IFERROR('Technical Sheet'!G67, "-"), "-")</f>
        <v/>
      </c>
      <c r="I470" s="872">
        <f>IF(AND(D470&lt;&gt;"", E470&lt;&gt;"", F470&lt;&gt;"", G470&lt;&gt;"", H470&lt;&gt;""), template_label_ok,
IF(AND(D470="", E470="", F470="", G470="", H470="-"), "",
template_label_missing_value)
)</f>
        <v/>
      </c>
      <c r="J470" s="193" t="n"/>
      <c r="K470" s="1134" t="n"/>
    </row>
    <row r="471" hidden="1" outlineLevel="1">
      <c r="C471" s="209" t="n"/>
      <c r="D471" s="81" t="n"/>
      <c r="E471" s="82" t="n"/>
      <c r="F471" s="83" t="n"/>
      <c r="G471" s="81" t="n"/>
      <c r="H471" s="187">
        <f>IF(COUNTA(D471:G471)=COLUMNS(D471:G471), IFERROR('Technical Sheet'!G68, "-"), "-")</f>
        <v/>
      </c>
      <c r="I471" s="872">
        <f>IF(AND(D471&lt;&gt;"", E471&lt;&gt;"", F471&lt;&gt;"", G471&lt;&gt;"", H471&lt;&gt;""), template_label_ok,
IF(AND(D471="", E471="", F471="", G471="", H471="-"), "",
template_label_missing_value)
)</f>
        <v/>
      </c>
      <c r="J471" s="193" t="n"/>
      <c r="K471" s="1134" t="n"/>
    </row>
    <row r="472" hidden="1" outlineLevel="1">
      <c r="C472" s="208" t="n"/>
      <c r="D472" s="81" t="n"/>
      <c r="E472" s="82" t="n"/>
      <c r="F472" s="83" t="n"/>
      <c r="G472" s="81" t="n"/>
      <c r="H472" s="187">
        <f>IF(COUNTA(D472:G472)=COLUMNS(D472:G472), IFERROR('Technical Sheet'!G69, "-"), "-")</f>
        <v/>
      </c>
      <c r="I472" s="872">
        <f>IF(AND(D472&lt;&gt;"", E472&lt;&gt;"", F472&lt;&gt;"", G472&lt;&gt;"", H472&lt;&gt;""), template_label_ok,
IF(AND(D472="", E472="", F472="", G472="", H472="-"), "",
template_label_missing_value)
)</f>
        <v/>
      </c>
      <c r="J472" s="193" t="n"/>
      <c r="K472" s="1134" t="n"/>
    </row>
    <row r="473" hidden="1" outlineLevel="1">
      <c r="C473" s="208" t="n"/>
      <c r="D473" s="81" t="n"/>
      <c r="E473" s="82" t="n"/>
      <c r="F473" s="83" t="n"/>
      <c r="G473" s="81" t="n"/>
      <c r="H473" s="187">
        <f>IF(COUNTA(D473:G473)=COLUMNS(D473:G473), IFERROR('Technical Sheet'!G70, "-"), "-")</f>
        <v/>
      </c>
      <c r="I473" s="872">
        <f>IF(AND(D473&lt;&gt;"", E473&lt;&gt;"", F473&lt;&gt;"", G473&lt;&gt;"", H473&lt;&gt;""), template_label_ok,
IF(AND(D473="", E473="", F473="", G473="", H473="-"), "",
template_label_missing_value)
)</f>
        <v/>
      </c>
      <c r="J473" s="193" t="n"/>
      <c r="K473" s="1134" t="n"/>
    </row>
    <row r="474" hidden="1" outlineLevel="1">
      <c r="C474" s="209" t="n"/>
      <c r="D474" s="81" t="n"/>
      <c r="E474" s="82" t="n"/>
      <c r="F474" s="83" t="n"/>
      <c r="G474" s="81" t="n"/>
      <c r="H474" s="187">
        <f>IF(COUNTA(D474:G474)=COLUMNS(D474:G474), IFERROR('Technical Sheet'!G71, "-"), "-")</f>
        <v/>
      </c>
      <c r="I474" s="872">
        <f>IF(AND(D474&lt;&gt;"", E474&lt;&gt;"", F474&lt;&gt;"", G474&lt;&gt;"", H474&lt;&gt;""), template_label_ok,
IF(AND(D474="", E474="", F474="", G474="", H474="-"), "",
template_label_missing_value)
)</f>
        <v/>
      </c>
      <c r="J474" s="193" t="n"/>
      <c r="K474" s="1134" t="n"/>
    </row>
    <row r="475" hidden="1" outlineLevel="1">
      <c r="C475" s="208" t="n"/>
      <c r="D475" s="81" t="n"/>
      <c r="E475" s="82" t="n"/>
      <c r="F475" s="83" t="n"/>
      <c r="G475" s="81" t="n"/>
      <c r="H475" s="187">
        <f>IF(COUNTA(D475:G475)=COLUMNS(D475:G475), IFERROR('Technical Sheet'!G72, "-"), "-")</f>
        <v/>
      </c>
      <c r="I475" s="872">
        <f>IF(AND(D475&lt;&gt;"", E475&lt;&gt;"", F475&lt;&gt;"", G475&lt;&gt;"", H475&lt;&gt;""), template_label_ok,
IF(AND(D475="", E475="", F475="", G475="", H475="-"), "",
template_label_missing_value)
)</f>
        <v/>
      </c>
      <c r="J475" s="193" t="n"/>
      <c r="K475" s="1134" t="n"/>
    </row>
    <row r="476" hidden="1" outlineLevel="1">
      <c r="C476" s="208" t="n"/>
      <c r="D476" s="81" t="n"/>
      <c r="E476" s="82" t="n"/>
      <c r="F476" s="83" t="n"/>
      <c r="G476" s="81" t="n"/>
      <c r="H476" s="187">
        <f>IF(COUNTA(D476:G476)=COLUMNS(D476:G476), IFERROR('Technical Sheet'!G73, "-"), "-")</f>
        <v/>
      </c>
      <c r="I476" s="872">
        <f>IF(AND(D476&lt;&gt;"", E476&lt;&gt;"", F476&lt;&gt;"", G476&lt;&gt;"", H476&lt;&gt;""), template_label_ok,
IF(AND(D476="", E476="", F476="", G476="", H476="-"), "",
template_label_missing_value)
)</f>
        <v/>
      </c>
      <c r="J476" s="193" t="n"/>
      <c r="K476" s="1134" t="n"/>
    </row>
    <row r="477" hidden="1" outlineLevel="1">
      <c r="C477" s="209" t="n"/>
      <c r="D477" s="81" t="n"/>
      <c r="E477" s="82" t="n"/>
      <c r="F477" s="83" t="n"/>
      <c r="G477" s="81" t="n"/>
      <c r="H477" s="187">
        <f>IF(COUNTA(D477:G477)=COLUMNS(D477:G477), IFERROR('Technical Sheet'!G74, "-"), "-")</f>
        <v/>
      </c>
      <c r="I477" s="872">
        <f>IF(AND(D477&lt;&gt;"", E477&lt;&gt;"", F477&lt;&gt;"", G477&lt;&gt;"", H477&lt;&gt;""), template_label_ok,
IF(AND(D477="", E477="", F477="", G477="", H477="-"), "",
template_label_missing_value)
)</f>
        <v/>
      </c>
      <c r="J477" s="193" t="n"/>
      <c r="K477" s="1134" t="n"/>
    </row>
    <row r="478" hidden="1" outlineLevel="1">
      <c r="C478" s="208" t="n"/>
      <c r="D478" s="81" t="n"/>
      <c r="E478" s="82" t="n"/>
      <c r="F478" s="83" t="n"/>
      <c r="G478" s="81" t="n"/>
      <c r="H478" s="187">
        <f>IF(COUNTA(D478:G478)=COLUMNS(D478:G478), IFERROR('Technical Sheet'!G75, "-"), "-")</f>
        <v/>
      </c>
      <c r="I478" s="872">
        <f>IF(AND(D478&lt;&gt;"", E478&lt;&gt;"", F478&lt;&gt;"", G478&lt;&gt;"", H478&lt;&gt;""), template_label_ok,
IF(AND(D478="", E478="", F478="", G478="", H478="-"), "",
template_label_missing_value)
)</f>
        <v/>
      </c>
      <c r="J478" s="193" t="n"/>
      <c r="K478" s="1134" t="n"/>
    </row>
    <row r="479" hidden="1" outlineLevel="1">
      <c r="C479" s="208" t="n"/>
      <c r="D479" s="81" t="n"/>
      <c r="E479" s="82" t="n"/>
      <c r="F479" s="83" t="n"/>
      <c r="G479" s="81" t="n"/>
      <c r="H479" s="187">
        <f>IF(COUNTA(D479:G479)=COLUMNS(D479:G479), IFERROR('Technical Sheet'!G76, "-"), "-")</f>
        <v/>
      </c>
      <c r="I479" s="872">
        <f>IF(AND(D479&lt;&gt;"", E479&lt;&gt;"", F479&lt;&gt;"", G479&lt;&gt;"", H479&lt;&gt;""), template_label_ok,
IF(AND(D479="", E479="", F479="", G479="", H479="-"), "",
template_label_missing_value)
)</f>
        <v/>
      </c>
      <c r="J479" s="193" t="n"/>
      <c r="K479" s="1134" t="n"/>
    </row>
    <row r="480" hidden="1" outlineLevel="1">
      <c r="C480" s="209" t="n"/>
      <c r="D480" s="81" t="n"/>
      <c r="E480" s="82" t="n"/>
      <c r="F480" s="83" t="n"/>
      <c r="G480" s="81" t="n"/>
      <c r="H480" s="187">
        <f>IF(COUNTA(D480:G480)=COLUMNS(D480:G480), IFERROR('Technical Sheet'!G77, "-"), "-")</f>
        <v/>
      </c>
      <c r="I480" s="872">
        <f>IF(AND(D480&lt;&gt;"", E480&lt;&gt;"", F480&lt;&gt;"", G480&lt;&gt;"", H480&lt;&gt;""), template_label_ok,
IF(AND(D480="", E480="", F480="", G480="", H480="-"), "",
template_label_missing_value)
)</f>
        <v/>
      </c>
      <c r="J480" s="193" t="n"/>
      <c r="K480" s="1134" t="n"/>
    </row>
    <row r="481" hidden="1" outlineLevel="1">
      <c r="C481" s="208" t="n"/>
      <c r="D481" s="81" t="n"/>
      <c r="E481" s="82" t="n"/>
      <c r="F481" s="83" t="n"/>
      <c r="G481" s="81" t="n"/>
      <c r="H481" s="187">
        <f>IF(COUNTA(D481:G481)=COLUMNS(D481:G481), IFERROR('Technical Sheet'!G78, "-"), "-")</f>
        <v/>
      </c>
      <c r="I481" s="872">
        <f>IF(AND(D481&lt;&gt;"", E481&lt;&gt;"", F481&lt;&gt;"", G481&lt;&gt;"", H481&lt;&gt;""), template_label_ok,
IF(AND(D481="", E481="", F481="", G481="", H481="-"), "",
template_label_missing_value)
)</f>
        <v/>
      </c>
      <c r="J481" s="193" t="n"/>
      <c r="K481" s="1134" t="n"/>
    </row>
    <row r="482" hidden="1" outlineLevel="1">
      <c r="C482" s="208" t="n"/>
      <c r="D482" s="81" t="n"/>
      <c r="E482" s="82" t="n"/>
      <c r="F482" s="83" t="n"/>
      <c r="G482" s="81" t="n"/>
      <c r="H482" s="187">
        <f>IF(COUNTA(D482:G482)=COLUMNS(D482:G482), IFERROR('Technical Sheet'!G79, "-"), "-")</f>
        <v/>
      </c>
      <c r="I482" s="872">
        <f>IF(AND(D482&lt;&gt;"", E482&lt;&gt;"", F482&lt;&gt;"", G482&lt;&gt;"", H482&lt;&gt;""), template_label_ok,
IF(AND(D482="", E482="", F482="", G482="", H482="-"), "",
template_label_missing_value)
)</f>
        <v/>
      </c>
      <c r="J482" s="193" t="n"/>
      <c r="K482" s="1134" t="n"/>
    </row>
    <row r="483" hidden="1" outlineLevel="1">
      <c r="C483" s="209" t="n"/>
      <c r="D483" s="81" t="n"/>
      <c r="E483" s="82" t="n"/>
      <c r="F483" s="83" t="n"/>
      <c r="G483" s="81" t="n"/>
      <c r="H483" s="187">
        <f>IF(COUNTA(D483:G483)=COLUMNS(D483:G483), IFERROR('Technical Sheet'!G80, "-"), "-")</f>
        <v/>
      </c>
      <c r="I483" s="872">
        <f>IF(AND(D483&lt;&gt;"", E483&lt;&gt;"", F483&lt;&gt;"", G483&lt;&gt;"", H483&lt;&gt;""), template_label_ok,
IF(AND(D483="", E483="", F483="", G483="", H483="-"), "",
template_label_missing_value)
)</f>
        <v/>
      </c>
      <c r="J483" s="193" t="n"/>
      <c r="K483" s="1134" t="n"/>
    </row>
    <row r="484" hidden="1" outlineLevel="1">
      <c r="C484" s="208" t="n"/>
      <c r="D484" s="81" t="n"/>
      <c r="E484" s="82" t="n"/>
      <c r="F484" s="83" t="n"/>
      <c r="G484" s="81" t="n"/>
      <c r="H484" s="187">
        <f>IF(COUNTA(D484:G484)=COLUMNS(D484:G484), IFERROR('Technical Sheet'!G81, "-"), "-")</f>
        <v/>
      </c>
      <c r="I484" s="872">
        <f>IF(AND(D484&lt;&gt;"", E484&lt;&gt;"", F484&lt;&gt;"", G484&lt;&gt;"", H484&lt;&gt;""), template_label_ok,
IF(AND(D484="", E484="", F484="", G484="", H484="-"), "",
template_label_missing_value)
)</f>
        <v/>
      </c>
      <c r="J484" s="193" t="n"/>
      <c r="K484" s="1134" t="n"/>
    </row>
    <row r="485" hidden="1" outlineLevel="1">
      <c r="C485" s="208" t="n"/>
      <c r="D485" s="81" t="n"/>
      <c r="E485" s="82" t="n"/>
      <c r="F485" s="83" t="n"/>
      <c r="G485" s="81" t="n"/>
      <c r="H485" s="187">
        <f>IF(COUNTA(D485:G485)=COLUMNS(D485:G485), IFERROR('Technical Sheet'!G82, "-"), "-")</f>
        <v/>
      </c>
      <c r="I485" s="872">
        <f>IF(AND(D485&lt;&gt;"", E485&lt;&gt;"", F485&lt;&gt;"", G485&lt;&gt;"", H485&lt;&gt;""), template_label_ok,
IF(AND(D485="", E485="", F485="", G485="", H485="-"), "",
template_label_missing_value)
)</f>
        <v/>
      </c>
      <c r="J485" s="193" t="n"/>
      <c r="K485" s="1134" t="n"/>
    </row>
    <row r="486" hidden="1" outlineLevel="1">
      <c r="C486" s="209" t="n"/>
      <c r="D486" s="81" t="n"/>
      <c r="E486" s="82" t="n"/>
      <c r="F486" s="83" t="n"/>
      <c r="G486" s="81" t="n"/>
      <c r="H486" s="187">
        <f>IF(COUNTA(D486:G486)=COLUMNS(D486:G486), IFERROR('Technical Sheet'!G83, "-"), "-")</f>
        <v/>
      </c>
      <c r="I486" s="872">
        <f>IF(AND(D486&lt;&gt;"", E486&lt;&gt;"", F486&lt;&gt;"", G486&lt;&gt;"", H486&lt;&gt;""), template_label_ok,
IF(AND(D486="", E486="", F486="", G486="", H486="-"), "",
template_label_missing_value)
)</f>
        <v/>
      </c>
      <c r="J486" s="193" t="n"/>
      <c r="K486" s="1134" t="n"/>
    </row>
    <row r="487" hidden="1" outlineLevel="1">
      <c r="C487" s="208" t="n"/>
      <c r="D487" s="81" t="n"/>
      <c r="E487" s="82" t="n"/>
      <c r="F487" s="83" t="n"/>
      <c r="G487" s="81" t="n"/>
      <c r="H487" s="187">
        <f>IF(COUNTA(D487:G487)=COLUMNS(D487:G487), IFERROR('Technical Sheet'!G84, "-"), "-")</f>
        <v/>
      </c>
      <c r="I487" s="872">
        <f>IF(AND(D487&lt;&gt;"", E487&lt;&gt;"", F487&lt;&gt;"", G487&lt;&gt;"", H487&lt;&gt;""), template_label_ok,
IF(AND(D487="", E487="", F487="", G487="", H487="-"), "",
template_label_missing_value)
)</f>
        <v/>
      </c>
      <c r="J487" s="193" t="n"/>
      <c r="K487" s="1134" t="n"/>
    </row>
    <row r="488" hidden="1" outlineLevel="1">
      <c r="C488" s="208" t="n"/>
      <c r="D488" s="81" t="n"/>
      <c r="E488" s="82" t="n"/>
      <c r="F488" s="83" t="n"/>
      <c r="G488" s="81" t="n"/>
      <c r="H488" s="187">
        <f>IF(COUNTA(D488:G488)=COLUMNS(D488:G488), IFERROR('Technical Sheet'!G85, "-"), "-")</f>
        <v/>
      </c>
      <c r="I488" s="872">
        <f>IF(AND(D488&lt;&gt;"", E488&lt;&gt;"", F488&lt;&gt;"", G488&lt;&gt;"", H488&lt;&gt;""), template_label_ok,
IF(AND(D488="", E488="", F488="", G488="", H488="-"), "",
template_label_missing_value)
)</f>
        <v/>
      </c>
      <c r="J488" s="193" t="n"/>
      <c r="K488" s="1134" t="n"/>
    </row>
    <row r="489" hidden="1" outlineLevel="1">
      <c r="C489" s="209" t="n"/>
      <c r="D489" s="81" t="n"/>
      <c r="E489" s="82" t="n"/>
      <c r="F489" s="83" t="n"/>
      <c r="G489" s="81" t="n"/>
      <c r="H489" s="187">
        <f>IF(COUNTA(D489:G489)=COLUMNS(D489:G489), IFERROR('Technical Sheet'!G86, "-"), "-")</f>
        <v/>
      </c>
      <c r="I489" s="872">
        <f>IF(AND(D489&lt;&gt;"", E489&lt;&gt;"", F489&lt;&gt;"", G489&lt;&gt;"", H489&lt;&gt;""), template_label_ok,
IF(AND(D489="", E489="", F489="", G489="", H489="-"), "",
template_label_missing_value)
)</f>
        <v/>
      </c>
      <c r="J489" s="193" t="n"/>
      <c r="K489" s="1134" t="n"/>
    </row>
    <row r="490" hidden="1" outlineLevel="1">
      <c r="C490" s="208" t="n"/>
      <c r="D490" s="81" t="n"/>
      <c r="E490" s="82" t="n"/>
      <c r="F490" s="83" t="n"/>
      <c r="G490" s="81" t="n"/>
      <c r="H490" s="187">
        <f>IF(COUNTA(D490:G490)=COLUMNS(D490:G490), IFERROR('Technical Sheet'!G87, "-"), "-")</f>
        <v/>
      </c>
      <c r="I490" s="872">
        <f>IF(AND(D490&lt;&gt;"", E490&lt;&gt;"", F490&lt;&gt;"", G490&lt;&gt;"", H490&lt;&gt;""), template_label_ok,
IF(AND(D490="", E490="", F490="", G490="", H490="-"), "",
template_label_missing_value)
)</f>
        <v/>
      </c>
      <c r="J490" s="193" t="n"/>
      <c r="K490" s="1134" t="n"/>
    </row>
    <row r="491" hidden="1" outlineLevel="1">
      <c r="C491" s="208" t="n"/>
      <c r="D491" s="81" t="n"/>
      <c r="E491" s="82" t="n"/>
      <c r="F491" s="83" t="n"/>
      <c r="G491" s="81" t="n"/>
      <c r="H491" s="187">
        <f>IF(COUNTA(D491:G491)=COLUMNS(D491:G491), IFERROR('Technical Sheet'!G88, "-"), "-")</f>
        <v/>
      </c>
      <c r="I491" s="872">
        <f>IF(AND(D491&lt;&gt;"", E491&lt;&gt;"", F491&lt;&gt;"", G491&lt;&gt;"", H491&lt;&gt;""), template_label_ok,
IF(AND(D491="", E491="", F491="", G491="", H491="-"), "",
template_label_missing_value)
)</f>
        <v/>
      </c>
      <c r="J491" s="193" t="n"/>
      <c r="K491" s="1134" t="n"/>
    </row>
    <row r="492" hidden="1" outlineLevel="1">
      <c r="C492" s="209" t="n"/>
      <c r="D492" s="81" t="n"/>
      <c r="E492" s="82" t="n"/>
      <c r="F492" s="83" t="n"/>
      <c r="G492" s="81" t="n"/>
      <c r="H492" s="187">
        <f>IF(COUNTA(D492:G492)=COLUMNS(D492:G492), IFERROR('Technical Sheet'!G89, "-"), "-")</f>
        <v/>
      </c>
      <c r="I492" s="872">
        <f>IF(AND(D492&lt;&gt;"", E492&lt;&gt;"", F492&lt;&gt;"", G492&lt;&gt;"", H492&lt;&gt;""), template_label_ok,
IF(AND(D492="", E492="", F492="", G492="", H492="-"), "",
template_label_missing_value)
)</f>
        <v/>
      </c>
      <c r="J492" s="193" t="n"/>
      <c r="K492" s="1134" t="n"/>
    </row>
    <row r="493" hidden="1" outlineLevel="1">
      <c r="C493" s="208" t="n"/>
      <c r="D493" s="81" t="n"/>
      <c r="E493" s="82" t="n"/>
      <c r="F493" s="83" t="n"/>
      <c r="G493" s="81" t="n"/>
      <c r="H493" s="187">
        <f>IF(COUNTA(D493:G493)=COLUMNS(D493:G493), IFERROR('Technical Sheet'!G90, "-"), "-")</f>
        <v/>
      </c>
      <c r="I493" s="872">
        <f>IF(AND(D493&lt;&gt;"", E493&lt;&gt;"", F493&lt;&gt;"", G493&lt;&gt;"", H493&lt;&gt;""), template_label_ok,
IF(AND(D493="", E493="", F493="", G493="", H493="-"), "",
template_label_missing_value)
)</f>
        <v/>
      </c>
      <c r="J493" s="193" t="n"/>
      <c r="K493" s="1134" t="n"/>
    </row>
    <row r="494" hidden="1" outlineLevel="1">
      <c r="C494" s="208" t="n"/>
      <c r="D494" s="81" t="n"/>
      <c r="E494" s="82" t="n"/>
      <c r="F494" s="83" t="n"/>
      <c r="G494" s="81" t="n"/>
      <c r="H494" s="187">
        <f>IF(COUNTA(D494:G494)=COLUMNS(D494:G494), IFERROR('Technical Sheet'!G91, "-"), "-")</f>
        <v/>
      </c>
      <c r="I494" s="872">
        <f>IF(AND(D494&lt;&gt;"", E494&lt;&gt;"", F494&lt;&gt;"", G494&lt;&gt;"", H494&lt;&gt;""), template_label_ok,
IF(AND(D494="", E494="", F494="", G494="", H494="-"), "",
template_label_missing_value)
)</f>
        <v/>
      </c>
      <c r="J494" s="193" t="n"/>
      <c r="K494" s="1134" t="n"/>
    </row>
    <row r="495" hidden="1" outlineLevel="1">
      <c r="C495" s="209" t="n"/>
      <c r="D495" s="81" t="n"/>
      <c r="E495" s="82" t="n"/>
      <c r="F495" s="83" t="n"/>
      <c r="G495" s="81" t="n"/>
      <c r="H495" s="187">
        <f>IF(COUNTA(D495:G495)=COLUMNS(D495:G495), IFERROR('Technical Sheet'!G92, "-"), "-")</f>
        <v/>
      </c>
      <c r="I495" s="872">
        <f>IF(AND(D495&lt;&gt;"", E495&lt;&gt;"", F495&lt;&gt;"", G495&lt;&gt;"", H495&lt;&gt;""), template_label_ok,
IF(AND(D495="", E495="", F495="", G495="", H495="-"), "",
template_label_missing_value)
)</f>
        <v/>
      </c>
      <c r="J495" s="193" t="n"/>
      <c r="K495" s="1134" t="n"/>
    </row>
    <row r="496" hidden="1" outlineLevel="1">
      <c r="C496" s="208" t="n"/>
      <c r="D496" s="81" t="n"/>
      <c r="E496" s="82" t="n"/>
      <c r="F496" s="83" t="n"/>
      <c r="G496" s="81" t="n"/>
      <c r="H496" s="187">
        <f>IF(COUNTA(D496:G496)=COLUMNS(D496:G496), IFERROR('Technical Sheet'!G93, "-"), "-")</f>
        <v/>
      </c>
      <c r="I496" s="872">
        <f>IF(AND(D496&lt;&gt;"", E496&lt;&gt;"", F496&lt;&gt;"", G496&lt;&gt;"", H496&lt;&gt;""), template_label_ok,
IF(AND(D496="", E496="", F496="", G496="", H496="-"), "",
template_label_missing_value)
)</f>
        <v/>
      </c>
      <c r="J496" s="193" t="n"/>
      <c r="K496" s="1134" t="n"/>
    </row>
    <row r="497" hidden="1" outlineLevel="1">
      <c r="C497" s="208" t="n"/>
      <c r="D497" s="81" t="n"/>
      <c r="E497" s="82" t="n"/>
      <c r="F497" s="83" t="n"/>
      <c r="G497" s="81" t="n"/>
      <c r="H497" s="187">
        <f>IF(COUNTA(D497:G497)=COLUMNS(D497:G497), IFERROR('Technical Sheet'!G94, "-"), "-")</f>
        <v/>
      </c>
      <c r="I497" s="872">
        <f>IF(AND(D497&lt;&gt;"", E497&lt;&gt;"", F497&lt;&gt;"", G497&lt;&gt;"", H497&lt;&gt;""), template_label_ok,
IF(AND(D497="", E497="", F497="", G497="", H497="-"), "",
template_label_missing_value)
)</f>
        <v/>
      </c>
      <c r="J497" s="193" t="n"/>
      <c r="K497" s="1134" t="n"/>
    </row>
    <row r="498" hidden="1" outlineLevel="1">
      <c r="C498" s="209" t="n"/>
      <c r="D498" s="81" t="n"/>
      <c r="E498" s="82" t="n"/>
      <c r="F498" s="83" t="n"/>
      <c r="G498" s="81" t="n"/>
      <c r="H498" s="187">
        <f>IF(COUNTA(D498:G498)=COLUMNS(D498:G498), IFERROR('Technical Sheet'!G95, "-"), "-")</f>
        <v/>
      </c>
      <c r="I498" s="872">
        <f>IF(AND(D498&lt;&gt;"", E498&lt;&gt;"", F498&lt;&gt;"", G498&lt;&gt;"", H498&lt;&gt;""), template_label_ok,
IF(AND(D498="", E498="", F498="", G498="", H498="-"), "",
template_label_missing_value)
)</f>
        <v/>
      </c>
      <c r="J498" s="193" t="n"/>
      <c r="K498" s="1134" t="n"/>
    </row>
    <row r="499" hidden="1" outlineLevel="1">
      <c r="C499" s="208" t="n"/>
      <c r="D499" s="81" t="n"/>
      <c r="E499" s="82" t="n"/>
      <c r="F499" s="83" t="n"/>
      <c r="G499" s="81" t="n"/>
      <c r="H499" s="187">
        <f>IF(COUNTA(D499:G499)=COLUMNS(D499:G499), IFERROR('Technical Sheet'!G96, "-"), "-")</f>
        <v/>
      </c>
      <c r="I499" s="872">
        <f>IF(AND(D499&lt;&gt;"", E499&lt;&gt;"", F499&lt;&gt;"", G499&lt;&gt;"", H499&lt;&gt;""), template_label_ok,
IF(AND(D499="", E499="", F499="", G499="", H499="-"), "",
template_label_missing_value)
)</f>
        <v/>
      </c>
      <c r="J499" s="193" t="n"/>
      <c r="K499" s="1134" t="n"/>
    </row>
    <row r="500" hidden="1" outlineLevel="1">
      <c r="C500" s="208" t="n"/>
      <c r="D500" s="81" t="n"/>
      <c r="E500" s="82" t="n"/>
      <c r="F500" s="83" t="n"/>
      <c r="G500" s="81" t="n"/>
      <c r="H500" s="187">
        <f>IF(COUNTA(D500:G500)=COLUMNS(D500:G500), IFERROR('Technical Sheet'!G97, "-"), "-")</f>
        <v/>
      </c>
      <c r="I500" s="872">
        <f>IF(AND(D500&lt;&gt;"", E500&lt;&gt;"", F500&lt;&gt;"", G500&lt;&gt;"", H500&lt;&gt;""), template_label_ok,
IF(AND(D500="", E500="", F500="", G500="", H500="-"), "",
template_label_missing_value)
)</f>
        <v/>
      </c>
      <c r="J500" s="193" t="n"/>
      <c r="K500" s="1134" t="n"/>
    </row>
    <row r="501" hidden="1" outlineLevel="1">
      <c r="C501" s="209" t="n"/>
      <c r="D501" s="81" t="n"/>
      <c r="E501" s="82" t="n"/>
      <c r="F501" s="83" t="n"/>
      <c r="G501" s="81" t="n"/>
      <c r="H501" s="187">
        <f>IF(COUNTA(D501:G501)=COLUMNS(D501:G501), IFERROR('Technical Sheet'!#REF!, "-"), "-")</f>
        <v/>
      </c>
      <c r="I501" s="872">
        <f>IF(AND(D501&lt;&gt;"", E501&lt;&gt;"", F501&lt;&gt;"", G501&lt;&gt;"", H501&lt;&gt;""), template_label_ok,
IF(AND(D501="", E501="", F501="", G501="", H501="-"), "",
template_label_missing_value)
)</f>
        <v/>
      </c>
      <c r="J501" s="193" t="n"/>
      <c r="K501" s="1134" t="n"/>
    </row>
    <row r="502" hidden="1" outlineLevel="1">
      <c r="C502" s="208" t="n"/>
      <c r="D502" s="81" t="n"/>
      <c r="E502" s="82" t="n"/>
      <c r="F502" s="83" t="n"/>
      <c r="G502" s="81" t="n"/>
      <c r="H502" s="187">
        <f>IF(COUNTA(D502:G502)=COLUMNS(D502:G502), IFERROR('Technical Sheet'!G98, "-"), "-")</f>
        <v/>
      </c>
      <c r="I502" s="872">
        <f>IF(AND(D502&lt;&gt;"", E502&lt;&gt;"", F502&lt;&gt;"", G502&lt;&gt;"", H502&lt;&gt;""), template_label_ok,
IF(AND(D502="", E502="", F502="", G502="", H502="-"), "",
template_label_missing_value)
)</f>
        <v/>
      </c>
      <c r="J502" s="193">
        <f>IF(AND(D502&lt;&gt;"", E502&lt;&gt;"", F502&lt;&gt;"", G502&lt;&gt;""),
    IFERROR(HYPERLINK("https://www.openstreetmap.org/search?lat=" &amp; 'Technical Sheet'!E25 &amp; "&amp;lon=" &amp; 'Technical Sheet'!F25, "OpenStreetMap Link"),
    ""),
"")</f>
        <v/>
      </c>
      <c r="K502" s="1134">
        <f>LOWER(SUBSTITUTE(D502," ","+" )) &amp; "+" &amp; LOWER(SUBSTITUTE(E502," ","+" )) &amp; "+" &amp; LOWER(SUBSTITUTE(F502," ","+" )) &amp; "+" &amp; LOWER(SUBSTITUTE(G502," ","+" )) &amp; "+"</f>
        <v/>
      </c>
    </row>
    <row r="503" hidden="1" outlineLevel="1" ht="15" customHeight="1" thickBot="1">
      <c r="C503" s="210" t="n"/>
      <c r="D503" s="78" t="n"/>
      <c r="E503" s="79" t="n"/>
      <c r="F503" s="80" t="n"/>
      <c r="G503" s="78" t="n"/>
      <c r="H503" s="363">
        <f>IF(COUNTA(D503:G503)=COLUMNS(D503:G503), IFERROR('Technical Sheet'!G99, "-"), "-")</f>
        <v/>
      </c>
      <c r="I503" s="872">
        <f>IF(AND(D503&lt;&gt;"", E503&lt;&gt;"", F503&lt;&gt;"", G503&lt;&gt;"", H503&lt;&gt;""), template_label_ok,
IF(AND(D503="", E503="", F503="", G503="", H503="-"), "",
template_label_missing_value)
)</f>
        <v/>
      </c>
      <c r="J503" s="193">
        <f>IF(AND(D503&lt;&gt;"", E503&lt;&gt;"", F503&lt;&gt;"", G503&lt;&gt;""),
    IFERROR(HYPERLINK("https://www.openstreetmap.org/search?lat=" &amp; 'Technical Sheet'!E26 &amp; "&amp;lon=" &amp; 'Technical Sheet'!F26, "OpenStreetMap Link"),
    ""),
"")</f>
        <v/>
      </c>
      <c r="K503" s="1134">
        <f>LOWER(SUBSTITUTE(D503," ","+" )) &amp; "+" &amp; LOWER(SUBSTITUTE(E503," ","+" )) &amp; "+" &amp; LOWER(SUBSTITUTE(F503," ","+" )) &amp; "+" &amp; LOWER(SUBSTITUTE(G503," ","+" )) &amp; "+"</f>
        <v/>
      </c>
    </row>
    <row r="504" collapsed="1" ht="15" customHeight="1" thickBot="1"/>
    <row r="505" ht="38.1" customHeight="1" thickBot="1">
      <c r="C505" s="55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05" s="1120" t="n"/>
      <c r="E505" s="1120" t="n"/>
      <c r="F505" s="1120" t="n"/>
      <c r="G505" s="1120" t="n"/>
      <c r="H505" s="1120" t="n"/>
      <c r="I505" s="1120" t="n"/>
      <c r="J505" s="1120" t="n"/>
      <c r="K505" s="1120" t="n"/>
      <c r="L505" s="1120" t="n"/>
      <c r="M505" s="1120" t="n"/>
      <c r="N505" s="1120" t="n"/>
      <c r="O505" s="1121" t="n"/>
    </row>
    <row r="506" customFormat="1" s="1032">
      <c r="C506" s="553" t="inlineStr">
        <is>
          <t>26-28</t>
        </is>
      </c>
      <c r="D506" s="508" t="n"/>
      <c r="E506" s="508" t="n"/>
      <c r="F506" s="508" t="n"/>
      <c r="G506" s="508" t="n"/>
      <c r="H506" s="508" t="n"/>
      <c r="I506" s="508" t="n"/>
      <c r="J506" s="508" t="n"/>
      <c r="K506" s="508" t="n"/>
      <c r="L506" s="508" t="n"/>
      <c r="M506" s="508" t="n"/>
      <c r="N506" s="508" t="n"/>
      <c r="O506" s="198" t="n"/>
    </row>
    <row r="507">
      <c r="C507" s="614" t="inlineStr">
        <is>
          <t>14-16</t>
        </is>
      </c>
    </row>
    <row r="508" ht="14.4" customHeight="1">
      <c r="C508" s="613">
        <f>template_label_has_the_undertaking_put_in_place_specific_practices_policies_and_or_future</f>
        <v/>
      </c>
      <c r="D508" s="554">
        <f>template_label_sustainability_issues_addressed_by_a_practice_policy_and_or_future_initiatives_put_in_place</f>
        <v/>
      </c>
      <c r="E508" s="1106" t="n"/>
      <c r="F508" s="1106" t="n"/>
      <c r="G508" s="1106" t="n"/>
      <c r="H508" s="1106" t="n"/>
      <c r="I508" s="1106" t="n"/>
      <c r="J508" s="1106" t="n"/>
      <c r="K508" s="1106" t="n"/>
      <c r="L508" s="1106" t="n"/>
      <c r="M508" s="199" t="n"/>
      <c r="N508" s="554">
        <f>template_label_undertaking_has_a_practice_policy_and_or_future_initiative_that_is_publicly_available</f>
        <v/>
      </c>
      <c r="O508" s="608">
        <f>template_label_undertaking_has_set_a_target_which_is_related_to_a_policy</f>
        <v/>
      </c>
    </row>
    <row r="509" ht="41.4" customHeight="1">
      <c r="C509" s="13" t="n"/>
      <c r="D509" s="554">
        <f>template_label_climate_change</f>
        <v/>
      </c>
      <c r="E509" s="554">
        <f>template_label_pollution</f>
        <v/>
      </c>
      <c r="F509" s="554">
        <f>template_label_water_and_marine_resources</f>
        <v/>
      </c>
      <c r="G509" s="554">
        <f>template_label_biodiversity_and_ecosystems</f>
        <v/>
      </c>
      <c r="H509" s="554">
        <f>template_label_circular_economy</f>
        <v/>
      </c>
      <c r="I509" s="554">
        <f>template_label_own_workforce</f>
        <v/>
      </c>
      <c r="J509" s="554">
        <f>template_label_workers_in_the_value_chain</f>
        <v/>
      </c>
      <c r="K509" s="554">
        <f>template_label_affected_communities</f>
        <v/>
      </c>
      <c r="L509" s="554">
        <f>template_label_consumers_and_endusers_validation</f>
        <v/>
      </c>
      <c r="M509" s="554">
        <f>template_label_business_conduct</f>
        <v/>
      </c>
      <c r="N509" s="3" t="n"/>
      <c r="O509" s="1135" t="n"/>
    </row>
    <row r="510" ht="15" customHeight="1" thickBot="1">
      <c r="C510" s="186" t="b">
        <v>1</v>
      </c>
      <c r="D510" s="184" t="b">
        <v>1</v>
      </c>
      <c r="E510" s="184" t="b">
        <v>0</v>
      </c>
      <c r="F510" s="184" t="b">
        <v>1</v>
      </c>
      <c r="G510" s="184" t="b">
        <v>0</v>
      </c>
      <c r="H510" s="184" t="b">
        <v>1</v>
      </c>
      <c r="I510" s="184" t="b">
        <v>0</v>
      </c>
      <c r="J510" s="184" t="b">
        <v>1</v>
      </c>
      <c r="K510" s="184" t="b">
        <v>0</v>
      </c>
      <c r="L510" s="184" t="b">
        <v>1</v>
      </c>
      <c r="M510" s="184" t="b">
        <v>0</v>
      </c>
      <c r="N510" s="184" t="b">
        <v>1</v>
      </c>
      <c r="O510" s="185" t="b">
        <v>0</v>
      </c>
      <c r="P510" s="518">
        <f>IF(C510=TRUE, IF(COUNTIF(D510:M510, TRUE)&gt;0, template_label_ok, template_label_missing_value), "")</f>
        <v/>
      </c>
    </row>
    <row r="511" ht="57.45" customHeight="1" thickBot="1"/>
    <row r="512" ht="15" customHeight="1" thickBot="1">
      <c r="C512" s="584">
        <f> template_label_b2_cooperative_specific_disclosures &amp; " " &amp; template_label_from &amp; " " &amp; template_starting_date_display &amp; " " &amp; template_label_to &amp; " " &amp; template_ending_date_display &amp; " " &amp; template_label_if_applicable</f>
        <v/>
      </c>
      <c r="D512" s="1121" t="n"/>
    </row>
    <row r="513">
      <c r="C513" s="553" t="n">
        <v>15</v>
      </c>
      <c r="D513" s="198" t="n"/>
    </row>
    <row r="514" ht="30.6" customHeight="1">
      <c r="C514" s="117">
        <f>template_label_effective_participation_of_workers_users_or_other_interested_parties_or_communities_in_governance</f>
        <v/>
      </c>
      <c r="D514" s="259" t="n"/>
      <c r="E514" s="518">
        <f>IF(AND(D514&lt;&gt;"", UndertakingsLegalForm="cooperative"), template_label_ok, "")</f>
        <v/>
      </c>
    </row>
    <row r="515" ht="57" customHeight="1">
      <c r="C515" s="117">
        <f>template_label_financial_investment_in_the_capital_or_assets_of_social_economy_entities</f>
        <v/>
      </c>
      <c r="D515" s="260" t="n"/>
      <c r="E515" s="518">
        <f>IF(AND(D515&lt;&gt;"", UndertakingsLegalForm="cooperative"), template_label_ok, "")</f>
        <v/>
      </c>
    </row>
    <row r="516" ht="47.4" customHeight="1" thickBot="1">
      <c r="C516" s="106">
        <f>template_label_limits_to_the_distribution_of_profits</f>
        <v/>
      </c>
      <c r="D516" s="509" t="n"/>
      <c r="E516" s="518">
        <f>IF(AND(D516&lt;&gt;"", UndertakingsLegalForm="cooperative"), template_label_ok, "")</f>
        <v/>
      </c>
    </row>
    <row r="517" ht="49.95" customHeight="1" thickBot="1">
      <c r="C517" s="12" t="n"/>
    </row>
    <row r="518" ht="87.59999999999999" customHeight="1" thickBot="1">
      <c r="A518" s="610">
        <f>template_label_supporting_guidance_c2</f>
        <v/>
      </c>
      <c r="B518" s="508" t="n"/>
      <c r="C518" s="61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18" s="1120" t="n"/>
      <c r="E518" s="1120" t="n"/>
      <c r="F518" s="1120" t="n"/>
      <c r="G518" s="1126" t="n"/>
    </row>
    <row r="519" ht="37.95" customHeight="1">
      <c r="A519" s="551" t="n">
        <v>48</v>
      </c>
      <c r="B519" s="559" t="n">
        <v>149</v>
      </c>
      <c r="C519" s="638">
        <f>template_label_description_of_a_practice_policy_and_or_future_initiative_towards_a_more_sustainable_future</f>
        <v/>
      </c>
      <c r="D519" s="198" t="n"/>
      <c r="E519" s="633" t="inlineStr">
        <is>
          <t xml:space="preserve">Lorem ipsum dolor sit amet, consectetur adipiscing elit, sed do eiusmod tempor incididunt ut labore et dolore magna aliqua. 
Ut enim ad minim veniam, quis nostrud exercitation ullamco laboris nisi ut aliquip ex ea commodo consequat.
 </t>
        </is>
      </c>
      <c r="F519" s="1136" t="n"/>
      <c r="G519" s="1137" t="n"/>
      <c r="H519" s="518">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
      </c>
    </row>
    <row r="520">
      <c r="A520" s="223" t="inlineStr">
        <is>
          <t>N/A</t>
        </is>
      </c>
      <c r="B520" s="559" t="n">
        <v>149</v>
      </c>
      <c r="C520" s="562">
        <f>template_label_description_of_target_related_to_a_policy</f>
        <v/>
      </c>
      <c r="D520" s="1106" t="n"/>
      <c r="E520" s="637" t="n"/>
      <c r="F520" s="1130" t="n"/>
      <c r="G520" s="1138" t="n"/>
      <c r="H520" s="518">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
      </c>
    </row>
    <row r="521" ht="15" customHeight="1" thickBot="1">
      <c r="A521" s="551" t="n">
        <v>49</v>
      </c>
      <c r="B521" s="559" t="n">
        <v>149</v>
      </c>
      <c r="C521" s="579">
        <f>template_label_most_senior_level_accountable_for_implementing_practices_policies_and_or_future_initiatives</f>
        <v/>
      </c>
      <c r="D521" s="1125" t="n"/>
      <c r="E521" s="635" t="inlineStr">
        <is>
          <t xml:space="preserve">Lorem ipsum dolor sit amet, consectetur adipiscing elit, sed do eiusmod tempor incididunt ut labore et dolore magna aliqua. 
Ut enim ad minim veniam, quis nostrud exercitation ullamco laboris nisi ut aliquip ex ea commodo consequat.
 </t>
        </is>
      </c>
      <c r="F521" s="1132" t="n"/>
      <c r="G521" s="1139" t="n"/>
      <c r="H521" s="518">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
      </c>
    </row>
    <row r="522" ht="14.7" customHeight="1">
      <c r="B522" s="116" t="n"/>
    </row>
    <row r="523" ht="14.7" customHeight="1" thickBot="1">
      <c r="B523" s="116" t="n"/>
    </row>
    <row r="524" ht="14.85" customHeight="1" thickBot="1">
      <c r="B524" s="116" t="n"/>
      <c r="C524" s="612">
        <f>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
      </c>
      <c r="D524" s="1120" t="n"/>
      <c r="E524" s="1120" t="n"/>
      <c r="F524" s="1120" t="n"/>
      <c r="G524" s="1126" t="n"/>
    </row>
    <row r="525">
      <c r="A525" s="551" t="inlineStr">
        <is>
          <t>47(a)</t>
        </is>
      </c>
      <c r="B525" s="222" t="inlineStr">
        <is>
          <t>N/A</t>
        </is>
      </c>
      <c r="C525" s="582">
        <f>template_label_description_of_significant_groups_of_products_and_or_services_offered</f>
        <v/>
      </c>
      <c r="D525" s="508" t="n"/>
      <c r="E525" s="574" t="inlineStr">
        <is>
          <t xml:space="preserve">Lorem ipsum dolor sit amet, consectetur adipiscing elit, sed do eiusmod tempor incididunt ut labore et dolore magna aliqua. 
Ut enim ad minim veniam, quis nostrud exercitation ullamco laboris nisi ut aliquip ex ea commodo consequat.
 </t>
        </is>
      </c>
      <c r="F525" s="1136" t="n"/>
      <c r="G525" s="1137" t="n"/>
      <c r="H525" s="518">
        <f>IF(
'Table of Contents &amp; Validation'!D50=TRUE,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c r="A526" s="551" t="inlineStr">
        <is>
          <t>47(b)</t>
        </is>
      </c>
      <c r="B526" s="222" t="inlineStr">
        <is>
          <t>N/A</t>
        </is>
      </c>
      <c r="C526" s="583">
        <f>template_label_description_of_significant_market_the_undertaking_operates_in</f>
        <v/>
      </c>
      <c r="D526" s="199" t="n"/>
      <c r="E526" s="575" t="inlineStr">
        <is>
          <t xml:space="preserve">Lorem ipsum dolor sit amet, consectetur adipiscing elit, sed do eiusmod tempor incididunt ut labore et dolore magna aliqua. 
Ut enim ad minim veniam, quis nostrud exercitation ullamco laboris nisi ut aliquip ex ea commodo consequat.
 </t>
        </is>
      </c>
      <c r="F526" s="1130" t="n"/>
      <c r="G526" s="1124" t="n"/>
      <c r="H526" s="518">
        <f>IF(
'Table of Contents &amp; Validation'!D50=TRUE,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ht="15" customHeight="1" thickBot="1">
      <c r="A527" s="551" t="inlineStr">
        <is>
          <t>47(c)</t>
        </is>
      </c>
      <c r="B527" s="559" t="n">
        <v>148</v>
      </c>
      <c r="C527" s="581">
        <f>template_label_description_of_main_business_relationships</f>
        <v/>
      </c>
      <c r="D527" s="1125" t="n"/>
      <c r="E527" s="565" t="inlineStr">
        <is>
          <t xml:space="preserve">Lorem ipsum dolor sit amet, consectetur adipiscing elit, sed do eiusmod tempor incididunt ut labore et dolore magna aliqua. 
Ut enim ad minim veniam, quis nostrud exercitation ullamco laboris nisi ut aliquip ex ea commodo consequat.
 </t>
        </is>
      </c>
      <c r="F527" s="1132" t="n"/>
      <c r="G527" s="1123" t="n"/>
      <c r="H527" s="518">
        <f>IF(
'Table of Contents &amp; Validation'!D50=TRUE,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
      </c>
    </row>
    <row r="528">
      <c r="B528" s="116" t="n"/>
      <c r="C528" s="628">
        <f>template_label_has_the_strategy_key_elements_that_relate_to_or_affect_sustainability_issues</f>
        <v/>
      </c>
      <c r="D528" s="198" t="n"/>
      <c r="E528" s="630" t="b">
        <v>1</v>
      </c>
      <c r="F528" s="1136" t="n"/>
      <c r="G528" s="1122" t="n"/>
    </row>
    <row r="529" ht="15" customHeight="1" thickBot="1">
      <c r="A529" s="551" t="inlineStr">
        <is>
          <t>47(d)</t>
        </is>
      </c>
      <c r="B529" s="222" t="inlineStr">
        <is>
          <t>N/A</t>
        </is>
      </c>
      <c r="C529" s="579">
        <f>template_label_description_of_those_key_elements_in_the_strategy_that_relate_or_affect_sustainability_issues</f>
        <v/>
      </c>
      <c r="D529" s="1125" t="n"/>
      <c r="E529" s="577" t="inlineStr">
        <is>
          <t xml:space="preserve">Lorem ipsum dolor sit amet, consectetur adipiscing elit, sed do eiusmod tempor incididunt ut labore et dolore magna aliqua. 
Ut enim ad minim veniam, quis nostrud exercitation ullamco laboris nisi ut aliquip ex ea commodo consequat.
 </t>
        </is>
      </c>
      <c r="F529" s="1132" t="n"/>
      <c r="G529" s="1123" t="n"/>
      <c r="H529" s="518">
        <f>IF(AND($E$122="Option B (Basic Module and Comprehensive Module)", E529="", E528=TRUE), template_label_missing_value,
   IF(AND($E$122="Option A (Basic Module only)", E529&lt;&gt;"", E528=TRUE), template_label_ok,
   IF(AND($E$122="Option B (Basic Module and Comprehensive Module)", E529&lt;&gt;"", E528=TRUE), template_label_ok, "")))</f>
        <v/>
      </c>
    </row>
    <row r="530" ht="15" customHeight="1" thickBot="1"/>
    <row r="531" ht="14.85" customHeight="1" thickBot="1">
      <c r="C531" s="570">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31" s="1120" t="n"/>
      <c r="E531" s="1120" t="n"/>
      <c r="F531" s="1120" t="n"/>
      <c r="G531" s="1120" t="n"/>
      <c r="H531" s="1121" t="n"/>
      <c r="I531" s="1032" t="n"/>
      <c r="J531" s="1032" t="n"/>
      <c r="K531" s="1032" t="n"/>
      <c r="L531" s="1032" t="n"/>
      <c r="M531" s="1032" t="n"/>
      <c r="N531" s="1032" t="n"/>
      <c r="O531" s="1032" t="n"/>
    </row>
    <row r="532" ht="14.85" customHeight="1">
      <c r="C532" s="553" t="n">
        <v>10</v>
      </c>
      <c r="D532" s="508" t="n"/>
      <c r="E532" s="508" t="n"/>
      <c r="F532" s="508" t="n"/>
      <c r="G532" s="508" t="n"/>
      <c r="H532" s="198" t="n"/>
      <c r="I532" s="1032" t="n"/>
      <c r="J532" s="1032" t="n"/>
      <c r="K532" s="1032" t="n"/>
      <c r="L532" s="1032" t="n"/>
      <c r="M532" s="1032" t="n"/>
      <c r="N532" s="1032" t="n"/>
      <c r="O532" s="1032" t="n"/>
    </row>
    <row r="533" ht="15" customHeight="1" thickBot="1">
      <c r="C533" s="564" t="n"/>
      <c r="D533" s="1132" t="n"/>
      <c r="E533" s="1132" t="n"/>
      <c r="F533" s="1132" t="n"/>
      <c r="G533" s="1132" t="n"/>
      <c r="H533" s="1123" t="n"/>
      <c r="I533" s="890">
        <f>IF(C533&lt;&gt;"", template_label_ok, "")</f>
        <v/>
      </c>
    </row>
  </sheetData>
  <mergeCells count="89">
    <mergeCell ref="C392:H392"/>
    <mergeCell ref="C524:G524"/>
    <mergeCell ref="A178:A179"/>
    <mergeCell ref="C527:D527"/>
    <mergeCell ref="C123:D174"/>
    <mergeCell ref="D400:D403"/>
    <mergeCell ref="D6:E6"/>
    <mergeCell ref="E395:H395"/>
    <mergeCell ref="N508:N509"/>
    <mergeCell ref="D13:E13"/>
    <mergeCell ref="C177:D177"/>
    <mergeCell ref="C532:H532"/>
    <mergeCell ref="E526:G526"/>
    <mergeCell ref="C512:D512"/>
    <mergeCell ref="D7:E7"/>
    <mergeCell ref="B180:B279"/>
    <mergeCell ref="E528:G528"/>
    <mergeCell ref="C119:D119"/>
    <mergeCell ref="C529:D529"/>
    <mergeCell ref="C518:G518"/>
    <mergeCell ref="G400:G403"/>
    <mergeCell ref="D10:E10"/>
    <mergeCell ref="A180:A279"/>
    <mergeCell ref="C176:E176"/>
    <mergeCell ref="E400:E403"/>
    <mergeCell ref="C281:D281"/>
    <mergeCell ref="A123:A174"/>
    <mergeCell ref="C180:D279"/>
    <mergeCell ref="C280:D280"/>
    <mergeCell ref="D11:E11"/>
    <mergeCell ref="E527:G527"/>
    <mergeCell ref="C525:D525"/>
    <mergeCell ref="C282:D282"/>
    <mergeCell ref="F6:F8"/>
    <mergeCell ref="E519:G519"/>
    <mergeCell ref="F400:F403"/>
    <mergeCell ref="D9:E9"/>
    <mergeCell ref="C18:D18"/>
    <mergeCell ref="C393:H393"/>
    <mergeCell ref="E529:G529"/>
    <mergeCell ref="C121:E121"/>
    <mergeCell ref="B123:B174"/>
    <mergeCell ref="C16:E16"/>
    <mergeCell ref="C398:H398"/>
    <mergeCell ref="C179:D179"/>
    <mergeCell ref="C284:D284"/>
    <mergeCell ref="C520:D520"/>
    <mergeCell ref="E521:G521"/>
    <mergeCell ref="C2:E2"/>
    <mergeCell ref="E394:H394"/>
    <mergeCell ref="C287:E287"/>
    <mergeCell ref="B178:B179"/>
    <mergeCell ref="C400:C403"/>
    <mergeCell ref="C505:O505"/>
    <mergeCell ref="O508:O509"/>
    <mergeCell ref="C391:H391"/>
    <mergeCell ref="C178:D178"/>
    <mergeCell ref="G6:K8"/>
    <mergeCell ref="D3:E3"/>
    <mergeCell ref="C507:O507"/>
    <mergeCell ref="D12:E12"/>
    <mergeCell ref="C526:D526"/>
    <mergeCell ref="C283:D283"/>
    <mergeCell ref="D5:E5"/>
    <mergeCell ref="C519:D519"/>
    <mergeCell ref="C19:D118"/>
    <mergeCell ref="C528:D528"/>
    <mergeCell ref="A518:B518"/>
    <mergeCell ref="C285:D285"/>
    <mergeCell ref="E525:G525"/>
    <mergeCell ref="C531:H531"/>
    <mergeCell ref="E520:G520"/>
    <mergeCell ref="C533:H533"/>
    <mergeCell ref="F10:F12"/>
    <mergeCell ref="D508:M508"/>
    <mergeCell ref="C399:H399"/>
    <mergeCell ref="C17:E17"/>
    <mergeCell ref="G10:K12"/>
    <mergeCell ref="C394:D394"/>
    <mergeCell ref="C521:D521"/>
    <mergeCell ref="F123:F173"/>
    <mergeCell ref="C508:C509"/>
    <mergeCell ref="C122:D122"/>
    <mergeCell ref="D8:E8"/>
    <mergeCell ref="C288:E288"/>
    <mergeCell ref="C513:D513"/>
    <mergeCell ref="C395:D395"/>
    <mergeCell ref="C506:O506"/>
    <mergeCell ref="C397:H397"/>
  </mergeCells>
  <conditionalFormatting sqref="C19 C119:D119 E19:E119">
    <cfRule type="expression" priority="89" dxfId="99">
      <formula>$E$18=TRUE</formula>
    </cfRule>
  </conditionalFormatting>
  <conditionalFormatting sqref="C179">
    <cfRule type="expression" priority="105" dxfId="161">
      <formula>$E$178="other (please specify the legal form in the row below)"</formula>
    </cfRule>
  </conditionalFormatting>
  <conditionalFormatting sqref="D514:D516">
    <cfRule type="expression" priority="10" dxfId="161">
      <formula>$E$178="cooperative"</formula>
    </cfRule>
  </conditionalFormatting>
  <conditionalFormatting sqref="D290:E389">
    <cfRule type="expression" priority="57" dxfId="99">
      <formula>$E$177="Sustainability report prepared on a consolidated basis"</formula>
    </cfRule>
  </conditionalFormatting>
  <conditionalFormatting sqref="D510:O510 E519 E521">
    <cfRule type="expression" priority="19" dxfId="161">
      <formula>$C$510=TRUE</formula>
    </cfRule>
  </conditionalFormatting>
  <conditionalFormatting sqref="D510:O510">
    <cfRule type="expression" priority="29" dxfId="99">
      <formula>$C$510=TRUE</formula>
    </cfRule>
  </conditionalFormatting>
  <conditionalFormatting sqref="E19:E118">
    <cfRule type="expression" priority="143" dxfId="1">
      <formula>AND(ISBLANK(#REF!), $E$18=TRUE)</formula>
    </cfRule>
  </conditionalFormatting>
  <conditionalFormatting sqref="E123:E174">
    <cfRule type="expression" priority="1" dxfId="364">
      <formula>ISNUMBER(MATCH(E123, enum_ListOmittedDisclosures, 0))</formula>
    </cfRule>
    <cfRule type="expression" priority="2" dxfId="364">
      <formula>$F$123="Disclosure completely omitted"</formula>
    </cfRule>
  </conditionalFormatting>
  <conditionalFormatting sqref="E179">
    <cfRule type="expression" priority="104" dxfId="161">
      <formula>$E$178="other (please specify the legal form in the row below)"</formula>
    </cfRule>
  </conditionalFormatting>
  <conditionalFormatting sqref="E394">
    <cfRule type="expression" priority="55" dxfId="99">
      <formula>$D$301="YES"</formula>
    </cfRule>
  </conditionalFormatting>
  <conditionalFormatting sqref="E514:E516">
    <cfRule type="expression" priority="13" dxfId="0">
      <formula>$E514=template_label_ok</formula>
    </cfRule>
  </conditionalFormatting>
  <conditionalFormatting sqref="E520:G520">
    <cfRule type="expression" priority="373" dxfId="99">
      <formula>AND($C$510=TRUE,$O$510=TRUE)</formula>
    </cfRule>
  </conditionalFormatting>
  <conditionalFormatting sqref="E529:G529">
    <cfRule type="expression" priority="46" dxfId="99">
      <formula>$E$528=TRUE</formula>
    </cfRule>
  </conditionalFormatting>
  <conditionalFormatting sqref="E395:H395">
    <cfRule type="expression" priority="54" dxfId="99">
      <formula>$E$394=TRUE</formula>
    </cfRule>
  </conditionalFormatting>
  <conditionalFormatting sqref="F3:F5 F290:F389">
    <cfRule type="expression" priority="149" dxfId="1">
      <formula>$F3=template_label_missing_value</formula>
    </cfRule>
    <cfRule type="expression" priority="148" dxfId="0">
      <formula>$F3=template_label_ok</formula>
    </cfRule>
  </conditionalFormatting>
  <conditionalFormatting sqref="F6:F8">
    <cfRule type="expression" priority="4" dxfId="1">
      <formula>$F$6=template_label_error</formula>
    </cfRule>
    <cfRule type="expression" priority="59" dxfId="1">
      <formula>$F$6=template_label_value_inconsistency</formula>
    </cfRule>
    <cfRule type="expression" priority="61" dxfId="0">
      <formula>$F$6=template_label_ok</formula>
    </cfRule>
    <cfRule type="expression" priority="62" dxfId="1">
      <formula>$F$6=template_label_missing_value</formula>
    </cfRule>
  </conditionalFormatting>
  <conditionalFormatting sqref="F10">
    <cfRule type="expression" priority="58" dxfId="1">
      <formula>$F$10=template_label_error</formula>
    </cfRule>
    <cfRule type="expression" priority="63" dxfId="1">
      <formula>$F$10=template_label_missing_value</formula>
    </cfRule>
    <cfRule type="expression" priority="64" dxfId="1">
      <formula>$F$10=template_label_value_inconsistency</formula>
    </cfRule>
    <cfRule type="expression" priority="65" dxfId="0">
      <formula>$F$10=template_label_ok</formula>
    </cfRule>
  </conditionalFormatting>
  <conditionalFormatting sqref="F13:F14">
    <cfRule type="expression" priority="66" dxfId="1">
      <formula>$F13="MISSING VALUE"</formula>
    </cfRule>
    <cfRule type="expression" priority="67" dxfId="0">
      <formula>$F13="OK"</formula>
    </cfRule>
  </conditionalFormatting>
  <conditionalFormatting sqref="F18">
    <cfRule type="expression" priority="90" dxfId="0">
      <formula>$F$18=template_label_ok</formula>
    </cfRule>
  </conditionalFormatting>
  <conditionalFormatting sqref="F19:F119">
    <cfRule type="expression" priority="87" dxfId="1">
      <formula>$F19=template_label_missing_value</formula>
    </cfRule>
    <cfRule type="expression" priority="9" dxfId="1">
      <formula>$F19=template_label_value_inconsistency</formula>
    </cfRule>
    <cfRule type="expression" priority="88" dxfId="0">
      <formula>$F19=template_label_ok</formula>
    </cfRule>
  </conditionalFormatting>
  <conditionalFormatting sqref="F119">
    <cfRule type="expression" priority="14" dxfId="1">
      <formula>$F$119=template_label_invalid_url</formula>
    </cfRule>
  </conditionalFormatting>
  <conditionalFormatting sqref="F122">
    <cfRule type="expression" priority="71" dxfId="0">
      <formula>$F122=template_label_ok</formula>
    </cfRule>
    <cfRule type="expression" priority="70" dxfId="1">
      <formula>$F122=template_label_missing_value</formula>
    </cfRule>
  </conditionalFormatting>
  <conditionalFormatting sqref="F123">
    <cfRule type="expression" priority="7" dxfId="1">
      <formula>$F$123=template_label_value_inconsistency</formula>
    </cfRule>
    <cfRule type="expression" priority="121" dxfId="0">
      <formula>$F$123=template_label_ok</formula>
    </cfRule>
    <cfRule type="expression" priority="120" dxfId="1">
      <formula>$F$123=template_label_missing_value</formula>
    </cfRule>
  </conditionalFormatting>
  <conditionalFormatting sqref="F174">
    <cfRule type="expression" priority="75" dxfId="1">
      <formula>$F174="MISSING VALUE"</formula>
    </cfRule>
    <cfRule type="expression" priority="8" dxfId="1">
      <formula>$F174="VALUE INCONSISTENCY"</formula>
    </cfRule>
    <cfRule type="expression" priority="76" dxfId="0">
      <formula>$F174="OK"</formula>
    </cfRule>
  </conditionalFormatting>
  <conditionalFormatting sqref="F177">
    <cfRule type="expression" priority="130" dxfId="0">
      <formula>$F$177=template_label_ok</formula>
    </cfRule>
    <cfRule type="expression" priority="153" dxfId="1">
      <formula>$F$177=template_label_missing_value</formula>
    </cfRule>
  </conditionalFormatting>
  <conditionalFormatting sqref="F178">
    <cfRule type="expression" priority="128" dxfId="1">
      <formula>$F$178=template_label_missing_value</formula>
    </cfRule>
    <cfRule type="expression" priority="129" dxfId="0">
      <formula>$F$178=template_label_ok</formula>
    </cfRule>
  </conditionalFormatting>
  <conditionalFormatting sqref="F179">
    <cfRule type="expression" priority="91" dxfId="1">
      <formula>$F$179=template_label_missing_value</formula>
    </cfRule>
    <cfRule type="expression" priority="92" dxfId="0">
      <formula>$F$179=template_label_ok</formula>
    </cfRule>
  </conditionalFormatting>
  <conditionalFormatting sqref="F180">
    <cfRule type="expression" priority="151" dxfId="1">
      <formula>$F$180=template_label_missing_value</formula>
    </cfRule>
    <cfRule type="expression" priority="43" dxfId="1">
      <formula>$F$180=template_label_error</formula>
    </cfRule>
    <cfRule type="expression" priority="6" dxfId="1">
      <formula>$F$180=template_label_value_inconsistency</formula>
    </cfRule>
    <cfRule type="expression" priority="150" dxfId="0">
      <formula>$F$180=template_label_ok</formula>
    </cfRule>
  </conditionalFormatting>
  <conditionalFormatting sqref="F181:F279">
    <cfRule type="expression" priority="5" dxfId="1">
      <formula>$F181=template_label_value_inconsistency</formula>
    </cfRule>
    <cfRule type="expression" priority="40" dxfId="1">
      <formula>$F181=template_label_missing_value</formula>
    </cfRule>
    <cfRule type="expression" priority="41" dxfId="0">
      <formula>$F181=template_label_ok</formula>
    </cfRule>
    <cfRule type="expression" priority="42" dxfId="1">
      <formula>$F181=template_label_error</formula>
    </cfRule>
  </conditionalFormatting>
  <conditionalFormatting sqref="F280">
    <cfRule type="expression" priority="137" dxfId="0">
      <formula>$F$280=template_label_ok</formula>
    </cfRule>
    <cfRule type="expression" priority="138" dxfId="1">
      <formula>$F$280=template_label_missing_value</formula>
    </cfRule>
  </conditionalFormatting>
  <conditionalFormatting sqref="F281:F285">
    <cfRule type="expression" priority="135" dxfId="0">
      <formula>$F281=template_label_ok</formula>
    </cfRule>
    <cfRule type="expression" priority="136" dxfId="1">
      <formula>$F281=template_label_missing_value</formula>
    </cfRule>
  </conditionalFormatting>
  <conditionalFormatting sqref="F389">
    <cfRule type="expression" priority="274" dxfId="1">
      <formula>$F400="MISSING VALUE"</formula>
    </cfRule>
    <cfRule type="expression" priority="275" dxfId="0">
      <formula>$F400="OK"</formula>
    </cfRule>
  </conditionalFormatting>
  <conditionalFormatting sqref="G178">
    <cfRule type="expression" priority="134" dxfId="27">
      <formula>$G$178="Please specify the legal form in the row below"</formula>
    </cfRule>
  </conditionalFormatting>
  <conditionalFormatting sqref="H404:H503">
    <cfRule type="expression" priority="15" dxfId="311">
      <formula>$H$403=FALSE</formula>
    </cfRule>
  </conditionalFormatting>
  <conditionalFormatting sqref="H519:H521">
    <cfRule type="expression" priority="16" dxfId="1">
      <formula>$H519=template_label_missing_value</formula>
    </cfRule>
    <cfRule type="expression" priority="17" dxfId="0">
      <formula>$H519=template_label_ok</formula>
    </cfRule>
  </conditionalFormatting>
  <conditionalFormatting sqref="H525:H527 H529">
    <cfRule type="expression" priority="103" dxfId="1">
      <formula>$H525=template_label_missing_value</formula>
    </cfRule>
    <cfRule type="expression" priority="102" dxfId="0">
      <formula>$H525=template_label_ok</formula>
    </cfRule>
  </conditionalFormatting>
  <conditionalFormatting sqref="I395">
    <cfRule type="expression" priority="86" dxfId="0">
      <formula>$I$395=template_label_ok</formula>
    </cfRule>
    <cfRule type="expression" priority="45" dxfId="1">
      <formula>$I$395=template_label_missing_value</formula>
    </cfRule>
  </conditionalFormatting>
  <conditionalFormatting sqref="I404:I503">
    <cfRule type="expression" priority="93" dxfId="0">
      <formula>$I404=template_label_ok</formula>
    </cfRule>
    <cfRule type="expression" priority="94" dxfId="1">
      <formula>$I404=template_label_missing_value</formula>
    </cfRule>
  </conditionalFormatting>
  <conditionalFormatting sqref="I533">
    <cfRule type="expression" priority="85" dxfId="0">
      <formula>$I$533=template_label_ok</formula>
    </cfRule>
  </conditionalFormatting>
  <conditionalFormatting sqref="P510">
    <cfRule type="expression" priority="26" dxfId="0">
      <formula>$P$510=template_label_ok</formula>
    </cfRule>
    <cfRule type="expression" priority="25" dxfId="1">
      <formula>$P$510=template_label_missing_value</formula>
    </cfRule>
  </conditionalFormatting>
  <dataValidations xWindow="1485" yWindow="311" count="18">
    <dataValidation sqref="E177" showDropDown="0" showInputMessage="1" showErrorMessage="1" allowBlank="1" type="list">
      <formula1>"Sustainability report prepared on an individual basis, Sustainability report prepared on a consolidated basis"</formula1>
    </dataValidation>
    <dataValidation sqref="E284" showDropDown="0" showInputMessage="1" showErrorMessage="1" allowBlank="1" type="list">
      <formula1>"Headcount, Full-time equivalent (FTE)"</formula1>
    </dataValidation>
    <dataValidation sqref="G404:G503" showDropDown="0" showInputMessage="1" showErrorMessage="1" allowBlank="1" type="list">
      <formula1>enum_ListCountriesName</formula1>
    </dataValidation>
    <dataValidation sqref="E19:E118" showDropDown="0" showInputMessage="1" showErrorMessage="1" allowBlank="1" type="list">
      <formula1>enum_ListOmittedDisclosures</formula1>
    </dataValidation>
    <dataValidation sqref="D515 E280:E282" showDropDown="0" showInputMessage="1" showErrorMessage="1" allowBlank="1" type="decimal" operator="equal">
      <formula1>D280</formula1>
    </dataValidation>
    <dataValidation sqref="C510:O511 C517:H517 C522:H523 E18 E394 E528 H403 I394 I517:O523" showDropDown="0" showInputMessage="1" showErrorMessage="1" allowBlank="0" type="custom">
      <formula1>OR(C18=TRUE,C18=FALSE)</formula1>
    </dataValidation>
    <dataValidation sqref="M404"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283" showDropDown="0" showInputMessage="1" showErrorMessage="1" allowBlank="1" type="list">
      <formula1>enum_employee_methodology</formula1>
    </dataValidation>
    <dataValidation sqref="K404:K503" showDropDown="0" showInputMessage="1" showErrorMessage="1" allowBlank="0" type="custom">
      <formula1>LOWER(SUBSTITUTE(D404," ","+" )) &amp; "+" &amp; LOWER(SUBSTITUTE(E404," ","+" )) &amp; "+" &amp; LOWER(SUBSTITUTE(F404," ","+" )) &amp; "+" &amp; LOWER(SUBSTITUTE(G404,"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180:E279" showDropDown="0" showInputMessage="1" showErrorMessage="1" allowBlank="1" type="list">
      <formula1>enum_ListNACETechnicalName</formula1>
    </dataValidation>
    <dataValidation sqref="E122" showDropDown="0" showInputMessage="1" showErrorMessage="1" allowBlank="1" type="list">
      <formula1>enum_list_options</formula1>
    </dataValidation>
  </dataValidations>
  <hyperlinks>
    <hyperlink xmlns:r="http://schemas.openxmlformats.org/officeDocument/2006/relationships" ref="C17" display="https://knowledgehub.efrag.org/eng/interactive/vsme/vsme-standard-annex-i/2025-07-30-ec-rec/16" r:id="rId1"/>
    <hyperlink xmlns:r="http://schemas.openxmlformats.org/officeDocument/2006/relationships" ref="A122" r:id="rId2"/>
    <hyperlink xmlns:r="http://schemas.openxmlformats.org/officeDocument/2006/relationships" ref="A123" display="24(b)" r:id="rId3"/>
    <hyperlink xmlns:r="http://schemas.openxmlformats.org/officeDocument/2006/relationships" ref="A177" r:id="rId4"/>
    <hyperlink xmlns:r="http://schemas.openxmlformats.org/officeDocument/2006/relationships" ref="A178" display="24(e)(i)" r:id="rId5"/>
    <hyperlink xmlns:r="http://schemas.openxmlformats.org/officeDocument/2006/relationships" ref="B178" display="https://knowledgehub.efrag.org/eng/interactive/vsme/vsme-guidance-annex-ii/2025-07-30-ec-rec/4" r:id="rId6"/>
    <hyperlink xmlns:r="http://schemas.openxmlformats.org/officeDocument/2006/relationships" ref="A180" display="24(e)(ii)" r:id="rId7"/>
    <hyperlink xmlns:r="http://schemas.openxmlformats.org/officeDocument/2006/relationships" ref="B180" display="5-6" r:id="rId8"/>
    <hyperlink xmlns:r="http://schemas.openxmlformats.org/officeDocument/2006/relationships" ref="A280" r:id="rId9"/>
    <hyperlink xmlns:r="http://schemas.openxmlformats.org/officeDocument/2006/relationships" ref="A281" r:id="rId10"/>
    <hyperlink xmlns:r="http://schemas.openxmlformats.org/officeDocument/2006/relationships" ref="A282" r:id="rId11"/>
    <hyperlink xmlns:r="http://schemas.openxmlformats.org/officeDocument/2006/relationships" ref="B282" r:id="rId12"/>
    <hyperlink xmlns:r="http://schemas.openxmlformats.org/officeDocument/2006/relationships" ref="A283" display="24(e)(v)" r:id="rId13"/>
    <hyperlink xmlns:r="http://schemas.openxmlformats.org/officeDocument/2006/relationships" ref="B283" r:id="rId14"/>
    <hyperlink xmlns:r="http://schemas.openxmlformats.org/officeDocument/2006/relationships" ref="A284" display="24(e)(v)" r:id="rId15"/>
    <hyperlink xmlns:r="http://schemas.openxmlformats.org/officeDocument/2006/relationships" ref="B284" r:id="rId16"/>
    <hyperlink xmlns:r="http://schemas.openxmlformats.org/officeDocument/2006/relationships" ref="A285" r:id="rId17"/>
    <hyperlink xmlns:r="http://schemas.openxmlformats.org/officeDocument/2006/relationships" ref="B285" r:id="rId18"/>
    <hyperlink xmlns:r="http://schemas.openxmlformats.org/officeDocument/2006/relationships" ref="C288" display="24(d)" r:id="rId19"/>
    <hyperlink xmlns:r="http://schemas.openxmlformats.org/officeDocument/2006/relationships" ref="C392" display="https://knowledgehub.efrag.org/eng/interactive/vsme/vsme-standard-annex-i/2025-07-30-ec-rec/25" r:id="rId20"/>
    <hyperlink xmlns:r="http://schemas.openxmlformats.org/officeDocument/2006/relationships" ref="C393" display="https://knowledgehub.efrag.org/eng/interactive/vsme/vsme-standard-annex-i/2025-07-30-ec-rec/13" r:id="rId21"/>
    <hyperlink xmlns:r="http://schemas.openxmlformats.org/officeDocument/2006/relationships" ref="C398" display="24(e)(vii)" r:id="rId22"/>
    <hyperlink xmlns:r="http://schemas.openxmlformats.org/officeDocument/2006/relationships" ref="C399" display=" 9-12" r:id="rId23"/>
    <hyperlink xmlns:r="http://schemas.openxmlformats.org/officeDocument/2006/relationships" ref="C506" display="26-28" r:id="rId24"/>
    <hyperlink xmlns:r="http://schemas.openxmlformats.org/officeDocument/2006/relationships" ref="C507" display="14-16" r:id="rId25"/>
    <hyperlink xmlns:r="http://schemas.openxmlformats.org/officeDocument/2006/relationships" ref="C513" display="https://knowledgehub.efrag.org/eng/interactive/vsme/vsme-standard-annex-i/2025-07-30-ec-rec/15" r:id="rId26"/>
    <hyperlink xmlns:r="http://schemas.openxmlformats.org/officeDocument/2006/relationships" ref="A518" display="https://www.efrag.org/en/vsme-supporting-guide-on-disclosure-c2-comprehensive-module-practices-policies-and-future" r:id="rId27"/>
    <hyperlink xmlns:r="http://schemas.openxmlformats.org/officeDocument/2006/relationships" ref="A519" display="https://knowledgehub.efrag.org/eng/interactive/vsme/vsme-standard-annex-i/2025-07-30-ec-rec/48" r:id="rId28"/>
    <hyperlink xmlns:r="http://schemas.openxmlformats.org/officeDocument/2006/relationships" ref="B519" display="https://knowledgehub.efrag.org/eng/interactive/vsme/vsme-guidance-annex-ii/2025-07-30-ec-rec/149" r:id="rId29"/>
    <hyperlink xmlns:r="http://schemas.openxmlformats.org/officeDocument/2006/relationships" ref="B520" display="https://knowledgehub.efrag.org/eng/interactive/vsme/vsme-guidance-annex-ii/2025-07-30-ec-rec/149" r:id="rId30"/>
    <hyperlink xmlns:r="http://schemas.openxmlformats.org/officeDocument/2006/relationships" ref="A521" display="https://knowledgehub.efrag.org/eng/interactive/vsme/vsme-standard-annex-i/2025-07-30-ec-rec/49" r:id="rId31"/>
    <hyperlink xmlns:r="http://schemas.openxmlformats.org/officeDocument/2006/relationships" ref="B521" display="https://knowledgehub.efrag.org/eng/interactive/vsme/vsme-guidance-annex-ii/2025-07-30-ec-rec/149" r:id="rId32"/>
    <hyperlink xmlns:r="http://schemas.openxmlformats.org/officeDocument/2006/relationships" ref="A525" r:id="rId33"/>
    <hyperlink xmlns:r="http://schemas.openxmlformats.org/officeDocument/2006/relationships" ref="A526" r:id="rId34"/>
    <hyperlink xmlns:r="http://schemas.openxmlformats.org/officeDocument/2006/relationships" ref="A527" r:id="rId35"/>
    <hyperlink xmlns:r="http://schemas.openxmlformats.org/officeDocument/2006/relationships" ref="B527" display="https://knowledgehub.efrag.org/eng/interactive/vsme/vsme-guidance-annex-ii/2025-07-30-ec-rec/148" r:id="rId36"/>
    <hyperlink xmlns:r="http://schemas.openxmlformats.org/officeDocument/2006/relationships" ref="A529" r:id="rId37"/>
    <hyperlink xmlns:r="http://schemas.openxmlformats.org/officeDocument/2006/relationships" ref="C532" display="https://knowledgehub.efrag.org/eng/interactive/vsme/vsme-standard-annex-i/2025-07-30-ec-rec/10" r:id="rId38"/>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zoomScale="85" zoomScaleNormal="100" workbookViewId="0">
      <selection activeCell="G433" sqref="G433:J433"/>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23.8867187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27">
        <f>template_label_paragraph_reference</f>
        <v/>
      </c>
      <c r="B1" s="227">
        <f>template_label_paragraph_guidance_reference</f>
        <v/>
      </c>
    </row>
    <row r="2" ht="15" customHeight="1" thickBot="1">
      <c r="C2" s="588">
        <f>template_label_b3_total_energy_consumption&amp;" "&amp;template_label_from&amp;" "&amp;template_starting_date_display&amp;" "&amp;template_label_to&amp;" "&amp;template_ending_date_display&amp;" "&amp;template_label_always_to_be_reported</f>
        <v/>
      </c>
      <c r="D2" s="1120" t="n"/>
      <c r="E2" s="1120" t="n"/>
      <c r="F2" s="1120" t="n"/>
      <c r="G2" s="1120" t="n"/>
      <c r="H2" s="1120" t="n"/>
      <c r="I2" s="1120" t="n"/>
      <c r="J2" s="1120" t="n"/>
      <c r="K2" s="1121" t="n"/>
    </row>
    <row r="3">
      <c r="C3" s="553" t="n">
        <v>29</v>
      </c>
      <c r="D3" s="508" t="n"/>
      <c r="E3" s="508" t="n"/>
      <c r="F3" s="508" t="n"/>
      <c r="G3" s="508" t="n"/>
      <c r="H3" s="508" t="n"/>
      <c r="I3" s="508" t="n"/>
      <c r="J3" s="508" t="n"/>
      <c r="K3" s="198" t="n"/>
    </row>
    <row r="4">
      <c r="C4" s="586" t="inlineStr">
        <is>
          <t>18-25</t>
        </is>
      </c>
      <c r="D4" s="1106" t="n"/>
      <c r="E4" s="1106" t="n"/>
      <c r="F4" s="1106" t="n"/>
      <c r="G4" s="1106" t="n"/>
      <c r="H4" s="1106" t="n"/>
      <c r="I4" s="1106" t="n"/>
      <c r="J4" s="1106" t="n"/>
      <c r="K4" s="199" t="n"/>
    </row>
    <row r="5" ht="15" customHeight="1" thickBot="1">
      <c r="C5" s="706">
        <f>template_label_total_energy_consumption</f>
        <v/>
      </c>
      <c r="D5" s="1140" t="n"/>
      <c r="E5" s="1140" t="n"/>
      <c r="F5" s="1125" t="n"/>
      <c r="G5" s="724" t="n">
        <v>250</v>
      </c>
      <c r="H5" s="1132" t="n"/>
      <c r="I5" s="1132" t="n"/>
      <c r="J5" s="1132" t="n"/>
      <c r="K5" s="1123" t="n"/>
      <c r="L5" s="518">
        <f>IF(OR(
'Table of Contents &amp; Validation'!D21=TRUE, 'Table of Contents &amp; Validation'!D20=TRUE),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ht="15" customHeight="1" thickBot="1"/>
    <row r="7" ht="15" customHeight="1" thickBot="1">
      <c r="C7" s="596">
        <f>template_label_b3_breakdown_of_energy_consumption&amp;" "&amp;template_label_from&amp;" "&amp;template_starting_date_display&amp;" "&amp;template_label_to&amp;" "&amp;template_ending_date_display&amp;" "&amp;template_label_if_applicable</f>
        <v/>
      </c>
      <c r="D7" s="1120" t="n"/>
      <c r="E7" s="1120" t="n"/>
      <c r="F7" s="1120" t="n"/>
      <c r="G7" s="1120" t="n"/>
      <c r="H7" s="1120" t="n"/>
      <c r="I7" s="1120" t="n"/>
      <c r="J7" s="1120" t="n"/>
      <c r="K7" s="1126" t="n"/>
    </row>
    <row r="8">
      <c r="C8" s="553" t="n">
        <v>29</v>
      </c>
      <c r="D8" s="508" t="n"/>
      <c r="E8" s="508" t="n"/>
      <c r="F8" s="508" t="n"/>
      <c r="G8" s="508" t="n"/>
      <c r="H8" s="508" t="n"/>
      <c r="I8" s="508" t="n"/>
      <c r="J8" s="508" t="n"/>
      <c r="K8" s="198" t="n"/>
    </row>
    <row r="9">
      <c r="C9" s="586" t="inlineStr">
        <is>
          <t>18-25</t>
        </is>
      </c>
      <c r="D9" s="1106" t="n"/>
      <c r="E9" s="1106" t="n"/>
      <c r="F9" s="1106" t="n"/>
      <c r="G9" s="1106" t="n"/>
      <c r="H9" s="1106" t="n"/>
      <c r="I9" s="1106" t="n"/>
      <c r="J9" s="1106" t="n"/>
      <c r="K9" s="199" t="n"/>
    </row>
    <row r="10">
      <c r="C10" s="682">
        <f>template_label_has_the_undertaking_obtained_the_necessary_information_to_provide_an_energy_consumption_breakdown</f>
        <v/>
      </c>
      <c r="D10" s="1106" t="n"/>
      <c r="E10" s="1106" t="n"/>
      <c r="F10" s="199" t="n"/>
      <c r="G10" s="684" t="b">
        <v>1</v>
      </c>
      <c r="H10" s="1130" t="n"/>
      <c r="I10" s="1130" t="n"/>
      <c r="J10" s="1130" t="n"/>
      <c r="K10" s="1124" t="n"/>
    </row>
    <row r="11" ht="38.7" customHeight="1">
      <c r="C11" s="739" t="n"/>
      <c r="D11" s="508" t="n"/>
      <c r="E11" s="508" t="n"/>
      <c r="F11" s="198" t="n"/>
      <c r="G11" s="720">
        <f>template_label_renewable</f>
        <v/>
      </c>
      <c r="H11" s="508" t="n"/>
      <c r="I11" s="198" t="n"/>
      <c r="J11" s="721">
        <f>template_label_non_renewable</f>
        <v/>
      </c>
      <c r="K11" s="99">
        <f>template_label_total_renewable_and_nonrenewable</f>
        <v/>
      </c>
      <c r="L11" s="518" t="n"/>
    </row>
    <row r="12">
      <c r="C12" s="1141">
        <f>template_label_electricity</f>
        <v/>
      </c>
      <c r="D12" s="508" t="n"/>
      <c r="E12" s="508" t="n"/>
      <c r="F12" s="198" t="n"/>
      <c r="G12" s="730" t="n">
        <v>10</v>
      </c>
      <c r="H12" s="1130" t="n"/>
      <c r="I12" s="1124" t="n"/>
      <c r="J12" s="730" t="n">
        <v>100</v>
      </c>
      <c r="K12" s="261" t="n"/>
      <c r="L12" s="518">
        <f t="array" ref="L12">IF(G10=TRUE,
    IF(SUMPRODUCT(--(G12:J14&lt;&gt;"-"), --(G12:J14&lt;&gt;""))&gt;0,
        IF(SUM(G12:J14) &gt; TotalEnergyConsumption, template_label_value_inconsistency, template_label_ok),
        template_label_missing_value),
"")</f>
        <v/>
      </c>
    </row>
    <row r="13">
      <c r="C13" s="757">
        <f>template_label_selfgenerated_electricity</f>
        <v/>
      </c>
      <c r="D13" s="1106" t="n"/>
      <c r="E13" s="1106" t="n"/>
      <c r="F13" s="199" t="n"/>
      <c r="G13" s="730" t="n">
        <v>23</v>
      </c>
      <c r="H13" s="1130" t="n"/>
      <c r="I13" s="1124" t="n"/>
      <c r="J13" s="730" t="n">
        <v>20</v>
      </c>
      <c r="K13" s="261" t="n"/>
    </row>
    <row r="14" ht="15" customHeight="1" thickBot="1">
      <c r="C14" s="1142">
        <f>template_label_fuels</f>
        <v/>
      </c>
      <c r="D14" s="1140" t="n"/>
      <c r="E14" s="1140" t="n"/>
      <c r="F14" s="1125" t="n"/>
      <c r="G14" s="231" t="n"/>
      <c r="H14" s="1132" t="n"/>
      <c r="I14" s="1123" t="n"/>
      <c r="J14" s="231" t="n"/>
      <c r="K14" s="262" t="n"/>
      <c r="M14">
        <f>template_label_energy_consumption_warning</f>
        <v/>
      </c>
    </row>
    <row r="15" ht="15" customHeight="1" thickBot="1"/>
    <row r="16" ht="28.5" customHeight="1" thickBot="1">
      <c r="C16" s="558">
        <f>template_label_b3_estimated_greenhouse_gas_emissions&amp; " "&amp;template_label_always_to_be_reported</f>
        <v/>
      </c>
      <c r="D16" s="1120" t="n"/>
      <c r="E16" s="1120" t="n"/>
      <c r="F16" s="1121" t="n"/>
      <c r="G16" s="703">
        <f>template_label_c3_ghg_reduction_targets&amp;" "&amp;template_label_if_applicable</f>
        <v/>
      </c>
      <c r="H16" s="1120" t="n"/>
      <c r="I16" s="1120" t="n"/>
      <c r="J16" s="1120" t="n"/>
      <c r="K16" s="1121" t="n"/>
    </row>
    <row r="17">
      <c r="C17" s="553" t="n">
        <v>30</v>
      </c>
      <c r="D17" s="508" t="n"/>
      <c r="E17" s="508" t="n"/>
      <c r="F17" s="198" t="n"/>
      <c r="G17" s="722" t="inlineStr">
        <is>
          <t>54(b)</t>
        </is>
      </c>
      <c r="H17" s="508" t="n"/>
      <c r="I17" s="198" t="n"/>
      <c r="J17" s="568" t="inlineStr">
        <is>
          <t>54(a)</t>
        </is>
      </c>
      <c r="K17" s="569" t="inlineStr">
        <is>
          <t xml:space="preserve">54(d) </t>
        </is>
      </c>
    </row>
    <row r="18">
      <c r="C18" s="423" t="inlineStr">
        <is>
          <t>N/A</t>
        </is>
      </c>
      <c r="D18" s="551" t="inlineStr">
        <is>
          <t>26-45</t>
        </is>
      </c>
      <c r="E18" s="1106" t="n"/>
      <c r="F18" s="199" t="n"/>
      <c r="G18" s="723" t="inlineStr">
        <is>
          <t>152-158</t>
        </is>
      </c>
      <c r="H18" s="1106" t="n"/>
      <c r="I18" s="199" t="n"/>
      <c r="J18" s="551" t="inlineStr">
        <is>
          <t>152-158</t>
        </is>
      </c>
      <c r="K18" s="656" t="inlineStr">
        <is>
          <t>152-158</t>
        </is>
      </c>
    </row>
    <row r="19" ht="30" customHeight="1">
      <c r="C19" s="744" t="n"/>
      <c r="D19" s="1106" t="n"/>
      <c r="E19" s="1106" t="n"/>
      <c r="F19" s="199" t="n"/>
      <c r="G19" s="680">
        <f>template_label_has_the_undertaking_has_established_ghg_emission_reduction_targets</f>
        <v/>
      </c>
      <c r="H19" s="1106" t="n"/>
      <c r="I19" s="199" t="n"/>
      <c r="J19" s="155" t="b">
        <v>1</v>
      </c>
      <c r="K19" s="102" t="n"/>
    </row>
    <row r="20" ht="28.8" customHeight="1">
      <c r="C20" s="100" t="n"/>
      <c r="D20" s="727">
        <f>template_label_current_reporting_period</f>
        <v/>
      </c>
      <c r="E20" s="1106" t="n"/>
      <c r="F20" s="199" t="n"/>
      <c r="G20" s="726">
        <f>template_label_base_year</f>
        <v/>
      </c>
      <c r="H20" s="1106" t="n"/>
      <c r="I20" s="199" t="n"/>
      <c r="J20" s="727">
        <f>template_label_target_year</f>
        <v/>
      </c>
      <c r="K20" s="842">
        <f>template_label_percentage_reduction_from_base_year</f>
        <v/>
      </c>
    </row>
    <row r="21">
      <c r="A21" s="658">
        <f>template_label_GHG_calculator</f>
        <v/>
      </c>
      <c r="C21" s="4">
        <f>template_label_year_date</f>
        <v/>
      </c>
      <c r="D21" s="751">
        <f>IF('General Information'!$D$9="", "-", 'General Information'!$D$9) &amp; "  -  " &amp; IF('General Information'!$D$13="", "-", 'General Information'!$D$13)</f>
        <v/>
      </c>
      <c r="E21" s="1106" t="n"/>
      <c r="F21" s="199" t="n"/>
      <c r="G21" s="728" t="n">
        <v>2020</v>
      </c>
      <c r="H21" s="1130" t="n"/>
      <c r="I21" s="1124" t="n"/>
      <c r="J21" s="976" t="n">
        <v>2030</v>
      </c>
      <c r="K21" s="102" t="n"/>
      <c r="L21" s="518">
        <f>IF(AND(J19=TRUE, G21&lt;&gt;"", J21&lt;&gt;""), template_label_ok,
IF(AND(J19=TRUE, G21="", J21=""), template_label_missing_value,
IF(AND(J19=FALSE, G21="", J21=""), "",
IF(AND(J19=TRUE, OR(G21="", J21="")), template_label_missing_value, ""))))</f>
        <v/>
      </c>
    </row>
    <row r="22">
      <c r="C22" s="4">
        <f>template_label_gross_scope_1_ghg_emissions</f>
        <v/>
      </c>
      <c r="D22" s="673" t="n">
        <v>100</v>
      </c>
      <c r="E22" s="1130" t="n"/>
      <c r="F22" s="1124" t="n"/>
      <c r="G22" s="716" t="n">
        <v>150</v>
      </c>
      <c r="H22" s="1130" t="n"/>
      <c r="I22" s="1124" t="n"/>
      <c r="J22" s="730" t="n">
        <v>75</v>
      </c>
      <c r="K22" s="103">
        <f>IF(AND(G22="", J22=""), "-", IFERROR(-(1 - (J22 / G22)), "-"))</f>
        <v/>
      </c>
      <c r="L22" s="518">
        <f>IF(OR(
'Table of Contents &amp; Validation'!D23=TRUE,'Table of Contents &amp; Validation'!D20=TRUE),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c r="C23" s="4">
        <f>template_label_gross_scope_2_location_based_ghg_emissions</f>
        <v/>
      </c>
      <c r="D23" s="673" t="n">
        <v>50</v>
      </c>
      <c r="E23" s="1130" t="n"/>
      <c r="F23" s="1124" t="n"/>
      <c r="G23" s="716" t="n">
        <v>75</v>
      </c>
      <c r="H23" s="1130" t="n"/>
      <c r="I23" s="1124" t="n"/>
      <c r="J23" s="730" t="n">
        <v>15</v>
      </c>
      <c r="K23" s="103">
        <f>IF(AND(G23="", J23=""), "-", IFERROR(-(1 - (J23 / G23)), "-"))</f>
        <v/>
      </c>
      <c r="L23" s="518">
        <f>IF(OR(
'Table of Contents &amp; Validation'!D23=TRUE,'Table of Contents &amp; Validation'!D20=TRUE),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c r="C24" s="4">
        <f>template_label_gross_scope_2_market_based_ghg_emissions &amp; " - " &amp; template_label_may_not_headline</f>
        <v/>
      </c>
      <c r="D24" s="673" t="n"/>
      <c r="E24" s="1130" t="n"/>
      <c r="F24" s="1124" t="n"/>
      <c r="G24" s="716" t="n"/>
      <c r="H24" s="1130" t="n"/>
      <c r="I24" s="1124" t="n"/>
      <c r="J24" s="730" t="n"/>
      <c r="K24" s="103">
        <f>IF(AND(G24="", J24=""), "-", IFERROR(-(1 - (J24 / G24)), "-"))</f>
        <v/>
      </c>
      <c r="L24" s="518">
        <f>IF(D24&lt;&gt;"",
    IF(AND(G24="", J24=""), template_label_ok,
       IF(AND(G24&lt;&gt;"", J24=""), template_label_missing_value, template_label_ok)
    ),
"")</f>
        <v/>
      </c>
    </row>
    <row r="25">
      <c r="C25" s="4">
        <f>template_label_total_scope_1_and_scope_2_ghg_emissions_location_based</f>
        <v/>
      </c>
      <c r="D25" s="676" t="n"/>
      <c r="E25" s="1106" t="n"/>
      <c r="F25" s="199" t="n"/>
      <c r="G25" s="821" t="n"/>
      <c r="H25" s="1106" t="n"/>
      <c r="I25" s="199" t="n"/>
      <c r="J25" s="676" t="n"/>
      <c r="K25" s="103">
        <f>IF(AND(G25="", J25=""), "-", IFERROR(-(1 - (J25 / G25)), "-"))</f>
        <v/>
      </c>
    </row>
    <row r="26" ht="15" customHeight="1" thickBot="1">
      <c r="C26" s="55">
        <f>template_label_total_scope_1_and_scope_2_ghg_emissions_market_based &amp; " - " &amp; template_label_may_not_headline</f>
        <v/>
      </c>
      <c r="D26" s="678" t="n"/>
      <c r="E26" s="1115" t="n"/>
      <c r="F26" s="1116" t="n"/>
      <c r="G26" s="822" t="n"/>
      <c r="H26" s="1115" t="n"/>
      <c r="I26" s="1116" t="n"/>
      <c r="J26" s="678" t="n"/>
      <c r="K26" s="425">
        <f>IF(AND(G26="", J26=""), "-", IFERROR(-(1 - (J26 / G26)), "-"))</f>
        <v/>
      </c>
    </row>
    <row r="27">
      <c r="C27" s="802" t="inlineStr">
        <is>
          <t>50-53</t>
        </is>
      </c>
      <c r="D27" s="1143" t="n"/>
      <c r="E27" s="1143" t="n"/>
      <c r="F27" s="1144" t="n"/>
      <c r="G27" s="731" t="n">
        <v>54</v>
      </c>
      <c r="H27" s="1143" t="n"/>
      <c r="I27" s="1143" t="n"/>
      <c r="J27" s="1144" t="n"/>
      <c r="K27" s="104" t="n"/>
    </row>
    <row r="28">
      <c r="C28" s="423" t="inlineStr">
        <is>
          <t>N/A</t>
        </is>
      </c>
      <c r="D28" s="551" t="inlineStr">
        <is>
          <t>150-151</t>
        </is>
      </c>
      <c r="E28" s="1106" t="n"/>
      <c r="F28" s="199" t="n"/>
      <c r="G28" s="734" t="inlineStr">
        <is>
          <t>N/A</t>
        </is>
      </c>
      <c r="H28" s="1106" t="n"/>
      <c r="I28" s="199" t="n"/>
      <c r="J28" s="735" t="inlineStr">
        <is>
          <t>N/A</t>
        </is>
      </c>
      <c r="K28" s="426" t="n"/>
    </row>
    <row r="29" ht="22.2" customHeight="1">
      <c r="C29" s="747">
        <f>template_label_is_the_undertaking_disclosing_entity_specific_information_on_scope_3_emissions</f>
        <v/>
      </c>
      <c r="D29" s="1106" t="n"/>
      <c r="E29" s="1106" t="n"/>
      <c r="F29" s="199" t="n"/>
      <c r="G29" s="733" t="b">
        <v>1</v>
      </c>
      <c r="H29" s="1130" t="n"/>
      <c r="I29" s="1130" t="n"/>
      <c r="J29" s="1130" t="n"/>
      <c r="K29" s="1124" t="n"/>
    </row>
    <row r="30" ht="14.7" customHeight="1">
      <c r="C30" s="613">
        <f>template_label_1_purchased_goods_and_services</f>
        <v/>
      </c>
      <c r="D30" s="645" t="n">
        <v>200</v>
      </c>
      <c r="E30" s="1130" t="n"/>
      <c r="F30" s="1124" t="n"/>
      <c r="G30" s="669" t="n">
        <v>300</v>
      </c>
      <c r="H30" s="1130" t="n"/>
      <c r="I30" s="1124" t="n"/>
      <c r="J30" s="645" t="n">
        <v>100</v>
      </c>
      <c r="K30" s="257">
        <f>IF(OR(G30="", J30=""), "-", IFERROR(-(1 - (J30 / G30)), "-"))</f>
        <v/>
      </c>
      <c r="L30" s="518">
        <f t="array" ref="L30">IF(
   OR(
      SUMPRODUCT((G30:G44&lt;&gt;"")*(J30:J44="")) &gt; 0,
      SUMPRODUCT((J30:J44&lt;&gt;"")*(G30:G44="")) &gt; 0
   ),
   template_label_missing_value,
   IF(
      AND(G29=TRUE, COUNTA(D30:F44)=0),
      template_label_missing_value,
      IF(G29=FALSE, "", template_label_ok)
   )
)</f>
        <v/>
      </c>
      <c r="M30" s="563">
        <f>template_label_scope_3_categories_warning</f>
        <v/>
      </c>
    </row>
    <row r="31">
      <c r="C31" s="613">
        <f>template_label_2_capital_goods</f>
        <v/>
      </c>
      <c r="D31" s="645" t="n"/>
      <c r="E31" s="1130" t="n"/>
      <c r="F31" s="1124" t="n"/>
      <c r="G31" s="669" t="n"/>
      <c r="H31" s="1130" t="n"/>
      <c r="I31" s="1124" t="n"/>
      <c r="J31" s="645" t="n"/>
      <c r="K31" s="257">
        <f>IF(OR(G31="", J31=""), "-", IFERROR(-(1 - (J31 / G31)), "-"))</f>
        <v/>
      </c>
    </row>
    <row r="32">
      <c r="C32" s="613">
        <f>template_label_3_fuel__and_energy_related_activities</f>
        <v/>
      </c>
      <c r="D32" s="645" t="n"/>
      <c r="E32" s="1130" t="n"/>
      <c r="F32" s="1124" t="n"/>
      <c r="G32" s="669" t="n"/>
      <c r="H32" s="1130" t="n"/>
      <c r="I32" s="1124" t="n"/>
      <c r="J32" s="645" t="n"/>
      <c r="K32" s="257">
        <f>IF(OR(G32="", J32=""), "-", IFERROR(-(1 - (J32 / G32)), "-"))</f>
        <v/>
      </c>
    </row>
    <row r="33">
      <c r="C33" s="613">
        <f>template_label_4_upstream_transportation_and_distribution</f>
        <v/>
      </c>
      <c r="D33" s="645" t="n"/>
      <c r="E33" s="1130" t="n"/>
      <c r="F33" s="1124" t="n"/>
      <c r="G33" s="669" t="n"/>
      <c r="H33" s="1130" t="n"/>
      <c r="I33" s="1124" t="n"/>
      <c r="J33" s="645" t="n"/>
      <c r="K33" s="257">
        <f>IF(OR(G33="", J33=""), "-", IFERROR(-(1 - (J33 / G33)), "-"))</f>
        <v/>
      </c>
    </row>
    <row r="34">
      <c r="C34" s="613">
        <f>template_label_5_waste_generated_in_operations</f>
        <v/>
      </c>
      <c r="D34" s="645" t="n"/>
      <c r="E34" s="1130" t="n"/>
      <c r="F34" s="1124" t="n"/>
      <c r="G34" s="669" t="n"/>
      <c r="H34" s="1130" t="n"/>
      <c r="I34" s="1124" t="n"/>
      <c r="J34" s="645" t="n"/>
      <c r="K34" s="257">
        <f>IF(OR(G34="", J34=""), "-", IFERROR(-(1 - (J34 / G34)), "-"))</f>
        <v/>
      </c>
    </row>
    <row r="35">
      <c r="C35" s="613">
        <f>template_label_6_business_travel</f>
        <v/>
      </c>
      <c r="D35" s="645" t="n"/>
      <c r="E35" s="1130" t="n"/>
      <c r="F35" s="1124" t="n"/>
      <c r="G35" s="669" t="n"/>
      <c r="H35" s="1130" t="n"/>
      <c r="I35" s="1124" t="n"/>
      <c r="J35" s="645" t="n"/>
      <c r="K35" s="257">
        <f>IF(OR(G35="", J35=""), "-", IFERROR(-(1 - (J35 / G35)), "-"))</f>
        <v/>
      </c>
    </row>
    <row r="36">
      <c r="C36" s="613">
        <f>template_label_7_employee_commuting</f>
        <v/>
      </c>
      <c r="D36" s="645" t="n"/>
      <c r="E36" s="1130" t="n"/>
      <c r="F36" s="1124" t="n"/>
      <c r="G36" s="669" t="n"/>
      <c r="H36" s="1130" t="n"/>
      <c r="I36" s="1124" t="n"/>
      <c r="J36" s="645" t="n"/>
      <c r="K36" s="257">
        <f>IF(OR(G36="", J36=""), "-", IFERROR(-(1 - (J36 / G36)), "-"))</f>
        <v/>
      </c>
    </row>
    <row r="37">
      <c r="C37" s="613">
        <f>template_label_8_upstream_leased_assets</f>
        <v/>
      </c>
      <c r="D37" s="645" t="n"/>
      <c r="E37" s="1130" t="n"/>
      <c r="F37" s="1124" t="n"/>
      <c r="G37" s="669" t="n"/>
      <c r="H37" s="1130" t="n"/>
      <c r="I37" s="1124" t="n"/>
      <c r="J37" s="645" t="n"/>
      <c r="K37" s="257">
        <f>IF(OR(G37="", J37=""), "-", IFERROR(-(1 - (J37 / G37)), "-"))</f>
        <v/>
      </c>
    </row>
    <row r="38">
      <c r="C38" s="613">
        <f>template_label_9_downstream_transportation_and_distribution</f>
        <v/>
      </c>
      <c r="D38" s="645" t="n">
        <v>500</v>
      </c>
      <c r="E38" s="1130" t="n"/>
      <c r="F38" s="1124" t="n"/>
      <c r="G38" s="669" t="n">
        <v>400</v>
      </c>
      <c r="H38" s="1130" t="n"/>
      <c r="I38" s="1124" t="n"/>
      <c r="J38" s="645" t="n">
        <v>200</v>
      </c>
      <c r="K38" s="257">
        <f>IF(OR(G38="", J38=""), "-", IFERROR(-(1 - (J38 / G38)), "-"))</f>
        <v/>
      </c>
    </row>
    <row r="39">
      <c r="C39" s="613">
        <f>template_label_10_processing_of_sold_products</f>
        <v/>
      </c>
      <c r="D39" s="645" t="n"/>
      <c r="E39" s="1130" t="n"/>
      <c r="F39" s="1124" t="n"/>
      <c r="G39" s="669" t="n"/>
      <c r="H39" s="1130" t="n"/>
      <c r="I39" s="1124" t="n"/>
      <c r="J39" s="645" t="n"/>
      <c r="K39" s="257">
        <f>IF(OR(G39="", J39=""), "-", IFERROR(-(1 - (J39 / G39)), "-"))</f>
        <v/>
      </c>
    </row>
    <row r="40">
      <c r="C40" s="613">
        <f>template_label_11_use_of_sold_products</f>
        <v/>
      </c>
      <c r="D40" s="645" t="n"/>
      <c r="E40" s="1130" t="n"/>
      <c r="F40" s="1124" t="n"/>
      <c r="G40" s="669" t="n"/>
      <c r="H40" s="1130" t="n"/>
      <c r="I40" s="1124" t="n"/>
      <c r="J40" s="645" t="n"/>
      <c r="K40" s="257">
        <f>IF(OR(G40="", J40=""), "-", IFERROR(-(1 - (J40 / G40)), "-"))</f>
        <v/>
      </c>
    </row>
    <row r="41">
      <c r="C41" s="613">
        <f>template_label_12_end_of_life_treatment_of_sold_products</f>
        <v/>
      </c>
      <c r="D41" s="645" t="n"/>
      <c r="E41" s="1130" t="n"/>
      <c r="F41" s="1124" t="n"/>
      <c r="G41" s="669" t="n"/>
      <c r="H41" s="1130" t="n"/>
      <c r="I41" s="1124" t="n"/>
      <c r="J41" s="645" t="n"/>
      <c r="K41" s="257">
        <f>IF(OR(G41="", J41=""), "-", IFERROR(-(1 - (J41 / G41)), "-"))</f>
        <v/>
      </c>
    </row>
    <row r="42">
      <c r="C42" s="613">
        <f>template_label_13_downstream_leased_assets</f>
        <v/>
      </c>
      <c r="D42" s="645" t="n"/>
      <c r="E42" s="1130" t="n"/>
      <c r="F42" s="1124" t="n"/>
      <c r="G42" s="669" t="n"/>
      <c r="H42" s="1130" t="n"/>
      <c r="I42" s="1124" t="n"/>
      <c r="J42" s="645" t="n"/>
      <c r="K42" s="257">
        <f>IF(OR(G42="", J42=""), "-", IFERROR(-(1 - (J42 / G42)), "-"))</f>
        <v/>
      </c>
    </row>
    <row r="43">
      <c r="C43" s="613">
        <f>template_label_14_franchises</f>
        <v/>
      </c>
      <c r="D43" s="645" t="n"/>
      <c r="E43" s="1130" t="n"/>
      <c r="F43" s="1124" t="n"/>
      <c r="G43" s="669" t="n"/>
      <c r="H43" s="1130" t="n"/>
      <c r="I43" s="1124" t="n"/>
      <c r="J43" s="645" t="n"/>
      <c r="K43" s="257">
        <f>IF(OR(G43="", J43=""), "-", IFERROR(-(1 - (J43 / G43)), "-"))</f>
        <v/>
      </c>
    </row>
    <row r="44">
      <c r="C44" s="613">
        <f>template_label_15_investments</f>
        <v/>
      </c>
      <c r="D44" s="645" t="n"/>
      <c r="E44" s="1130" t="n"/>
      <c r="F44" s="1124" t="n"/>
      <c r="G44" s="669" t="n"/>
      <c r="H44" s="1130" t="n"/>
      <c r="I44" s="1124" t="n"/>
      <c r="J44" s="645" t="n"/>
      <c r="K44" s="257">
        <f>IF(OR(G44="", J44=""), "-", IFERROR(-(1 - (J44 / G44)), "-"))</f>
        <v/>
      </c>
    </row>
    <row r="45" ht="15" customHeight="1" thickBot="1">
      <c r="C45" s="105">
        <f>template_label_total_scope_3_ghg_emissions</f>
        <v/>
      </c>
      <c r="D45" s="671" t="n"/>
      <c r="E45" s="1140" t="n"/>
      <c r="F45" s="1125" t="n"/>
      <c r="G45" s="670" t="n"/>
      <c r="H45" s="1140" t="n"/>
      <c r="I45" s="1125" t="n"/>
      <c r="J45" s="235" t="n"/>
      <c r="K45" s="206">
        <f>IF(AND(G45="", J45=""), "-", IFERROR(-(1 - (J45 / G45)), "-"))</f>
        <v/>
      </c>
      <c r="L45" s="518" t="n"/>
    </row>
    <row r="46">
      <c r="C46" s="13">
        <f>template_label_total_scope_1_scope_2_and_scope_3_ghg_emissions_location_based</f>
        <v/>
      </c>
      <c r="D46" s="783" t="n"/>
      <c r="E46" s="508" t="n"/>
      <c r="F46" s="198" t="n"/>
      <c r="G46" s="782" t="n"/>
      <c r="H46" s="508" t="n"/>
      <c r="I46" s="198" t="n"/>
      <c r="J46" s="783" t="n"/>
      <c r="K46" s="207">
        <f>IF(AND(G46="", J46=""), "-", IFERROR(-(1 - (J46 / G46)), "-"))</f>
        <v/>
      </c>
      <c r="M46" s="356" t="n"/>
      <c r="N46" s="356" t="n"/>
      <c r="O46" s="356" t="n"/>
      <c r="P46" s="356" t="n"/>
      <c r="Q46" s="356" t="n"/>
      <c r="R46" s="356" t="n"/>
      <c r="S46" s="356" t="n"/>
      <c r="T46" s="356" t="n"/>
    </row>
    <row r="47" ht="15" customHeight="1" thickBot="1">
      <c r="C47" s="106">
        <f>template_label_total_scope_1_scope_2_and_scope_3_ghg_emissions_market_based &amp; " - " &amp; template_label_may_not_headline</f>
        <v/>
      </c>
      <c r="D47" s="1145" t="n"/>
      <c r="E47" s="1140" t="n"/>
      <c r="F47" s="1146" t="n"/>
      <c r="G47" s="1147" t="n"/>
      <c r="H47" s="1140" t="n"/>
      <c r="I47" s="1125" t="n"/>
      <c r="J47" s="233" t="n"/>
      <c r="K47" s="206">
        <f>IF(AND(G47="", J47=""), "-", IFERROR(-(1 - (J47 / G47)), "-"))</f>
        <v/>
      </c>
      <c r="M47" s="356" t="n"/>
      <c r="N47" s="356" t="n"/>
      <c r="O47" s="356" t="n"/>
      <c r="P47" s="356" t="n"/>
      <c r="Q47" s="356" t="n"/>
      <c r="R47" s="356" t="n"/>
      <c r="S47" s="356" t="n"/>
      <c r="T47" s="356" t="n"/>
    </row>
    <row r="48" ht="15" customHeight="1" thickBot="1">
      <c r="C48" s="107" t="n"/>
      <c r="D48" s="107" t="n"/>
      <c r="E48" s="107" t="n"/>
      <c r="F48" s="107" t="n"/>
      <c r="G48" s="107" t="n"/>
      <c r="H48" s="107" t="n"/>
      <c r="I48" s="107" t="n"/>
      <c r="J48" s="107" t="n"/>
      <c r="K48" s="107" t="n"/>
    </row>
    <row r="49" ht="15" customHeight="1" thickBot="1">
      <c r="C49" s="830">
        <f>template_label_c3_disclosure_of_list_of_main_actions_the_entity_seeks_in_order_to_achieve_its_targets&amp;" "&amp;template_label_from&amp;" "&amp;template_starting_date_display&amp;" "&amp;template_label_to&amp;" "&amp;template_ending_date_display&amp;" "&amp;template_label_if_applicable</f>
        <v/>
      </c>
      <c r="D49" s="1120" t="n"/>
      <c r="E49" s="1120" t="n"/>
      <c r="F49" s="1120" t="n"/>
      <c r="G49" s="1120" t="n"/>
      <c r="H49" s="1120" t="n"/>
      <c r="I49" s="1120" t="n"/>
      <c r="J49" s="1120" t="n"/>
      <c r="K49" s="1121" t="n"/>
    </row>
    <row r="50">
      <c r="C50" s="553" t="inlineStr">
        <is>
          <t>54(e)</t>
        </is>
      </c>
      <c r="D50" s="508" t="n"/>
      <c r="E50" s="508" t="n"/>
      <c r="F50" s="508" t="n"/>
      <c r="G50" s="508" t="n"/>
      <c r="H50" s="508" t="n"/>
      <c r="I50" s="508" t="n"/>
      <c r="J50" s="508" t="n"/>
      <c r="K50" s="198" t="n"/>
    </row>
    <row r="51">
      <c r="C51" s="586" t="n">
        <v>159</v>
      </c>
      <c r="D51" s="1106" t="n"/>
      <c r="E51" s="1106" t="n"/>
      <c r="F51" s="1106" t="n"/>
      <c r="G51" s="1106" t="n"/>
      <c r="H51" s="1106" t="n"/>
      <c r="I51" s="1106" t="n"/>
      <c r="J51" s="1106" t="n"/>
      <c r="K51" s="199" t="n"/>
    </row>
    <row r="52" ht="15" customHeight="1" thickBot="1">
      <c r="C52" s="829" t="inlineStr">
        <is>
          <t xml:space="preserve">Lorem ipsum dolor sit amet, consectetur adipiscing elit, sed do eiusmod tempor incididunt ut labore et dolore magna aliqua. 
Ut enim ad minim veniam, quis nostrud exercitation ullamco laboris nisi ut aliquip ex ea commodo consequat.
 </t>
        </is>
      </c>
      <c r="D52" s="1132" t="n"/>
      <c r="E52" s="1132" t="n"/>
      <c r="F52" s="1132" t="n"/>
      <c r="G52" s="1132" t="n"/>
      <c r="H52" s="1132" t="n"/>
      <c r="I52" s="1132" t="n"/>
      <c r="J52" s="1132" t="n"/>
      <c r="K52" s="1123" t="n"/>
      <c r="L52" s="518">
        <f>IF(AND(J19=TRUE, C52&lt;&gt;""), template_label_ok, IF(AND(J19=TRUE, C52=""), template_label_missing_value, ""))</f>
        <v/>
      </c>
    </row>
    <row r="54" ht="15" customHeight="1" thickBot="1">
      <c r="C54" s="9" t="n"/>
      <c r="D54" s="9" t="n"/>
      <c r="E54" s="9" t="n"/>
      <c r="F54" s="9" t="n"/>
      <c r="G54" s="9" t="n"/>
      <c r="H54" s="9" t="n"/>
      <c r="I54" s="9" t="n"/>
      <c r="J54" s="9" t="n"/>
      <c r="K54" s="9" t="n"/>
    </row>
    <row r="55" ht="89.40000000000001" customHeight="1" thickBot="1">
      <c r="A55" s="875">
        <f>template_label_supporting_guidance_c3</f>
        <v/>
      </c>
      <c r="B55" s="1148" t="n"/>
      <c r="C55" s="699">
        <f>template_label_c3_transition_plan_for_undertakings_operating_in_high_climate_impact_sectors&amp;" "&amp;template_label_from&amp;" "&amp;template_starting_date_display&amp;" "&amp;template_label_to&amp;" "&amp;template_ending_date_display&amp;" "&amp; template_label_if_applicable</f>
        <v/>
      </c>
      <c r="D55" s="1120" t="n"/>
      <c r="E55" s="1120" t="n"/>
      <c r="F55" s="1120" t="n"/>
      <c r="G55" s="1120" t="n"/>
      <c r="H55" s="1120" t="n"/>
      <c r="I55" s="1120" t="n"/>
      <c r="J55" s="1120" t="n"/>
      <c r="K55" s="1121" t="n"/>
    </row>
    <row r="56" ht="38.4" customHeight="1">
      <c r="A56" s="551" t="n">
        <v>55</v>
      </c>
      <c r="B56" s="559" t="inlineStr">
        <is>
          <t>160-163</t>
        </is>
      </c>
      <c r="C56" s="766">
        <f>template_label_is_the_undertaking_operating_in_high_impact_sectors</f>
        <v/>
      </c>
      <c r="D56" s="1149">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
      </c>
      <c r="E56" s="508" t="n"/>
      <c r="F56" s="508" t="n"/>
      <c r="G56" s="508" t="n"/>
      <c r="H56" s="508" t="n"/>
      <c r="I56" s="508" t="n"/>
      <c r="J56" s="508" t="n"/>
      <c r="K56" s="1148" t="n"/>
      <c r="L56" s="518" t="n"/>
    </row>
    <row r="57">
      <c r="A57" s="551" t="n">
        <v>55</v>
      </c>
      <c r="B57" s="559" t="inlineStr">
        <is>
          <t>160-163</t>
        </is>
      </c>
      <c r="C57" s="613">
        <f>template_label_status_of_implementation_of_a_transition_plan_in_relation_to_climate_change_mitigation</f>
        <v/>
      </c>
      <c r="D57" s="1150" t="inlineStr">
        <is>
          <t>Adoption of a transition plan is planned in the future</t>
        </is>
      </c>
      <c r="E57" s="1130" t="n"/>
      <c r="F57" s="1130" t="n"/>
      <c r="G57" s="1130" t="n"/>
      <c r="H57" s="1130" t="n"/>
      <c r="I57" s="1130" t="n"/>
      <c r="J57" s="1130" t="n"/>
      <c r="K57" s="1138" t="n"/>
      <c r="L57" s="518">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551" t="n">
        <v>55</v>
      </c>
      <c r="B58" s="559" t="inlineStr">
        <is>
          <t>160-163</t>
        </is>
      </c>
      <c r="C58" s="108">
        <f>template_label_description_of_a_transition_plan_for_climate_change_mitigation &amp; " - " &amp; template_label_may_not_headline</f>
        <v/>
      </c>
      <c r="D58" s="827" t="n"/>
      <c r="E58" s="1130" t="n"/>
      <c r="F58" s="1130" t="n"/>
      <c r="G58" s="1130" t="n"/>
      <c r="H58" s="1130" t="n"/>
      <c r="I58" s="1130" t="n"/>
      <c r="J58" s="1130" t="n"/>
      <c r="K58" s="1124" t="n"/>
      <c r="L58" s="518">
        <f>IF(AND(D57="A transition plan has already been adopted", DescriptionOfATransitionPlanForClimateChangeMitigationIncludingAnExplanationOfHowItIsContributingToReduceGhgEmissions&lt;&gt;""), template_label_ok, "")</f>
        <v/>
      </c>
    </row>
    <row r="59">
      <c r="A59" s="551" t="n">
        <v>56</v>
      </c>
      <c r="B59" s="559" t="inlineStr">
        <is>
          <t>160-163</t>
        </is>
      </c>
      <c r="C59" s="579">
        <f>template_label_date_of_foreseen_adoption_of_transition_plan_for_undertaking_not_having_adopted_transition_plan_yet</f>
        <v/>
      </c>
      <c r="D59" s="1151">
        <f>template_label_year</f>
        <v/>
      </c>
      <c r="E59" s="1106" t="n"/>
      <c r="F59" s="1106" t="n"/>
      <c r="G59" s="1106" t="n"/>
      <c r="H59" s="199" t="n"/>
      <c r="I59" s="1152" t="n">
        <v>2028</v>
      </c>
      <c r="J59" s="1130" t="n"/>
      <c r="K59" s="1138" t="n"/>
      <c r="L59" s="659">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450" t="n"/>
      <c r="B60" s="387" t="n"/>
      <c r="C60" s="1133" t="n"/>
      <c r="D60" s="1151">
        <f>template_label_month</f>
        <v/>
      </c>
      <c r="E60" s="1106" t="n"/>
      <c r="F60" s="1106" t="n"/>
      <c r="G60" s="1106" t="n"/>
      <c r="H60" s="199" t="n"/>
      <c r="I60" s="1152" t="n">
        <v>1</v>
      </c>
      <c r="J60" s="1130" t="n"/>
      <c r="K60" s="1138" t="n"/>
      <c r="L60" s="8" t="n"/>
    </row>
    <row r="61">
      <c r="A61" s="450" t="n"/>
      <c r="B61" s="387" t="n"/>
      <c r="C61" s="1133" t="n"/>
      <c r="D61" s="1151">
        <f>template_label_day</f>
        <v/>
      </c>
      <c r="E61" s="1106" t="n"/>
      <c r="F61" s="1106" t="n"/>
      <c r="G61" s="1106" t="n"/>
      <c r="H61" s="199" t="n"/>
      <c r="I61" s="1152" t="n">
        <v>1</v>
      </c>
      <c r="J61" s="1130" t="n"/>
      <c r="K61" s="1138" t="n"/>
      <c r="L61" s="8" t="n"/>
    </row>
    <row r="62" ht="15" customHeight="1" thickBot="1">
      <c r="A62" s="3" t="n"/>
      <c r="B62" s="1128" t="n"/>
      <c r="C62" s="1153" t="n"/>
      <c r="D62" s="791" t="n"/>
      <c r="E62" s="1140" t="n"/>
      <c r="F62" s="1140" t="n"/>
      <c r="G62" s="1140" t="n"/>
      <c r="H62" s="1140" t="n"/>
      <c r="I62" s="1140" t="n"/>
      <c r="J62" s="1140" t="n"/>
      <c r="K62" s="1125" t="n"/>
      <c r="L62" s="323" t="n"/>
    </row>
    <row r="63" ht="15" customHeight="1" thickBot="1"/>
    <row r="64" ht="14.85" customHeight="1" thickBot="1">
      <c r="C64" s="588">
        <f>template_label_b3_greenhouse_gas_emission_intensity_per_turnover&amp;" "&amp;template_label_from&amp;" "&amp;template_starting_date_display&amp;" "&amp;template_label_to&amp;" "&amp;template_ending_date_display&amp;" "&amp;template_label_always_to_be_reported</f>
        <v/>
      </c>
      <c r="D64" s="1120" t="n"/>
      <c r="E64" s="1120" t="n"/>
      <c r="F64" s="1120" t="n"/>
      <c r="G64" s="1120" t="n"/>
      <c r="H64" s="1120" t="n"/>
      <c r="I64" s="1120" t="n"/>
      <c r="J64" s="1120" t="n"/>
      <c r="K64" s="1121" t="n"/>
    </row>
    <row r="65" ht="14.85" customHeight="1">
      <c r="C65" s="553" t="n">
        <v>31</v>
      </c>
      <c r="D65" s="508" t="n"/>
      <c r="E65" s="508" t="n"/>
      <c r="F65" s="508" t="n"/>
      <c r="G65" s="508" t="n"/>
      <c r="H65" s="508" t="n"/>
      <c r="I65" s="508" t="n"/>
      <c r="J65" s="508" t="n"/>
      <c r="K65" s="198" t="n"/>
    </row>
    <row r="66">
      <c r="C66" s="603">
        <f>template_label_scope_1_and_scope_2_ghg_emissions_intensity_location_based</f>
        <v/>
      </c>
      <c r="D66" s="1106" t="n"/>
      <c r="E66" s="1106" t="n"/>
      <c r="F66" s="199" t="n"/>
      <c r="G66" s="1154" t="n"/>
      <c r="H66" s="1106" t="n"/>
      <c r="I66" s="1106" t="n"/>
      <c r="J66" s="1106" t="n"/>
      <c r="K66" s="199" t="n"/>
    </row>
    <row r="67">
      <c r="C67" s="603">
        <f>template_label_scope_1_and_scope_2_ghg_emissions_intensity_market_based &amp; " - " &amp; template_label_may_not_headline</f>
        <v/>
      </c>
      <c r="D67" s="1106" t="n"/>
      <c r="E67" s="1106" t="n"/>
      <c r="F67" s="199" t="n"/>
      <c r="G67" s="1155" t="n"/>
      <c r="H67" s="1106" t="n"/>
      <c r="I67" s="1106" t="n"/>
      <c r="J67" s="1106" t="n"/>
      <c r="K67" s="199" t="n"/>
    </row>
    <row r="68">
      <c r="C68" s="603">
        <f>template_label_total_scope_1_scope_2_and_scope_3_ghg_emissions_intensity_location_based</f>
        <v/>
      </c>
      <c r="D68" s="1106" t="n"/>
      <c r="E68" s="1106" t="n"/>
      <c r="F68" s="199" t="n"/>
      <c r="G68" s="1155" t="n"/>
      <c r="H68" s="1106" t="n"/>
      <c r="I68" s="1106" t="n"/>
      <c r="J68" s="1106" t="n"/>
      <c r="K68" s="199" t="n"/>
    </row>
    <row r="69" ht="15" customHeight="1" thickBot="1">
      <c r="C69" s="579">
        <f>template_label_total_scope_1_scope_2_and_scope_3_ghg_emissions_intensity_market_based &amp; " - " &amp; template_label_may_not_headline</f>
        <v/>
      </c>
      <c r="D69" s="1140" t="n"/>
      <c r="E69" s="1140" t="n"/>
      <c r="F69" s="1125" t="n"/>
      <c r="G69" s="1156" t="n"/>
      <c r="H69" s="1140" t="n"/>
      <c r="I69" s="1140" t="n"/>
      <c r="J69" s="1140" t="n"/>
      <c r="K69" s="1125" t="n"/>
    </row>
    <row r="70" ht="15" customHeight="1" thickBot="1"/>
    <row r="71" ht="15" customHeight="1" thickBot="1">
      <c r="C71" s="558">
        <f>template_label_b4_pollution_of_air_water_and_soil&amp;" "&amp;template_label_from&amp;" "&amp;template_starting_date_display&amp;" "&amp;template_label_to&amp;" "&amp;template_ending_date_display&amp;" "&amp;template_label_if_applicable</f>
        <v/>
      </c>
      <c r="D71" s="1120" t="n"/>
      <c r="E71" s="1120" t="n"/>
      <c r="F71" s="1120" t="n"/>
      <c r="G71" s="1120" t="n"/>
      <c r="H71" s="1120" t="n"/>
      <c r="I71" s="1120" t="n"/>
      <c r="J71" s="1120" t="n"/>
      <c r="K71" s="1121" t="n"/>
    </row>
    <row r="72">
      <c r="C72" s="553" t="n">
        <v>32</v>
      </c>
      <c r="D72" s="508" t="n"/>
      <c r="E72" s="508" t="n"/>
      <c r="F72" s="508" t="n"/>
      <c r="G72" s="508" t="n"/>
      <c r="H72" s="508" t="n"/>
      <c r="I72" s="508" t="n"/>
      <c r="J72" s="508" t="n"/>
      <c r="K72" s="198" t="n"/>
    </row>
    <row r="73">
      <c r="C73" s="586" t="inlineStr">
        <is>
          <t>46-69</t>
        </is>
      </c>
      <c r="D73" s="1106" t="n"/>
      <c r="E73" s="1106" t="n"/>
      <c r="F73" s="1106" t="n"/>
      <c r="G73" s="1106" t="n"/>
      <c r="H73" s="1106" t="n"/>
      <c r="I73" s="1106" t="n"/>
      <c r="J73" s="1106" t="n"/>
      <c r="K73" s="199" t="n"/>
    </row>
    <row r="74" ht="30" customHeight="1">
      <c r="C74" s="613">
        <f>template_label_required_by_law_or_other_national_regulations_to_report_to_competent_authorities_its_emissions_of_pollutants</f>
        <v/>
      </c>
      <c r="D74" s="1106" t="n"/>
      <c r="E74" s="1106" t="n"/>
      <c r="F74" s="199" t="n"/>
      <c r="G74" s="796" t="b">
        <v>1</v>
      </c>
      <c r="H74" s="1130" t="n"/>
      <c r="I74" s="1130" t="n"/>
      <c r="J74" s="1130" t="n"/>
      <c r="K74" s="1124" t="n"/>
      <c r="L74" s="518" t="n"/>
    </row>
    <row r="75">
      <c r="C75" s="603">
        <f>template_label_is_this_disclosure_already_publicly_available</f>
        <v/>
      </c>
      <c r="D75" s="1106" t="n"/>
      <c r="E75" s="1106" t="n"/>
      <c r="F75" s="199" t="n"/>
      <c r="G75" s="779" t="b">
        <v>0</v>
      </c>
      <c r="H75" s="1130" t="n"/>
      <c r="I75" s="1130" t="n"/>
      <c r="J75" s="1130" t="n"/>
      <c r="K75" s="1124" t="n"/>
      <c r="L75" s="518">
        <f t="array" ref="L75">IF(AND(G75=TRUE, D80:K179=""),
    template_label_ok,
    IF(AND(OR(D80:K179&lt;&gt;""), G75=TRUE),
       template_label_value_inconsistency,
       ""
    )
)</f>
        <v/>
      </c>
    </row>
    <row r="76">
      <c r="C76" s="603">
        <f>template_label_please_provide_the_relevant_url_link_or_hyperlink_of_where_this_information_is_reported</f>
        <v/>
      </c>
      <c r="D76" s="1106" t="n"/>
      <c r="E76" s="1106" t="n"/>
      <c r="F76" s="199" t="n"/>
      <c r="G76" s="800" t="n"/>
      <c r="H76" s="1130" t="n"/>
      <c r="I76" s="1130" t="n"/>
      <c r="J76" s="1130" t="n"/>
      <c r="K76" s="1124" t="n"/>
      <c r="L76" s="518">
        <f>IF(G75=TRUE,
   IF(G76="",
      template_label_missing_value,
      IF(OR(LEFT(G76,7)="http://", LEFT(G76,8)="https://", LEFT(G76,4)="www."),
         template_label_ok,
         template_label_invalid_url
      )
   ),
"")</f>
        <v/>
      </c>
    </row>
    <row r="77">
      <c r="C77" s="835">
        <f>template_label_please_select_the_unit_used_for_reporting_the_amount</f>
        <v/>
      </c>
      <c r="D77" s="1106" t="n"/>
      <c r="E77" s="1106" t="n"/>
      <c r="F77" s="1106" t="n"/>
      <c r="G77" s="1106" t="n"/>
      <c r="H77" s="1106" t="n"/>
      <c r="I77" s="1106" t="n"/>
      <c r="J77" s="1106" t="n"/>
      <c r="K77" s="199" t="n"/>
    </row>
    <row r="78">
      <c r="C78" s="777" t="inlineStr">
        <is>
          <t>metric tonnes (t)</t>
        </is>
      </c>
      <c r="D78" s="1130" t="n"/>
      <c r="E78" s="1130" t="n"/>
      <c r="F78" s="1130" t="n"/>
      <c r="G78" s="1130" t="n"/>
      <c r="H78" s="1130" t="n"/>
      <c r="I78" s="1130" t="n"/>
      <c r="J78" s="1130" t="n"/>
      <c r="K78" s="1124" t="n"/>
      <c r="L78" s="872">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c r="C79" s="805">
        <f>template_label_row_id</f>
        <v/>
      </c>
      <c r="D79" s="727">
        <f>template_label_pollutant</f>
        <v/>
      </c>
      <c r="E79" s="1106" t="n"/>
      <c r="F79" s="199" t="n"/>
      <c r="G79" s="727">
        <f>template_label_emission_to_air</f>
        <v/>
      </c>
      <c r="H79" s="1106" t="n"/>
      <c r="I79" s="199" t="n"/>
      <c r="J79" s="727">
        <f>template_label_emission_to_water</f>
        <v/>
      </c>
      <c r="K79" s="750">
        <f>template_label_emission_to_soil</f>
        <v/>
      </c>
    </row>
    <row r="80">
      <c r="C80" s="208" t="n">
        <v>1</v>
      </c>
      <c r="D80" s="657" t="inlineStr">
        <is>
          <t>Alachlor</t>
        </is>
      </c>
      <c r="E80" s="1130" t="n"/>
      <c r="F80" s="1124" t="n"/>
      <c r="G80" s="645" t="n">
        <v>567</v>
      </c>
      <c r="H80" s="1130" t="n"/>
      <c r="I80" s="1124" t="n"/>
      <c r="J80" s="645" t="n"/>
      <c r="K80" s="672" t="n"/>
      <c r="L80" s="518">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c r="C81" s="208" t="n">
        <v>2</v>
      </c>
      <c r="D81" s="657" t="inlineStr">
        <is>
          <t>Anthracene</t>
        </is>
      </c>
      <c r="E81" s="1130" t="n"/>
      <c r="F81" s="1124" t="n"/>
      <c r="G81" s="645" t="n"/>
      <c r="H81" s="1130" t="n"/>
      <c r="I81" s="1124" t="n"/>
      <c r="J81" s="645" t="n"/>
      <c r="K81" s="672" t="n">
        <v>67</v>
      </c>
      <c r="L81" s="518">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10" t="n">
        <v>3</v>
      </c>
      <c r="D82" s="694" t="inlineStr">
        <is>
          <t>Carbon dioxide (CO2)</t>
        </is>
      </c>
      <c r="E82" s="1132" t="n"/>
      <c r="F82" s="1123" t="n"/>
      <c r="G82" s="692" t="n"/>
      <c r="H82" s="1132" t="n"/>
      <c r="I82" s="1123" t="n"/>
      <c r="J82" s="692" t="n">
        <v>567</v>
      </c>
      <c r="K82" s="238" t="n"/>
      <c r="L82" s="518">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ht="15" customHeight="1" thickBot="1">
      <c r="C83" s="209" t="n">
        <v>4</v>
      </c>
      <c r="D83" s="781" t="n"/>
      <c r="E83" s="1136" t="n"/>
      <c r="F83" s="1122" t="n"/>
      <c r="G83" s="693" t="n"/>
      <c r="H83" s="1136" t="n"/>
      <c r="I83" s="1122" t="n"/>
      <c r="J83" s="693" t="n"/>
      <c r="K83" s="240" t="n"/>
      <c r="L83" s="518">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08" t="n">
        <v>5</v>
      </c>
      <c r="D84" s="657" t="n"/>
      <c r="E84" s="1130" t="n"/>
      <c r="F84" s="1124" t="n"/>
      <c r="G84" s="645" t="n"/>
      <c r="H84" s="1130" t="n"/>
      <c r="I84" s="1124" t="n"/>
      <c r="J84" s="645" t="n"/>
      <c r="K84" s="672" t="n"/>
      <c r="L84" s="518">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08" t="n">
        <v>6</v>
      </c>
      <c r="D85" s="657" t="n"/>
      <c r="E85" s="1130" t="n"/>
      <c r="F85" s="1124" t="n"/>
      <c r="G85" s="645" t="n"/>
      <c r="H85" s="1130" t="n"/>
      <c r="I85" s="1124" t="n"/>
      <c r="J85" s="645" t="n"/>
      <c r="K85" s="672" t="n"/>
      <c r="L85" s="518">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08" t="n">
        <v>7</v>
      </c>
      <c r="D86" s="657" t="n"/>
      <c r="E86" s="1130" t="n"/>
      <c r="F86" s="1124" t="n"/>
      <c r="G86" s="645" t="n"/>
      <c r="H86" s="1130" t="n"/>
      <c r="I86" s="1124" t="n"/>
      <c r="J86" s="645" t="n"/>
      <c r="K86" s="672" t="n"/>
      <c r="L86" s="518">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08" t="n">
        <v>8</v>
      </c>
      <c r="D87" s="657" t="n"/>
      <c r="E87" s="1130" t="n"/>
      <c r="F87" s="1124" t="n"/>
      <c r="G87" s="645" t="n"/>
      <c r="H87" s="1130" t="n"/>
      <c r="I87" s="1124" t="n"/>
      <c r="J87" s="645" t="n"/>
      <c r="K87" s="672" t="n"/>
      <c r="L87" s="518">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08" t="n">
        <v>9</v>
      </c>
      <c r="D88" s="657" t="n"/>
      <c r="E88" s="1130" t="n"/>
      <c r="F88" s="1124" t="n"/>
      <c r="G88" s="645" t="n"/>
      <c r="H88" s="1130" t="n"/>
      <c r="I88" s="1124" t="n"/>
      <c r="J88" s="645" t="n"/>
      <c r="K88" s="672" t="n"/>
      <c r="L88" s="518">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08" t="n">
        <v>10</v>
      </c>
      <c r="D89" s="657" t="n"/>
      <c r="E89" s="1130" t="n"/>
      <c r="F89" s="1124" t="n"/>
      <c r="G89" s="645" t="n"/>
      <c r="H89" s="1130" t="n"/>
      <c r="I89" s="1124" t="n"/>
      <c r="J89" s="645" t="n"/>
      <c r="K89" s="672" t="n"/>
      <c r="L89" s="518">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08" t="n">
        <v>11</v>
      </c>
      <c r="D90" s="657" t="n"/>
      <c r="E90" s="1130" t="n"/>
      <c r="F90" s="1124" t="n"/>
      <c r="G90" s="645" t="n"/>
      <c r="H90" s="1130" t="n"/>
      <c r="I90" s="1124" t="n"/>
      <c r="J90" s="645" t="n"/>
      <c r="K90" s="672" t="n"/>
      <c r="L90" s="518">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08" t="n">
        <v>12</v>
      </c>
      <c r="D91" s="657" t="n"/>
      <c r="E91" s="1130" t="n"/>
      <c r="F91" s="1124" t="n"/>
      <c r="G91" s="645" t="n"/>
      <c r="H91" s="1130" t="n"/>
      <c r="I91" s="1124" t="n"/>
      <c r="J91" s="645" t="n"/>
      <c r="K91" s="672" t="n"/>
      <c r="L91" s="518">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08" t="n">
        <v>13</v>
      </c>
      <c r="D92" s="657" t="n"/>
      <c r="E92" s="1130" t="n"/>
      <c r="F92" s="1124" t="n"/>
      <c r="G92" s="645" t="n"/>
      <c r="H92" s="1130" t="n"/>
      <c r="I92" s="1124" t="n"/>
      <c r="J92" s="645" t="n"/>
      <c r="K92" s="672" t="n"/>
      <c r="L92" s="518">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08" t="n">
        <v>14</v>
      </c>
      <c r="D93" s="657" t="n"/>
      <c r="E93" s="1130" t="n"/>
      <c r="F93" s="1124" t="n"/>
      <c r="G93" s="645" t="n"/>
      <c r="H93" s="1130" t="n"/>
      <c r="I93" s="1124" t="n"/>
      <c r="J93" s="645" t="n"/>
      <c r="K93" s="672" t="n"/>
      <c r="L93" s="518">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08" t="n">
        <v>15</v>
      </c>
      <c r="D94" s="657" t="n"/>
      <c r="E94" s="1130" t="n"/>
      <c r="F94" s="1124" t="n"/>
      <c r="G94" s="645" t="n"/>
      <c r="H94" s="1130" t="n"/>
      <c r="I94" s="1124" t="n"/>
      <c r="J94" s="645" t="n"/>
      <c r="K94" s="672" t="n"/>
      <c r="L94" s="518">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08" t="n">
        <v>16</v>
      </c>
      <c r="D95" s="657" t="n"/>
      <c r="E95" s="1130" t="n"/>
      <c r="F95" s="1124" t="n"/>
      <c r="G95" s="645" t="n"/>
      <c r="H95" s="1130" t="n"/>
      <c r="I95" s="1124" t="n"/>
      <c r="J95" s="645" t="n"/>
      <c r="K95" s="672" t="n"/>
      <c r="L95" s="518">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08" t="n">
        <v>17</v>
      </c>
      <c r="D96" s="657" t="n"/>
      <c r="E96" s="1130" t="n"/>
      <c r="F96" s="1124" t="n"/>
      <c r="G96" s="645" t="n"/>
      <c r="H96" s="1130" t="n"/>
      <c r="I96" s="1124" t="n"/>
      <c r="J96" s="645" t="n"/>
      <c r="K96" s="672" t="n"/>
      <c r="L96" s="518">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08" t="n">
        <v>18</v>
      </c>
      <c r="D97" s="657" t="n"/>
      <c r="E97" s="1130" t="n"/>
      <c r="F97" s="1124" t="n"/>
      <c r="G97" s="645" t="n"/>
      <c r="H97" s="1130" t="n"/>
      <c r="I97" s="1124" t="n"/>
      <c r="J97" s="645" t="n"/>
      <c r="K97" s="672" t="n"/>
      <c r="L97" s="518">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08" t="n">
        <v>19</v>
      </c>
      <c r="D98" s="657" t="n"/>
      <c r="E98" s="1130" t="n"/>
      <c r="F98" s="1124" t="n"/>
      <c r="G98" s="645" t="n"/>
      <c r="H98" s="1130" t="n"/>
      <c r="I98" s="1124" t="n"/>
      <c r="J98" s="645" t="n"/>
      <c r="K98" s="672" t="n"/>
      <c r="L98" s="518">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08" t="n">
        <v>20</v>
      </c>
      <c r="D99" s="657" t="n"/>
      <c r="E99" s="1130" t="n"/>
      <c r="F99" s="1124" t="n"/>
      <c r="G99" s="645" t="n"/>
      <c r="H99" s="1130" t="n"/>
      <c r="I99" s="1124" t="n"/>
      <c r="J99" s="645" t="n"/>
      <c r="K99" s="672" t="n"/>
      <c r="L99" s="518">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08" t="n">
        <v>21</v>
      </c>
      <c r="D100" s="657" t="n"/>
      <c r="E100" s="1130" t="n"/>
      <c r="F100" s="1124" t="n"/>
      <c r="G100" s="645" t="n"/>
      <c r="H100" s="1130" t="n"/>
      <c r="I100" s="1124" t="n"/>
      <c r="J100" s="645" t="n"/>
      <c r="K100" s="672" t="n"/>
      <c r="L100" s="518">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08" t="n">
        <v>22</v>
      </c>
      <c r="D101" s="657" t="n"/>
      <c r="E101" s="1130" t="n"/>
      <c r="F101" s="1124" t="n"/>
      <c r="G101" s="645" t="n"/>
      <c r="H101" s="1130" t="n"/>
      <c r="I101" s="1124" t="n"/>
      <c r="J101" s="645" t="n"/>
      <c r="K101" s="672" t="n"/>
      <c r="L101" s="518">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08" t="n">
        <v>23</v>
      </c>
      <c r="D102" s="657" t="n"/>
      <c r="E102" s="1130" t="n"/>
      <c r="F102" s="1124" t="n"/>
      <c r="G102" s="645" t="n"/>
      <c r="H102" s="1130" t="n"/>
      <c r="I102" s="1124" t="n"/>
      <c r="J102" s="645" t="n"/>
      <c r="K102" s="672" t="n"/>
      <c r="L102" s="518">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08" t="n">
        <v>24</v>
      </c>
      <c r="D103" s="657" t="n"/>
      <c r="E103" s="1130" t="n"/>
      <c r="F103" s="1124" t="n"/>
      <c r="G103" s="645" t="n"/>
      <c r="H103" s="1130" t="n"/>
      <c r="I103" s="1124" t="n"/>
      <c r="J103" s="645" t="n"/>
      <c r="K103" s="672" t="n"/>
      <c r="L103" s="518">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08" t="n">
        <v>25</v>
      </c>
      <c r="D104" s="657" t="n"/>
      <c r="E104" s="1130" t="n"/>
      <c r="F104" s="1124" t="n"/>
      <c r="G104" s="645" t="n"/>
      <c r="H104" s="1130" t="n"/>
      <c r="I104" s="1124" t="n"/>
      <c r="J104" s="645" t="n"/>
      <c r="K104" s="672" t="n"/>
      <c r="L104" s="518">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08" t="n">
        <v>26</v>
      </c>
      <c r="D105" s="657" t="n"/>
      <c r="E105" s="1130" t="n"/>
      <c r="F105" s="1124" t="n"/>
      <c r="G105" s="645" t="n"/>
      <c r="H105" s="1130" t="n"/>
      <c r="I105" s="1124" t="n"/>
      <c r="J105" s="645" t="n"/>
      <c r="K105" s="672" t="n"/>
      <c r="L105" s="518">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08" t="n">
        <v>27</v>
      </c>
      <c r="D106" s="657" t="n"/>
      <c r="E106" s="1130" t="n"/>
      <c r="F106" s="1124" t="n"/>
      <c r="G106" s="645" t="n"/>
      <c r="H106" s="1130" t="n"/>
      <c r="I106" s="1124" t="n"/>
      <c r="J106" s="645" t="n"/>
      <c r="K106" s="672" t="n"/>
      <c r="L106" s="518">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08" t="n">
        <v>28</v>
      </c>
      <c r="D107" s="657" t="n"/>
      <c r="E107" s="1130" t="n"/>
      <c r="F107" s="1124" t="n"/>
      <c r="G107" s="645" t="n"/>
      <c r="H107" s="1130" t="n"/>
      <c r="I107" s="1124" t="n"/>
      <c r="J107" s="645" t="n"/>
      <c r="K107" s="672" t="n"/>
      <c r="L107" s="518">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08" t="n">
        <v>29</v>
      </c>
      <c r="D108" s="657" t="n"/>
      <c r="E108" s="1130" t="n"/>
      <c r="F108" s="1124" t="n"/>
      <c r="G108" s="645" t="n"/>
      <c r="H108" s="1130" t="n"/>
      <c r="I108" s="1124" t="n"/>
      <c r="J108" s="645" t="n"/>
      <c r="K108" s="672" t="n"/>
      <c r="L108" s="518">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1" t="n"/>
    </row>
    <row r="109" hidden="1" outlineLevel="1">
      <c r="C109" s="208" t="n">
        <v>30</v>
      </c>
      <c r="D109" s="657" t="n"/>
      <c r="E109" s="1130" t="n"/>
      <c r="F109" s="1124" t="n"/>
      <c r="G109" s="645" t="n"/>
      <c r="H109" s="1130" t="n"/>
      <c r="I109" s="1124" t="n"/>
      <c r="J109" s="645" t="n"/>
      <c r="K109" s="672" t="n"/>
      <c r="L109" s="518">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08" t="n">
        <v>31</v>
      </c>
      <c r="D110" s="657" t="n"/>
      <c r="E110" s="1130" t="n"/>
      <c r="F110" s="1124" t="n"/>
      <c r="G110" s="645" t="n"/>
      <c r="H110" s="1130" t="n"/>
      <c r="I110" s="1124" t="n"/>
      <c r="J110" s="645" t="n"/>
      <c r="K110" s="672" t="n"/>
      <c r="L110" s="518">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08" t="n">
        <v>32</v>
      </c>
      <c r="D111" s="657" t="n"/>
      <c r="E111" s="1130" t="n"/>
      <c r="F111" s="1124" t="n"/>
      <c r="G111" s="645" t="n"/>
      <c r="H111" s="1130" t="n"/>
      <c r="I111" s="1124" t="n"/>
      <c r="J111" s="645" t="n"/>
      <c r="K111" s="672" t="n"/>
      <c r="L111" s="518">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08" t="n">
        <v>33</v>
      </c>
      <c r="D112" s="657" t="n"/>
      <c r="E112" s="1130" t="n"/>
      <c r="F112" s="1124" t="n"/>
      <c r="G112" s="645" t="n"/>
      <c r="H112" s="1130" t="n"/>
      <c r="I112" s="1124" t="n"/>
      <c r="J112" s="645" t="n"/>
      <c r="K112" s="672" t="n"/>
      <c r="L112" s="518">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08" t="n">
        <v>34</v>
      </c>
      <c r="D113" s="657" t="n"/>
      <c r="E113" s="1130" t="n"/>
      <c r="F113" s="1124" t="n"/>
      <c r="G113" s="645" t="n"/>
      <c r="H113" s="1130" t="n"/>
      <c r="I113" s="1124" t="n"/>
      <c r="J113" s="645" t="n"/>
      <c r="K113" s="672" t="n"/>
      <c r="L113" s="518">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08" t="n">
        <v>35</v>
      </c>
      <c r="D114" s="657" t="n"/>
      <c r="E114" s="1130" t="n"/>
      <c r="F114" s="1124" t="n"/>
      <c r="G114" s="645" t="n"/>
      <c r="H114" s="1130" t="n"/>
      <c r="I114" s="1124" t="n"/>
      <c r="J114" s="645" t="n"/>
      <c r="K114" s="672" t="n"/>
      <c r="L114" s="518">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08" t="n">
        <v>36</v>
      </c>
      <c r="D115" s="657" t="n"/>
      <c r="E115" s="1130" t="n"/>
      <c r="F115" s="1124" t="n"/>
      <c r="G115" s="645" t="n"/>
      <c r="H115" s="1130" t="n"/>
      <c r="I115" s="1124" t="n"/>
      <c r="J115" s="645" t="n"/>
      <c r="K115" s="672" t="n"/>
      <c r="L115" s="518">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08" t="n">
        <v>37</v>
      </c>
      <c r="D116" s="657" t="n"/>
      <c r="E116" s="1130" t="n"/>
      <c r="F116" s="1124" t="n"/>
      <c r="G116" s="645" t="n"/>
      <c r="H116" s="1130" t="n"/>
      <c r="I116" s="1124" t="n"/>
      <c r="J116" s="645" t="n"/>
      <c r="K116" s="672" t="n"/>
      <c r="L116" s="518">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08" t="n">
        <v>38</v>
      </c>
      <c r="D117" s="657" t="n"/>
      <c r="E117" s="1130" t="n"/>
      <c r="F117" s="1124" t="n"/>
      <c r="G117" s="645" t="n"/>
      <c r="H117" s="1130" t="n"/>
      <c r="I117" s="1124" t="n"/>
      <c r="J117" s="645" t="n"/>
      <c r="K117" s="672" t="n"/>
      <c r="L117" s="518">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08" t="n">
        <v>39</v>
      </c>
      <c r="D118" s="657" t="n"/>
      <c r="E118" s="1130" t="n"/>
      <c r="F118" s="1124" t="n"/>
      <c r="G118" s="645" t="n"/>
      <c r="H118" s="1130" t="n"/>
      <c r="I118" s="1124" t="n"/>
      <c r="J118" s="645" t="n"/>
      <c r="K118" s="672" t="n"/>
      <c r="L118" s="518">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08" t="n">
        <v>40</v>
      </c>
      <c r="D119" s="657" t="n"/>
      <c r="E119" s="1130" t="n"/>
      <c r="F119" s="1124" t="n"/>
      <c r="G119" s="645" t="n"/>
      <c r="H119" s="1130" t="n"/>
      <c r="I119" s="1124" t="n"/>
      <c r="J119" s="645" t="n"/>
      <c r="K119" s="672" t="n"/>
      <c r="L119" s="518">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08" t="n">
        <v>41</v>
      </c>
      <c r="D120" s="657" t="n"/>
      <c r="E120" s="1130" t="n"/>
      <c r="F120" s="1124" t="n"/>
      <c r="G120" s="645" t="n"/>
      <c r="H120" s="1130" t="n"/>
      <c r="I120" s="1124" t="n"/>
      <c r="J120" s="645" t="n"/>
      <c r="K120" s="672" t="n"/>
      <c r="L120" s="518">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08" t="n">
        <v>42</v>
      </c>
      <c r="D121" s="657" t="n"/>
      <c r="E121" s="1130" t="n"/>
      <c r="F121" s="1124" t="n"/>
      <c r="G121" s="645" t="n"/>
      <c r="H121" s="1130" t="n"/>
      <c r="I121" s="1124" t="n"/>
      <c r="J121" s="645" t="n"/>
      <c r="K121" s="672" t="n"/>
      <c r="L121" s="518">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08" t="n">
        <v>43</v>
      </c>
      <c r="D122" s="657" t="n"/>
      <c r="E122" s="1130" t="n"/>
      <c r="F122" s="1124" t="n"/>
      <c r="G122" s="645" t="n"/>
      <c r="H122" s="1130" t="n"/>
      <c r="I122" s="1124" t="n"/>
      <c r="J122" s="645" t="n"/>
      <c r="K122" s="672" t="n"/>
      <c r="L122" s="518">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08" t="n">
        <v>44</v>
      </c>
      <c r="D123" s="657" t="n"/>
      <c r="E123" s="1130" t="n"/>
      <c r="F123" s="1124" t="n"/>
      <c r="G123" s="645" t="n"/>
      <c r="H123" s="1130" t="n"/>
      <c r="I123" s="1124" t="n"/>
      <c r="J123" s="645" t="n"/>
      <c r="K123" s="672" t="n"/>
      <c r="L123" s="518">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08" t="n">
        <v>45</v>
      </c>
      <c r="D124" s="657" t="n"/>
      <c r="E124" s="1130" t="n"/>
      <c r="F124" s="1124" t="n"/>
      <c r="G124" s="645" t="n"/>
      <c r="H124" s="1130" t="n"/>
      <c r="I124" s="1124" t="n"/>
      <c r="J124" s="645" t="n"/>
      <c r="K124" s="672" t="n"/>
      <c r="L124" s="518">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08" t="n">
        <v>46</v>
      </c>
      <c r="D125" s="657" t="n"/>
      <c r="E125" s="1130" t="n"/>
      <c r="F125" s="1124" t="n"/>
      <c r="G125" s="645" t="n"/>
      <c r="H125" s="1130" t="n"/>
      <c r="I125" s="1124" t="n"/>
      <c r="J125" s="645" t="n"/>
      <c r="K125" s="672" t="n"/>
      <c r="L125" s="518">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08" t="n">
        <v>47</v>
      </c>
      <c r="D126" s="657" t="n"/>
      <c r="E126" s="1130" t="n"/>
      <c r="F126" s="1124" t="n"/>
      <c r="G126" s="645" t="n"/>
      <c r="H126" s="1130" t="n"/>
      <c r="I126" s="1124" t="n"/>
      <c r="J126" s="645" t="n"/>
      <c r="K126" s="672" t="n"/>
      <c r="L126" s="518">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08" t="n">
        <v>48</v>
      </c>
      <c r="D127" s="657" t="n"/>
      <c r="E127" s="1130" t="n"/>
      <c r="F127" s="1124" t="n"/>
      <c r="G127" s="645" t="n"/>
      <c r="H127" s="1130" t="n"/>
      <c r="I127" s="1124" t="n"/>
      <c r="J127" s="645" t="n"/>
      <c r="K127" s="672" t="n"/>
      <c r="L127" s="518">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08" t="n">
        <v>49</v>
      </c>
      <c r="D128" s="657" t="n"/>
      <c r="E128" s="1130" t="n"/>
      <c r="F128" s="1124" t="n"/>
      <c r="G128" s="645" t="n"/>
      <c r="H128" s="1130" t="n"/>
      <c r="I128" s="1124" t="n"/>
      <c r="J128" s="645" t="n"/>
      <c r="K128" s="672" t="n"/>
      <c r="L128" s="518">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08" t="n">
        <v>50</v>
      </c>
      <c r="D129" s="657" t="n"/>
      <c r="E129" s="1130" t="n"/>
      <c r="F129" s="1124" t="n"/>
      <c r="G129" s="645" t="n"/>
      <c r="H129" s="1130" t="n"/>
      <c r="I129" s="1124" t="n"/>
      <c r="J129" s="645" t="n"/>
      <c r="K129" s="672" t="n"/>
      <c r="L129" s="518">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08" t="n">
        <v>51</v>
      </c>
      <c r="D130" s="657" t="n"/>
      <c r="E130" s="1130" t="n"/>
      <c r="F130" s="1124" t="n"/>
      <c r="G130" s="645" t="n"/>
      <c r="H130" s="1130" t="n"/>
      <c r="I130" s="1124" t="n"/>
      <c r="J130" s="645" t="n"/>
      <c r="K130" s="672" t="n"/>
      <c r="L130" s="518">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08" t="n">
        <v>52</v>
      </c>
      <c r="D131" s="657" t="n"/>
      <c r="E131" s="1130" t="n"/>
      <c r="F131" s="1124" t="n"/>
      <c r="G131" s="645" t="n"/>
      <c r="H131" s="1130" t="n"/>
      <c r="I131" s="1124" t="n"/>
      <c r="J131" s="645" t="n"/>
      <c r="K131" s="672" t="n"/>
      <c r="L131" s="518">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08" t="n">
        <v>53</v>
      </c>
      <c r="D132" s="657" t="n"/>
      <c r="E132" s="1130" t="n"/>
      <c r="F132" s="1124" t="n"/>
      <c r="G132" s="645" t="n"/>
      <c r="H132" s="1130" t="n"/>
      <c r="I132" s="1124" t="n"/>
      <c r="J132" s="645" t="n"/>
      <c r="K132" s="672" t="n"/>
      <c r="L132" s="518">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08" t="n">
        <v>54</v>
      </c>
      <c r="D133" s="657" t="n"/>
      <c r="E133" s="1130" t="n"/>
      <c r="F133" s="1124" t="n"/>
      <c r="G133" s="645" t="n"/>
      <c r="H133" s="1130" t="n"/>
      <c r="I133" s="1124" t="n"/>
      <c r="J133" s="645" t="n"/>
      <c r="K133" s="672" t="n"/>
      <c r="L133" s="518">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08" t="n">
        <v>55</v>
      </c>
      <c r="D134" s="657" t="n"/>
      <c r="E134" s="1130" t="n"/>
      <c r="F134" s="1124" t="n"/>
      <c r="G134" s="645" t="n"/>
      <c r="H134" s="1130" t="n"/>
      <c r="I134" s="1124" t="n"/>
      <c r="J134" s="645" t="n"/>
      <c r="K134" s="672" t="n"/>
      <c r="L134" s="518">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08" t="n">
        <v>56</v>
      </c>
      <c r="D135" s="657" t="n"/>
      <c r="E135" s="1130" t="n"/>
      <c r="F135" s="1124" t="n"/>
      <c r="G135" s="645" t="n"/>
      <c r="H135" s="1130" t="n"/>
      <c r="I135" s="1124" t="n"/>
      <c r="J135" s="645" t="n"/>
      <c r="K135" s="672" t="n"/>
      <c r="L135" s="518">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08" t="n">
        <v>57</v>
      </c>
      <c r="D136" s="657" t="n"/>
      <c r="E136" s="1130" t="n"/>
      <c r="F136" s="1124" t="n"/>
      <c r="G136" s="645" t="n"/>
      <c r="H136" s="1130" t="n"/>
      <c r="I136" s="1124" t="n"/>
      <c r="J136" s="645" t="n"/>
      <c r="K136" s="672" t="n"/>
      <c r="L136" s="518">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08" t="n">
        <v>58</v>
      </c>
      <c r="D137" s="657" t="n"/>
      <c r="E137" s="1130" t="n"/>
      <c r="F137" s="1124" t="n"/>
      <c r="G137" s="645" t="n"/>
      <c r="H137" s="1130" t="n"/>
      <c r="I137" s="1124" t="n"/>
      <c r="J137" s="645" t="n"/>
      <c r="K137" s="672" t="n"/>
      <c r="L137" s="518">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08" t="n">
        <v>59</v>
      </c>
      <c r="D138" s="657" t="n"/>
      <c r="E138" s="1130" t="n"/>
      <c r="F138" s="1124" t="n"/>
      <c r="G138" s="645" t="n"/>
      <c r="H138" s="1130" t="n"/>
      <c r="I138" s="1124" t="n"/>
      <c r="J138" s="645" t="n"/>
      <c r="K138" s="672" t="n"/>
      <c r="L138" s="518">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08" t="n">
        <v>60</v>
      </c>
      <c r="D139" s="657" t="n"/>
      <c r="E139" s="1130" t="n"/>
      <c r="F139" s="1124" t="n"/>
      <c r="G139" s="645" t="n"/>
      <c r="H139" s="1130" t="n"/>
      <c r="I139" s="1124" t="n"/>
      <c r="J139" s="645" t="n"/>
      <c r="K139" s="672" t="n"/>
      <c r="L139" s="518">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08" t="n">
        <v>61</v>
      </c>
      <c r="D140" s="657" t="n"/>
      <c r="E140" s="1130" t="n"/>
      <c r="F140" s="1124" t="n"/>
      <c r="G140" s="645" t="n"/>
      <c r="H140" s="1130" t="n"/>
      <c r="I140" s="1124" t="n"/>
      <c r="J140" s="645" t="n"/>
      <c r="K140" s="672" t="n"/>
      <c r="L140" s="518">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08" t="n">
        <v>62</v>
      </c>
      <c r="D141" s="657" t="n"/>
      <c r="E141" s="1130" t="n"/>
      <c r="F141" s="1124" t="n"/>
      <c r="G141" s="645" t="n"/>
      <c r="H141" s="1130" t="n"/>
      <c r="I141" s="1124" t="n"/>
      <c r="J141" s="645" t="n"/>
      <c r="K141" s="672" t="n"/>
      <c r="L141" s="518">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08" t="n">
        <v>63</v>
      </c>
      <c r="D142" s="657" t="n"/>
      <c r="E142" s="1130" t="n"/>
      <c r="F142" s="1124" t="n"/>
      <c r="G142" s="645" t="n"/>
      <c r="H142" s="1130" t="n"/>
      <c r="I142" s="1124" t="n"/>
      <c r="J142" s="645" t="n"/>
      <c r="K142" s="672" t="n"/>
      <c r="L142" s="518">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08" t="n">
        <v>64</v>
      </c>
      <c r="D143" s="657" t="n"/>
      <c r="E143" s="1130" t="n"/>
      <c r="F143" s="1124" t="n"/>
      <c r="G143" s="645" t="n"/>
      <c r="H143" s="1130" t="n"/>
      <c r="I143" s="1124" t="n"/>
      <c r="J143" s="645" t="n"/>
      <c r="K143" s="672" t="n"/>
      <c r="L143" s="518">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08" t="n">
        <v>65</v>
      </c>
      <c r="D144" s="657" t="n"/>
      <c r="E144" s="1130" t="n"/>
      <c r="F144" s="1124" t="n"/>
      <c r="G144" s="645" t="n"/>
      <c r="H144" s="1130" t="n"/>
      <c r="I144" s="1124" t="n"/>
      <c r="J144" s="645" t="n"/>
      <c r="K144" s="672" t="n"/>
      <c r="L144" s="518">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08" t="n">
        <v>66</v>
      </c>
      <c r="D145" s="657" t="n"/>
      <c r="E145" s="1130" t="n"/>
      <c r="F145" s="1124" t="n"/>
      <c r="G145" s="645" t="n"/>
      <c r="H145" s="1130" t="n"/>
      <c r="I145" s="1124" t="n"/>
      <c r="J145" s="645" t="n"/>
      <c r="K145" s="672" t="n"/>
      <c r="L145" s="518">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08" t="n">
        <v>67</v>
      </c>
      <c r="D146" s="657" t="n"/>
      <c r="E146" s="1130" t="n"/>
      <c r="F146" s="1124" t="n"/>
      <c r="G146" s="645" t="n"/>
      <c r="H146" s="1130" t="n"/>
      <c r="I146" s="1124" t="n"/>
      <c r="J146" s="645" t="n"/>
      <c r="K146" s="672" t="n"/>
      <c r="L146" s="518">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08" t="n">
        <v>68</v>
      </c>
      <c r="D147" s="657" t="n"/>
      <c r="E147" s="1130" t="n"/>
      <c r="F147" s="1124" t="n"/>
      <c r="G147" s="645" t="n"/>
      <c r="H147" s="1130" t="n"/>
      <c r="I147" s="1124" t="n"/>
      <c r="J147" s="645" t="n"/>
      <c r="K147" s="672" t="n"/>
      <c r="L147" s="518">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08" t="n">
        <v>69</v>
      </c>
      <c r="D148" s="657" t="n"/>
      <c r="E148" s="1130" t="n"/>
      <c r="F148" s="1124" t="n"/>
      <c r="G148" s="645" t="n"/>
      <c r="H148" s="1130" t="n"/>
      <c r="I148" s="1124" t="n"/>
      <c r="J148" s="645" t="n"/>
      <c r="K148" s="672" t="n"/>
      <c r="L148" s="518">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08" t="n">
        <v>70</v>
      </c>
      <c r="D149" s="657" t="n"/>
      <c r="E149" s="1130" t="n"/>
      <c r="F149" s="1124" t="n"/>
      <c r="G149" s="645" t="n"/>
      <c r="H149" s="1130" t="n"/>
      <c r="I149" s="1124" t="n"/>
      <c r="J149" s="645" t="n"/>
      <c r="K149" s="672" t="n"/>
      <c r="L149" s="518">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08" t="n">
        <v>71</v>
      </c>
      <c r="D150" s="657" t="n"/>
      <c r="E150" s="1130" t="n"/>
      <c r="F150" s="1124" t="n"/>
      <c r="G150" s="645" t="n"/>
      <c r="H150" s="1130" t="n"/>
      <c r="I150" s="1124" t="n"/>
      <c r="J150" s="645" t="n"/>
      <c r="K150" s="672" t="n"/>
      <c r="L150" s="518">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08" t="n">
        <v>72</v>
      </c>
      <c r="D151" s="657" t="n"/>
      <c r="E151" s="1130" t="n"/>
      <c r="F151" s="1124" t="n"/>
      <c r="G151" s="645" t="n"/>
      <c r="H151" s="1130" t="n"/>
      <c r="I151" s="1124" t="n"/>
      <c r="J151" s="645" t="n"/>
      <c r="K151" s="672" t="n"/>
      <c r="L151" s="518">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08" t="n">
        <v>73</v>
      </c>
      <c r="D152" s="657" t="n"/>
      <c r="E152" s="1130" t="n"/>
      <c r="F152" s="1124" t="n"/>
      <c r="G152" s="645" t="n"/>
      <c r="H152" s="1130" t="n"/>
      <c r="I152" s="1124" t="n"/>
      <c r="J152" s="645" t="n"/>
      <c r="K152" s="672" t="n"/>
      <c r="L152" s="518">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08" t="n">
        <v>74</v>
      </c>
      <c r="D153" s="657" t="n"/>
      <c r="E153" s="1130" t="n"/>
      <c r="F153" s="1124" t="n"/>
      <c r="G153" s="645" t="n"/>
      <c r="H153" s="1130" t="n"/>
      <c r="I153" s="1124" t="n"/>
      <c r="J153" s="645" t="n"/>
      <c r="K153" s="672" t="n"/>
      <c r="L153" s="518">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08" t="n">
        <v>75</v>
      </c>
      <c r="D154" s="657" t="n"/>
      <c r="E154" s="1130" t="n"/>
      <c r="F154" s="1124" t="n"/>
      <c r="G154" s="645" t="n"/>
      <c r="H154" s="1130" t="n"/>
      <c r="I154" s="1124" t="n"/>
      <c r="J154" s="645" t="n"/>
      <c r="K154" s="672" t="n"/>
      <c r="L154" s="518">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08" t="n">
        <v>76</v>
      </c>
      <c r="D155" s="657" t="n"/>
      <c r="E155" s="1130" t="n"/>
      <c r="F155" s="1124" t="n"/>
      <c r="G155" s="645" t="n"/>
      <c r="H155" s="1130" t="n"/>
      <c r="I155" s="1124" t="n"/>
      <c r="J155" s="645" t="n"/>
      <c r="K155" s="672" t="n"/>
      <c r="L155" s="518">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08" t="n">
        <v>77</v>
      </c>
      <c r="D156" s="657" t="n"/>
      <c r="E156" s="1130" t="n"/>
      <c r="F156" s="1124" t="n"/>
      <c r="G156" s="645" t="n"/>
      <c r="H156" s="1130" t="n"/>
      <c r="I156" s="1124" t="n"/>
      <c r="J156" s="645" t="n"/>
      <c r="K156" s="672" t="n"/>
      <c r="L156" s="518">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08" t="n">
        <v>78</v>
      </c>
      <c r="D157" s="657" t="n"/>
      <c r="E157" s="1130" t="n"/>
      <c r="F157" s="1124" t="n"/>
      <c r="G157" s="645" t="n"/>
      <c r="H157" s="1130" t="n"/>
      <c r="I157" s="1124" t="n"/>
      <c r="J157" s="645" t="n"/>
      <c r="K157" s="672" t="n"/>
      <c r="L157" s="518">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08" t="n">
        <v>79</v>
      </c>
      <c r="D158" s="657" t="n"/>
      <c r="E158" s="1130" t="n"/>
      <c r="F158" s="1124" t="n"/>
      <c r="G158" s="645" t="n"/>
      <c r="H158" s="1130" t="n"/>
      <c r="I158" s="1124" t="n"/>
      <c r="J158" s="645" t="n"/>
      <c r="K158" s="672" t="n"/>
      <c r="L158" s="518">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08" t="n">
        <v>80</v>
      </c>
      <c r="D159" s="657" t="n"/>
      <c r="E159" s="1130" t="n"/>
      <c r="F159" s="1124" t="n"/>
      <c r="G159" s="645" t="n"/>
      <c r="H159" s="1130" t="n"/>
      <c r="I159" s="1124" t="n"/>
      <c r="J159" s="645" t="n"/>
      <c r="K159" s="672" t="n"/>
      <c r="L159" s="518">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08" t="n">
        <v>81</v>
      </c>
      <c r="D160" s="657" t="n"/>
      <c r="E160" s="1130" t="n"/>
      <c r="F160" s="1124" t="n"/>
      <c r="G160" s="645" t="n"/>
      <c r="H160" s="1130" t="n"/>
      <c r="I160" s="1124" t="n"/>
      <c r="J160" s="645" t="n"/>
      <c r="K160" s="672" t="n"/>
      <c r="L160" s="518">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08" t="n">
        <v>82</v>
      </c>
      <c r="D161" s="657" t="n"/>
      <c r="E161" s="1130" t="n"/>
      <c r="F161" s="1124" t="n"/>
      <c r="G161" s="645" t="n"/>
      <c r="H161" s="1130" t="n"/>
      <c r="I161" s="1124" t="n"/>
      <c r="J161" s="645" t="n"/>
      <c r="K161" s="672" t="n"/>
      <c r="L161" s="518">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08" t="n">
        <v>83</v>
      </c>
      <c r="D162" s="657" t="n"/>
      <c r="E162" s="1130" t="n"/>
      <c r="F162" s="1124" t="n"/>
      <c r="G162" s="645" t="n"/>
      <c r="H162" s="1130" t="n"/>
      <c r="I162" s="1124" t="n"/>
      <c r="J162" s="645" t="n"/>
      <c r="K162" s="672" t="n"/>
      <c r="L162" s="518">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08" t="n">
        <v>84</v>
      </c>
      <c r="D163" s="657" t="n"/>
      <c r="E163" s="1130" t="n"/>
      <c r="F163" s="1124" t="n"/>
      <c r="G163" s="645" t="n"/>
      <c r="H163" s="1130" t="n"/>
      <c r="I163" s="1124" t="n"/>
      <c r="J163" s="645" t="n"/>
      <c r="K163" s="672" t="n"/>
      <c r="L163" s="518">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08" t="n">
        <v>85</v>
      </c>
      <c r="D164" s="657" t="n"/>
      <c r="E164" s="1130" t="n"/>
      <c r="F164" s="1124" t="n"/>
      <c r="G164" s="645" t="n"/>
      <c r="H164" s="1130" t="n"/>
      <c r="I164" s="1124" t="n"/>
      <c r="J164" s="645" t="n"/>
      <c r="K164" s="672" t="n"/>
      <c r="L164" s="518">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08" t="n">
        <v>86</v>
      </c>
      <c r="D165" s="657" t="n"/>
      <c r="E165" s="1130" t="n"/>
      <c r="F165" s="1124" t="n"/>
      <c r="G165" s="645" t="n"/>
      <c r="H165" s="1130" t="n"/>
      <c r="I165" s="1124" t="n"/>
      <c r="J165" s="645" t="n"/>
      <c r="K165" s="672" t="n"/>
      <c r="L165" s="518">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08" t="n">
        <v>87</v>
      </c>
      <c r="D166" s="657" t="n"/>
      <c r="E166" s="1130" t="n"/>
      <c r="F166" s="1124" t="n"/>
      <c r="G166" s="645" t="n"/>
      <c r="H166" s="1130" t="n"/>
      <c r="I166" s="1124" t="n"/>
      <c r="J166" s="645" t="n"/>
      <c r="K166" s="672" t="n"/>
      <c r="L166" s="518">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08" t="n">
        <v>88</v>
      </c>
      <c r="D167" s="657" t="n"/>
      <c r="E167" s="1130" t="n"/>
      <c r="F167" s="1124" t="n"/>
      <c r="G167" s="645" t="n"/>
      <c r="H167" s="1130" t="n"/>
      <c r="I167" s="1124" t="n"/>
      <c r="J167" s="645" t="n"/>
      <c r="K167" s="672" t="n"/>
      <c r="L167" s="518">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08" t="n">
        <v>89</v>
      </c>
      <c r="D168" s="657" t="n"/>
      <c r="E168" s="1130" t="n"/>
      <c r="F168" s="1124" t="n"/>
      <c r="G168" s="645" t="n"/>
      <c r="H168" s="1130" t="n"/>
      <c r="I168" s="1124" t="n"/>
      <c r="J168" s="645" t="n"/>
      <c r="K168" s="672" t="n"/>
      <c r="L168" s="518">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08" t="n">
        <v>90</v>
      </c>
      <c r="D169" s="657" t="n"/>
      <c r="E169" s="1130" t="n"/>
      <c r="F169" s="1124" t="n"/>
      <c r="G169" s="645" t="n"/>
      <c r="H169" s="1130" t="n"/>
      <c r="I169" s="1124" t="n"/>
      <c r="J169" s="645" t="n"/>
      <c r="K169" s="672" t="n"/>
      <c r="L169" s="518">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08" t="n">
        <v>91</v>
      </c>
      <c r="D170" s="657" t="n"/>
      <c r="E170" s="1130" t="n"/>
      <c r="F170" s="1124" t="n"/>
      <c r="G170" s="645" t="n"/>
      <c r="H170" s="1130" t="n"/>
      <c r="I170" s="1124" t="n"/>
      <c r="J170" s="645" t="n"/>
      <c r="K170" s="672" t="n"/>
      <c r="L170" s="518">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08" t="n">
        <v>92</v>
      </c>
      <c r="D171" s="657" t="n"/>
      <c r="E171" s="1130" t="n"/>
      <c r="F171" s="1124" t="n"/>
      <c r="G171" s="645" t="n"/>
      <c r="H171" s="1130" t="n"/>
      <c r="I171" s="1124" t="n"/>
      <c r="J171" s="645" t="n"/>
      <c r="K171" s="672" t="n"/>
      <c r="L171" s="518">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08" t="n">
        <v>93</v>
      </c>
      <c r="D172" s="657" t="n"/>
      <c r="E172" s="1130" t="n"/>
      <c r="F172" s="1124" t="n"/>
      <c r="G172" s="645" t="n"/>
      <c r="H172" s="1130" t="n"/>
      <c r="I172" s="1124" t="n"/>
      <c r="J172" s="645" t="n"/>
      <c r="K172" s="672" t="n"/>
      <c r="L172" s="518">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08" t="n">
        <v>94</v>
      </c>
      <c r="D173" s="657" t="n"/>
      <c r="E173" s="1130" t="n"/>
      <c r="F173" s="1124" t="n"/>
      <c r="G173" s="645" t="n"/>
      <c r="H173" s="1130" t="n"/>
      <c r="I173" s="1124" t="n"/>
      <c r="J173" s="645" t="n"/>
      <c r="K173" s="672" t="n"/>
      <c r="L173" s="518">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08" t="n">
        <v>95</v>
      </c>
      <c r="D174" s="657" t="n"/>
      <c r="E174" s="1130" t="n"/>
      <c r="F174" s="1124" t="n"/>
      <c r="G174" s="645" t="n"/>
      <c r="H174" s="1130" t="n"/>
      <c r="I174" s="1124" t="n"/>
      <c r="J174" s="645" t="n"/>
      <c r="K174" s="672" t="n"/>
      <c r="L174" s="518">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08" t="n">
        <v>96</v>
      </c>
      <c r="D175" s="657" t="n"/>
      <c r="E175" s="1130" t="n"/>
      <c r="F175" s="1124" t="n"/>
      <c r="G175" s="645" t="n"/>
      <c r="H175" s="1130" t="n"/>
      <c r="I175" s="1124" t="n"/>
      <c r="J175" s="645" t="n"/>
      <c r="K175" s="672" t="n"/>
      <c r="L175" s="518">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08" t="n">
        <v>97</v>
      </c>
      <c r="D176" s="657" t="n"/>
      <c r="E176" s="1130" t="n"/>
      <c r="F176" s="1124" t="n"/>
      <c r="G176" s="645" t="n"/>
      <c r="H176" s="1130" t="n"/>
      <c r="I176" s="1124" t="n"/>
      <c r="J176" s="645" t="n"/>
      <c r="K176" s="672" t="n"/>
      <c r="L176" s="518">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08" t="n">
        <v>98</v>
      </c>
      <c r="D177" s="657" t="n"/>
      <c r="E177" s="1130" t="n"/>
      <c r="F177" s="1124" t="n"/>
      <c r="G177" s="645" t="n"/>
      <c r="H177" s="1130" t="n"/>
      <c r="I177" s="1124" t="n"/>
      <c r="J177" s="645" t="n"/>
      <c r="K177" s="672" t="n"/>
      <c r="L177" s="518">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08" t="n">
        <v>99</v>
      </c>
      <c r="D178" s="657" t="n"/>
      <c r="E178" s="1130" t="n"/>
      <c r="F178" s="1124" t="n"/>
      <c r="G178" s="645" t="n"/>
      <c r="H178" s="1130" t="n"/>
      <c r="I178" s="1124" t="n"/>
      <c r="J178" s="645" t="n"/>
      <c r="K178" s="672" t="n"/>
      <c r="L178" s="518">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08" t="n">
        <v>100</v>
      </c>
      <c r="D179" s="657" t="n"/>
      <c r="E179" s="1130" t="n"/>
      <c r="F179" s="1124" t="n"/>
      <c r="G179" s="692" t="n"/>
      <c r="H179" s="1132" t="n"/>
      <c r="I179" s="1123" t="n"/>
      <c r="J179" s="692" t="n"/>
      <c r="K179" s="241" t="n"/>
      <c r="L179" s="518">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4" t="n"/>
      <c r="D180" s="14" t="n"/>
      <c r="E180" s="14" t="n"/>
      <c r="F180" s="14" t="n"/>
      <c r="G180" s="14" t="n"/>
      <c r="H180" s="14" t="n"/>
      <c r="I180" s="14" t="n"/>
      <c r="J180" s="14" t="n"/>
      <c r="K180" s="14" t="n"/>
    </row>
    <row r="181" ht="15" customHeight="1" thickBot="1">
      <c r="C181" s="558">
        <f>template_label_b5_sites_in_biodiversity_sensitive_areas&amp;" "&amp;template_label_from&amp;" "&amp;template_starting_date_display&amp;" "&amp;template_label_to&amp;" "&amp;template_ending_date_display&amp;" "&amp;template_label_if_applicable</f>
        <v/>
      </c>
      <c r="D181" s="1120" t="n"/>
      <c r="E181" s="1120" t="n"/>
      <c r="F181" s="1120" t="n"/>
      <c r="G181" s="1120" t="n"/>
      <c r="H181" s="1120" t="n"/>
      <c r="I181" s="1120" t="n"/>
      <c r="J181" s="1120" t="n"/>
      <c r="K181" s="1121" t="n"/>
    </row>
    <row r="182">
      <c r="C182" s="553" t="n">
        <v>33</v>
      </c>
      <c r="D182" s="508" t="n"/>
      <c r="E182" s="508" t="n"/>
      <c r="F182" s="508" t="n"/>
      <c r="G182" s="508" t="n"/>
      <c r="H182" s="508" t="n"/>
      <c r="I182" s="508" t="n"/>
      <c r="J182" s="508" t="n"/>
      <c r="K182" s="198" t="n"/>
    </row>
    <row r="183">
      <c r="C183" s="586" t="inlineStr">
        <is>
          <t>70-73</t>
        </is>
      </c>
      <c r="D183" s="1106" t="n"/>
      <c r="E183" s="1106" t="n"/>
      <c r="F183" s="1106" t="n"/>
      <c r="G183" s="1106" t="n"/>
      <c r="H183" s="1106" t="n"/>
      <c r="I183" s="1106" t="n"/>
      <c r="J183" s="1106" t="n"/>
      <c r="K183" s="199" t="n"/>
    </row>
    <row r="184">
      <c r="C184" s="682">
        <f>template_label_does_the_undertaking_have_sites_that_are_located_in_or_near_biodiversity_sensitive_areas</f>
        <v/>
      </c>
      <c r="D184" s="1106" t="n"/>
      <c r="E184" s="1106" t="n"/>
      <c r="F184" s="199" t="n"/>
      <c r="G184" s="833" t="b">
        <v>1</v>
      </c>
      <c r="H184" s="1130" t="n"/>
      <c r="I184" s="1130" t="n"/>
      <c r="J184" s="1130" t="n"/>
      <c r="K184" s="1124" t="n"/>
    </row>
    <row r="185">
      <c r="C185" s="835">
        <f>template_label_please_select_the_unit_used_for_the_area</f>
        <v/>
      </c>
      <c r="D185" s="1106" t="n"/>
      <c r="E185" s="1106" t="n"/>
      <c r="F185" s="1106" t="n"/>
      <c r="G185" s="1106" t="n"/>
      <c r="H185" s="1106" t="n"/>
      <c r="I185" s="1106" t="n"/>
      <c r="J185" s="1106" t="n"/>
      <c r="K185" s="199" t="n"/>
    </row>
    <row r="186" ht="15" customHeight="1" thickBot="1">
      <c r="C186" s="810" t="inlineStr">
        <is>
          <t>squared meters (m2)</t>
        </is>
      </c>
      <c r="D186" s="1132" t="n"/>
      <c r="E186" s="1132" t="n"/>
      <c r="F186" s="1132" t="n"/>
      <c r="G186" s="1132" t="n"/>
      <c r="H186" s="1132" t="n"/>
      <c r="I186" s="1132" t="n"/>
      <c r="J186" s="1132" t="n"/>
      <c r="K186" s="1123" t="n"/>
      <c r="L186" s="872">
        <f>IF(AND(G184=TRUE,C186=""), template_label_missing_value, IF(AND(G184=TRUE,C186&lt;&gt;""), template_label_ok, ""))</f>
        <v/>
      </c>
    </row>
    <row r="187" ht="57.6" customHeight="1">
      <c r="C187" s="427">
        <f>template_label_related_site_id</f>
        <v/>
      </c>
      <c r="D187" s="1157">
        <f>template_label_site_location_in_near_a_biodiversity_area</f>
        <v/>
      </c>
      <c r="E187" s="508" t="n"/>
      <c r="F187" s="198" t="n"/>
      <c r="G187" s="1157">
        <f>template_label_area_hectares_or_m2</f>
        <v/>
      </c>
      <c r="H187" s="508" t="n"/>
      <c r="I187" s="198" t="n"/>
      <c r="J187" s="283">
        <f>template_label_site_located_in_a_biodiversity_sensitive_area</f>
        <v/>
      </c>
      <c r="K187" s="428">
        <f>template_label_site_located_near_a_biodiversity_sensitive_area</f>
        <v/>
      </c>
    </row>
    <row r="188">
      <c r="C188" s="208" t="n">
        <v>1</v>
      </c>
      <c r="D188" s="1158">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
      </c>
      <c r="E188" s="1106" t="n"/>
      <c r="F188" s="199" t="n"/>
      <c r="G188" s="642" t="n">
        <v>1200</v>
      </c>
      <c r="H188" s="1130" t="n"/>
      <c r="I188" s="1130" t="n"/>
      <c r="J188" s="362" t="b">
        <v>1</v>
      </c>
      <c r="K188" s="213" t="b">
        <v>0</v>
      </c>
      <c r="L188" s="872">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08" t="n"/>
      <c r="D189" s="1159">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1106" t="n"/>
      <c r="F189" s="199" t="n"/>
      <c r="G189" s="642" t="n"/>
      <c r="H189" s="1130" t="n"/>
      <c r="I189" s="1130" t="n"/>
      <c r="J189" s="362" t="b">
        <v>0</v>
      </c>
      <c r="K189" s="213" t="b">
        <v>0</v>
      </c>
      <c r="L189" s="872">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10" t="n"/>
      <c r="D190" s="1160">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1115" t="n"/>
      <c r="F190" s="1116" t="n"/>
      <c r="G190" s="816" t="n"/>
      <c r="H190" s="1132" t="n"/>
      <c r="I190" s="1132" t="n"/>
      <c r="J190" s="216" t="b">
        <v>0</v>
      </c>
      <c r="K190" s="214" t="b">
        <v>0</v>
      </c>
      <c r="L190" s="872">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09" t="n"/>
      <c r="D191" s="1161">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1143" t="n"/>
      <c r="F191" s="1144" t="n"/>
      <c r="G191" s="1162" t="n"/>
      <c r="H191" s="1163" t="n"/>
      <c r="I191" s="1164" t="n"/>
      <c r="J191" s="217" t="b">
        <v>0</v>
      </c>
      <c r="K191" s="212" t="b">
        <v>0</v>
      </c>
      <c r="L191" s="872">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032" t="n"/>
      <c r="N191" s="1032" t="n"/>
      <c r="O191" s="1032" t="n"/>
      <c r="P191" s="1032" t="n"/>
      <c r="Q191" s="1032" t="n"/>
    </row>
    <row r="192" hidden="1" outlineLevel="1">
      <c r="C192" s="209" t="n"/>
      <c r="D192" s="1159">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1106" t="n"/>
      <c r="F192" s="199" t="n"/>
      <c r="G192" s="876" t="n"/>
      <c r="H192" s="1130" t="n"/>
      <c r="I192" s="1124" t="n"/>
      <c r="J192" s="218" t="b">
        <v>0</v>
      </c>
      <c r="K192" s="213" t="b">
        <v>0</v>
      </c>
      <c r="L192" s="872">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032" t="n"/>
      <c r="N192" s="1032" t="n"/>
      <c r="O192" s="1032" t="n"/>
      <c r="P192" s="1032" t="n"/>
      <c r="Q192" s="1032" t="n"/>
    </row>
    <row r="193" hidden="1" outlineLevel="1">
      <c r="C193" s="208" t="n"/>
      <c r="D193" s="1159">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1106" t="n"/>
      <c r="F193" s="199" t="n"/>
      <c r="G193" s="876" t="n"/>
      <c r="H193" s="1130" t="n"/>
      <c r="I193" s="1124" t="n"/>
      <c r="J193" s="218" t="b">
        <v>0</v>
      </c>
      <c r="K193" s="213" t="b">
        <v>0</v>
      </c>
      <c r="L193" s="872">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032" t="n"/>
      <c r="N193" s="1032" t="n"/>
      <c r="O193" s="1032" t="n"/>
      <c r="P193" s="1032" t="n"/>
      <c r="Q193" s="1032" t="n"/>
    </row>
    <row r="194" hidden="1" outlineLevel="1">
      <c r="C194" s="208" t="n"/>
      <c r="D194" s="1159">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1106" t="n"/>
      <c r="F194" s="199" t="n"/>
      <c r="G194" s="876" t="n"/>
      <c r="H194" s="1130" t="n"/>
      <c r="I194" s="1124" t="n"/>
      <c r="J194" s="218" t="b">
        <v>0</v>
      </c>
      <c r="K194" s="213" t="b">
        <v>0</v>
      </c>
      <c r="L194" s="872">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032" t="n"/>
      <c r="N194" s="1032" t="n"/>
      <c r="O194" s="1032" t="n"/>
      <c r="P194" s="1032" t="n"/>
      <c r="Q194" s="1032" t="n"/>
    </row>
    <row r="195" hidden="1" outlineLevel="1">
      <c r="C195" s="208" t="n"/>
      <c r="D195" s="1159">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1106" t="n"/>
      <c r="F195" s="199" t="n"/>
      <c r="G195" s="876" t="n"/>
      <c r="H195" s="1130" t="n"/>
      <c r="I195" s="1124" t="n"/>
      <c r="J195" s="218" t="b">
        <v>0</v>
      </c>
      <c r="K195" s="213" t="b">
        <v>0</v>
      </c>
      <c r="L195" s="872">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032" t="n"/>
      <c r="N195" s="1032" t="n"/>
      <c r="O195" s="1032" t="n"/>
      <c r="P195" s="1032" t="n"/>
      <c r="Q195" s="1032" t="n"/>
    </row>
    <row r="196" hidden="1" outlineLevel="1">
      <c r="C196" s="208" t="n"/>
      <c r="D196" s="1159">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1106" t="n"/>
      <c r="F196" s="199" t="n"/>
      <c r="G196" s="876" t="n"/>
      <c r="H196" s="1130" t="n"/>
      <c r="I196" s="1124" t="n"/>
      <c r="J196" s="218" t="b">
        <v>0</v>
      </c>
      <c r="K196" s="213" t="b">
        <v>0</v>
      </c>
      <c r="L196" s="872">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032" t="n"/>
      <c r="N196" s="1032" t="n"/>
      <c r="O196" s="1032" t="n"/>
      <c r="P196" s="1032" t="n"/>
      <c r="Q196" s="1032" t="n"/>
    </row>
    <row r="197" hidden="1" outlineLevel="1">
      <c r="C197" s="208" t="n"/>
      <c r="D197" s="1159">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1106" t="n"/>
      <c r="F197" s="199" t="n"/>
      <c r="G197" s="876" t="n"/>
      <c r="H197" s="1130" t="n"/>
      <c r="I197" s="1124" t="n"/>
      <c r="J197" s="218" t="b">
        <v>0</v>
      </c>
      <c r="K197" s="213" t="b">
        <v>0</v>
      </c>
      <c r="L197" s="872">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032" t="n"/>
      <c r="N197" s="1032" t="n"/>
      <c r="O197" s="1032" t="n"/>
      <c r="P197" s="1032" t="n"/>
      <c r="Q197" s="1032" t="n"/>
    </row>
    <row r="198" hidden="1" outlineLevel="1">
      <c r="C198" s="208" t="n"/>
      <c r="D198" s="1159">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1106" t="n"/>
      <c r="F198" s="199" t="n"/>
      <c r="G198" s="876" t="n"/>
      <c r="H198" s="1130" t="n"/>
      <c r="I198" s="1124" t="n"/>
      <c r="J198" s="218" t="b">
        <v>0</v>
      </c>
      <c r="K198" s="213" t="b">
        <v>0</v>
      </c>
      <c r="L198" s="872">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032" t="n"/>
      <c r="N198" s="1032" t="n"/>
      <c r="O198" s="1032" t="n"/>
      <c r="P198" s="1032" t="n"/>
      <c r="Q198" s="1032" t="n"/>
    </row>
    <row r="199" hidden="1" outlineLevel="1">
      <c r="C199" s="208" t="n"/>
      <c r="D199" s="1159">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1106" t="n"/>
      <c r="F199" s="199" t="n"/>
      <c r="G199" s="876" t="n"/>
      <c r="H199" s="1130" t="n"/>
      <c r="I199" s="1124" t="n"/>
      <c r="J199" s="218" t="b">
        <v>0</v>
      </c>
      <c r="K199" s="213" t="b">
        <v>0</v>
      </c>
      <c r="L199" s="872">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032" t="n"/>
      <c r="N199" s="1032" t="n"/>
      <c r="O199" s="1032" t="n"/>
      <c r="P199" s="1032" t="n"/>
      <c r="Q199" s="1032" t="n"/>
    </row>
    <row r="200" hidden="1" outlineLevel="1">
      <c r="C200" s="208" t="n"/>
      <c r="D200" s="1159">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1106" t="n"/>
      <c r="F200" s="199" t="n"/>
      <c r="G200" s="876" t="n"/>
      <c r="H200" s="1130" t="n"/>
      <c r="I200" s="1124" t="n"/>
      <c r="J200" s="218" t="b">
        <v>0</v>
      </c>
      <c r="K200" s="213" t="b">
        <v>0</v>
      </c>
      <c r="L200" s="872">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032" t="n"/>
      <c r="N200" s="1032" t="n"/>
      <c r="O200" s="1032" t="n"/>
      <c r="P200" s="1032" t="n"/>
      <c r="Q200" s="1032" t="n"/>
    </row>
    <row r="201" hidden="1" outlineLevel="1">
      <c r="C201" s="208" t="n"/>
      <c r="D201" s="1159">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1106" t="n"/>
      <c r="F201" s="199" t="n"/>
      <c r="G201" s="876" t="n"/>
      <c r="H201" s="1130" t="n"/>
      <c r="I201" s="1124" t="n"/>
      <c r="J201" s="218" t="b">
        <v>0</v>
      </c>
      <c r="K201" s="213" t="b">
        <v>0</v>
      </c>
      <c r="L201" s="872">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032" t="n"/>
      <c r="N201" s="1032" t="n"/>
      <c r="O201" s="1032" t="n"/>
      <c r="P201" s="1032" t="n"/>
      <c r="Q201" s="1032" t="n"/>
    </row>
    <row r="202" hidden="1" outlineLevel="1">
      <c r="C202" s="208" t="n"/>
      <c r="D202" s="1159">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1106" t="n"/>
      <c r="F202" s="199" t="n"/>
      <c r="G202" s="876" t="n"/>
      <c r="H202" s="1130" t="n"/>
      <c r="I202" s="1124" t="n"/>
      <c r="J202" s="218" t="b">
        <v>0</v>
      </c>
      <c r="K202" s="213" t="b">
        <v>0</v>
      </c>
      <c r="L202" s="872">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032" t="n"/>
      <c r="N202" s="1032" t="n"/>
      <c r="O202" s="1032" t="n"/>
      <c r="P202" s="1032" t="n"/>
      <c r="Q202" s="1032" t="n"/>
    </row>
    <row r="203" hidden="1" outlineLevel="1">
      <c r="C203" s="208" t="n"/>
      <c r="D203" s="1159">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1106" t="n"/>
      <c r="F203" s="199" t="n"/>
      <c r="G203" s="876" t="n"/>
      <c r="H203" s="1130" t="n"/>
      <c r="I203" s="1124" t="n"/>
      <c r="J203" s="218" t="b">
        <v>0</v>
      </c>
      <c r="K203" s="213" t="b">
        <v>0</v>
      </c>
      <c r="L203" s="872">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032" t="n"/>
      <c r="N203" s="1032" t="n"/>
      <c r="O203" s="1032" t="n"/>
      <c r="P203" s="1032" t="n"/>
      <c r="Q203" s="1032" t="n"/>
    </row>
    <row r="204" hidden="1" outlineLevel="1">
      <c r="C204" s="208" t="n"/>
      <c r="D204" s="1159">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1106" t="n"/>
      <c r="F204" s="199" t="n"/>
      <c r="G204" s="876" t="n"/>
      <c r="H204" s="1130" t="n"/>
      <c r="I204" s="1124" t="n"/>
      <c r="J204" s="218" t="b">
        <v>0</v>
      </c>
      <c r="K204" s="213" t="b">
        <v>0</v>
      </c>
      <c r="L204" s="872">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032" t="n"/>
      <c r="N204" s="1032" t="n"/>
      <c r="O204" s="1032" t="n"/>
      <c r="P204" s="1032" t="n"/>
      <c r="Q204" s="1032" t="n"/>
    </row>
    <row r="205" hidden="1" outlineLevel="1">
      <c r="C205" s="208" t="n"/>
      <c r="D205" s="1159">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1106" t="n"/>
      <c r="F205" s="199" t="n"/>
      <c r="G205" s="876" t="n"/>
      <c r="H205" s="1130" t="n"/>
      <c r="I205" s="1124" t="n"/>
      <c r="J205" s="218" t="b">
        <v>0</v>
      </c>
      <c r="K205" s="213" t="b">
        <v>0</v>
      </c>
      <c r="L205" s="872">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032" t="n"/>
      <c r="N205" s="1032" t="n"/>
      <c r="O205" s="1032" t="n"/>
      <c r="P205" s="1032" t="n"/>
      <c r="Q205" s="1032" t="n"/>
    </row>
    <row r="206" hidden="1" outlineLevel="1">
      <c r="C206" s="208" t="n"/>
      <c r="D206" s="1159">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1106" t="n"/>
      <c r="F206" s="199" t="n"/>
      <c r="G206" s="876" t="n"/>
      <c r="H206" s="1130" t="n"/>
      <c r="I206" s="1124" t="n"/>
      <c r="J206" s="218" t="b">
        <v>0</v>
      </c>
      <c r="K206" s="213" t="b">
        <v>0</v>
      </c>
      <c r="L206" s="872">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032" t="n"/>
      <c r="N206" s="1032" t="n"/>
      <c r="O206" s="1032" t="n"/>
      <c r="P206" s="1032" t="n"/>
      <c r="Q206" s="1032" t="n"/>
    </row>
    <row r="207" hidden="1" outlineLevel="1">
      <c r="C207" s="208" t="n"/>
      <c r="D207" s="1159">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1106" t="n"/>
      <c r="F207" s="199" t="n"/>
      <c r="G207" s="876" t="n"/>
      <c r="H207" s="1130" t="n"/>
      <c r="I207" s="1124" t="n"/>
      <c r="J207" s="218" t="b">
        <v>0</v>
      </c>
      <c r="K207" s="213" t="b">
        <v>0</v>
      </c>
      <c r="L207" s="872">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032" t="n"/>
      <c r="N207" s="1032" t="n"/>
      <c r="O207" s="1032" t="n"/>
      <c r="P207" s="1032" t="n"/>
      <c r="Q207" s="1032" t="n"/>
    </row>
    <row r="208" hidden="1" outlineLevel="1">
      <c r="C208" s="208" t="n"/>
      <c r="D208" s="1159">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1106" t="n"/>
      <c r="F208" s="199" t="n"/>
      <c r="G208" s="876" t="n"/>
      <c r="H208" s="1130" t="n"/>
      <c r="I208" s="1124" t="n"/>
      <c r="J208" s="218" t="b">
        <v>0</v>
      </c>
      <c r="K208" s="213" t="b">
        <v>0</v>
      </c>
      <c r="L208" s="872">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032" t="n"/>
      <c r="N208" s="1032" t="n"/>
      <c r="O208" s="1032" t="n"/>
      <c r="P208" s="1032" t="n"/>
      <c r="Q208" s="1032" t="n"/>
    </row>
    <row r="209" hidden="1" outlineLevel="1">
      <c r="C209" s="208" t="n"/>
      <c r="D209" s="1159">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1106" t="n"/>
      <c r="F209" s="199" t="n"/>
      <c r="G209" s="876" t="n"/>
      <c r="H209" s="1130" t="n"/>
      <c r="I209" s="1124" t="n"/>
      <c r="J209" s="218" t="b">
        <v>0</v>
      </c>
      <c r="K209" s="213" t="b">
        <v>0</v>
      </c>
      <c r="L209" s="872">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032" t="n"/>
      <c r="N209" s="1032" t="n"/>
      <c r="O209" s="1032" t="n"/>
      <c r="P209" s="1032" t="n"/>
      <c r="Q209" s="1032" t="n"/>
    </row>
    <row r="210" hidden="1" outlineLevel="1">
      <c r="C210" s="208" t="n"/>
      <c r="D210" s="1159">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1106" t="n"/>
      <c r="F210" s="199" t="n"/>
      <c r="G210" s="876" t="n"/>
      <c r="H210" s="1130" t="n"/>
      <c r="I210" s="1124" t="n"/>
      <c r="J210" s="218" t="b">
        <v>0</v>
      </c>
      <c r="K210" s="213" t="b">
        <v>0</v>
      </c>
      <c r="L210" s="872">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032" t="n"/>
      <c r="N210" s="1032" t="n"/>
      <c r="O210" s="1032" t="n"/>
      <c r="P210" s="1032" t="n"/>
      <c r="Q210" s="1032" t="n"/>
    </row>
    <row r="211" hidden="1" outlineLevel="1">
      <c r="C211" s="208" t="n"/>
      <c r="D211" s="1159">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1106" t="n"/>
      <c r="F211" s="199" t="n"/>
      <c r="G211" s="876" t="n"/>
      <c r="H211" s="1130" t="n"/>
      <c r="I211" s="1124" t="n"/>
      <c r="J211" s="218" t="b">
        <v>0</v>
      </c>
      <c r="K211" s="213" t="b">
        <v>0</v>
      </c>
      <c r="L211" s="872">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032" t="n"/>
      <c r="N211" s="1032" t="n"/>
      <c r="O211" s="1032" t="n"/>
      <c r="P211" s="1032" t="n"/>
      <c r="Q211" s="1032" t="n"/>
    </row>
    <row r="212" hidden="1" outlineLevel="1">
      <c r="C212" s="208" t="n"/>
      <c r="D212" s="1159">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1106" t="n"/>
      <c r="F212" s="199" t="n"/>
      <c r="G212" s="876" t="n"/>
      <c r="H212" s="1130" t="n"/>
      <c r="I212" s="1124" t="n"/>
      <c r="J212" s="218" t="b">
        <v>0</v>
      </c>
      <c r="K212" s="213" t="b">
        <v>0</v>
      </c>
      <c r="L212" s="872">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032" t="n"/>
      <c r="N212" s="1032" t="n"/>
      <c r="O212" s="1032" t="n"/>
      <c r="P212" s="1032" t="n"/>
      <c r="Q212" s="1032" t="n"/>
    </row>
    <row r="213" hidden="1" outlineLevel="1">
      <c r="C213" s="208" t="n"/>
      <c r="D213" s="1159">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1106" t="n"/>
      <c r="F213" s="199" t="n"/>
      <c r="G213" s="876" t="n"/>
      <c r="H213" s="1130" t="n"/>
      <c r="I213" s="1124" t="n"/>
      <c r="J213" s="218" t="b">
        <v>0</v>
      </c>
      <c r="K213" s="213" t="b">
        <v>0</v>
      </c>
      <c r="L213" s="872">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032" t="n"/>
      <c r="N213" s="1032" t="n"/>
      <c r="O213" s="1032" t="n"/>
      <c r="P213" s="1032" t="n"/>
      <c r="Q213" s="1032" t="n"/>
    </row>
    <row r="214" hidden="1" outlineLevel="1">
      <c r="C214" s="208" t="n"/>
      <c r="D214" s="1159">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1106" t="n"/>
      <c r="F214" s="199" t="n"/>
      <c r="G214" s="876" t="n"/>
      <c r="H214" s="1130" t="n"/>
      <c r="I214" s="1124" t="n"/>
      <c r="J214" s="218" t="b">
        <v>0</v>
      </c>
      <c r="K214" s="213" t="b">
        <v>0</v>
      </c>
      <c r="L214" s="872">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032" t="n"/>
      <c r="N214" s="1032" t="n"/>
      <c r="O214" s="1032" t="n"/>
      <c r="P214" s="1032" t="n"/>
      <c r="Q214" s="1032" t="n"/>
    </row>
    <row r="215" hidden="1" outlineLevel="1">
      <c r="C215" s="208" t="n"/>
      <c r="D215" s="1159">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1106" t="n"/>
      <c r="F215" s="199" t="n"/>
      <c r="G215" s="876" t="n"/>
      <c r="H215" s="1130" t="n"/>
      <c r="I215" s="1124" t="n"/>
      <c r="J215" s="218" t="b">
        <v>0</v>
      </c>
      <c r="K215" s="213" t="b">
        <v>0</v>
      </c>
      <c r="L215" s="872">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032" t="n"/>
      <c r="N215" s="1032" t="n"/>
      <c r="O215" s="1032" t="n"/>
      <c r="P215" s="1032" t="n"/>
      <c r="Q215" s="1032" t="n"/>
    </row>
    <row r="216" hidden="1" outlineLevel="1">
      <c r="C216" s="208" t="n"/>
      <c r="D216" s="1159">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1106" t="n"/>
      <c r="F216" s="199" t="n"/>
      <c r="G216" s="876" t="n"/>
      <c r="H216" s="1130" t="n"/>
      <c r="I216" s="1124" t="n"/>
      <c r="J216" s="218" t="b">
        <v>0</v>
      </c>
      <c r="K216" s="213" t="b">
        <v>0</v>
      </c>
      <c r="L216" s="872">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032" t="n"/>
      <c r="N216" s="1032" t="n"/>
      <c r="O216" s="1032" t="n"/>
      <c r="P216" s="1032" t="n"/>
      <c r="Q216" s="1032" t="n"/>
    </row>
    <row r="217" hidden="1" outlineLevel="1">
      <c r="C217" s="208" t="n"/>
      <c r="D217" s="1159">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1106" t="n"/>
      <c r="F217" s="199" t="n"/>
      <c r="G217" s="876" t="n"/>
      <c r="H217" s="1130" t="n"/>
      <c r="I217" s="1124" t="n"/>
      <c r="J217" s="218" t="b">
        <v>0</v>
      </c>
      <c r="K217" s="213" t="b">
        <v>0</v>
      </c>
      <c r="L217" s="872">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032" t="n"/>
      <c r="N217" s="1032" t="n"/>
      <c r="O217" s="1032" t="n"/>
      <c r="P217" s="1032" t="n"/>
      <c r="Q217" s="1032" t="n"/>
    </row>
    <row r="218" hidden="1" outlineLevel="1">
      <c r="C218" s="208" t="n"/>
      <c r="D218" s="1159">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1106" t="n"/>
      <c r="F218" s="199" t="n"/>
      <c r="G218" s="876" t="n"/>
      <c r="H218" s="1130" t="n"/>
      <c r="I218" s="1124" t="n"/>
      <c r="J218" s="218" t="b">
        <v>0</v>
      </c>
      <c r="K218" s="213" t="b">
        <v>0</v>
      </c>
      <c r="L218" s="872">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032" t="n"/>
      <c r="N218" s="1032" t="n"/>
      <c r="O218" s="1032" t="n"/>
      <c r="P218" s="1032" t="n"/>
      <c r="Q218" s="1032" t="n"/>
    </row>
    <row r="219" hidden="1" outlineLevel="1">
      <c r="C219" s="208" t="n"/>
      <c r="D219" s="1159">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1106" t="n"/>
      <c r="F219" s="199" t="n"/>
      <c r="G219" s="876" t="n"/>
      <c r="H219" s="1130" t="n"/>
      <c r="I219" s="1124" t="n"/>
      <c r="J219" s="218" t="b">
        <v>0</v>
      </c>
      <c r="K219" s="213" t="b">
        <v>0</v>
      </c>
      <c r="L219" s="872">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032" t="n"/>
      <c r="N219" s="1032" t="n"/>
      <c r="O219" s="1032" t="n"/>
      <c r="P219" s="1032" t="n"/>
      <c r="Q219" s="1032" t="n"/>
    </row>
    <row r="220" hidden="1" outlineLevel="1">
      <c r="C220" s="208" t="n"/>
      <c r="D220" s="1159">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1106" t="n"/>
      <c r="F220" s="199" t="n"/>
      <c r="G220" s="876" t="n"/>
      <c r="H220" s="1130" t="n"/>
      <c r="I220" s="1124" t="n"/>
      <c r="J220" s="218" t="b">
        <v>0</v>
      </c>
      <c r="K220" s="213" t="b">
        <v>0</v>
      </c>
      <c r="L220" s="872">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032" t="n"/>
      <c r="N220" s="1032" t="n"/>
      <c r="O220" s="1032" t="n"/>
      <c r="P220" s="1032" t="n"/>
      <c r="Q220" s="1032" t="n"/>
    </row>
    <row r="221" hidden="1" outlineLevel="1">
      <c r="C221" s="208" t="n"/>
      <c r="D221" s="1159">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1106" t="n"/>
      <c r="F221" s="199" t="n"/>
      <c r="G221" s="876" t="n"/>
      <c r="H221" s="1130" t="n"/>
      <c r="I221" s="1124" t="n"/>
      <c r="J221" s="218" t="b">
        <v>0</v>
      </c>
      <c r="K221" s="213" t="b">
        <v>0</v>
      </c>
      <c r="L221" s="872">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032" t="n"/>
      <c r="N221" s="1032" t="n"/>
      <c r="O221" s="1032" t="n"/>
      <c r="P221" s="1032" t="n"/>
      <c r="Q221" s="1032" t="n"/>
    </row>
    <row r="222" hidden="1" outlineLevel="1">
      <c r="C222" s="208" t="n"/>
      <c r="D222" s="1159">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1106" t="n"/>
      <c r="F222" s="199" t="n"/>
      <c r="G222" s="876" t="n"/>
      <c r="H222" s="1130" t="n"/>
      <c r="I222" s="1124" t="n"/>
      <c r="J222" s="218" t="b">
        <v>0</v>
      </c>
      <c r="K222" s="213" t="b">
        <v>0</v>
      </c>
      <c r="L222" s="872">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032" t="n"/>
      <c r="N222" s="1032" t="n"/>
      <c r="O222" s="1032" t="n"/>
      <c r="P222" s="1032" t="n"/>
      <c r="Q222" s="1032" t="n"/>
    </row>
    <row r="223" hidden="1" outlineLevel="1">
      <c r="C223" s="208" t="n"/>
      <c r="D223" s="1159">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1106" t="n"/>
      <c r="F223" s="199" t="n"/>
      <c r="G223" s="876" t="n"/>
      <c r="H223" s="1130" t="n"/>
      <c r="I223" s="1124" t="n"/>
      <c r="J223" s="218" t="b">
        <v>0</v>
      </c>
      <c r="K223" s="213" t="b">
        <v>0</v>
      </c>
      <c r="L223" s="872">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032" t="n"/>
      <c r="N223" s="1032" t="n"/>
      <c r="O223" s="1032" t="n"/>
      <c r="P223" s="1032" t="n"/>
      <c r="Q223" s="1032" t="n"/>
    </row>
    <row r="224" hidden="1" outlineLevel="1">
      <c r="C224" s="208" t="n"/>
      <c r="D224" s="1159">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1106" t="n"/>
      <c r="F224" s="199" t="n"/>
      <c r="G224" s="876" t="n"/>
      <c r="H224" s="1130" t="n"/>
      <c r="I224" s="1124" t="n"/>
      <c r="J224" s="218" t="b">
        <v>0</v>
      </c>
      <c r="K224" s="213" t="b">
        <v>0</v>
      </c>
      <c r="L224" s="872">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032" t="n"/>
      <c r="N224" s="1032" t="n"/>
      <c r="O224" s="1032" t="n"/>
      <c r="P224" s="1032" t="n"/>
      <c r="Q224" s="1032" t="n"/>
    </row>
    <row r="225" hidden="1" outlineLevel="1">
      <c r="C225" s="208" t="n"/>
      <c r="D225" s="1159">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1106" t="n"/>
      <c r="F225" s="199" t="n"/>
      <c r="G225" s="876" t="n"/>
      <c r="H225" s="1130" t="n"/>
      <c r="I225" s="1124" t="n"/>
      <c r="J225" s="218" t="b">
        <v>0</v>
      </c>
      <c r="K225" s="213" t="b">
        <v>0</v>
      </c>
      <c r="L225" s="872">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032" t="n"/>
      <c r="N225" s="1032" t="n"/>
      <c r="O225" s="1032" t="n"/>
      <c r="P225" s="1032" t="n"/>
      <c r="Q225" s="1032" t="n"/>
    </row>
    <row r="226" hidden="1" outlineLevel="1">
      <c r="C226" s="208" t="n"/>
      <c r="D226" s="1159">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1106" t="n"/>
      <c r="F226" s="199" t="n"/>
      <c r="G226" s="876" t="n"/>
      <c r="H226" s="1130" t="n"/>
      <c r="I226" s="1124" t="n"/>
      <c r="J226" s="218" t="b">
        <v>0</v>
      </c>
      <c r="K226" s="213" t="b">
        <v>0</v>
      </c>
      <c r="L226" s="872">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032" t="n"/>
      <c r="N226" s="1032" t="n"/>
      <c r="O226" s="1032" t="n"/>
      <c r="P226" s="1032" t="n"/>
      <c r="Q226" s="1032" t="n"/>
    </row>
    <row r="227" hidden="1" outlineLevel="1">
      <c r="C227" s="208" t="n"/>
      <c r="D227" s="1159">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1106" t="n"/>
      <c r="F227" s="199" t="n"/>
      <c r="G227" s="876" t="n"/>
      <c r="H227" s="1130" t="n"/>
      <c r="I227" s="1124" t="n"/>
      <c r="J227" s="218" t="b">
        <v>0</v>
      </c>
      <c r="K227" s="213" t="b">
        <v>0</v>
      </c>
      <c r="L227" s="872">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032" t="n"/>
      <c r="N227" s="1032" t="n"/>
      <c r="O227" s="1032" t="n"/>
      <c r="P227" s="1032" t="n"/>
      <c r="Q227" s="1032" t="n"/>
    </row>
    <row r="228" hidden="1" outlineLevel="1">
      <c r="C228" s="208" t="n"/>
      <c r="D228" s="1159">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1106" t="n"/>
      <c r="F228" s="199" t="n"/>
      <c r="G228" s="876" t="n"/>
      <c r="H228" s="1130" t="n"/>
      <c r="I228" s="1124" t="n"/>
      <c r="J228" s="218" t="b">
        <v>0</v>
      </c>
      <c r="K228" s="213" t="b">
        <v>0</v>
      </c>
      <c r="L228" s="872">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032" t="n"/>
      <c r="N228" s="1032" t="n"/>
      <c r="O228" s="1032" t="n"/>
      <c r="P228" s="1032" t="n"/>
      <c r="Q228" s="1032" t="n"/>
    </row>
    <row r="229" hidden="1" outlineLevel="1">
      <c r="C229" s="208" t="n"/>
      <c r="D229" s="1159">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1106" t="n"/>
      <c r="F229" s="199" t="n"/>
      <c r="G229" s="876" t="n"/>
      <c r="H229" s="1130" t="n"/>
      <c r="I229" s="1124" t="n"/>
      <c r="J229" s="218" t="b">
        <v>0</v>
      </c>
      <c r="K229" s="213" t="b">
        <v>0</v>
      </c>
      <c r="L229" s="872">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032" t="n"/>
      <c r="N229" s="1032" t="n"/>
      <c r="O229" s="1032" t="n"/>
      <c r="P229" s="1032" t="n"/>
      <c r="Q229" s="1032" t="n"/>
    </row>
    <row r="230" hidden="1" outlineLevel="1">
      <c r="C230" s="208" t="n"/>
      <c r="D230" s="1159">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1106" t="n"/>
      <c r="F230" s="199" t="n"/>
      <c r="G230" s="876" t="n"/>
      <c r="H230" s="1130" t="n"/>
      <c r="I230" s="1124" t="n"/>
      <c r="J230" s="218" t="b">
        <v>0</v>
      </c>
      <c r="K230" s="213" t="b">
        <v>0</v>
      </c>
      <c r="L230" s="872">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032" t="n"/>
      <c r="N230" s="1032" t="n"/>
      <c r="O230" s="1032" t="n"/>
      <c r="P230" s="1032" t="n"/>
      <c r="Q230" s="1032" t="n"/>
    </row>
    <row r="231" hidden="1" outlineLevel="1">
      <c r="C231" s="208" t="n"/>
      <c r="D231" s="1159">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1106" t="n"/>
      <c r="F231" s="199" t="n"/>
      <c r="G231" s="876" t="n"/>
      <c r="H231" s="1130" t="n"/>
      <c r="I231" s="1124" t="n"/>
      <c r="J231" s="218" t="b">
        <v>0</v>
      </c>
      <c r="K231" s="213" t="b">
        <v>0</v>
      </c>
      <c r="L231" s="872">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032" t="n"/>
      <c r="N231" s="1032" t="n"/>
      <c r="O231" s="1032" t="n"/>
      <c r="P231" s="1032" t="n"/>
      <c r="Q231" s="1032" t="n"/>
    </row>
    <row r="232" hidden="1" outlineLevel="1">
      <c r="C232" s="208" t="n"/>
      <c r="D232" s="1159">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1106" t="n"/>
      <c r="F232" s="199" t="n"/>
      <c r="G232" s="876" t="n"/>
      <c r="H232" s="1130" t="n"/>
      <c r="I232" s="1124" t="n"/>
      <c r="J232" s="218" t="b">
        <v>0</v>
      </c>
      <c r="K232" s="213" t="b">
        <v>0</v>
      </c>
      <c r="L232" s="872">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032" t="n"/>
      <c r="N232" s="1032" t="n"/>
      <c r="O232" s="1032" t="n"/>
      <c r="P232" s="1032" t="n"/>
      <c r="Q232" s="1032" t="n"/>
    </row>
    <row r="233" hidden="1" outlineLevel="1">
      <c r="C233" s="208" t="n"/>
      <c r="D233" s="1159">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1106" t="n"/>
      <c r="F233" s="199" t="n"/>
      <c r="G233" s="876" t="n"/>
      <c r="H233" s="1130" t="n"/>
      <c r="I233" s="1124" t="n"/>
      <c r="J233" s="218" t="b">
        <v>0</v>
      </c>
      <c r="K233" s="213" t="b">
        <v>0</v>
      </c>
      <c r="L233" s="872">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032" t="n"/>
      <c r="N233" s="1032" t="n"/>
      <c r="O233" s="1032" t="n"/>
      <c r="P233" s="1032" t="n"/>
      <c r="Q233" s="1032" t="n"/>
    </row>
    <row r="234" hidden="1" outlineLevel="1">
      <c r="C234" s="208" t="n"/>
      <c r="D234" s="1159">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1106" t="n"/>
      <c r="F234" s="199" t="n"/>
      <c r="G234" s="876" t="n"/>
      <c r="H234" s="1130" t="n"/>
      <c r="I234" s="1124" t="n"/>
      <c r="J234" s="218" t="b">
        <v>0</v>
      </c>
      <c r="K234" s="213" t="b">
        <v>0</v>
      </c>
      <c r="L234" s="872">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032" t="n"/>
      <c r="N234" s="1032" t="n"/>
      <c r="O234" s="1032" t="n"/>
      <c r="P234" s="1032" t="n"/>
      <c r="Q234" s="1032" t="n"/>
    </row>
    <row r="235" hidden="1" outlineLevel="1">
      <c r="C235" s="208" t="n"/>
      <c r="D235" s="1159">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1106" t="n"/>
      <c r="F235" s="199" t="n"/>
      <c r="G235" s="876" t="n"/>
      <c r="H235" s="1130" t="n"/>
      <c r="I235" s="1124" t="n"/>
      <c r="J235" s="218" t="b">
        <v>0</v>
      </c>
      <c r="K235" s="213" t="b">
        <v>0</v>
      </c>
      <c r="L235" s="872">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032" t="n"/>
      <c r="N235" s="1032" t="n"/>
      <c r="O235" s="1032" t="n"/>
      <c r="P235" s="1032" t="n"/>
      <c r="Q235" s="1032" t="n"/>
    </row>
    <row r="236" hidden="1" outlineLevel="1">
      <c r="C236" s="208" t="n"/>
      <c r="D236" s="1159">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1106" t="n"/>
      <c r="F236" s="199" t="n"/>
      <c r="G236" s="876" t="n"/>
      <c r="H236" s="1130" t="n"/>
      <c r="I236" s="1124" t="n"/>
      <c r="J236" s="218" t="b">
        <v>0</v>
      </c>
      <c r="K236" s="213" t="b">
        <v>0</v>
      </c>
      <c r="L236" s="872">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032" t="n"/>
      <c r="N236" s="1032" t="n"/>
      <c r="O236" s="1032" t="n"/>
      <c r="P236" s="1032" t="n"/>
      <c r="Q236" s="1032" t="n"/>
    </row>
    <row r="237" hidden="1" outlineLevel="1">
      <c r="C237" s="208" t="n"/>
      <c r="D237" s="1159">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1106" t="n"/>
      <c r="F237" s="199" t="n"/>
      <c r="G237" s="876" t="n"/>
      <c r="H237" s="1130" t="n"/>
      <c r="I237" s="1124" t="n"/>
      <c r="J237" s="218" t="b">
        <v>0</v>
      </c>
      <c r="K237" s="213" t="b">
        <v>0</v>
      </c>
      <c r="L237" s="872">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032" t="n"/>
      <c r="N237" s="1032" t="n"/>
      <c r="O237" s="1032" t="n"/>
      <c r="P237" s="1032" t="n"/>
      <c r="Q237" s="1032" t="n"/>
    </row>
    <row r="238" hidden="1" outlineLevel="1">
      <c r="C238" s="208" t="n"/>
      <c r="D238" s="1159">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1106" t="n"/>
      <c r="F238" s="199" t="n"/>
      <c r="G238" s="876" t="n"/>
      <c r="H238" s="1130" t="n"/>
      <c r="I238" s="1124" t="n"/>
      <c r="J238" s="218" t="b">
        <v>0</v>
      </c>
      <c r="K238" s="213" t="b">
        <v>0</v>
      </c>
      <c r="L238" s="872">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032" t="n"/>
      <c r="N238" s="1032" t="n"/>
      <c r="O238" s="1032" t="n"/>
      <c r="P238" s="1032" t="n"/>
      <c r="Q238" s="1032" t="n"/>
    </row>
    <row r="239" hidden="1" outlineLevel="1">
      <c r="C239" s="208" t="n"/>
      <c r="D239" s="1159">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1106" t="n"/>
      <c r="F239" s="199" t="n"/>
      <c r="G239" s="876" t="n"/>
      <c r="H239" s="1130" t="n"/>
      <c r="I239" s="1124" t="n"/>
      <c r="J239" s="218" t="b">
        <v>0</v>
      </c>
      <c r="K239" s="213" t="b">
        <v>0</v>
      </c>
      <c r="L239" s="872">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032" t="n"/>
      <c r="N239" s="1032" t="n"/>
      <c r="O239" s="1032" t="n"/>
      <c r="P239" s="1032" t="n"/>
      <c r="Q239" s="1032" t="n"/>
    </row>
    <row r="240" hidden="1" outlineLevel="1">
      <c r="C240" s="208" t="n"/>
      <c r="D240" s="1159">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1106" t="n"/>
      <c r="F240" s="199" t="n"/>
      <c r="G240" s="876" t="n"/>
      <c r="H240" s="1130" t="n"/>
      <c r="I240" s="1124" t="n"/>
      <c r="J240" s="218" t="b">
        <v>0</v>
      </c>
      <c r="K240" s="213" t="b">
        <v>0</v>
      </c>
      <c r="L240" s="872">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032" t="n"/>
      <c r="N240" s="1032" t="n"/>
      <c r="O240" s="1032" t="n"/>
      <c r="P240" s="1032" t="n"/>
      <c r="Q240" s="1032" t="n"/>
    </row>
    <row r="241" hidden="1" outlineLevel="1">
      <c r="C241" s="208" t="n"/>
      <c r="D241" s="1159">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1106" t="n"/>
      <c r="F241" s="199" t="n"/>
      <c r="G241" s="876" t="n"/>
      <c r="H241" s="1130" t="n"/>
      <c r="I241" s="1124" t="n"/>
      <c r="J241" s="218" t="b">
        <v>0</v>
      </c>
      <c r="K241" s="213" t="b">
        <v>0</v>
      </c>
      <c r="L241" s="872">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032" t="n"/>
      <c r="N241" s="1032" t="n"/>
      <c r="O241" s="1032" t="n"/>
      <c r="P241" s="1032" t="n"/>
      <c r="Q241" s="1032" t="n"/>
    </row>
    <row r="242" hidden="1" outlineLevel="1">
      <c r="C242" s="208" t="n"/>
      <c r="D242" s="1159">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1106" t="n"/>
      <c r="F242" s="199" t="n"/>
      <c r="G242" s="876" t="n"/>
      <c r="H242" s="1130" t="n"/>
      <c r="I242" s="1124" t="n"/>
      <c r="J242" s="218" t="b">
        <v>0</v>
      </c>
      <c r="K242" s="213" t="b">
        <v>0</v>
      </c>
      <c r="L242" s="872">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032" t="n"/>
      <c r="N242" s="1032" t="n"/>
      <c r="O242" s="1032" t="n"/>
      <c r="P242" s="1032" t="n"/>
      <c r="Q242" s="1032" t="n"/>
    </row>
    <row r="243" hidden="1" outlineLevel="1">
      <c r="C243" s="208" t="n"/>
      <c r="D243" s="1159">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1106" t="n"/>
      <c r="F243" s="199" t="n"/>
      <c r="G243" s="876" t="n"/>
      <c r="H243" s="1130" t="n"/>
      <c r="I243" s="1124" t="n"/>
      <c r="J243" s="218" t="b">
        <v>0</v>
      </c>
      <c r="K243" s="213" t="b">
        <v>0</v>
      </c>
      <c r="L243" s="872">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032" t="n"/>
      <c r="N243" s="1032" t="n"/>
      <c r="O243" s="1032" t="n"/>
      <c r="P243" s="1032" t="n"/>
      <c r="Q243" s="1032" t="n"/>
    </row>
    <row r="244" hidden="1" outlineLevel="1">
      <c r="C244" s="208" t="n"/>
      <c r="D244" s="1159">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1106" t="n"/>
      <c r="F244" s="199" t="n"/>
      <c r="G244" s="876" t="n"/>
      <c r="H244" s="1130" t="n"/>
      <c r="I244" s="1124" t="n"/>
      <c r="J244" s="218" t="b">
        <v>0</v>
      </c>
      <c r="K244" s="213" t="b">
        <v>0</v>
      </c>
      <c r="L244" s="872">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032" t="n"/>
      <c r="N244" s="1032" t="n"/>
      <c r="O244" s="1032" t="n"/>
      <c r="P244" s="1032" t="n"/>
      <c r="Q244" s="1032" t="n"/>
    </row>
    <row r="245" hidden="1" outlineLevel="1">
      <c r="C245" s="208" t="n"/>
      <c r="D245" s="1159">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1106" t="n"/>
      <c r="F245" s="199" t="n"/>
      <c r="G245" s="876" t="n"/>
      <c r="H245" s="1130" t="n"/>
      <c r="I245" s="1124" t="n"/>
      <c r="J245" s="218" t="b">
        <v>0</v>
      </c>
      <c r="K245" s="213" t="b">
        <v>0</v>
      </c>
      <c r="L245" s="872">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032" t="n"/>
      <c r="N245" s="1032" t="n"/>
      <c r="O245" s="1032" t="n"/>
      <c r="P245" s="1032" t="n"/>
      <c r="Q245" s="1032" t="n"/>
    </row>
    <row r="246" hidden="1" outlineLevel="1">
      <c r="C246" s="208" t="n"/>
      <c r="D246" s="1159">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1106" t="n"/>
      <c r="F246" s="199" t="n"/>
      <c r="G246" s="876" t="n"/>
      <c r="H246" s="1130" t="n"/>
      <c r="I246" s="1124" t="n"/>
      <c r="J246" s="218" t="b">
        <v>0</v>
      </c>
      <c r="K246" s="213" t="b">
        <v>0</v>
      </c>
      <c r="L246" s="872">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032" t="n"/>
      <c r="N246" s="1032" t="n"/>
      <c r="O246" s="1032" t="n"/>
      <c r="P246" s="1032" t="n"/>
      <c r="Q246" s="1032" t="n"/>
    </row>
    <row r="247" hidden="1" outlineLevel="1">
      <c r="C247" s="208" t="n"/>
      <c r="D247" s="1159">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1106" t="n"/>
      <c r="F247" s="199" t="n"/>
      <c r="G247" s="876" t="n"/>
      <c r="H247" s="1130" t="n"/>
      <c r="I247" s="1124" t="n"/>
      <c r="J247" s="218" t="b">
        <v>0</v>
      </c>
      <c r="K247" s="213" t="b">
        <v>0</v>
      </c>
      <c r="L247" s="872">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032" t="n"/>
      <c r="N247" s="1032" t="n"/>
      <c r="O247" s="1032" t="n"/>
      <c r="P247" s="1032" t="n"/>
      <c r="Q247" s="1032" t="n"/>
    </row>
    <row r="248" hidden="1" outlineLevel="1">
      <c r="C248" s="208" t="n"/>
      <c r="D248" s="1159">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1106" t="n"/>
      <c r="F248" s="199" t="n"/>
      <c r="G248" s="876" t="n"/>
      <c r="H248" s="1130" t="n"/>
      <c r="I248" s="1124" t="n"/>
      <c r="J248" s="218" t="b">
        <v>0</v>
      </c>
      <c r="K248" s="213" t="b">
        <v>0</v>
      </c>
      <c r="L248" s="872">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032" t="n"/>
      <c r="N248" s="1032" t="n"/>
      <c r="O248" s="1032" t="n"/>
      <c r="P248" s="1032" t="n"/>
      <c r="Q248" s="1032" t="n"/>
    </row>
    <row r="249" hidden="1" outlineLevel="1">
      <c r="C249" s="208" t="n"/>
      <c r="D249" s="1159">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1106" t="n"/>
      <c r="F249" s="199" t="n"/>
      <c r="G249" s="876" t="n"/>
      <c r="H249" s="1130" t="n"/>
      <c r="I249" s="1124" t="n"/>
      <c r="J249" s="218" t="b">
        <v>0</v>
      </c>
      <c r="K249" s="213" t="b">
        <v>0</v>
      </c>
      <c r="L249" s="872">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032" t="n"/>
      <c r="N249" s="1032" t="n"/>
      <c r="O249" s="1032" t="n"/>
      <c r="P249" s="1032" t="n"/>
      <c r="Q249" s="1032" t="n"/>
    </row>
    <row r="250" hidden="1" outlineLevel="1">
      <c r="C250" s="208" t="n"/>
      <c r="D250" s="1159">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1106" t="n"/>
      <c r="F250" s="199" t="n"/>
      <c r="G250" s="876" t="n"/>
      <c r="H250" s="1130" t="n"/>
      <c r="I250" s="1124" t="n"/>
      <c r="J250" s="218" t="b">
        <v>0</v>
      </c>
      <c r="K250" s="213" t="b">
        <v>0</v>
      </c>
      <c r="L250" s="872">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032" t="n"/>
      <c r="N250" s="1032" t="n"/>
      <c r="O250" s="1032" t="n"/>
      <c r="P250" s="1032" t="n"/>
      <c r="Q250" s="1032" t="n"/>
    </row>
    <row r="251" hidden="1" outlineLevel="1">
      <c r="C251" s="208" t="n"/>
      <c r="D251" s="1159">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1106" t="n"/>
      <c r="F251" s="199" t="n"/>
      <c r="G251" s="876" t="n"/>
      <c r="H251" s="1130" t="n"/>
      <c r="I251" s="1124" t="n"/>
      <c r="J251" s="218" t="b">
        <v>0</v>
      </c>
      <c r="K251" s="213" t="b">
        <v>0</v>
      </c>
      <c r="L251" s="872">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032" t="n"/>
      <c r="N251" s="1032" t="n"/>
      <c r="O251" s="1032" t="n"/>
      <c r="P251" s="1032" t="n"/>
      <c r="Q251" s="1032" t="n"/>
    </row>
    <row r="252" hidden="1" outlineLevel="1">
      <c r="C252" s="208" t="n"/>
      <c r="D252" s="1159">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1106" t="n"/>
      <c r="F252" s="199" t="n"/>
      <c r="G252" s="876" t="n"/>
      <c r="H252" s="1130" t="n"/>
      <c r="I252" s="1124" t="n"/>
      <c r="J252" s="218" t="b">
        <v>0</v>
      </c>
      <c r="K252" s="213" t="b">
        <v>0</v>
      </c>
      <c r="L252" s="872">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032" t="n"/>
      <c r="N252" s="1032" t="n"/>
      <c r="O252" s="1032" t="n"/>
      <c r="P252" s="1032" t="n"/>
      <c r="Q252" s="1032" t="n"/>
    </row>
    <row r="253" hidden="1" outlineLevel="1">
      <c r="C253" s="208" t="n"/>
      <c r="D253" s="1159">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1106" t="n"/>
      <c r="F253" s="199" t="n"/>
      <c r="G253" s="876" t="n"/>
      <c r="H253" s="1130" t="n"/>
      <c r="I253" s="1124" t="n"/>
      <c r="J253" s="218" t="b">
        <v>0</v>
      </c>
      <c r="K253" s="213" t="b">
        <v>0</v>
      </c>
      <c r="L253" s="872">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032" t="n"/>
      <c r="N253" s="1032" t="n"/>
      <c r="O253" s="1032" t="n"/>
      <c r="P253" s="1032" t="n"/>
      <c r="Q253" s="1032" t="n"/>
    </row>
    <row r="254" hidden="1" outlineLevel="1">
      <c r="C254" s="208" t="n"/>
      <c r="D254" s="1159">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1106" t="n"/>
      <c r="F254" s="199" t="n"/>
      <c r="G254" s="876" t="n"/>
      <c r="H254" s="1130" t="n"/>
      <c r="I254" s="1124" t="n"/>
      <c r="J254" s="218" t="b">
        <v>0</v>
      </c>
      <c r="K254" s="213" t="b">
        <v>0</v>
      </c>
      <c r="L254" s="872">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032" t="n"/>
      <c r="N254" s="1032" t="n"/>
      <c r="O254" s="1032" t="n"/>
      <c r="P254" s="1032" t="n"/>
      <c r="Q254" s="1032" t="n"/>
    </row>
    <row r="255" hidden="1" outlineLevel="1">
      <c r="C255" s="208" t="n"/>
      <c r="D255" s="1159">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1106" t="n"/>
      <c r="F255" s="199" t="n"/>
      <c r="G255" s="876" t="n"/>
      <c r="H255" s="1130" t="n"/>
      <c r="I255" s="1124" t="n"/>
      <c r="J255" s="218" t="b">
        <v>0</v>
      </c>
      <c r="K255" s="213" t="b">
        <v>0</v>
      </c>
      <c r="L255" s="872">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032" t="n"/>
      <c r="N255" s="1032" t="n"/>
      <c r="O255" s="1032" t="n"/>
      <c r="P255" s="1032" t="n"/>
      <c r="Q255" s="1032" t="n"/>
    </row>
    <row r="256" hidden="1" outlineLevel="1">
      <c r="C256" s="208" t="n"/>
      <c r="D256" s="1159">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1106" t="n"/>
      <c r="F256" s="199" t="n"/>
      <c r="G256" s="876" t="n"/>
      <c r="H256" s="1130" t="n"/>
      <c r="I256" s="1124" t="n"/>
      <c r="J256" s="218" t="b">
        <v>0</v>
      </c>
      <c r="K256" s="213" t="b">
        <v>0</v>
      </c>
      <c r="L256" s="872">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032" t="n"/>
      <c r="N256" s="1032" t="n"/>
      <c r="O256" s="1032" t="n"/>
      <c r="P256" s="1032" t="n"/>
      <c r="Q256" s="1032" t="n"/>
    </row>
    <row r="257" hidden="1" outlineLevel="1">
      <c r="C257" s="208" t="n"/>
      <c r="D257" s="1159">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1106" t="n"/>
      <c r="F257" s="199" t="n"/>
      <c r="G257" s="876" t="n"/>
      <c r="H257" s="1130" t="n"/>
      <c r="I257" s="1124" t="n"/>
      <c r="J257" s="218" t="b">
        <v>0</v>
      </c>
      <c r="K257" s="213" t="b">
        <v>0</v>
      </c>
      <c r="L257" s="872">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032" t="n"/>
      <c r="N257" s="1032" t="n"/>
      <c r="O257" s="1032" t="n"/>
      <c r="P257" s="1032" t="n"/>
      <c r="Q257" s="1032" t="n"/>
    </row>
    <row r="258" hidden="1" outlineLevel="1">
      <c r="C258" s="208" t="n"/>
      <c r="D258" s="1159">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1106" t="n"/>
      <c r="F258" s="199" t="n"/>
      <c r="G258" s="876" t="n"/>
      <c r="H258" s="1130" t="n"/>
      <c r="I258" s="1124" t="n"/>
      <c r="J258" s="218" t="b">
        <v>0</v>
      </c>
      <c r="K258" s="213" t="b">
        <v>0</v>
      </c>
      <c r="L258" s="872">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032" t="n"/>
      <c r="N258" s="1032" t="n"/>
      <c r="O258" s="1032" t="n"/>
      <c r="P258" s="1032" t="n"/>
      <c r="Q258" s="1032" t="n"/>
    </row>
    <row r="259" hidden="1" outlineLevel="1">
      <c r="C259" s="208" t="n"/>
      <c r="D259" s="1159">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1106" t="n"/>
      <c r="F259" s="199" t="n"/>
      <c r="G259" s="876" t="n"/>
      <c r="H259" s="1130" t="n"/>
      <c r="I259" s="1124" t="n"/>
      <c r="J259" s="218" t="b">
        <v>0</v>
      </c>
      <c r="K259" s="213" t="b">
        <v>0</v>
      </c>
      <c r="L259" s="872">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032" t="n"/>
      <c r="N259" s="1032" t="n"/>
      <c r="O259" s="1032" t="n"/>
      <c r="P259" s="1032" t="n"/>
      <c r="Q259" s="1032" t="n"/>
    </row>
    <row r="260" hidden="1" outlineLevel="1">
      <c r="C260" s="208" t="n"/>
      <c r="D260" s="1159">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1106" t="n"/>
      <c r="F260" s="199" t="n"/>
      <c r="G260" s="876" t="n"/>
      <c r="H260" s="1130" t="n"/>
      <c r="I260" s="1124" t="n"/>
      <c r="J260" s="218" t="b">
        <v>0</v>
      </c>
      <c r="K260" s="213" t="b">
        <v>0</v>
      </c>
      <c r="L260" s="872">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032" t="n"/>
      <c r="N260" s="1032" t="n"/>
      <c r="O260" s="1032" t="n"/>
      <c r="P260" s="1032" t="n"/>
      <c r="Q260" s="1032" t="n"/>
    </row>
    <row r="261" hidden="1" outlineLevel="1">
      <c r="C261" s="208" t="n"/>
      <c r="D261" s="1159">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1106" t="n"/>
      <c r="F261" s="199" t="n"/>
      <c r="G261" s="876" t="n"/>
      <c r="H261" s="1130" t="n"/>
      <c r="I261" s="1124" t="n"/>
      <c r="J261" s="218" t="b">
        <v>0</v>
      </c>
      <c r="K261" s="213" t="b">
        <v>0</v>
      </c>
      <c r="L261" s="872">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032" t="n"/>
      <c r="N261" s="1032" t="n"/>
      <c r="O261" s="1032" t="n"/>
      <c r="P261" s="1032" t="n"/>
      <c r="Q261" s="1032" t="n"/>
    </row>
    <row r="262" hidden="1" outlineLevel="1">
      <c r="C262" s="208" t="n"/>
      <c r="D262" s="1159">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1106" t="n"/>
      <c r="F262" s="199" t="n"/>
      <c r="G262" s="876" t="n"/>
      <c r="H262" s="1130" t="n"/>
      <c r="I262" s="1124" t="n"/>
      <c r="J262" s="218" t="b">
        <v>0</v>
      </c>
      <c r="K262" s="213" t="b">
        <v>0</v>
      </c>
      <c r="L262" s="872">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032" t="n"/>
      <c r="N262" s="1032" t="n"/>
      <c r="O262" s="1032" t="n"/>
      <c r="P262" s="1032" t="n"/>
      <c r="Q262" s="1032" t="n"/>
    </row>
    <row r="263" hidden="1" outlineLevel="1">
      <c r="C263" s="208" t="n"/>
      <c r="D263" s="1159">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1106" t="n"/>
      <c r="F263" s="199" t="n"/>
      <c r="G263" s="876" t="n"/>
      <c r="H263" s="1130" t="n"/>
      <c r="I263" s="1124" t="n"/>
      <c r="J263" s="218" t="b">
        <v>0</v>
      </c>
      <c r="K263" s="213" t="b">
        <v>0</v>
      </c>
      <c r="L263" s="872">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032" t="n"/>
      <c r="N263" s="1032" t="n"/>
      <c r="O263" s="1032" t="n"/>
      <c r="P263" s="1032" t="n"/>
      <c r="Q263" s="1032" t="n"/>
    </row>
    <row r="264" hidden="1" outlineLevel="1">
      <c r="C264" s="208" t="n"/>
      <c r="D264" s="1159">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1106" t="n"/>
      <c r="F264" s="199" t="n"/>
      <c r="G264" s="876" t="n"/>
      <c r="H264" s="1130" t="n"/>
      <c r="I264" s="1124" t="n"/>
      <c r="J264" s="218" t="b">
        <v>0</v>
      </c>
      <c r="K264" s="213" t="b">
        <v>0</v>
      </c>
      <c r="L264" s="872">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032" t="n"/>
      <c r="N264" s="1032" t="n"/>
      <c r="O264" s="1032" t="n"/>
      <c r="P264" s="1032" t="n"/>
      <c r="Q264" s="1032" t="n"/>
    </row>
    <row r="265" hidden="1" outlineLevel="1">
      <c r="C265" s="208" t="n"/>
      <c r="D265" s="1159">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1106" t="n"/>
      <c r="F265" s="199" t="n"/>
      <c r="G265" s="876" t="n"/>
      <c r="H265" s="1130" t="n"/>
      <c r="I265" s="1124" t="n"/>
      <c r="J265" s="218" t="b">
        <v>0</v>
      </c>
      <c r="K265" s="213" t="b">
        <v>0</v>
      </c>
      <c r="L265" s="872">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032" t="n"/>
      <c r="N265" s="1032" t="n"/>
      <c r="O265" s="1032" t="n"/>
      <c r="P265" s="1032" t="n"/>
      <c r="Q265" s="1032" t="n"/>
    </row>
    <row r="266" hidden="1" outlineLevel="1">
      <c r="C266" s="208" t="n"/>
      <c r="D266" s="1159">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1106" t="n"/>
      <c r="F266" s="199" t="n"/>
      <c r="G266" s="876" t="n"/>
      <c r="H266" s="1130" t="n"/>
      <c r="I266" s="1124" t="n"/>
      <c r="J266" s="218" t="b">
        <v>0</v>
      </c>
      <c r="K266" s="213" t="b">
        <v>0</v>
      </c>
      <c r="L266" s="872">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032" t="n"/>
      <c r="N266" s="1032" t="n"/>
      <c r="O266" s="1032" t="n"/>
      <c r="P266" s="1032" t="n"/>
      <c r="Q266" s="1032" t="n"/>
    </row>
    <row r="267" hidden="1" outlineLevel="1">
      <c r="C267" s="208" t="n"/>
      <c r="D267" s="1159">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1106" t="n"/>
      <c r="F267" s="199" t="n"/>
      <c r="G267" s="876" t="n"/>
      <c r="H267" s="1130" t="n"/>
      <c r="I267" s="1124" t="n"/>
      <c r="J267" s="218" t="b">
        <v>0</v>
      </c>
      <c r="K267" s="213" t="b">
        <v>0</v>
      </c>
      <c r="L267" s="872">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032" t="n"/>
      <c r="N267" s="1032" t="n"/>
      <c r="O267" s="1032" t="n"/>
      <c r="P267" s="1032" t="n"/>
      <c r="Q267" s="1032" t="n"/>
    </row>
    <row r="268" hidden="1" outlineLevel="1">
      <c r="C268" s="208" t="n"/>
      <c r="D268" s="1159">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1106" t="n"/>
      <c r="F268" s="199" t="n"/>
      <c r="G268" s="876" t="n"/>
      <c r="H268" s="1130" t="n"/>
      <c r="I268" s="1124" t="n"/>
      <c r="J268" s="218" t="b">
        <v>0</v>
      </c>
      <c r="K268" s="213" t="b">
        <v>0</v>
      </c>
      <c r="L268" s="872">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032" t="n"/>
      <c r="N268" s="1032" t="n"/>
      <c r="O268" s="1032" t="n"/>
      <c r="P268" s="1032" t="n"/>
      <c r="Q268" s="1032" t="n"/>
    </row>
    <row r="269" hidden="1" outlineLevel="1">
      <c r="C269" s="208" t="n"/>
      <c r="D269" s="1159">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1106" t="n"/>
      <c r="F269" s="199" t="n"/>
      <c r="G269" s="876" t="n"/>
      <c r="H269" s="1130" t="n"/>
      <c r="I269" s="1124" t="n"/>
      <c r="J269" s="218" t="b">
        <v>0</v>
      </c>
      <c r="K269" s="213" t="b">
        <v>0</v>
      </c>
      <c r="L269" s="872">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032" t="n"/>
      <c r="N269" s="1032" t="n"/>
      <c r="O269" s="1032" t="n"/>
      <c r="P269" s="1032" t="n"/>
      <c r="Q269" s="1032" t="n"/>
    </row>
    <row r="270" hidden="1" outlineLevel="1">
      <c r="C270" s="208" t="n"/>
      <c r="D270" s="1159">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1106" t="n"/>
      <c r="F270" s="199" t="n"/>
      <c r="G270" s="876" t="n"/>
      <c r="H270" s="1130" t="n"/>
      <c r="I270" s="1124" t="n"/>
      <c r="J270" s="218" t="b">
        <v>0</v>
      </c>
      <c r="K270" s="213" t="b">
        <v>0</v>
      </c>
      <c r="L270" s="872">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032" t="n"/>
      <c r="N270" s="1032" t="n"/>
      <c r="O270" s="1032" t="n"/>
      <c r="P270" s="1032" t="n"/>
      <c r="Q270" s="1032" t="n"/>
    </row>
    <row r="271" hidden="1" outlineLevel="1">
      <c r="C271" s="208" t="n"/>
      <c r="D271" s="1159">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1106" t="n"/>
      <c r="F271" s="199" t="n"/>
      <c r="G271" s="876" t="n"/>
      <c r="H271" s="1130" t="n"/>
      <c r="I271" s="1124" t="n"/>
      <c r="J271" s="218" t="b">
        <v>0</v>
      </c>
      <c r="K271" s="213" t="b">
        <v>0</v>
      </c>
      <c r="L271" s="872">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032" t="n"/>
      <c r="N271" s="1032" t="n"/>
      <c r="O271" s="1032" t="n"/>
      <c r="P271" s="1032" t="n"/>
      <c r="Q271" s="1032" t="n"/>
    </row>
    <row r="272" hidden="1" outlineLevel="1">
      <c r="C272" s="208" t="n"/>
      <c r="D272" s="1159">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1106" t="n"/>
      <c r="F272" s="199" t="n"/>
      <c r="G272" s="876" t="n"/>
      <c r="H272" s="1130" t="n"/>
      <c r="I272" s="1124" t="n"/>
      <c r="J272" s="218" t="b">
        <v>0</v>
      </c>
      <c r="K272" s="213" t="b">
        <v>0</v>
      </c>
      <c r="L272" s="872">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032" t="n"/>
      <c r="N272" s="1032" t="n"/>
      <c r="O272" s="1032" t="n"/>
      <c r="P272" s="1032" t="n"/>
      <c r="Q272" s="1032" t="n"/>
    </row>
    <row r="273" hidden="1" outlineLevel="1">
      <c r="C273" s="208" t="n"/>
      <c r="D273" s="1159">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1106" t="n"/>
      <c r="F273" s="199" t="n"/>
      <c r="G273" s="876" t="n"/>
      <c r="H273" s="1130" t="n"/>
      <c r="I273" s="1124" t="n"/>
      <c r="J273" s="218" t="b">
        <v>0</v>
      </c>
      <c r="K273" s="213" t="b">
        <v>0</v>
      </c>
      <c r="L273" s="872">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032" t="n"/>
      <c r="N273" s="1032" t="n"/>
      <c r="O273" s="1032" t="n"/>
      <c r="P273" s="1032" t="n"/>
      <c r="Q273" s="1032" t="n"/>
    </row>
    <row r="274" hidden="1" outlineLevel="1">
      <c r="C274" s="208" t="n"/>
      <c r="D274" s="1159">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1106" t="n"/>
      <c r="F274" s="199" t="n"/>
      <c r="G274" s="876" t="n"/>
      <c r="H274" s="1130" t="n"/>
      <c r="I274" s="1124" t="n"/>
      <c r="J274" s="218" t="b">
        <v>0</v>
      </c>
      <c r="K274" s="213" t="b">
        <v>0</v>
      </c>
      <c r="L274" s="872">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032" t="n"/>
      <c r="N274" s="1032" t="n"/>
      <c r="O274" s="1032" t="n"/>
      <c r="P274" s="1032" t="n"/>
      <c r="Q274" s="1032" t="n"/>
    </row>
    <row r="275" hidden="1" outlineLevel="1">
      <c r="C275" s="208" t="n"/>
      <c r="D275" s="1159">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1106" t="n"/>
      <c r="F275" s="199" t="n"/>
      <c r="G275" s="876" t="n"/>
      <c r="H275" s="1130" t="n"/>
      <c r="I275" s="1124" t="n"/>
      <c r="J275" s="218" t="b">
        <v>0</v>
      </c>
      <c r="K275" s="213" t="b">
        <v>0</v>
      </c>
      <c r="L275" s="872">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032" t="n"/>
      <c r="N275" s="1032" t="n"/>
      <c r="O275" s="1032" t="n"/>
      <c r="P275" s="1032" t="n"/>
      <c r="Q275" s="1032" t="n"/>
    </row>
    <row r="276" hidden="1" outlineLevel="1">
      <c r="C276" s="208" t="n"/>
      <c r="D276" s="1159">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1106" t="n"/>
      <c r="F276" s="199" t="n"/>
      <c r="G276" s="876" t="n"/>
      <c r="H276" s="1130" t="n"/>
      <c r="I276" s="1124" t="n"/>
      <c r="J276" s="218" t="b">
        <v>0</v>
      </c>
      <c r="K276" s="213" t="b">
        <v>0</v>
      </c>
      <c r="L276" s="872">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032" t="n"/>
      <c r="N276" s="1032" t="n"/>
      <c r="O276" s="1032" t="n"/>
      <c r="P276" s="1032" t="n"/>
      <c r="Q276" s="1032" t="n"/>
    </row>
    <row r="277" hidden="1" outlineLevel="1">
      <c r="C277" s="208" t="n"/>
      <c r="D277" s="1159">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1106" t="n"/>
      <c r="F277" s="199" t="n"/>
      <c r="G277" s="876" t="n"/>
      <c r="H277" s="1130" t="n"/>
      <c r="I277" s="1124" t="n"/>
      <c r="J277" s="218" t="b">
        <v>0</v>
      </c>
      <c r="K277" s="213" t="b">
        <v>0</v>
      </c>
      <c r="L277" s="872">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032" t="n"/>
      <c r="N277" s="1032" t="n"/>
      <c r="O277" s="1032" t="n"/>
      <c r="P277" s="1032" t="n"/>
      <c r="Q277" s="1032" t="n"/>
    </row>
    <row r="278" hidden="1" outlineLevel="1">
      <c r="C278" s="208" t="n"/>
      <c r="D278" s="1159">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1106" t="n"/>
      <c r="F278" s="199" t="n"/>
      <c r="G278" s="876" t="n"/>
      <c r="H278" s="1130" t="n"/>
      <c r="I278" s="1124" t="n"/>
      <c r="J278" s="218" t="b">
        <v>0</v>
      </c>
      <c r="K278" s="213" t="b">
        <v>0</v>
      </c>
      <c r="L278" s="872">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032" t="n"/>
      <c r="N278" s="1032" t="n"/>
      <c r="O278" s="1032" t="n"/>
      <c r="P278" s="1032" t="n"/>
      <c r="Q278" s="1032" t="n"/>
    </row>
    <row r="279" hidden="1" outlineLevel="1">
      <c r="C279" s="208" t="n"/>
      <c r="D279" s="1159">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1106" t="n"/>
      <c r="F279" s="199" t="n"/>
      <c r="G279" s="876" t="n"/>
      <c r="H279" s="1130" t="n"/>
      <c r="I279" s="1124" t="n"/>
      <c r="J279" s="218" t="b">
        <v>0</v>
      </c>
      <c r="K279" s="213" t="b">
        <v>0</v>
      </c>
      <c r="L279" s="872">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032" t="n"/>
      <c r="N279" s="1032" t="n"/>
      <c r="O279" s="1032" t="n"/>
      <c r="P279" s="1032" t="n"/>
      <c r="Q279" s="1032" t="n"/>
    </row>
    <row r="280" hidden="1" outlineLevel="1">
      <c r="C280" s="208" t="n"/>
      <c r="D280" s="1159">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1106" t="n"/>
      <c r="F280" s="199" t="n"/>
      <c r="G280" s="876" t="n"/>
      <c r="H280" s="1130" t="n"/>
      <c r="I280" s="1124" t="n"/>
      <c r="J280" s="218" t="b">
        <v>0</v>
      </c>
      <c r="K280" s="213" t="b">
        <v>0</v>
      </c>
      <c r="L280" s="872">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032" t="n"/>
      <c r="N280" s="1032" t="n"/>
      <c r="O280" s="1032" t="n"/>
      <c r="P280" s="1032" t="n"/>
      <c r="Q280" s="1032" t="n"/>
    </row>
    <row r="281" hidden="1" outlineLevel="1">
      <c r="C281" s="208" t="n"/>
      <c r="D281" s="1159">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1106" t="n"/>
      <c r="F281" s="199" t="n"/>
      <c r="G281" s="876" t="n"/>
      <c r="H281" s="1130" t="n"/>
      <c r="I281" s="1124" t="n"/>
      <c r="J281" s="218" t="b">
        <v>0</v>
      </c>
      <c r="K281" s="213" t="b">
        <v>0</v>
      </c>
      <c r="L281" s="872">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032" t="n"/>
      <c r="N281" s="1032" t="n"/>
      <c r="O281" s="1032" t="n"/>
      <c r="P281" s="1032" t="n"/>
      <c r="Q281" s="1032" t="n"/>
    </row>
    <row r="282" hidden="1" outlineLevel="1">
      <c r="C282" s="208" t="n"/>
      <c r="D282" s="1159">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1106" t="n"/>
      <c r="F282" s="199" t="n"/>
      <c r="G282" s="876" t="n"/>
      <c r="H282" s="1130" t="n"/>
      <c r="I282" s="1124" t="n"/>
      <c r="J282" s="218" t="b">
        <v>0</v>
      </c>
      <c r="K282" s="213" t="b">
        <v>0</v>
      </c>
      <c r="L282" s="872">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032" t="n"/>
      <c r="N282" s="1032" t="n"/>
      <c r="O282" s="1032" t="n"/>
      <c r="P282" s="1032" t="n"/>
      <c r="Q282" s="1032" t="n"/>
    </row>
    <row r="283" hidden="1" outlineLevel="1">
      <c r="C283" s="208" t="n"/>
      <c r="D283" s="1159">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1106" t="n"/>
      <c r="F283" s="199" t="n"/>
      <c r="G283" s="876" t="n"/>
      <c r="H283" s="1130" t="n"/>
      <c r="I283" s="1124" t="n"/>
      <c r="J283" s="218" t="b">
        <v>0</v>
      </c>
      <c r="K283" s="213" t="b">
        <v>0</v>
      </c>
      <c r="L283" s="872">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032" t="n"/>
      <c r="N283" s="1032" t="n"/>
      <c r="O283" s="1032" t="n"/>
      <c r="P283" s="1032" t="n"/>
      <c r="Q283" s="1032" t="n"/>
    </row>
    <row r="284" hidden="1" outlineLevel="1">
      <c r="C284" s="208" t="n"/>
      <c r="D284" s="1159">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1106" t="n"/>
      <c r="F284" s="199" t="n"/>
      <c r="G284" s="876" t="n"/>
      <c r="H284" s="1130" t="n"/>
      <c r="I284" s="1124" t="n"/>
      <c r="J284" s="218" t="b">
        <v>0</v>
      </c>
      <c r="K284" s="213" t="b">
        <v>0</v>
      </c>
      <c r="L284" s="872">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032" t="n"/>
      <c r="N284" s="1032" t="n"/>
      <c r="O284" s="1032" t="n"/>
      <c r="P284" s="1032" t="n"/>
      <c r="Q284" s="1032" t="n"/>
    </row>
    <row r="285" hidden="1" outlineLevel="1">
      <c r="C285" s="208" t="n"/>
      <c r="D285" s="1159">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1106" t="n"/>
      <c r="F285" s="199" t="n"/>
      <c r="G285" s="876" t="n"/>
      <c r="H285" s="1130" t="n"/>
      <c r="I285" s="1124" t="n"/>
      <c r="J285" s="218" t="b">
        <v>0</v>
      </c>
      <c r="K285" s="213" t="b">
        <v>0</v>
      </c>
      <c r="L285" s="872">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032" t="n"/>
      <c r="N285" s="1032" t="n"/>
      <c r="O285" s="1032" t="n"/>
      <c r="P285" s="1032" t="n"/>
      <c r="Q285" s="1032" t="n"/>
    </row>
    <row r="286" hidden="1" outlineLevel="1">
      <c r="C286" s="208" t="n"/>
      <c r="D286" s="1159">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1106" t="n"/>
      <c r="F286" s="199" t="n"/>
      <c r="G286" s="876" t="n"/>
      <c r="H286" s="1130" t="n"/>
      <c r="I286" s="1124" t="n"/>
      <c r="J286" s="218" t="b">
        <v>0</v>
      </c>
      <c r="K286" s="213" t="b">
        <v>0</v>
      </c>
      <c r="L286" s="872">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032" t="n"/>
      <c r="N286" s="1032" t="n"/>
      <c r="O286" s="1032" t="n"/>
      <c r="P286" s="1032" t="n"/>
      <c r="Q286" s="1032" t="n"/>
    </row>
    <row r="287" hidden="1" outlineLevel="1" ht="15" customHeight="1" thickBot="1">
      <c r="C287" s="211" t="n"/>
      <c r="D287" s="1159">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1106" t="n"/>
      <c r="F287" s="199" t="n"/>
      <c r="G287" s="1165" t="n"/>
      <c r="H287" s="1132" t="n"/>
      <c r="I287" s="1123" t="n"/>
      <c r="J287" s="219" t="b">
        <v>0</v>
      </c>
      <c r="K287" s="214" t="b">
        <v>0</v>
      </c>
      <c r="L287" s="872">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32" t="n"/>
      <c r="N287" s="1032" t="n"/>
      <c r="O287" s="1032" t="n"/>
      <c r="P287" s="1032" t="n"/>
      <c r="Q287" s="1032" t="n"/>
    </row>
    <row r="288" collapsed="1" ht="15" customHeight="1" thickBot="1">
      <c r="D288" s="14" t="n"/>
      <c r="E288" s="14" t="n"/>
      <c r="F288" s="14" t="n"/>
      <c r="H288" s="14" t="n"/>
      <c r="I288" s="14" t="n"/>
      <c r="J288" s="14" t="n"/>
    </row>
    <row r="289" ht="15" customHeight="1" thickBot="1">
      <c r="C289" s="558">
        <f>template_label_b5_biodiversity_land_use&amp;" "&amp;template_label_from&amp;" "&amp;template_starting_date_display&amp;" "&amp;template_label_to&amp;" "&amp;template_ending_date_display&amp;" " &amp; template_label_may</f>
        <v/>
      </c>
      <c r="D289" s="1120" t="n"/>
      <c r="E289" s="1120" t="n"/>
      <c r="F289" s="1121" t="n"/>
    </row>
    <row r="290">
      <c r="C290" s="553" t="n">
        <v>34</v>
      </c>
      <c r="D290" s="508" t="n"/>
      <c r="E290" s="508" t="n"/>
      <c r="F290" s="198" t="n"/>
    </row>
    <row r="291">
      <c r="C291" s="586" t="inlineStr">
        <is>
          <t>74-76</t>
        </is>
      </c>
      <c r="D291" s="1106" t="n"/>
      <c r="E291" s="1106" t="n"/>
      <c r="F291" s="199" t="n"/>
    </row>
    <row r="292" ht="16.95" customHeight="1">
      <c r="C292" s="853">
        <f>template_label_please_select_the_unit_used_for_the_area</f>
        <v/>
      </c>
      <c r="D292" s="1106" t="n"/>
      <c r="E292" s="1106" t="n"/>
      <c r="F292" s="199" t="n"/>
    </row>
    <row r="293">
      <c r="C293" s="854" t="n"/>
      <c r="D293" s="1130" t="n"/>
      <c r="E293" s="1130" t="n"/>
      <c r="F293" s="1124" t="n"/>
      <c r="G293" s="518">
        <f>IF(C293&lt;&gt;"", template_label_ok, IF(AND(OR(D295&lt;&gt;"", D296&lt;&gt;"", D297&lt;&gt;"", D298&lt;&gt;""), C293=""), template_label_missing_value, ""))</f>
        <v/>
      </c>
      <c r="H293" s="113" t="n"/>
      <c r="K293" s="518" t="n"/>
    </row>
    <row r="294">
      <c r="C294" s="114">
        <f>template_label_land_use_type</f>
        <v/>
      </c>
      <c r="D294" s="773">
        <f>template_label_area</f>
        <v/>
      </c>
      <c r="E294" s="1106" t="n"/>
      <c r="F294" s="199" t="n"/>
      <c r="G294" s="518" t="n"/>
      <c r="H294" s="113" t="n"/>
      <c r="K294" s="518" t="n"/>
    </row>
    <row r="295">
      <c r="C295" s="117">
        <f>template_label_total_sealed_area</f>
        <v/>
      </c>
      <c r="D295" s="814" t="n"/>
      <c r="E295" s="1130" t="n"/>
      <c r="F295" s="1124" t="n"/>
      <c r="G295" s="518">
        <f>IF(AND(G293=template_label_ok, COUNTIF(D295:F298,"&lt;&gt;")&gt;0),
    template_label_ok,
    IF(AND(G293=template_label_ok, COUNTA(D295:F298)=0),
        template_label_missing_value,
        IF(AND(G293=template_label_missing_value, COUNTIF(D295:F298,"&lt;&gt;")&gt;0),
            template_label_value_inconsistency,
            ""
        )
    )
)</f>
        <v/>
      </c>
      <c r="H295" s="116" t="n"/>
      <c r="K295" s="518" t="n"/>
    </row>
    <row r="296">
      <c r="C296" s="117">
        <f>template_label_total_nature_oriented_area_on_site</f>
        <v/>
      </c>
      <c r="D296" s="814" t="n"/>
      <c r="E296" s="1130" t="n"/>
      <c r="F296" s="1124" t="n"/>
      <c r="H296" s="116" t="n"/>
      <c r="K296" s="518" t="n"/>
    </row>
    <row r="297">
      <c r="C297" s="117">
        <f>template_label_total_nature_oriented_area_off_site</f>
        <v/>
      </c>
      <c r="D297" s="814" t="n"/>
      <c r="E297" s="1130" t="n"/>
      <c r="F297" s="1124" t="n"/>
      <c r="H297" s="116" t="n"/>
      <c r="K297" s="518" t="n"/>
    </row>
    <row r="298" ht="15" customHeight="1" thickBot="1">
      <c r="C298" s="106">
        <f>template_label_total_use_of_land</f>
        <v/>
      </c>
      <c r="D298" s="850" t="n"/>
      <c r="E298" s="1132" t="n"/>
      <c r="F298" s="1123" t="n"/>
      <c r="H298" s="116" t="n"/>
      <c r="K298" s="518" t="n"/>
    </row>
    <row r="299" ht="15" customHeight="1" thickBot="1"/>
    <row r="300">
      <c r="C300" s="861">
        <f>template_label_b6_water_withdrawal&amp;" "&amp;template_label_from&amp;" "&amp;template_starting_date_display&amp;" "&amp;template_label_to&amp;" "&amp;template_ending_date_display&amp;" "&amp;template_label_always_to_be_reported</f>
        <v/>
      </c>
      <c r="D300" s="1144" t="n"/>
      <c r="E300" s="890" t="n"/>
      <c r="F300" s="890" t="n"/>
      <c r="G300" s="518" t="n"/>
      <c r="H300" s="518" t="n"/>
      <c r="I300" s="518" t="n"/>
      <c r="K300" s="518" t="n"/>
    </row>
    <row r="301">
      <c r="C301" s="586" t="n">
        <v>35</v>
      </c>
      <c r="D301" s="199" t="n"/>
      <c r="E301" s="118" t="n"/>
      <c r="F301" s="118" t="n"/>
      <c r="G301" s="518" t="n"/>
      <c r="H301" s="518" t="n"/>
      <c r="I301" s="518" t="n"/>
    </row>
    <row r="302">
      <c r="C302" s="586" t="inlineStr">
        <is>
          <t>77-93</t>
        </is>
      </c>
      <c r="D302" s="199" t="n"/>
      <c r="E302" s="119" t="n"/>
      <c r="F302" s="119" t="n"/>
      <c r="G302" s="518" t="n"/>
      <c r="H302" s="518" t="n"/>
      <c r="I302" s="518" t="n"/>
      <c r="K302" s="52" t="n"/>
      <c r="L302" s="52" t="n"/>
    </row>
    <row r="303">
      <c r="C303" s="603">
        <f>template_label_total_amount_of_water_withdrawn_from_all_sites</f>
        <v/>
      </c>
      <c r="D303" s="242" t="n">
        <v>742.5</v>
      </c>
      <c r="E303" s="872">
        <f>IF(OR(
'Table of Contents &amp; Validation'!D30=TRUE,'Table of Contents &amp; Validation'!D29=TRUE),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G303" s="518" t="n"/>
      <c r="H303" s="518" t="n"/>
      <c r="I303" s="518" t="n"/>
    </row>
    <row r="304" ht="15" customHeight="1" thickBot="1">
      <c r="C304" s="579">
        <f>template_label_amount_of_water_withdrawn_at_sites_located_in_areas_of_high_water_stress</f>
        <v/>
      </c>
      <c r="D304" s="243" t="n">
        <v>150</v>
      </c>
      <c r="E304" s="852">
        <f>IF(OR(
'Table of Contents &amp; Validation'!D30=TRUE,'Table of Contents &amp; Validation'!D29=TRUE),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G304" s="518" t="n"/>
      <c r="H304" s="518" t="n"/>
      <c r="I304" s="518" t="n"/>
    </row>
    <row r="305" ht="15" customHeight="1" thickBot="1">
      <c r="K305" s="38" t="n"/>
    </row>
    <row r="306" ht="15" customHeight="1" thickBot="1">
      <c r="C306" s="558">
        <f>template_label_b6_water_consumption&amp;" "&amp;template_label_from&amp;" "&amp;template_starting_date_display&amp;" "&amp;template_label_to&amp;" "&amp;template_ending_date_display&amp;" "&amp;template_label_if_applicable</f>
        <v/>
      </c>
      <c r="D306" s="1121" t="n"/>
      <c r="E306" s="890" t="n"/>
      <c r="F306" s="890" t="n"/>
    </row>
    <row r="307">
      <c r="C307" s="553" t="n">
        <v>36</v>
      </c>
      <c r="D307" s="198" t="n"/>
      <c r="E307" s="118" t="n"/>
      <c r="F307" s="118" t="n"/>
    </row>
    <row r="308">
      <c r="C308" s="586" t="inlineStr">
        <is>
          <t>77-90</t>
        </is>
      </c>
      <c r="D308" s="199" t="n"/>
      <c r="E308" s="119" t="n"/>
      <c r="F308" s="119" t="n"/>
    </row>
    <row r="309" ht="50.7" customHeight="1">
      <c r="C309" s="121">
        <f>template_label_does_the_undertaking_have_production_processes_in_place_which_significantly_consume_water</f>
        <v/>
      </c>
      <c r="D309" s="150" t="b">
        <v>1</v>
      </c>
      <c r="E309" s="852" t="n"/>
      <c r="F309" s="852" t="n"/>
      <c r="G309" s="518" t="n"/>
      <c r="H309" s="518" t="n"/>
      <c r="I309" s="518" t="n"/>
    </row>
    <row r="310">
      <c r="C310" s="603">
        <f>template_label_water_discharge_from_undertaking_production_processes</f>
        <v/>
      </c>
      <c r="D310" s="252" t="n">
        <v>100</v>
      </c>
      <c r="E310" s="852">
        <f>IF(
    AND(D309=TRUE, D310=""),
    template_label_missing_value,
    IF(AND(D309=TRUE, D310&lt;&gt;""),
        template_label_ok,
        ""
    )
)</f>
        <v/>
      </c>
      <c r="G310" s="518" t="n"/>
      <c r="H310" s="518" t="n"/>
      <c r="I310" s="518" t="n"/>
    </row>
    <row r="311" ht="21" customHeight="1" thickBot="1">
      <c r="C311" s="579">
        <f>template_label_total_water_consumption</f>
        <v/>
      </c>
      <c r="D311" s="429" t="n"/>
      <c r="E311" s="122" t="n"/>
      <c r="F311" s="122" t="n"/>
    </row>
    <row r="312" ht="15" customHeight="1" thickBot="1"/>
    <row r="313" ht="15" customHeight="1" thickBot="1">
      <c r="C313" s="558">
        <f>template_label_b7_description_of_circular_economy_principles&amp;" "&amp;template_label_from&amp;" "&amp;template_starting_date_display&amp;" "&amp;template_label_to&amp;" "&amp;template_ending_date_display&amp;" "&amp;template_label_always_to_be_reported</f>
        <v/>
      </c>
      <c r="D313" s="1120" t="n"/>
      <c r="E313" s="1120" t="n"/>
      <c r="F313" s="1120" t="n"/>
      <c r="G313" s="1121" t="n"/>
      <c r="H313" s="518" t="n"/>
      <c r="I313" s="518" t="n"/>
    </row>
    <row r="314">
      <c r="C314" s="553" t="n">
        <v>37</v>
      </c>
      <c r="D314" s="508" t="n"/>
      <c r="E314" s="508" t="n"/>
      <c r="F314" s="508" t="n"/>
      <c r="G314" s="198" t="n"/>
      <c r="H314" s="123" t="n"/>
      <c r="I314" s="123" t="n"/>
    </row>
    <row r="315">
      <c r="C315" s="586" t="n">
        <v>94</v>
      </c>
      <c r="D315" s="1106" t="n"/>
      <c r="E315" s="1106" t="n"/>
      <c r="F315" s="1106" t="n"/>
      <c r="G315" s="199" t="n"/>
      <c r="H315" s="124" t="n"/>
      <c r="I315" s="124" t="n"/>
    </row>
    <row r="316">
      <c r="C316" s="583">
        <f>template_label_undertaking_applies_circular_economy_principles</f>
        <v/>
      </c>
      <c r="D316" s="812" t="inlineStr">
        <is>
          <t>NO</t>
        </is>
      </c>
      <c r="E316" s="1130" t="n"/>
      <c r="F316" s="1130" t="n"/>
      <c r="G316" s="1124" t="n"/>
      <c r="H316" s="598">
        <f>IF(OR(
'Table of Contents &amp; Validation'!D33=TRUE,'Table of Contents &amp; Validation'!D32=TRUE),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J316" s="518" t="n"/>
    </row>
    <row r="317" ht="15" customHeight="1" thickBot="1">
      <c r="C317" s="109">
        <f>template_label_description_of_how_it_applies_these_principles</f>
        <v/>
      </c>
      <c r="D317" s="577" t="n"/>
      <c r="E317" s="1132" t="n"/>
      <c r="F317" s="1132" t="n"/>
      <c r="G317" s="1123" t="n"/>
      <c r="H317" s="598">
        <f>IF(
    AND(D316="YES", D317=""),
    template_label_missing_value,
    IF(
        AND(D316="YES", D317&lt;&gt;""),
        template_label_ok,
        IF(
            AND(D316="NO", D317&lt;&gt;""),
            template_label_value_inconsistency,
            ""
        )
    )
)</f>
        <v/>
      </c>
      <c r="J317" s="518" t="n"/>
    </row>
    <row r="318" ht="15" customHeight="1" thickBot="1"/>
    <row r="319" ht="15" customHeight="1" thickBot="1">
      <c r="C319" s="558">
        <f>template_label_b7_waste_generated&amp;" "&amp;template_label_from&amp;" "&amp;template_starting_date_display&amp;" "&amp;template_label_to&amp;" "&amp;template_ending_date_display&amp;" "&amp;template_label_always_to_be_reported</f>
        <v/>
      </c>
      <c r="D319" s="1120" t="n"/>
      <c r="E319" s="1120" t="n"/>
      <c r="F319" s="1120" t="n"/>
      <c r="G319" s="1120" t="n"/>
      <c r="H319" s="1120" t="n"/>
      <c r="I319" s="1120" t="n"/>
      <c r="J319" s="1120" t="n"/>
      <c r="K319" s="1120" t="n"/>
      <c r="L319" s="1121" t="n"/>
    </row>
    <row r="320">
      <c r="C320" s="553" t="inlineStr">
        <is>
          <t>38(a) and 38(b)</t>
        </is>
      </c>
      <c r="D320" s="508" t="n"/>
      <c r="E320" s="508" t="n"/>
      <c r="F320" s="508" t="n"/>
      <c r="G320" s="508" t="n"/>
      <c r="H320" s="508" t="n"/>
      <c r="I320" s="508" t="n"/>
      <c r="J320" s="508" t="n"/>
      <c r="K320" s="508" t="n"/>
      <c r="L320" s="198" t="n"/>
    </row>
    <row r="321">
      <c r="C321" s="586" t="inlineStr">
        <is>
          <t>95-107</t>
        </is>
      </c>
      <c r="D321" s="1106" t="n"/>
      <c r="E321" s="1106" t="n"/>
      <c r="F321" s="1106" t="n"/>
      <c r="G321" s="1106" t="n"/>
      <c r="H321" s="1106" t="n"/>
      <c r="I321" s="1106" t="n"/>
      <c r="J321" s="1106" t="n"/>
      <c r="K321" s="1106" t="n"/>
      <c r="L321" s="199" t="n"/>
    </row>
    <row r="322" ht="49.2" customHeight="1">
      <c r="C322" s="853">
        <f>template_label_row_id</f>
        <v/>
      </c>
      <c r="D322" s="773">
        <f>template_label_type_of_waste</f>
        <v/>
      </c>
      <c r="E322" s="1106" t="n"/>
      <c r="F322" s="199" t="n"/>
      <c r="G322" s="727">
        <f>template_label_unit_of_measurement</f>
        <v/>
      </c>
      <c r="H322" s="1106" t="n"/>
      <c r="I322" s="199" t="n"/>
      <c r="J322" s="773">
        <f>template_label_waste_diverted_to_recycle_or_reuse</f>
        <v/>
      </c>
      <c r="K322" s="773">
        <f>template_label_waste_directed_to_disposal</f>
        <v/>
      </c>
      <c r="L322" s="842">
        <f>template_label_total_waste_recycled_reused_and_directed_to_disposal</f>
        <v/>
      </c>
    </row>
    <row r="323">
      <c r="C323" s="208" t="n">
        <v>1</v>
      </c>
      <c r="D323" s="655" t="inlineStr">
        <is>
          <t xml:space="preserve">    20 01 01 - Non-Hazardous - Paper and cardboard</t>
        </is>
      </c>
      <c r="E323" s="1130" t="n"/>
      <c r="F323" s="1124" t="n"/>
      <c r="G323" s="649" t="inlineStr">
        <is>
          <t>metric tonnes (t)</t>
        </is>
      </c>
      <c r="H323" s="1130" t="n"/>
      <c r="I323" s="1124" t="n"/>
      <c r="J323" s="935" t="n">
        <v>1200</v>
      </c>
      <c r="K323" s="935" t="n">
        <v>300</v>
      </c>
      <c r="L323" s="246">
        <f>IF(AND(D323="",J323="",K323=""),"-",SUM(J323:K323))</f>
        <v/>
      </c>
      <c r="M323" s="518">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
      </c>
      <c r="N323">
        <f>template_label_type_of_waste_warning</f>
        <v/>
      </c>
    </row>
    <row r="324">
      <c r="C324" s="208" t="n">
        <v>2</v>
      </c>
      <c r="D324" s="655" t="inlineStr">
        <is>
          <t xml:space="preserve">    16 08 06 - Hazardous - Spent liquids used as catalysts</t>
        </is>
      </c>
      <c r="E324" s="1130" t="n"/>
      <c r="F324" s="1124" t="n"/>
      <c r="G324" s="649" t="inlineStr">
        <is>
          <t>kilograms (kg)</t>
        </is>
      </c>
      <c r="H324" s="1130" t="n"/>
      <c r="I324" s="1124" t="n"/>
      <c r="J324" s="245" t="n">
        <v>800</v>
      </c>
      <c r="K324" s="245" t="n">
        <v>400</v>
      </c>
      <c r="L324" s="246">
        <f>IF(AND(D324="",J324="",K324=""),"-",SUM(J324:K324))</f>
        <v/>
      </c>
      <c r="M324" s="518">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ht="15" customHeight="1" thickBot="1">
      <c r="C325" s="210" t="n">
        <v>3</v>
      </c>
      <c r="D325" s="818" t="inlineStr">
        <is>
          <t xml:space="preserve">    10 11 03 - Non-Hazardous - Waste glass-based fibrous materials</t>
        </is>
      </c>
      <c r="E325" s="1132" t="n"/>
      <c r="F325" s="1123" t="n"/>
      <c r="G325" s="819" t="inlineStr">
        <is>
          <t>metric tonnes (t)</t>
        </is>
      </c>
      <c r="H325" s="1132" t="n"/>
      <c r="I325" s="1123" t="n"/>
      <c r="J325" s="724" t="n">
        <v>500</v>
      </c>
      <c r="K325" s="724" t="n">
        <v>200</v>
      </c>
      <c r="L325" s="248">
        <f>IF(AND(D325="",J325="",K325=""),"-",SUM(J325:K325))</f>
        <v/>
      </c>
      <c r="M325" s="518">
        <f>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
      </c>
      <c r="N325">
        <f>template_label_additional_rows_warning</f>
        <v/>
      </c>
    </row>
    <row r="326" hidden="1" outlineLevel="1">
      <c r="C326" s="324" t="n">
        <v>4</v>
      </c>
      <c r="D326" s="820" t="inlineStr">
        <is>
          <t xml:space="preserve">    15 01 04 - Non-Hazardous - Metallic packaging</t>
        </is>
      </c>
      <c r="E326" s="1136" t="n"/>
      <c r="F326" s="1122" t="n"/>
      <c r="G326" s="860" t="inlineStr">
        <is>
          <t>metric tonnes (t)</t>
        </is>
      </c>
      <c r="H326" s="1136" t="n"/>
      <c r="I326" s="1122" t="n"/>
      <c r="J326" s="249" t="n">
        <v>300</v>
      </c>
      <c r="K326" s="249" t="n">
        <v>100</v>
      </c>
      <c r="L326" s="250">
        <f>IF(AND(D326="",J326="",K326=""),"-",SUM(J326:K326))</f>
        <v/>
      </c>
      <c r="M326" s="518">
        <f>IF(
IFERROR(LEN(LEFT(D326,FIND("-",D326)-1)),0)=0,
"",
IF(
IFERROR(LEN(LEFT(D326,FIND("-",D326)-1)),0)=13,
IF(
COUNTIF(enum_ListWasteCategories,D326)&gt;0,
template_label_error,
IF(
AND(D326&lt;&gt;"",G326&lt;&gt;"",J326&lt;&gt;"",K326&lt;&gt;""),
IF(COUNTIF($D$323:$D$422,D326)&gt;1,
template_label_value_inconsistency,
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
template_label_error)
)</f>
        <v/>
      </c>
    </row>
    <row r="327" hidden="1" outlineLevel="1">
      <c r="C327" s="325" t="n">
        <v>5</v>
      </c>
      <c r="D327" s="655" t="inlineStr">
        <is>
          <t xml:space="preserve">    04 02 21 - Non-Hazardous - Wastes from unprocessed textile fibres</t>
        </is>
      </c>
      <c r="E327" s="1130" t="n"/>
      <c r="F327" s="1124" t="n"/>
      <c r="G327" s="649" t="inlineStr">
        <is>
          <t>metric tonnes (t)</t>
        </is>
      </c>
      <c r="H327" s="1130" t="n"/>
      <c r="I327" s="1124" t="n"/>
      <c r="J327" s="245" t="n">
        <v>100</v>
      </c>
      <c r="K327" s="245" t="n">
        <v>150</v>
      </c>
      <c r="L327" s="246">
        <f>IF(AND(D327="",J327="",K327=""),"-",SUM(J327:K327))</f>
        <v/>
      </c>
      <c r="M327" s="518">
        <f>IF(
IFERROR(LEN(LEFT(D327,FIND("-",D327)-1)),0)=0,
"",
IF(
IFERROR(LEN(LEFT(D327,FIND("-",D327)-1)),0)=13,
IF(
COUNTIF(enum_ListWasteCategories,D327)&gt;0,
template_label_error,
IF(
AND(D327&lt;&gt;"",G327&lt;&gt;"",J327&lt;&gt;"",K327&lt;&gt;""),
IF(COUNTIF($D$323:$D$422,D327)&gt;1,
template_label_value_inconsistency,
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
template_label_error)
)</f>
        <v/>
      </c>
    </row>
    <row r="328" hidden="1" outlineLevel="1">
      <c r="C328" s="325" t="n">
        <v>6</v>
      </c>
      <c r="D328" s="655" t="inlineStr">
        <is>
          <t xml:space="preserve">    04 02 10 - Non-Hazardous - Organic matter from natural products (for example grease, wax)</t>
        </is>
      </c>
      <c r="E328" s="1130" t="n"/>
      <c r="F328" s="1124" t="n"/>
      <c r="G328" s="649" t="inlineStr">
        <is>
          <t>cubic meters (m3)</t>
        </is>
      </c>
      <c r="H328" s="1130" t="n"/>
      <c r="I328" s="1124" t="n"/>
      <c r="J328" s="245" t="n">
        <v>4000</v>
      </c>
      <c r="K328" s="245" t="n">
        <v>1000</v>
      </c>
      <c r="L328" s="246">
        <f>IF(AND(D328="",J328="",K328=""),"-",SUM(J328:K328))</f>
        <v/>
      </c>
      <c r="M328" s="518">
        <f>IF(
IFERROR(LEN(LEFT(D328,FIND("-",D328)-1)),0)=0,
"",
IF(
IFERROR(LEN(LEFT(D328,FIND("-",D328)-1)),0)=13,
IF(
COUNTIF(enum_ListWasteCategories,D328)&gt;0,
template_label_error,
IF(
AND(D328&lt;&gt;"",G328&lt;&gt;"",J328&lt;&gt;"",K328&lt;&gt;""),
IF(COUNTIF($D$323:$D$422,D328)&gt;1,
template_label_value_inconsistency,
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
template_label_error)
)</f>
        <v/>
      </c>
    </row>
    <row r="329" hidden="1" outlineLevel="1">
      <c r="C329" s="325" t="n">
        <v>7</v>
      </c>
      <c r="D329" s="655" t="inlineStr">
        <is>
          <t xml:space="preserve">    13 01 01 - Hazardous - Hydraulic oils, containing PCBs</t>
        </is>
      </c>
      <c r="E329" s="1130" t="n"/>
      <c r="F329" s="1124" t="n"/>
      <c r="G329" s="649" t="inlineStr">
        <is>
          <t>cubic meters (m3)</t>
        </is>
      </c>
      <c r="H329" s="1130" t="n"/>
      <c r="I329" s="1124" t="n"/>
      <c r="J329" s="245" t="n">
        <v>30</v>
      </c>
      <c r="K329" s="245" t="n">
        <v>70</v>
      </c>
      <c r="L329" s="246">
        <f>IF(AND(D329="",J329="",K329=""),"-",SUM(J329:K329))</f>
        <v/>
      </c>
      <c r="M329" s="518">
        <f>IF(
IFERROR(LEN(LEFT(D329,FIND("-",D329)-1)),0)=0,
"",
IF(
IFERROR(LEN(LEFT(D329,FIND("-",D329)-1)),0)=13,
IF(
COUNTIF(enum_ListWasteCategories,D329)&gt;0,
template_label_error,
IF(
AND(D329&lt;&gt;"",G329&lt;&gt;"",J329&lt;&gt;"",K329&lt;&gt;""),
IF(COUNTIF($D$323:$D$422,D329)&gt;1,
template_label_value_inconsistency,
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
template_label_error)
)</f>
        <v/>
      </c>
    </row>
    <row r="330" hidden="1" outlineLevel="1">
      <c r="C330" s="325" t="n">
        <v>8</v>
      </c>
      <c r="D330" s="655" t="n"/>
      <c r="E330" s="1130" t="n"/>
      <c r="F330" s="1124" t="n"/>
      <c r="G330" s="649" t="n"/>
      <c r="H330" s="1130" t="n"/>
      <c r="I330" s="1124" t="n"/>
      <c r="J330" s="245" t="n"/>
      <c r="K330" s="245" t="n"/>
      <c r="L330" s="246">
        <f>IF(AND(D330="",J330="",K330=""),"-",SUM(J330:K330))</f>
        <v/>
      </c>
      <c r="M330" s="518">
        <f>IF(
IFERROR(LEN(LEFT(D330,FIND("-",D330)-1)),0)=0,
"",
IF(
IFERROR(LEN(LEFT(D330,FIND("-",D330)-1)),0)=13,
IF(
COUNTIF(enum_ListWasteCategories,D330)&gt;0,
template_label_error,
IF(
AND(D330&lt;&gt;"",G330&lt;&gt;"",J330&lt;&gt;"",K330&lt;&gt;""),
IF(COUNTIF($D$323:$D$422,D330)&gt;1,
template_label_value_inconsistency,
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
template_label_error)
)</f>
        <v/>
      </c>
    </row>
    <row r="331" hidden="1" outlineLevel="1">
      <c r="C331" s="325" t="n">
        <v>9</v>
      </c>
      <c r="D331" s="655" t="n"/>
      <c r="E331" s="1130" t="n"/>
      <c r="F331" s="1124" t="n"/>
      <c r="G331" s="649" t="n"/>
      <c r="H331" s="1130" t="n"/>
      <c r="I331" s="1124" t="n"/>
      <c r="J331" s="245" t="n"/>
      <c r="K331" s="245" t="n"/>
      <c r="L331" s="246">
        <f>IF(AND(D331="",J331="",K331=""),"-",SUM(J331:K331))</f>
        <v/>
      </c>
      <c r="M331" s="518">
        <f>IF(
IFERROR(LEN(LEFT(D331,FIND("-",D331)-1)),0)=0,
"",
IF(
IFERROR(LEN(LEFT(D331,FIND("-",D331)-1)),0)=13,
IF(
COUNTIF(enum_ListWasteCategories,D331)&gt;0,
template_label_error,
IF(
AND(D331&lt;&gt;"",G331&lt;&gt;"",J331&lt;&gt;"",K331&lt;&gt;""),
IF(COUNTIF($D$323:$D$422,D331)&gt;1,
template_label_value_inconsistency,
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
template_label_error)
)</f>
        <v/>
      </c>
    </row>
    <row r="332" hidden="1" outlineLevel="1">
      <c r="C332" s="325" t="n">
        <v>10</v>
      </c>
      <c r="D332" s="655" t="n"/>
      <c r="E332" s="1130" t="n"/>
      <c r="F332" s="1124" t="n"/>
      <c r="G332" s="649" t="n"/>
      <c r="H332" s="1130" t="n"/>
      <c r="I332" s="1124" t="n"/>
      <c r="J332" s="245" t="n"/>
      <c r="K332" s="245" t="n"/>
      <c r="L332" s="246">
        <f>IF(AND(D332="",J332="",K332=""),"-",SUM(J332:K332))</f>
        <v/>
      </c>
      <c r="M332" s="518">
        <f>IF(
IFERROR(LEN(LEFT(D332,FIND("-",D332)-1)),0)=0,
"",
IF(
IFERROR(LEN(LEFT(D332,FIND("-",D332)-1)),0)=13,
IF(
COUNTIF(enum_ListWasteCategories,D332)&gt;0,
template_label_error,
IF(
AND(D332&lt;&gt;"",G332&lt;&gt;"",J332&lt;&gt;"",K332&lt;&gt;""),
IF(COUNTIF($D$323:$D$422,D332)&gt;1,
template_label_value_inconsistency,
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
template_label_error)
)</f>
        <v/>
      </c>
    </row>
    <row r="333" hidden="1" outlineLevel="1">
      <c r="C333" s="325" t="n">
        <v>11</v>
      </c>
      <c r="D333" s="655" t="n"/>
      <c r="E333" s="1130" t="n"/>
      <c r="F333" s="1124" t="n"/>
      <c r="G333" s="649" t="n"/>
      <c r="H333" s="1130" t="n"/>
      <c r="I333" s="1124" t="n"/>
      <c r="J333" s="245" t="n"/>
      <c r="K333" s="245" t="n"/>
      <c r="L333" s="246">
        <f>IF(AND(D333="",J333="",K333=""),"-",SUM(J333:K333))</f>
        <v/>
      </c>
      <c r="M333" s="518">
        <f>IF(
IFERROR(LEN(LEFT(D333,FIND("-",D333)-1)),0)=0,
"",
IF(
IFERROR(LEN(LEFT(D333,FIND("-",D333)-1)),0)=13,
IF(
COUNTIF(enum_ListWasteCategories,D333)&gt;0,
template_label_error,
IF(
AND(D333&lt;&gt;"",G333&lt;&gt;"",J333&lt;&gt;"",K333&lt;&gt;""),
IF(COUNTIF($D$323:$D$422,D333)&gt;1,
template_label_value_inconsistency,
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
template_label_error)
)</f>
        <v/>
      </c>
    </row>
    <row r="334" hidden="1" outlineLevel="1">
      <c r="C334" s="325" t="n">
        <v>12</v>
      </c>
      <c r="D334" s="655" t="n"/>
      <c r="E334" s="1130" t="n"/>
      <c r="F334" s="1124" t="n"/>
      <c r="G334" s="649" t="n"/>
      <c r="H334" s="1130" t="n"/>
      <c r="I334" s="1124" t="n"/>
      <c r="J334" s="245" t="n"/>
      <c r="K334" s="245" t="n"/>
      <c r="L334" s="246">
        <f>IF(AND(D334="",J334="",K334=""),"-",SUM(J334:K334))</f>
        <v/>
      </c>
      <c r="M334" s="518">
        <f>IF(
IFERROR(LEN(LEFT(D334,FIND("-",D334)-1)),0)=0,
"",
IF(
IFERROR(LEN(LEFT(D334,FIND("-",D334)-1)),0)=13,
IF(
COUNTIF(enum_ListWasteCategories,D334)&gt;0,
template_label_error,
IF(
AND(D334&lt;&gt;"",G334&lt;&gt;"",J334&lt;&gt;"",K334&lt;&gt;""),
IF(COUNTIF($D$323:$D$422,D334)&gt;1,
template_label_value_inconsistency,
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
template_label_error)
)</f>
        <v/>
      </c>
    </row>
    <row r="335" hidden="1" outlineLevel="1">
      <c r="C335" s="325" t="n">
        <v>13</v>
      </c>
      <c r="D335" s="655" t="n"/>
      <c r="E335" s="1130" t="n"/>
      <c r="F335" s="1124" t="n"/>
      <c r="G335" s="649" t="n"/>
      <c r="H335" s="1130" t="n"/>
      <c r="I335" s="1124" t="n"/>
      <c r="J335" s="245" t="n"/>
      <c r="K335" s="245" t="n"/>
      <c r="L335" s="246">
        <f>IF(AND(D335="",J335="",K335=""),"-",SUM(J335:K335))</f>
        <v/>
      </c>
      <c r="M335" s="518">
        <f>IF(
IFERROR(LEN(LEFT(D335,FIND("-",D335)-1)),0)=0,
"",
IF(
IFERROR(LEN(LEFT(D335,FIND("-",D335)-1)),0)=13,
IF(
COUNTIF(enum_ListWasteCategories,D335)&gt;0,
template_label_error,
IF(
AND(D335&lt;&gt;"",G335&lt;&gt;"",J335&lt;&gt;"",K335&lt;&gt;""),
IF(COUNTIF($D$323:$D$422,D335)&gt;1,
template_label_value_inconsistency,
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
template_label_error)
)</f>
        <v/>
      </c>
    </row>
    <row r="336" hidden="1" outlineLevel="1">
      <c r="C336" s="325" t="n">
        <v>14</v>
      </c>
      <c r="D336" s="655" t="n"/>
      <c r="E336" s="1130" t="n"/>
      <c r="F336" s="1124" t="n"/>
      <c r="G336" s="649" t="n"/>
      <c r="H336" s="1130" t="n"/>
      <c r="I336" s="1124" t="n"/>
      <c r="J336" s="245" t="n"/>
      <c r="K336" s="245" t="n"/>
      <c r="L336" s="246">
        <f>IF(AND(D336="",J336="",K336=""),"-",SUM(J336:K336))</f>
        <v/>
      </c>
      <c r="M336" s="518">
        <f>IF(
IFERROR(LEN(LEFT(D336,FIND("-",D336)-1)),0)=0,
"",
IF(
IFERROR(LEN(LEFT(D336,FIND("-",D336)-1)),0)=13,
IF(
COUNTIF(enum_ListWasteCategories,D336)&gt;0,
template_label_error,
IF(
AND(D336&lt;&gt;"",G336&lt;&gt;"",J336&lt;&gt;"",K336&lt;&gt;""),
IF(COUNTIF($D$323:$D$422,D336)&gt;1,
template_label_value_inconsistency,
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
template_label_error)
)</f>
        <v/>
      </c>
    </row>
    <row r="337" hidden="1" outlineLevel="1">
      <c r="C337" s="325" t="n">
        <v>15</v>
      </c>
      <c r="D337" s="655" t="n"/>
      <c r="E337" s="1130" t="n"/>
      <c r="F337" s="1124" t="n"/>
      <c r="G337" s="649" t="n"/>
      <c r="H337" s="1130" t="n"/>
      <c r="I337" s="1124" t="n"/>
      <c r="J337" s="364" t="n"/>
      <c r="K337" s="364" t="n"/>
      <c r="L337" s="246">
        <f>IF(AND(D337="",J337="",K337=""),"-",SUM(J337:K337))</f>
        <v/>
      </c>
      <c r="M337" s="518">
        <f>IF(
IFERROR(LEN(LEFT(D337,FIND("-",D337)-1)),0)=0,
"",
IF(
IFERROR(LEN(LEFT(D337,FIND("-",D337)-1)),0)=13,
IF(
COUNTIF(enum_ListWasteCategories,D337)&gt;0,
template_label_error,
IF(
AND(D337&lt;&gt;"",G337&lt;&gt;"",J337&lt;&gt;"",K337&lt;&gt;""),
IF(COUNTIF($D$323:$D$422,D337)&gt;1,
template_label_value_inconsistency,
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
template_label_error)
)</f>
        <v/>
      </c>
    </row>
    <row r="338" hidden="1" outlineLevel="1">
      <c r="C338" s="325" t="n">
        <v>16</v>
      </c>
      <c r="D338" s="655" t="n"/>
      <c r="E338" s="1130" t="n"/>
      <c r="F338" s="1124" t="n"/>
      <c r="G338" s="649" t="n"/>
      <c r="H338" s="1130" t="n"/>
      <c r="I338" s="1124" t="n"/>
      <c r="J338" s="364" t="n"/>
      <c r="K338" s="364" t="n"/>
      <c r="L338" s="246">
        <f>IF(AND(D338="",J338="",K338=""),"-",SUM(J338:K338))</f>
        <v/>
      </c>
      <c r="M338" s="518">
        <f>IF(
IFERROR(LEN(LEFT(D338,FIND("-",D338)-1)),0)=0,
"",
IF(
IFERROR(LEN(LEFT(D338,FIND("-",D338)-1)),0)=13,
IF(
COUNTIF(enum_ListWasteCategories,D338)&gt;0,
template_label_error,
IF(
AND(D338&lt;&gt;"",G338&lt;&gt;"",J338&lt;&gt;"",K338&lt;&gt;""),
IF(COUNTIF($D$323:$D$422,D338)&gt;1,
template_label_value_inconsistency,
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
template_label_error)
)</f>
        <v/>
      </c>
    </row>
    <row r="339" hidden="1" outlineLevel="1">
      <c r="C339" s="325" t="n">
        <v>17</v>
      </c>
      <c r="D339" s="655" t="n"/>
      <c r="E339" s="1130" t="n"/>
      <c r="F339" s="1124" t="n"/>
      <c r="G339" s="649" t="n"/>
      <c r="H339" s="1130" t="n"/>
      <c r="I339" s="1124" t="n"/>
      <c r="J339" s="364" t="n"/>
      <c r="K339" s="364" t="n"/>
      <c r="L339" s="246">
        <f>IF(AND(D339="",J339="",K339=""),"-",SUM(J339:K339))</f>
        <v/>
      </c>
      <c r="M339" s="518">
        <f>IF(
IFERROR(LEN(LEFT(D339,FIND("-",D339)-1)),0)=0,
"",
IF(
IFERROR(LEN(LEFT(D339,FIND("-",D339)-1)),0)=13,
IF(
COUNTIF(enum_ListWasteCategories,D339)&gt;0,
template_label_error,
IF(
AND(D339&lt;&gt;"",G339&lt;&gt;"",J339&lt;&gt;"",K339&lt;&gt;""),
IF(COUNTIF($D$323:$D$422,D339)&gt;1,
template_label_value_inconsistency,
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
template_label_error)
)</f>
        <v/>
      </c>
    </row>
    <row r="340" hidden="1" outlineLevel="1">
      <c r="C340" s="325" t="n">
        <v>18</v>
      </c>
      <c r="D340" s="655" t="n"/>
      <c r="E340" s="1130" t="n"/>
      <c r="F340" s="1124" t="n"/>
      <c r="G340" s="649" t="n"/>
      <c r="H340" s="1130" t="n"/>
      <c r="I340" s="1124" t="n"/>
      <c r="J340" s="364" t="n"/>
      <c r="K340" s="364" t="n"/>
      <c r="L340" s="246">
        <f>IF(AND(D340="",J340="",K340=""),"-",SUM(J340:K340))</f>
        <v/>
      </c>
      <c r="M340" s="518">
        <f>IF(
IFERROR(LEN(LEFT(D340,FIND("-",D340)-1)),0)=0,
"",
IF(
IFERROR(LEN(LEFT(D340,FIND("-",D340)-1)),0)=13,
IF(
COUNTIF(enum_ListWasteCategories,D340)&gt;0,
template_label_error,
IF(
AND(D340&lt;&gt;"",G340&lt;&gt;"",J340&lt;&gt;"",K340&lt;&gt;""),
IF(COUNTIF($D$323:$D$422,D340)&gt;1,
template_label_value_inconsistency,
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
template_label_error)
)</f>
        <v/>
      </c>
    </row>
    <row r="341" hidden="1" outlineLevel="1">
      <c r="C341" s="325" t="n">
        <v>19</v>
      </c>
      <c r="D341" s="655" t="n"/>
      <c r="E341" s="1130" t="n"/>
      <c r="F341" s="1124" t="n"/>
      <c r="G341" s="649" t="n"/>
      <c r="H341" s="1130" t="n"/>
      <c r="I341" s="1124" t="n"/>
      <c r="J341" s="364" t="n"/>
      <c r="K341" s="364" t="n"/>
      <c r="L341" s="246">
        <f>IF(AND(D341="",J341="",K341=""),"-",SUM(J341:K341))</f>
        <v/>
      </c>
      <c r="M341" s="518">
        <f>IF(
IFERROR(LEN(LEFT(D341,FIND("-",D341)-1)),0)=0,
"",
IF(
IFERROR(LEN(LEFT(D341,FIND("-",D341)-1)),0)=13,
IF(
COUNTIF(enum_ListWasteCategories,D341)&gt;0,
template_label_error,
IF(
AND(D341&lt;&gt;"",G341&lt;&gt;"",J341&lt;&gt;"",K341&lt;&gt;""),
IF(COUNTIF($D$323:$D$422,D341)&gt;1,
template_label_value_inconsistency,
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
template_label_error)
)</f>
        <v/>
      </c>
    </row>
    <row r="342" hidden="1" outlineLevel="1">
      <c r="C342" s="325" t="n">
        <v>20</v>
      </c>
      <c r="D342" s="655" t="n"/>
      <c r="E342" s="1130" t="n"/>
      <c r="F342" s="1124" t="n"/>
      <c r="G342" s="649" t="n"/>
      <c r="H342" s="1130" t="n"/>
      <c r="I342" s="1124" t="n"/>
      <c r="J342" s="364" t="n"/>
      <c r="K342" s="364" t="n"/>
      <c r="L342" s="246">
        <f>IF(AND(D342="",J342="",K342=""),"-",SUM(J342:K342))</f>
        <v/>
      </c>
      <c r="M342" s="518">
        <f>IF(
IFERROR(LEN(LEFT(D342,FIND("-",D342)-1)),0)=0,
"",
IF(
IFERROR(LEN(LEFT(D342,FIND("-",D342)-1)),0)=13,
IF(
COUNTIF(enum_ListWasteCategories,D342)&gt;0,
template_label_error,
IF(
AND(D342&lt;&gt;"",G342&lt;&gt;"",J342&lt;&gt;"",K342&lt;&gt;""),
IF(COUNTIF($D$323:$D$422,D342)&gt;1,
template_label_value_inconsistency,
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
template_label_error)
)</f>
        <v/>
      </c>
    </row>
    <row r="343" hidden="1" outlineLevel="1">
      <c r="C343" s="325" t="n">
        <v>21</v>
      </c>
      <c r="D343" s="655" t="n"/>
      <c r="E343" s="1130" t="n"/>
      <c r="F343" s="1124" t="n"/>
      <c r="G343" s="649" t="n"/>
      <c r="H343" s="1130" t="n"/>
      <c r="I343" s="1124" t="n"/>
      <c r="J343" s="364" t="n"/>
      <c r="K343" s="364" t="n"/>
      <c r="L343" s="246">
        <f>IF(AND(D343="",J343="",K343=""),"-",SUM(J343:K343))</f>
        <v/>
      </c>
      <c r="M343" s="518">
        <f>IF(
IFERROR(LEN(LEFT(D343,FIND("-",D343)-1)),0)=0,
"",
IF(
IFERROR(LEN(LEFT(D343,FIND("-",D343)-1)),0)=13,
IF(
COUNTIF(enum_ListWasteCategories,D343)&gt;0,
template_label_error,
IF(
AND(D343&lt;&gt;"",G343&lt;&gt;"",J343&lt;&gt;"",K343&lt;&gt;""),
IF(COUNTIF($D$323:$D$422,D343)&gt;1,
template_label_value_inconsistency,
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
template_label_error)
)</f>
        <v/>
      </c>
    </row>
    <row r="344" hidden="1" outlineLevel="1">
      <c r="C344" s="325" t="n">
        <v>22</v>
      </c>
      <c r="D344" s="655" t="n"/>
      <c r="E344" s="1130" t="n"/>
      <c r="F344" s="1124" t="n"/>
      <c r="G344" s="649" t="n"/>
      <c r="H344" s="1130" t="n"/>
      <c r="I344" s="1124" t="n"/>
      <c r="J344" s="364" t="n"/>
      <c r="K344" s="364" t="n"/>
      <c r="L344" s="246">
        <f>IF(AND(D344="",J344="",K344=""),"-",SUM(J344:K344))</f>
        <v/>
      </c>
      <c r="M344" s="518">
        <f>IF(
IFERROR(LEN(LEFT(D344,FIND("-",D344)-1)),0)=0,
"",
IF(
IFERROR(LEN(LEFT(D344,FIND("-",D344)-1)),0)=13,
IF(
COUNTIF(enum_ListWasteCategories,D344)&gt;0,
template_label_error,
IF(
AND(D344&lt;&gt;"",G344&lt;&gt;"",J344&lt;&gt;"",K344&lt;&gt;""),
IF(COUNTIF($D$323:$D$422,D344)&gt;1,
template_label_value_inconsistency,
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
template_label_error)
)</f>
        <v/>
      </c>
    </row>
    <row r="345" hidden="1" outlineLevel="1">
      <c r="C345" s="325" t="n">
        <v>23</v>
      </c>
      <c r="D345" s="655" t="n"/>
      <c r="E345" s="1130" t="n"/>
      <c r="F345" s="1124" t="n"/>
      <c r="G345" s="649" t="n"/>
      <c r="H345" s="1130" t="n"/>
      <c r="I345" s="1124" t="n"/>
      <c r="J345" s="364" t="n"/>
      <c r="K345" s="364" t="n"/>
      <c r="L345" s="246">
        <f>IF(AND(D345="",J345="",K345=""),"-",SUM(J345:K345))</f>
        <v/>
      </c>
      <c r="M345" s="518">
        <f>IF(
IFERROR(LEN(LEFT(D345,FIND("-",D345)-1)),0)=0,
"",
IF(
IFERROR(LEN(LEFT(D345,FIND("-",D345)-1)),0)=13,
IF(
COUNTIF(enum_ListWasteCategories,D345)&gt;0,
template_label_error,
IF(
AND(D345&lt;&gt;"",G345&lt;&gt;"",J345&lt;&gt;"",K345&lt;&gt;""),
IF(COUNTIF($D$323:$D$422,D345)&gt;1,
template_label_value_inconsistency,
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
template_label_error)
)</f>
        <v/>
      </c>
    </row>
    <row r="346" hidden="1" outlineLevel="1">
      <c r="C346" s="325" t="n">
        <v>24</v>
      </c>
      <c r="D346" s="655" t="n"/>
      <c r="E346" s="1130" t="n"/>
      <c r="F346" s="1124" t="n"/>
      <c r="G346" s="649" t="n"/>
      <c r="H346" s="1130" t="n"/>
      <c r="I346" s="1124" t="n"/>
      <c r="J346" s="364" t="n"/>
      <c r="K346" s="364" t="n"/>
      <c r="L346" s="246">
        <f>IF(AND(D346="",J346="",K346=""),"-",SUM(J346:K346))</f>
        <v/>
      </c>
      <c r="M346" s="518">
        <f>IF(
IFERROR(LEN(LEFT(D346,FIND("-",D346)-1)),0)=0,
"",
IF(
IFERROR(LEN(LEFT(D346,FIND("-",D346)-1)),0)=13,
IF(
COUNTIF(enum_ListWasteCategories,D346)&gt;0,
template_label_error,
IF(
AND(D346&lt;&gt;"",G346&lt;&gt;"",J346&lt;&gt;"",K346&lt;&gt;""),
IF(COUNTIF($D$323:$D$422,D346)&gt;1,
template_label_value_inconsistency,
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
template_label_error)
)</f>
        <v/>
      </c>
    </row>
    <row r="347" hidden="1" outlineLevel="1">
      <c r="C347" s="325" t="n">
        <v>25</v>
      </c>
      <c r="D347" s="655" t="n"/>
      <c r="E347" s="1130" t="n"/>
      <c r="F347" s="1124" t="n"/>
      <c r="G347" s="649" t="n"/>
      <c r="H347" s="1130" t="n"/>
      <c r="I347" s="1124" t="n"/>
      <c r="J347" s="364" t="n"/>
      <c r="K347" s="364" t="n"/>
      <c r="L347" s="246">
        <f>IF(AND(D347="",J347="",K347=""),"-",SUM(J347:K347))</f>
        <v/>
      </c>
      <c r="M347" s="518">
        <f>IF(
IFERROR(LEN(LEFT(D347,FIND("-",D347)-1)),0)=0,
"",
IF(
IFERROR(LEN(LEFT(D347,FIND("-",D347)-1)),0)=13,
IF(
COUNTIF(enum_ListWasteCategories,D347)&gt;0,
template_label_error,
IF(
AND(D347&lt;&gt;"",G347&lt;&gt;"",J347&lt;&gt;"",K347&lt;&gt;""),
IF(COUNTIF($D$323:$D$422,D347)&gt;1,
template_label_value_inconsistency,
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
template_label_error)
)</f>
        <v/>
      </c>
    </row>
    <row r="348" hidden="1" outlineLevel="1">
      <c r="C348" s="325" t="n">
        <v>26</v>
      </c>
      <c r="D348" s="655" t="n"/>
      <c r="E348" s="1130" t="n"/>
      <c r="F348" s="1124" t="n"/>
      <c r="G348" s="649" t="n"/>
      <c r="H348" s="1130" t="n"/>
      <c r="I348" s="1124" t="n"/>
      <c r="J348" s="364" t="n"/>
      <c r="K348" s="364" t="n"/>
      <c r="L348" s="246">
        <f>IF(AND(D348="",J348="",K348=""),"-",SUM(J348:K348))</f>
        <v/>
      </c>
      <c r="M348" s="518">
        <f>IF(
IFERROR(LEN(LEFT(D348,FIND("-",D348)-1)),0)=0,
"",
IF(
IFERROR(LEN(LEFT(D348,FIND("-",D348)-1)),0)=13,
IF(
COUNTIF(enum_ListWasteCategories,D348)&gt;0,
template_label_error,
IF(
AND(D348&lt;&gt;"",G348&lt;&gt;"",J348&lt;&gt;"",K348&lt;&gt;""),
IF(COUNTIF($D$323:$D$422,D348)&gt;1,
template_label_value_inconsistency,
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
template_label_error)
)</f>
        <v/>
      </c>
    </row>
    <row r="349" hidden="1" outlineLevel="1">
      <c r="C349" s="325" t="n">
        <v>27</v>
      </c>
      <c r="D349" s="655" t="n"/>
      <c r="E349" s="1130" t="n"/>
      <c r="F349" s="1124" t="n"/>
      <c r="G349" s="649" t="n"/>
      <c r="H349" s="1130" t="n"/>
      <c r="I349" s="1124" t="n"/>
      <c r="J349" s="364" t="n"/>
      <c r="K349" s="364" t="n"/>
      <c r="L349" s="246">
        <f>IF(AND(D349="",J349="",K349=""),"-",SUM(J349:K349))</f>
        <v/>
      </c>
      <c r="M349" s="518">
        <f>IF(
IFERROR(LEN(LEFT(D349,FIND("-",D349)-1)),0)=0,
"",
IF(
IFERROR(LEN(LEFT(D349,FIND("-",D349)-1)),0)=13,
IF(
COUNTIF(enum_ListWasteCategories,D349)&gt;0,
template_label_error,
IF(
AND(D349&lt;&gt;"",G349&lt;&gt;"",J349&lt;&gt;"",K349&lt;&gt;""),
IF(COUNTIF($D$323:$D$422,D349)&gt;1,
template_label_value_inconsistency,
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
template_label_error)
)</f>
        <v/>
      </c>
    </row>
    <row r="350" hidden="1" outlineLevel="1">
      <c r="C350" s="325" t="n">
        <v>28</v>
      </c>
      <c r="D350" s="655" t="n"/>
      <c r="E350" s="1130" t="n"/>
      <c r="F350" s="1124" t="n"/>
      <c r="G350" s="649" t="n"/>
      <c r="H350" s="1130" t="n"/>
      <c r="I350" s="1124" t="n"/>
      <c r="J350" s="364" t="n"/>
      <c r="K350" s="364" t="n"/>
      <c r="L350" s="246">
        <f>IF(AND(D350="",J350="",K350=""),"-",SUM(J350:K350))</f>
        <v/>
      </c>
      <c r="M350" s="518">
        <f>IF(
IFERROR(LEN(LEFT(D350,FIND("-",D350)-1)),0)=0,
"",
IF(
IFERROR(LEN(LEFT(D350,FIND("-",D350)-1)),0)=13,
IF(
COUNTIF(enum_ListWasteCategories,D350)&gt;0,
template_label_error,
IF(
AND(D350&lt;&gt;"",G350&lt;&gt;"",J350&lt;&gt;"",K350&lt;&gt;""),
IF(COUNTIF($D$323:$D$422,D350)&gt;1,
template_label_value_inconsistency,
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
template_label_error)
)</f>
        <v/>
      </c>
    </row>
    <row r="351" hidden="1" outlineLevel="1">
      <c r="C351" s="325" t="n">
        <v>29</v>
      </c>
      <c r="D351" s="655" t="n"/>
      <c r="E351" s="1130" t="n"/>
      <c r="F351" s="1124" t="n"/>
      <c r="G351" s="649" t="n"/>
      <c r="H351" s="1130" t="n"/>
      <c r="I351" s="1124" t="n"/>
      <c r="J351" s="364" t="n"/>
      <c r="K351" s="364" t="n"/>
      <c r="L351" s="246">
        <f>IF(AND(D351="",J351="",K351=""),"-",SUM(J351:K351))</f>
        <v/>
      </c>
      <c r="M351" s="518">
        <f>IF(
IFERROR(LEN(LEFT(D351,FIND("-",D351)-1)),0)=0,
"",
IF(
IFERROR(LEN(LEFT(D351,FIND("-",D351)-1)),0)=13,
IF(
COUNTIF(enum_ListWasteCategories,D351)&gt;0,
template_label_error,
IF(
AND(D351&lt;&gt;"",G351&lt;&gt;"",J351&lt;&gt;"",K351&lt;&gt;""),
IF(COUNTIF($D$323:$D$422,D351)&gt;1,
template_label_value_inconsistency,
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
template_label_error)
)</f>
        <v/>
      </c>
    </row>
    <row r="352" hidden="1" outlineLevel="1">
      <c r="C352" s="325" t="n">
        <v>30</v>
      </c>
      <c r="D352" s="655" t="n"/>
      <c r="E352" s="1130" t="n"/>
      <c r="F352" s="1124" t="n"/>
      <c r="G352" s="649" t="n"/>
      <c r="H352" s="1130" t="n"/>
      <c r="I352" s="1124" t="n"/>
      <c r="J352" s="364" t="n"/>
      <c r="K352" s="364" t="n"/>
      <c r="L352" s="246">
        <f>IF(AND(D352="",J352="",K352=""),"-",SUM(J352:K352))</f>
        <v/>
      </c>
      <c r="M352" s="518">
        <f>IF(
IFERROR(LEN(LEFT(D352,FIND("-",D352)-1)),0)=0,
"",
IF(
IFERROR(LEN(LEFT(D352,FIND("-",D352)-1)),0)=13,
IF(
COUNTIF(enum_ListWasteCategories,D352)&gt;0,
template_label_error,
IF(
AND(D352&lt;&gt;"",G352&lt;&gt;"",J352&lt;&gt;"",K352&lt;&gt;""),
IF(COUNTIF($D$323:$D$422,D352)&gt;1,
template_label_value_inconsistency,
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
template_label_error)
)</f>
        <v/>
      </c>
    </row>
    <row r="353" hidden="1" outlineLevel="1">
      <c r="C353" s="325" t="n">
        <v>31</v>
      </c>
      <c r="D353" s="655" t="n"/>
      <c r="E353" s="1130" t="n"/>
      <c r="F353" s="1124" t="n"/>
      <c r="G353" s="649" t="n"/>
      <c r="H353" s="1130" t="n"/>
      <c r="I353" s="1124" t="n"/>
      <c r="J353" s="364" t="n"/>
      <c r="K353" s="364" t="n"/>
      <c r="L353" s="246">
        <f>IF(AND(D353="",J353="",K353=""),"-",SUM(J353:K353))</f>
        <v/>
      </c>
      <c r="M353" s="518">
        <f>IF(
IFERROR(LEN(LEFT(D353,FIND("-",D353)-1)),0)=0,
"",
IF(
IFERROR(LEN(LEFT(D353,FIND("-",D353)-1)),0)=13,
IF(
COUNTIF(enum_ListWasteCategories,D353)&gt;0,
template_label_error,
IF(
AND(D353&lt;&gt;"",G353&lt;&gt;"",J353&lt;&gt;"",K353&lt;&gt;""),
IF(COUNTIF($D$323:$D$422,D353)&gt;1,
template_label_value_inconsistency,
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
template_label_error)
)</f>
        <v/>
      </c>
    </row>
    <row r="354" hidden="1" outlineLevel="1">
      <c r="C354" s="325" t="n">
        <v>32</v>
      </c>
      <c r="D354" s="655" t="n"/>
      <c r="E354" s="1130" t="n"/>
      <c r="F354" s="1124" t="n"/>
      <c r="G354" s="649" t="n"/>
      <c r="H354" s="1130" t="n"/>
      <c r="I354" s="1124" t="n"/>
      <c r="J354" s="364" t="n"/>
      <c r="K354" s="364" t="n"/>
      <c r="L354" s="246">
        <f>IF(AND(D354="",J354="",K354=""),"-",SUM(J354:K354))</f>
        <v/>
      </c>
      <c r="M354" s="518">
        <f>IF(
IFERROR(LEN(LEFT(D354,FIND("-",D354)-1)),0)=0,
"",
IF(
IFERROR(LEN(LEFT(D354,FIND("-",D354)-1)),0)=13,
IF(
COUNTIF(enum_ListWasteCategories,D354)&gt;0,
template_label_error,
IF(
AND(D354&lt;&gt;"",G354&lt;&gt;"",J354&lt;&gt;"",K354&lt;&gt;""),
IF(COUNTIF($D$323:$D$422,D354)&gt;1,
template_label_value_inconsistency,
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
template_label_error)
)</f>
        <v/>
      </c>
    </row>
    <row r="355" hidden="1" outlineLevel="1">
      <c r="C355" s="325" t="n">
        <v>33</v>
      </c>
      <c r="D355" s="655" t="n"/>
      <c r="E355" s="1130" t="n"/>
      <c r="F355" s="1124" t="n"/>
      <c r="G355" s="649" t="n"/>
      <c r="H355" s="1130" t="n"/>
      <c r="I355" s="1124" t="n"/>
      <c r="J355" s="364" t="n"/>
      <c r="K355" s="364" t="n"/>
      <c r="L355" s="246">
        <f>IF(AND(D355="",J355="",K355=""),"-",SUM(J355:K355))</f>
        <v/>
      </c>
      <c r="M355" s="518">
        <f>IF(
IFERROR(LEN(LEFT(D355,FIND("-",D355)-1)),0)=0,
"",
IF(
IFERROR(LEN(LEFT(D355,FIND("-",D355)-1)),0)=13,
IF(
COUNTIF(enum_ListWasteCategories,D355)&gt;0,
template_label_error,
IF(
AND(D355&lt;&gt;"",G355&lt;&gt;"",J355&lt;&gt;"",K355&lt;&gt;""),
IF(COUNTIF($D$323:$D$422,D355)&gt;1,
template_label_value_inconsistency,
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
template_label_error)
)</f>
        <v/>
      </c>
    </row>
    <row r="356" hidden="1" outlineLevel="1">
      <c r="C356" s="325" t="n">
        <v>34</v>
      </c>
      <c r="D356" s="655" t="n"/>
      <c r="E356" s="1130" t="n"/>
      <c r="F356" s="1124" t="n"/>
      <c r="G356" s="649" t="n"/>
      <c r="H356" s="1130" t="n"/>
      <c r="I356" s="1124" t="n"/>
      <c r="J356" s="364" t="n"/>
      <c r="K356" s="364" t="n"/>
      <c r="L356" s="246">
        <f>IF(AND(D356="",J356="",K356=""),"-",SUM(J356:K356))</f>
        <v/>
      </c>
      <c r="M356" s="518">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hidden="1" outlineLevel="1">
      <c r="C357" s="325" t="n">
        <v>35</v>
      </c>
      <c r="D357" s="655" t="n"/>
      <c r="E357" s="1130" t="n"/>
      <c r="F357" s="1124" t="n"/>
      <c r="G357" s="649" t="n"/>
      <c r="H357" s="1130" t="n"/>
      <c r="I357" s="1124" t="n"/>
      <c r="J357" s="364" t="n"/>
      <c r="K357" s="364" t="n"/>
      <c r="L357" s="246">
        <f>IF(AND(D357="",J357="",K357=""),"-",SUM(J357:K357))</f>
        <v/>
      </c>
      <c r="M357" s="518">
        <f>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hidden="1" outlineLevel="1">
      <c r="C358" s="325" t="n">
        <v>36</v>
      </c>
      <c r="D358" s="655" t="n"/>
      <c r="E358" s="1130" t="n"/>
      <c r="F358" s="1124" t="n"/>
      <c r="G358" s="649" t="n"/>
      <c r="H358" s="1130" t="n"/>
      <c r="I358" s="1124" t="n"/>
      <c r="J358" s="364" t="n"/>
      <c r="K358" s="364" t="n"/>
      <c r="L358" s="246">
        <f>IF(AND(D358="",J358="",K358=""),"-",SUM(J358:K358))</f>
        <v/>
      </c>
      <c r="M358" s="518">
        <f>IF(
IFERROR(LEN(LEFT(D358,FIND("-",D358)-1)),0)=0,
"",
IF(
IFERROR(LEN(LEFT(D358,FIND("-",D358)-1)),0)=13,
IF(
COUNTIF(enum_ListWasteCategories,D358)&gt;0,
template_label_error,
IF(
AND(D358&lt;&gt;"",G358&lt;&gt;"",J358&lt;&gt;"",K358&lt;&gt;""),
IF(COUNTIF($D$323:$D$422,D358)&gt;1,
template_label_value_inconsistency,
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
template_label_error)
)</f>
        <v/>
      </c>
    </row>
    <row r="359" hidden="1" outlineLevel="1">
      <c r="C359" s="325" t="n">
        <v>37</v>
      </c>
      <c r="D359" s="655" t="n"/>
      <c r="E359" s="1130" t="n"/>
      <c r="F359" s="1124" t="n"/>
      <c r="G359" s="649" t="n"/>
      <c r="H359" s="1130" t="n"/>
      <c r="I359" s="1124" t="n"/>
      <c r="J359" s="364" t="n"/>
      <c r="K359" s="364" t="n"/>
      <c r="L359" s="246">
        <f>IF(AND(D359="",J359="",K359=""),"-",SUM(J359:K359))</f>
        <v/>
      </c>
      <c r="M359" s="518">
        <f>IF(
IFERROR(LEN(LEFT(D359,FIND("-",D359)-1)),0)=0,
"",
IF(
IFERROR(LEN(LEFT(D359,FIND("-",D359)-1)),0)=13,
IF(
COUNTIF(enum_ListWasteCategories,D359)&gt;0,
template_label_error,
IF(
AND(D359&lt;&gt;"",G359&lt;&gt;"",J359&lt;&gt;"",K359&lt;&gt;""),
IF(COUNTIF($D$323:$D$422,D359)&gt;1,
template_label_value_inconsistency,
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
template_label_error)
)</f>
        <v/>
      </c>
    </row>
    <row r="360" hidden="1" outlineLevel="1">
      <c r="C360" s="325" t="n">
        <v>38</v>
      </c>
      <c r="D360" s="655" t="n"/>
      <c r="E360" s="1130" t="n"/>
      <c r="F360" s="1124" t="n"/>
      <c r="G360" s="649" t="n"/>
      <c r="H360" s="1130" t="n"/>
      <c r="I360" s="1124" t="n"/>
      <c r="J360" s="364" t="n"/>
      <c r="K360" s="364" t="n"/>
      <c r="L360" s="246">
        <f>IF(AND(D360="",J360="",K360=""),"-",SUM(J360:K360))</f>
        <v/>
      </c>
      <c r="M360" s="518">
        <f>IF(
IFERROR(LEN(LEFT(D360,FIND("-",D360)-1)),0)=0,
"",
IF(
IFERROR(LEN(LEFT(D360,FIND("-",D360)-1)),0)=13,
IF(
COUNTIF(enum_ListWasteCategories,D360)&gt;0,
template_label_error,
IF(
AND(D360&lt;&gt;"",G360&lt;&gt;"",J360&lt;&gt;"",K360&lt;&gt;""),
IF(COUNTIF($D$323:$D$422,D360)&gt;1,
template_label_value_inconsistency,
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
template_label_error)
)</f>
        <v/>
      </c>
    </row>
    <row r="361" hidden="1" outlineLevel="1">
      <c r="C361" s="325" t="n">
        <v>39</v>
      </c>
      <c r="D361" s="655" t="n"/>
      <c r="E361" s="1130" t="n"/>
      <c r="F361" s="1124" t="n"/>
      <c r="G361" s="649" t="n"/>
      <c r="H361" s="1130" t="n"/>
      <c r="I361" s="1124" t="n"/>
      <c r="J361" s="364" t="n"/>
      <c r="K361" s="364" t="n"/>
      <c r="L361" s="246">
        <f>IF(AND(D361="",J361="",K361=""),"-",SUM(J361:K361))</f>
        <v/>
      </c>
      <c r="M361" s="518">
        <f>IF(
IFERROR(LEN(LEFT(D361,FIND("-",D361)-1)),0)=0,
"",
IF(
IFERROR(LEN(LEFT(D361,FIND("-",D361)-1)),0)=13,
IF(
COUNTIF(enum_ListWasteCategories,D361)&gt;0,
template_label_error,
IF(
AND(D361&lt;&gt;"",G361&lt;&gt;"",J361&lt;&gt;"",K361&lt;&gt;""),
IF(COUNTIF($D$323:$D$422,D361)&gt;1,
template_label_value_inconsistency,
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
template_label_error)
)</f>
        <v/>
      </c>
    </row>
    <row r="362" hidden="1" outlineLevel="1">
      <c r="C362" s="325" t="n">
        <v>40</v>
      </c>
      <c r="D362" s="655" t="n"/>
      <c r="E362" s="1130" t="n"/>
      <c r="F362" s="1124" t="n"/>
      <c r="G362" s="649" t="n"/>
      <c r="H362" s="1130" t="n"/>
      <c r="I362" s="1124" t="n"/>
      <c r="J362" s="364" t="n"/>
      <c r="K362" s="364" t="n"/>
      <c r="L362" s="246">
        <f>IF(AND(D362="",J362="",K362=""),"-",SUM(J362:K362))</f>
        <v/>
      </c>
      <c r="M362" s="518">
        <f>IF(
IFERROR(LEN(LEFT(D362,FIND("-",D362)-1)),0)=0,
"",
IF(
IFERROR(LEN(LEFT(D362,FIND("-",D362)-1)),0)=13,
IF(
COUNTIF(enum_ListWasteCategories,D362)&gt;0,
template_label_error,
IF(
AND(D362&lt;&gt;"",G362&lt;&gt;"",J362&lt;&gt;"",K362&lt;&gt;""),
IF(COUNTIF($D$323:$D$422,D362)&gt;1,
template_label_value_inconsistency,
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
template_label_error)
)</f>
        <v/>
      </c>
    </row>
    <row r="363" hidden="1" outlineLevel="1">
      <c r="C363" s="325" t="n">
        <v>41</v>
      </c>
      <c r="D363" s="655" t="n"/>
      <c r="E363" s="1130" t="n"/>
      <c r="F363" s="1124" t="n"/>
      <c r="G363" s="649" t="n"/>
      <c r="H363" s="1130" t="n"/>
      <c r="I363" s="1124" t="n"/>
      <c r="J363" s="364" t="n"/>
      <c r="K363" s="364" t="n"/>
      <c r="L363" s="246">
        <f>IF(AND(D363="",J363="",K363=""),"-",SUM(J363:K363))</f>
        <v/>
      </c>
      <c r="M363" s="518">
        <f>IF(
IFERROR(LEN(LEFT(D363,FIND("-",D363)-1)),0)=0,
"",
IF(
IFERROR(LEN(LEFT(D363,FIND("-",D363)-1)),0)=13,
IF(
COUNTIF(enum_ListWasteCategories,D363)&gt;0,
template_label_error,
IF(
AND(D363&lt;&gt;"",G363&lt;&gt;"",J363&lt;&gt;"",K363&lt;&gt;""),
IF(COUNTIF($D$323:$D$422,D363)&gt;1,
template_label_value_inconsistency,
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
template_label_error)
)</f>
        <v/>
      </c>
    </row>
    <row r="364" hidden="1" outlineLevel="1">
      <c r="C364" s="325" t="n">
        <v>42</v>
      </c>
      <c r="D364" s="655" t="n"/>
      <c r="E364" s="1130" t="n"/>
      <c r="F364" s="1124" t="n"/>
      <c r="G364" s="649" t="n"/>
      <c r="H364" s="1130" t="n"/>
      <c r="I364" s="1124" t="n"/>
      <c r="J364" s="364" t="n"/>
      <c r="K364" s="364" t="n"/>
      <c r="L364" s="246">
        <f>IF(AND(D364="",J364="",K364=""),"-",SUM(J364:K364))</f>
        <v/>
      </c>
      <c r="M364" s="518">
        <f>IF(
IFERROR(LEN(LEFT(D364,FIND("-",D364)-1)),0)=0,
"",
IF(
IFERROR(LEN(LEFT(D364,FIND("-",D364)-1)),0)=13,
IF(
COUNTIF(enum_ListWasteCategories,D364)&gt;0,
template_label_error,
IF(
AND(D364&lt;&gt;"",G364&lt;&gt;"",J364&lt;&gt;"",K364&lt;&gt;""),
IF(COUNTIF($D$323:$D$422,D364)&gt;1,
template_label_value_inconsistency,
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
template_label_error)
)</f>
        <v/>
      </c>
    </row>
    <row r="365" hidden="1" outlineLevel="1">
      <c r="C365" s="325" t="n">
        <v>43</v>
      </c>
      <c r="D365" s="655" t="n"/>
      <c r="E365" s="1130" t="n"/>
      <c r="F365" s="1124" t="n"/>
      <c r="G365" s="649" t="n"/>
      <c r="H365" s="1130" t="n"/>
      <c r="I365" s="1124" t="n"/>
      <c r="J365" s="364" t="n"/>
      <c r="K365" s="364" t="n"/>
      <c r="L365" s="246">
        <f>IF(AND(D365="",J365="",K365=""),"-",SUM(J365:K365))</f>
        <v/>
      </c>
      <c r="M365" s="518">
        <f>IF(
IFERROR(LEN(LEFT(D365,FIND("-",D365)-1)),0)=0,
"",
IF(
IFERROR(LEN(LEFT(D365,FIND("-",D365)-1)),0)=13,
IF(
COUNTIF(enum_ListWasteCategories,D365)&gt;0,
template_label_error,
IF(
AND(D365&lt;&gt;"",G365&lt;&gt;"",J365&lt;&gt;"",K365&lt;&gt;""),
IF(COUNTIF($D$323:$D$422,D365)&gt;1,
template_label_value_inconsistency,
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
template_label_error)
)</f>
        <v/>
      </c>
    </row>
    <row r="366" hidden="1" outlineLevel="1">
      <c r="C366" s="325" t="n">
        <v>44</v>
      </c>
      <c r="D366" s="655" t="n"/>
      <c r="E366" s="1130" t="n"/>
      <c r="F366" s="1124" t="n"/>
      <c r="G366" s="649" t="n"/>
      <c r="H366" s="1130" t="n"/>
      <c r="I366" s="1124" t="n"/>
      <c r="J366" s="364" t="n"/>
      <c r="K366" s="364" t="n"/>
      <c r="L366" s="246">
        <f>IF(AND(D366="",J366="",K366=""),"-",SUM(J366:K366))</f>
        <v/>
      </c>
      <c r="M366" s="518">
        <f>IF(
IFERROR(LEN(LEFT(D366,FIND("-",D366)-1)),0)=0,
"",
IF(
IFERROR(LEN(LEFT(D366,FIND("-",D366)-1)),0)=13,
IF(
COUNTIF(enum_ListWasteCategories,D366)&gt;0,
template_label_error,
IF(
AND(D366&lt;&gt;"",G366&lt;&gt;"",J366&lt;&gt;"",K366&lt;&gt;""),
IF(COUNTIF($D$323:$D$422,D366)&gt;1,
template_label_value_inconsistency,
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
template_label_error)
)</f>
        <v/>
      </c>
    </row>
    <row r="367" hidden="1" outlineLevel="1">
      <c r="C367" s="325" t="n">
        <v>45</v>
      </c>
      <c r="D367" s="655" t="n"/>
      <c r="E367" s="1130" t="n"/>
      <c r="F367" s="1124" t="n"/>
      <c r="G367" s="649" t="n"/>
      <c r="H367" s="1130" t="n"/>
      <c r="I367" s="1124" t="n"/>
      <c r="J367" s="364" t="n"/>
      <c r="K367" s="364" t="n"/>
      <c r="L367" s="246">
        <f>IF(AND(D367="",J367="",K367=""),"-",SUM(J367:K367))</f>
        <v/>
      </c>
      <c r="M367" s="518">
        <f>IF(
IFERROR(LEN(LEFT(D367,FIND("-",D367)-1)),0)=0,
"",
IF(
IFERROR(LEN(LEFT(D367,FIND("-",D367)-1)),0)=13,
IF(
COUNTIF(enum_ListWasteCategories,D367)&gt;0,
template_label_error,
IF(
AND(D367&lt;&gt;"",G367&lt;&gt;"",J367&lt;&gt;"",K367&lt;&gt;""),
IF(COUNTIF($D$323:$D$422,D367)&gt;1,
template_label_value_inconsistency,
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
template_label_error)
)</f>
        <v/>
      </c>
    </row>
    <row r="368" hidden="1" outlineLevel="1">
      <c r="C368" s="325" t="n">
        <v>46</v>
      </c>
      <c r="D368" s="655" t="n"/>
      <c r="E368" s="1130" t="n"/>
      <c r="F368" s="1124" t="n"/>
      <c r="G368" s="649" t="n"/>
      <c r="H368" s="1130" t="n"/>
      <c r="I368" s="1124" t="n"/>
      <c r="J368" s="364" t="n"/>
      <c r="K368" s="364" t="n"/>
      <c r="L368" s="246">
        <f>IF(AND(D368="",J368="",K368=""),"-",SUM(J368:K368))</f>
        <v/>
      </c>
      <c r="M368" s="518">
        <f>IF(
IFERROR(LEN(LEFT(D368,FIND("-",D368)-1)),0)=0,
"",
IF(
IFERROR(LEN(LEFT(D368,FIND("-",D368)-1)),0)=13,
IF(
COUNTIF(enum_ListWasteCategories,D368)&gt;0,
template_label_error,
IF(
AND(D368&lt;&gt;"",G368&lt;&gt;"",J368&lt;&gt;"",K368&lt;&gt;""),
IF(COUNTIF($D$323:$D$422,D368)&gt;1,
template_label_value_inconsistency,
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
template_label_error)
)</f>
        <v/>
      </c>
    </row>
    <row r="369" hidden="1" outlineLevel="1">
      <c r="C369" s="325" t="n">
        <v>47</v>
      </c>
      <c r="D369" s="655" t="n"/>
      <c r="E369" s="1130" t="n"/>
      <c r="F369" s="1124" t="n"/>
      <c r="G369" s="649" t="n"/>
      <c r="H369" s="1130" t="n"/>
      <c r="I369" s="1124" t="n"/>
      <c r="J369" s="364" t="n"/>
      <c r="K369" s="364" t="n"/>
      <c r="L369" s="246">
        <f>IF(AND(D369="",J369="",K369=""),"-",SUM(J369:K369))</f>
        <v/>
      </c>
      <c r="M369" s="518">
        <f>IF(
IFERROR(LEN(LEFT(D369,FIND("-",D369)-1)),0)=0,
"",
IF(
IFERROR(LEN(LEFT(D369,FIND("-",D369)-1)),0)=13,
IF(
COUNTIF(enum_ListWasteCategories,D369)&gt;0,
template_label_error,
IF(
AND(D369&lt;&gt;"",G369&lt;&gt;"",J369&lt;&gt;"",K369&lt;&gt;""),
IF(COUNTIF($D$323:$D$422,D369)&gt;1,
template_label_value_inconsistency,
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
template_label_error)
)</f>
        <v/>
      </c>
    </row>
    <row r="370" hidden="1" outlineLevel="1">
      <c r="C370" s="325" t="n">
        <v>48</v>
      </c>
      <c r="D370" s="655" t="n"/>
      <c r="E370" s="1130" t="n"/>
      <c r="F370" s="1124" t="n"/>
      <c r="G370" s="649" t="n"/>
      <c r="H370" s="1130" t="n"/>
      <c r="I370" s="1124" t="n"/>
      <c r="J370" s="364" t="n"/>
      <c r="K370" s="364" t="n"/>
      <c r="L370" s="246">
        <f>IF(AND(D370="",J370="",K370=""),"-",SUM(J370:K370))</f>
        <v/>
      </c>
      <c r="M370" s="518">
        <f>IF(
IFERROR(LEN(LEFT(D370,FIND("-",D370)-1)),0)=0,
"",
IF(
IFERROR(LEN(LEFT(D370,FIND("-",D370)-1)),0)=13,
IF(
COUNTIF(enum_ListWasteCategories,D370)&gt;0,
template_label_error,
IF(
AND(D370&lt;&gt;"",G370&lt;&gt;"",J370&lt;&gt;"",K370&lt;&gt;""),
IF(COUNTIF($D$323:$D$422,D370)&gt;1,
template_label_value_inconsistency,
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
template_label_error)
)</f>
        <v/>
      </c>
    </row>
    <row r="371" hidden="1" outlineLevel="1">
      <c r="C371" s="325" t="n">
        <v>49</v>
      </c>
      <c r="D371" s="655" t="n"/>
      <c r="E371" s="1130" t="n"/>
      <c r="F371" s="1124" t="n"/>
      <c r="G371" s="649" t="n"/>
      <c r="H371" s="1130" t="n"/>
      <c r="I371" s="1124" t="n"/>
      <c r="J371" s="364" t="n"/>
      <c r="K371" s="364" t="n"/>
      <c r="L371" s="246">
        <f>IF(AND(D371="",J371="",K371=""),"-",SUM(J371:K371))</f>
        <v/>
      </c>
      <c r="M371" s="518">
        <f>IF(
IFERROR(LEN(LEFT(D371,FIND("-",D371)-1)),0)=0,
"",
IF(
IFERROR(LEN(LEFT(D371,FIND("-",D371)-1)),0)=13,
IF(
COUNTIF(enum_ListWasteCategories,D371)&gt;0,
template_label_error,
IF(
AND(D371&lt;&gt;"",G371&lt;&gt;"",J371&lt;&gt;"",K371&lt;&gt;""),
IF(COUNTIF($D$323:$D$422,D371)&gt;1,
template_label_value_inconsistency,
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
template_label_error)
)</f>
        <v/>
      </c>
    </row>
    <row r="372" hidden="1" outlineLevel="1">
      <c r="C372" s="325" t="n">
        <v>50</v>
      </c>
      <c r="D372" s="655" t="n"/>
      <c r="E372" s="1130" t="n"/>
      <c r="F372" s="1124" t="n"/>
      <c r="G372" s="649" t="n"/>
      <c r="H372" s="1130" t="n"/>
      <c r="I372" s="1124" t="n"/>
      <c r="J372" s="364" t="n"/>
      <c r="K372" s="364" t="n"/>
      <c r="L372" s="246">
        <f>IF(AND(D372="",J372="",K372=""),"-",SUM(J372:K372))</f>
        <v/>
      </c>
      <c r="M372" s="518">
        <f>IF(
IFERROR(LEN(LEFT(D372,FIND("-",D372)-1)),0)=0,
"",
IF(
IFERROR(LEN(LEFT(D372,FIND("-",D372)-1)),0)=13,
IF(
COUNTIF(enum_ListWasteCategories,D372)&gt;0,
template_label_error,
IF(
AND(D372&lt;&gt;"",G372&lt;&gt;"",J372&lt;&gt;"",K372&lt;&gt;""),
IF(COUNTIF($D$323:$D$422,D372)&gt;1,
template_label_value_inconsistency,
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
template_label_error)
)</f>
        <v/>
      </c>
    </row>
    <row r="373" hidden="1" outlineLevel="1">
      <c r="C373" s="325" t="n">
        <v>51</v>
      </c>
      <c r="D373" s="655" t="n"/>
      <c r="E373" s="1130" t="n"/>
      <c r="F373" s="1124" t="n"/>
      <c r="G373" s="649" t="n"/>
      <c r="H373" s="1130" t="n"/>
      <c r="I373" s="1124" t="n"/>
      <c r="J373" s="364" t="n"/>
      <c r="K373" s="364" t="n"/>
      <c r="L373" s="246">
        <f>IF(AND(D373="",J373="",K373=""),"-",SUM(J373:K373))</f>
        <v/>
      </c>
      <c r="M373" s="518">
        <f>IF(
IFERROR(LEN(LEFT(D373,FIND("-",D373)-1)),0)=0,
"",
IF(
IFERROR(LEN(LEFT(D373,FIND("-",D373)-1)),0)=13,
IF(
COUNTIF(enum_ListWasteCategories,D373)&gt;0,
template_label_error,
IF(
AND(D373&lt;&gt;"",G373&lt;&gt;"",J373&lt;&gt;"",K373&lt;&gt;""),
IF(COUNTIF($D$323:$D$422,D373)&gt;1,
template_label_value_inconsistency,
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
template_label_error)
)</f>
        <v/>
      </c>
    </row>
    <row r="374" hidden="1" outlineLevel="1">
      <c r="C374" s="325" t="n">
        <v>52</v>
      </c>
      <c r="D374" s="655" t="n"/>
      <c r="E374" s="1130" t="n"/>
      <c r="F374" s="1124" t="n"/>
      <c r="G374" s="649" t="n"/>
      <c r="H374" s="1130" t="n"/>
      <c r="I374" s="1124" t="n"/>
      <c r="J374" s="364" t="n"/>
      <c r="K374" s="364" t="n"/>
      <c r="L374" s="246">
        <f>IF(AND(D374="",J374="",K374=""),"-",SUM(J374:K374))</f>
        <v/>
      </c>
      <c r="M374" s="518">
        <f>IF(
IFERROR(LEN(LEFT(D374,FIND("-",D374)-1)),0)=0,
"",
IF(
IFERROR(LEN(LEFT(D374,FIND("-",D374)-1)),0)=13,
IF(
COUNTIF(enum_ListWasteCategories,D374)&gt;0,
template_label_error,
IF(
AND(D374&lt;&gt;"",G374&lt;&gt;"",J374&lt;&gt;"",K374&lt;&gt;""),
IF(COUNTIF($D$323:$D$422,D374)&gt;1,
template_label_value_inconsistency,
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
template_label_error)
)</f>
        <v/>
      </c>
    </row>
    <row r="375" hidden="1" outlineLevel="1">
      <c r="C375" s="325" t="n">
        <v>53</v>
      </c>
      <c r="D375" s="655" t="n"/>
      <c r="E375" s="1130" t="n"/>
      <c r="F375" s="1124" t="n"/>
      <c r="G375" s="649" t="n"/>
      <c r="H375" s="1130" t="n"/>
      <c r="I375" s="1124" t="n"/>
      <c r="J375" s="364" t="n"/>
      <c r="K375" s="364" t="n"/>
      <c r="L375" s="246">
        <f>IF(AND(D375="",J375="",K375=""),"-",SUM(J375:K375))</f>
        <v/>
      </c>
      <c r="M375" s="518">
        <f>IF(
IFERROR(LEN(LEFT(D375,FIND("-",D375)-1)),0)=0,
"",
IF(
IFERROR(LEN(LEFT(D375,FIND("-",D375)-1)),0)=13,
IF(
COUNTIF(enum_ListWasteCategories,D375)&gt;0,
template_label_error,
IF(
AND(D375&lt;&gt;"",G375&lt;&gt;"",J375&lt;&gt;"",K375&lt;&gt;""),
IF(COUNTIF($D$323:$D$422,D375)&gt;1,
template_label_value_inconsistency,
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
template_label_error)
)</f>
        <v/>
      </c>
    </row>
    <row r="376" hidden="1" outlineLevel="1">
      <c r="C376" s="325" t="n">
        <v>54</v>
      </c>
      <c r="D376" s="655" t="n"/>
      <c r="E376" s="1130" t="n"/>
      <c r="F376" s="1124" t="n"/>
      <c r="G376" s="649" t="n"/>
      <c r="H376" s="1130" t="n"/>
      <c r="I376" s="1124" t="n"/>
      <c r="J376" s="364" t="n"/>
      <c r="K376" s="364" t="n"/>
      <c r="L376" s="246">
        <f>IF(AND(D376="",J376="",K376=""),"-",SUM(J376:K376))</f>
        <v/>
      </c>
      <c r="M376" s="518">
        <f>IF(
IFERROR(LEN(LEFT(D376,FIND("-",D376)-1)),0)=0,
"",
IF(
IFERROR(LEN(LEFT(D376,FIND("-",D376)-1)),0)=13,
IF(
COUNTIF(enum_ListWasteCategories,D376)&gt;0,
template_label_error,
IF(
AND(D376&lt;&gt;"",G376&lt;&gt;"",J376&lt;&gt;"",K376&lt;&gt;""),
IF(COUNTIF($D$323:$D$422,D376)&gt;1,
template_label_value_inconsistency,
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
template_label_error)
)</f>
        <v/>
      </c>
    </row>
    <row r="377" hidden="1" outlineLevel="1">
      <c r="C377" s="325" t="n">
        <v>55</v>
      </c>
      <c r="D377" s="655" t="n"/>
      <c r="E377" s="1130" t="n"/>
      <c r="F377" s="1124" t="n"/>
      <c r="G377" s="649" t="n"/>
      <c r="H377" s="1130" t="n"/>
      <c r="I377" s="1124" t="n"/>
      <c r="J377" s="364" t="n"/>
      <c r="K377" s="364" t="n"/>
      <c r="L377" s="246">
        <f>IF(AND(D377="",J377="",K377=""),"-",SUM(J377:K377))</f>
        <v/>
      </c>
      <c r="M377" s="518">
        <f>IF(
IFERROR(LEN(LEFT(D377,FIND("-",D377)-1)),0)=0,
"",
IF(
IFERROR(LEN(LEFT(D377,FIND("-",D377)-1)),0)=13,
IF(
COUNTIF(enum_ListWasteCategories,D377)&gt;0,
template_label_error,
IF(
AND(D377&lt;&gt;"",G377&lt;&gt;"",J377&lt;&gt;"",K377&lt;&gt;""),
IF(COUNTIF($D$323:$D$422,D377)&gt;1,
template_label_value_inconsistency,
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
template_label_error)
)</f>
        <v/>
      </c>
    </row>
    <row r="378" hidden="1" outlineLevel="1">
      <c r="C378" s="325" t="n">
        <v>56</v>
      </c>
      <c r="D378" s="655" t="n"/>
      <c r="E378" s="1130" t="n"/>
      <c r="F378" s="1124" t="n"/>
      <c r="G378" s="649" t="n"/>
      <c r="H378" s="1130" t="n"/>
      <c r="I378" s="1124" t="n"/>
      <c r="J378" s="364" t="n"/>
      <c r="K378" s="364" t="n"/>
      <c r="L378" s="246">
        <f>IF(AND(D378="",J378="",K378=""),"-",SUM(J378:K378))</f>
        <v/>
      </c>
      <c r="M378" s="518">
        <f>IF(
IFERROR(LEN(LEFT(D378,FIND("-",D378)-1)),0)=0,
"",
IF(
IFERROR(LEN(LEFT(D378,FIND("-",D378)-1)),0)=13,
IF(
COUNTIF(enum_ListWasteCategories,D378)&gt;0,
template_label_error,
IF(
AND(D378&lt;&gt;"",G378&lt;&gt;"",J378&lt;&gt;"",K378&lt;&gt;""),
IF(COUNTIF($D$323:$D$422,D378)&gt;1,
template_label_value_inconsistency,
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
template_label_error)
)</f>
        <v/>
      </c>
    </row>
    <row r="379" hidden="1" outlineLevel="1">
      <c r="C379" s="325" t="n">
        <v>57</v>
      </c>
      <c r="D379" s="655" t="n"/>
      <c r="E379" s="1130" t="n"/>
      <c r="F379" s="1124" t="n"/>
      <c r="G379" s="649" t="n"/>
      <c r="H379" s="1130" t="n"/>
      <c r="I379" s="1124" t="n"/>
      <c r="J379" s="364" t="n"/>
      <c r="K379" s="364" t="n"/>
      <c r="L379" s="246">
        <f>IF(AND(D379="",J379="",K379=""),"-",SUM(J379:K379))</f>
        <v/>
      </c>
      <c r="M379" s="518">
        <f>IF(
IFERROR(LEN(LEFT(D379,FIND("-",D379)-1)),0)=0,
"",
IF(
IFERROR(LEN(LEFT(D379,FIND("-",D379)-1)),0)=13,
IF(
COUNTIF(enum_ListWasteCategories,D379)&gt;0,
template_label_error,
IF(
AND(D379&lt;&gt;"",G379&lt;&gt;"",J379&lt;&gt;"",K379&lt;&gt;""),
IF(COUNTIF($D$323:$D$422,D379)&gt;1,
template_label_value_inconsistency,
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
template_label_error)
)</f>
        <v/>
      </c>
    </row>
    <row r="380" hidden="1" outlineLevel="1">
      <c r="C380" s="325" t="n">
        <v>58</v>
      </c>
      <c r="D380" s="655" t="n"/>
      <c r="E380" s="1130" t="n"/>
      <c r="F380" s="1124" t="n"/>
      <c r="G380" s="649" t="n"/>
      <c r="H380" s="1130" t="n"/>
      <c r="I380" s="1124" t="n"/>
      <c r="J380" s="364" t="n"/>
      <c r="K380" s="364" t="n"/>
      <c r="L380" s="246">
        <f>IF(AND(D380="",J380="",K380=""),"-",SUM(J380:K380))</f>
        <v/>
      </c>
      <c r="M380" s="518">
        <f>IF(
IFERROR(LEN(LEFT(D380,FIND("-",D380)-1)),0)=0,
"",
IF(
IFERROR(LEN(LEFT(D380,FIND("-",D380)-1)),0)=13,
IF(
COUNTIF(enum_ListWasteCategories,D380)&gt;0,
template_label_error,
IF(
AND(D380&lt;&gt;"",G380&lt;&gt;"",J380&lt;&gt;"",K380&lt;&gt;""),
IF(COUNTIF($D$323:$D$422,D380)&gt;1,
template_label_value_inconsistency,
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
template_label_error)
)</f>
        <v/>
      </c>
    </row>
    <row r="381" hidden="1" outlineLevel="1">
      <c r="C381" s="325" t="n">
        <v>59</v>
      </c>
      <c r="D381" s="655" t="n"/>
      <c r="E381" s="1130" t="n"/>
      <c r="F381" s="1124" t="n"/>
      <c r="G381" s="649" t="n"/>
      <c r="H381" s="1130" t="n"/>
      <c r="I381" s="1124" t="n"/>
      <c r="J381" s="364" t="n"/>
      <c r="K381" s="364" t="n"/>
      <c r="L381" s="246">
        <f>IF(AND(D381="",J381="",K381=""),"-",SUM(J381:K381))</f>
        <v/>
      </c>
      <c r="M381" s="518">
        <f>IF(
IFERROR(LEN(LEFT(D381,FIND("-",D381)-1)),0)=0,
"",
IF(
IFERROR(LEN(LEFT(D381,FIND("-",D381)-1)),0)=13,
IF(
COUNTIF(enum_ListWasteCategories,D381)&gt;0,
template_label_error,
IF(
AND(D381&lt;&gt;"",G381&lt;&gt;"",J381&lt;&gt;"",K381&lt;&gt;""),
IF(COUNTIF($D$323:$D$422,D381)&gt;1,
template_label_value_inconsistency,
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
template_label_error)
)</f>
        <v/>
      </c>
    </row>
    <row r="382" hidden="1" outlineLevel="1">
      <c r="C382" s="325" t="n">
        <v>60</v>
      </c>
      <c r="D382" s="655" t="n"/>
      <c r="E382" s="1130" t="n"/>
      <c r="F382" s="1124" t="n"/>
      <c r="G382" s="649" t="n"/>
      <c r="H382" s="1130" t="n"/>
      <c r="I382" s="1124" t="n"/>
      <c r="J382" s="364" t="n"/>
      <c r="K382" s="364" t="n"/>
      <c r="L382" s="246">
        <f>IF(AND(D382="",J382="",K382=""),"-",SUM(J382:K382))</f>
        <v/>
      </c>
      <c r="M382" s="518">
        <f>IF(
IFERROR(LEN(LEFT(D382,FIND("-",D382)-1)),0)=0,
"",
IF(
IFERROR(LEN(LEFT(D382,FIND("-",D382)-1)),0)=13,
IF(
COUNTIF(enum_ListWasteCategories,D382)&gt;0,
template_label_error,
IF(
AND(D382&lt;&gt;"",G382&lt;&gt;"",J382&lt;&gt;"",K382&lt;&gt;""),
IF(COUNTIF($D$323:$D$422,D382)&gt;1,
template_label_value_inconsistency,
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
template_label_error)
)</f>
        <v/>
      </c>
    </row>
    <row r="383" hidden="1" outlineLevel="1">
      <c r="C383" s="325" t="n">
        <v>61</v>
      </c>
      <c r="D383" s="655" t="n"/>
      <c r="E383" s="1130" t="n"/>
      <c r="F383" s="1124" t="n"/>
      <c r="G383" s="649" t="n"/>
      <c r="H383" s="1130" t="n"/>
      <c r="I383" s="1124" t="n"/>
      <c r="J383" s="364" t="n"/>
      <c r="K383" s="364" t="n"/>
      <c r="L383" s="246">
        <f>IF(AND(D383="",J383="",K383=""),"-",SUM(J383:K383))</f>
        <v/>
      </c>
      <c r="M383" s="518">
        <f>IF(
IFERROR(LEN(LEFT(D383,FIND("-",D383)-1)),0)=0,
"",
IF(
IFERROR(LEN(LEFT(D383,FIND("-",D383)-1)),0)=13,
IF(
COUNTIF(enum_ListWasteCategories,D383)&gt;0,
template_label_error,
IF(
AND(D383&lt;&gt;"",G383&lt;&gt;"",J383&lt;&gt;"",K383&lt;&gt;""),
IF(COUNTIF($D$323:$D$422,D383)&gt;1,
template_label_value_inconsistency,
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
template_label_error)
)</f>
        <v/>
      </c>
    </row>
    <row r="384" hidden="1" outlineLevel="1">
      <c r="C384" s="325" t="n">
        <v>62</v>
      </c>
      <c r="D384" s="655" t="n"/>
      <c r="E384" s="1130" t="n"/>
      <c r="F384" s="1124" t="n"/>
      <c r="G384" s="649" t="n"/>
      <c r="H384" s="1130" t="n"/>
      <c r="I384" s="1124" t="n"/>
      <c r="J384" s="364" t="n"/>
      <c r="K384" s="364" t="n"/>
      <c r="L384" s="246">
        <f>IF(AND(D384="",J384="",K384=""),"-",SUM(J384:K384))</f>
        <v/>
      </c>
      <c r="M384" s="518">
        <f>IF(
IFERROR(LEN(LEFT(D384,FIND("-",D384)-1)),0)=0,
"",
IF(
IFERROR(LEN(LEFT(D384,FIND("-",D384)-1)),0)=13,
IF(
COUNTIF(enum_ListWasteCategories,D384)&gt;0,
template_label_error,
IF(
AND(D384&lt;&gt;"",G384&lt;&gt;"",J384&lt;&gt;"",K384&lt;&gt;""),
IF(COUNTIF($D$323:$D$422,D384)&gt;1,
template_label_value_inconsistency,
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
template_label_error)
)</f>
        <v/>
      </c>
    </row>
    <row r="385" hidden="1" outlineLevel="1">
      <c r="C385" s="325" t="n">
        <v>63</v>
      </c>
      <c r="D385" s="655" t="n"/>
      <c r="E385" s="1130" t="n"/>
      <c r="F385" s="1124" t="n"/>
      <c r="G385" s="649" t="n"/>
      <c r="H385" s="1130" t="n"/>
      <c r="I385" s="1124" t="n"/>
      <c r="J385" s="364" t="n"/>
      <c r="K385" s="364" t="n"/>
      <c r="L385" s="246">
        <f>IF(AND(D385="",J385="",K385=""),"-",SUM(J385:K385))</f>
        <v/>
      </c>
      <c r="M385" s="518">
        <f>IF(
IFERROR(LEN(LEFT(D385,FIND("-",D385)-1)),0)=0,
"",
IF(
IFERROR(LEN(LEFT(D385,FIND("-",D385)-1)),0)=13,
IF(
COUNTIF(enum_ListWasteCategories,D385)&gt;0,
template_label_error,
IF(
AND(D385&lt;&gt;"",G385&lt;&gt;"",J385&lt;&gt;"",K385&lt;&gt;""),
IF(COUNTIF($D$323:$D$422,D385)&gt;1,
template_label_value_inconsistency,
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
template_label_error)
)</f>
        <v/>
      </c>
    </row>
    <row r="386" hidden="1" outlineLevel="1">
      <c r="C386" s="325" t="n">
        <v>64</v>
      </c>
      <c r="D386" s="655" t="n"/>
      <c r="E386" s="1130" t="n"/>
      <c r="F386" s="1124" t="n"/>
      <c r="G386" s="649" t="n"/>
      <c r="H386" s="1130" t="n"/>
      <c r="I386" s="1124" t="n"/>
      <c r="J386" s="364" t="n"/>
      <c r="K386" s="364" t="n"/>
      <c r="L386" s="246">
        <f>IF(AND(D386="",J386="",K386=""),"-",SUM(J386:K386))</f>
        <v/>
      </c>
      <c r="M386" s="518">
        <f>IF(
IFERROR(LEN(LEFT(D386,FIND("-",D386)-1)),0)=0,
"",
IF(
IFERROR(LEN(LEFT(D386,FIND("-",D386)-1)),0)=13,
IF(
COUNTIF(enum_ListWasteCategories,D386)&gt;0,
template_label_error,
IF(
AND(D386&lt;&gt;"",G386&lt;&gt;"",J386&lt;&gt;"",K386&lt;&gt;""),
IF(COUNTIF($D$323:$D$422,D386)&gt;1,
template_label_value_inconsistency,
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
template_label_error)
)</f>
        <v/>
      </c>
    </row>
    <row r="387" hidden="1" outlineLevel="1">
      <c r="C387" s="325" t="n">
        <v>65</v>
      </c>
      <c r="D387" s="655" t="n"/>
      <c r="E387" s="1130" t="n"/>
      <c r="F387" s="1124" t="n"/>
      <c r="G387" s="649" t="n"/>
      <c r="H387" s="1130" t="n"/>
      <c r="I387" s="1124" t="n"/>
      <c r="J387" s="364" t="n"/>
      <c r="K387" s="364" t="n"/>
      <c r="L387" s="246">
        <f>IF(AND(D387="",J387="",K387=""),"-",SUM(J387:K387))</f>
        <v/>
      </c>
      <c r="M387" s="518">
        <f>IF(
IFERROR(LEN(LEFT(D387,FIND("-",D387)-1)),0)=0,
"",
IF(
IFERROR(LEN(LEFT(D387,FIND("-",D387)-1)),0)=13,
IF(
COUNTIF(enum_ListWasteCategories,D387)&gt;0,
template_label_error,
IF(
AND(D387&lt;&gt;"",G387&lt;&gt;"",J387&lt;&gt;"",K387&lt;&gt;""),
IF(COUNTIF($D$323:$D$422,D387)&gt;1,
template_label_value_inconsistency,
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
template_label_error)
)</f>
        <v/>
      </c>
    </row>
    <row r="388" hidden="1" outlineLevel="1">
      <c r="C388" s="325" t="n">
        <v>66</v>
      </c>
      <c r="D388" s="655" t="n"/>
      <c r="E388" s="1130" t="n"/>
      <c r="F388" s="1124" t="n"/>
      <c r="G388" s="649" t="n"/>
      <c r="H388" s="1130" t="n"/>
      <c r="I388" s="1124" t="n"/>
      <c r="J388" s="364" t="n"/>
      <c r="K388" s="364" t="n"/>
      <c r="L388" s="246">
        <f>IF(AND(D388="",J388="",K388=""),"-",SUM(J388:K388))</f>
        <v/>
      </c>
      <c r="M388" s="518">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hidden="1" outlineLevel="1">
      <c r="C389" s="325" t="n">
        <v>67</v>
      </c>
      <c r="D389" s="655" t="n"/>
      <c r="E389" s="1130" t="n"/>
      <c r="F389" s="1124" t="n"/>
      <c r="G389" s="649" t="n"/>
      <c r="H389" s="1130" t="n"/>
      <c r="I389" s="1124" t="n"/>
      <c r="J389" s="364" t="n"/>
      <c r="K389" s="364" t="n"/>
      <c r="L389" s="246">
        <f>IF(AND(D389="",J389="",K389=""),"-",SUM(J389:K389))</f>
        <v/>
      </c>
      <c r="M389" s="518">
        <f>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hidden="1" outlineLevel="1">
      <c r="C390" s="325" t="n">
        <v>68</v>
      </c>
      <c r="D390" s="655" t="n"/>
      <c r="E390" s="1130" t="n"/>
      <c r="F390" s="1124" t="n"/>
      <c r="G390" s="649" t="n"/>
      <c r="H390" s="1130" t="n"/>
      <c r="I390" s="1124" t="n"/>
      <c r="J390" s="364" t="n"/>
      <c r="K390" s="364" t="n"/>
      <c r="L390" s="246">
        <f>IF(AND(D390="",J390="",K390=""),"-",SUM(J390:K390))</f>
        <v/>
      </c>
      <c r="M390" s="518">
        <f>IF(
IFERROR(LEN(LEFT(D390,FIND("-",D390)-1)),0)=0,
"",
IF(
IFERROR(LEN(LEFT(D390,FIND("-",D390)-1)),0)=13,
IF(
COUNTIF(enum_ListWasteCategories,D390)&gt;0,
template_label_error,
IF(
AND(D390&lt;&gt;"",G390&lt;&gt;"",J390&lt;&gt;"",K390&lt;&gt;""),
IF(COUNTIF($D$323:$D$422,D390)&gt;1,
template_label_value_inconsistency,
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
template_label_error)
)</f>
        <v/>
      </c>
    </row>
    <row r="391" hidden="1" outlineLevel="1">
      <c r="C391" s="325" t="n">
        <v>69</v>
      </c>
      <c r="D391" s="655" t="n"/>
      <c r="E391" s="1130" t="n"/>
      <c r="F391" s="1124" t="n"/>
      <c r="G391" s="649" t="n"/>
      <c r="H391" s="1130" t="n"/>
      <c r="I391" s="1124" t="n"/>
      <c r="J391" s="364" t="n"/>
      <c r="K391" s="364" t="n"/>
      <c r="L391" s="246">
        <f>IF(AND(D391="",J391="",K391=""),"-",SUM(J391:K391))</f>
        <v/>
      </c>
      <c r="M391" s="518">
        <f>IF(
IFERROR(LEN(LEFT(D391,FIND("-",D391)-1)),0)=0,
"",
IF(
IFERROR(LEN(LEFT(D391,FIND("-",D391)-1)),0)=13,
IF(
COUNTIF(enum_ListWasteCategories,D391)&gt;0,
template_label_error,
IF(
AND(D391&lt;&gt;"",G391&lt;&gt;"",J391&lt;&gt;"",K391&lt;&gt;""),
IF(COUNTIF($D$323:$D$422,D391)&gt;1,
template_label_value_inconsistency,
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
template_label_error)
)</f>
        <v/>
      </c>
    </row>
    <row r="392" hidden="1" outlineLevel="1">
      <c r="C392" s="325" t="n">
        <v>70</v>
      </c>
      <c r="D392" s="655" t="n"/>
      <c r="E392" s="1130" t="n"/>
      <c r="F392" s="1124" t="n"/>
      <c r="G392" s="649" t="n"/>
      <c r="H392" s="1130" t="n"/>
      <c r="I392" s="1124" t="n"/>
      <c r="J392" s="364" t="n"/>
      <c r="K392" s="364" t="n"/>
      <c r="L392" s="246">
        <f>IF(AND(D392="",J392="",K392=""),"-",SUM(J392:K392))</f>
        <v/>
      </c>
      <c r="M392" s="518">
        <f>IF(
IFERROR(LEN(LEFT(D392,FIND("-",D392)-1)),0)=0,
"",
IF(
IFERROR(LEN(LEFT(D392,FIND("-",D392)-1)),0)=13,
IF(
COUNTIF(enum_ListWasteCategories,D392)&gt;0,
template_label_error,
IF(
AND(D392&lt;&gt;"",G392&lt;&gt;"",J392&lt;&gt;"",K392&lt;&gt;""),
IF(COUNTIF($D$323:$D$422,D392)&gt;1,
template_label_value_inconsistency,
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
template_label_error)
)</f>
        <v/>
      </c>
    </row>
    <row r="393" hidden="1" outlineLevel="1">
      <c r="C393" s="325" t="n">
        <v>71</v>
      </c>
      <c r="D393" s="655" t="n"/>
      <c r="E393" s="1130" t="n"/>
      <c r="F393" s="1124" t="n"/>
      <c r="G393" s="649" t="n"/>
      <c r="H393" s="1130" t="n"/>
      <c r="I393" s="1124" t="n"/>
      <c r="J393" s="364" t="n"/>
      <c r="K393" s="364" t="n"/>
      <c r="L393" s="246">
        <f>IF(AND(D393="",J393="",K393=""),"-",SUM(J393:K393))</f>
        <v/>
      </c>
      <c r="M393" s="518">
        <f>IF(
IFERROR(LEN(LEFT(D393,FIND("-",D393)-1)),0)=0,
"",
IF(
IFERROR(LEN(LEFT(D393,FIND("-",D393)-1)),0)=13,
IF(
COUNTIF(enum_ListWasteCategories,D393)&gt;0,
template_label_error,
IF(
AND(D393&lt;&gt;"",G393&lt;&gt;"",J393&lt;&gt;"",K393&lt;&gt;""),
IF(COUNTIF($D$323:$D$422,D393)&gt;1,
template_label_value_inconsistency,
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
template_label_error)
)</f>
        <v/>
      </c>
    </row>
    <row r="394" hidden="1" outlineLevel="1">
      <c r="C394" s="325" t="n">
        <v>72</v>
      </c>
      <c r="D394" s="655" t="n"/>
      <c r="E394" s="1130" t="n"/>
      <c r="F394" s="1124" t="n"/>
      <c r="G394" s="649" t="n"/>
      <c r="H394" s="1130" t="n"/>
      <c r="I394" s="1124" t="n"/>
      <c r="J394" s="364" t="n"/>
      <c r="K394" s="364" t="n"/>
      <c r="L394" s="246">
        <f>IF(AND(D394="",J394="",K394=""),"-",SUM(J394:K394))</f>
        <v/>
      </c>
      <c r="M394" s="518">
        <f>IF(
IFERROR(LEN(LEFT(D394,FIND("-",D394)-1)),0)=0,
"",
IF(
IFERROR(LEN(LEFT(D394,FIND("-",D394)-1)),0)=13,
IF(
COUNTIF(enum_ListWasteCategories,D394)&gt;0,
template_label_error,
IF(
AND(D394&lt;&gt;"",G394&lt;&gt;"",J394&lt;&gt;"",K394&lt;&gt;""),
IF(COUNTIF($D$323:$D$422,D394)&gt;1,
template_label_value_inconsistency,
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
template_label_error)
)</f>
        <v/>
      </c>
    </row>
    <row r="395" hidden="1" outlineLevel="1">
      <c r="C395" s="325" t="n">
        <v>73</v>
      </c>
      <c r="D395" s="655" t="n"/>
      <c r="E395" s="1130" t="n"/>
      <c r="F395" s="1124" t="n"/>
      <c r="G395" s="649" t="n"/>
      <c r="H395" s="1130" t="n"/>
      <c r="I395" s="1124" t="n"/>
      <c r="J395" s="364" t="n"/>
      <c r="K395" s="364" t="n"/>
      <c r="L395" s="246">
        <f>IF(AND(D395="",J395="",K395=""),"-",SUM(J395:K395))</f>
        <v/>
      </c>
      <c r="M395" s="518">
        <f>IF(
IFERROR(LEN(LEFT(D395,FIND("-",D395)-1)),0)=0,
"",
IF(
IFERROR(LEN(LEFT(D395,FIND("-",D395)-1)),0)=13,
IF(
COUNTIF(enum_ListWasteCategories,D395)&gt;0,
template_label_error,
IF(
AND(D395&lt;&gt;"",G395&lt;&gt;"",J395&lt;&gt;"",K395&lt;&gt;""),
IF(COUNTIF($D$323:$D$422,D395)&gt;1,
template_label_value_inconsistency,
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
template_label_error)
)</f>
        <v/>
      </c>
    </row>
    <row r="396" hidden="1" outlineLevel="1">
      <c r="C396" s="325" t="n">
        <v>74</v>
      </c>
      <c r="D396" s="655" t="n"/>
      <c r="E396" s="1130" t="n"/>
      <c r="F396" s="1124" t="n"/>
      <c r="G396" s="649" t="n"/>
      <c r="H396" s="1130" t="n"/>
      <c r="I396" s="1124" t="n"/>
      <c r="J396" s="364" t="n"/>
      <c r="K396" s="364" t="n"/>
      <c r="L396" s="246">
        <f>IF(AND(D396="",J396="",K396=""),"-",SUM(J396:K396))</f>
        <v/>
      </c>
      <c r="M396" s="518">
        <f>IF(
IFERROR(LEN(LEFT(D396,FIND("-",D396)-1)),0)=0,
"",
IF(
IFERROR(LEN(LEFT(D396,FIND("-",D396)-1)),0)=13,
IF(
COUNTIF(enum_ListWasteCategories,D396)&gt;0,
template_label_error,
IF(
AND(D396&lt;&gt;"",G396&lt;&gt;"",J396&lt;&gt;"",K396&lt;&gt;""),
IF(COUNTIF($D$323:$D$422,D396)&gt;1,
template_label_value_inconsistency,
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
template_label_error)
)</f>
        <v/>
      </c>
    </row>
    <row r="397" hidden="1" outlineLevel="1">
      <c r="C397" s="325" t="n">
        <v>75</v>
      </c>
      <c r="D397" s="655" t="n"/>
      <c r="E397" s="1130" t="n"/>
      <c r="F397" s="1124" t="n"/>
      <c r="G397" s="649" t="n"/>
      <c r="H397" s="1130" t="n"/>
      <c r="I397" s="1124" t="n"/>
      <c r="J397" s="364" t="n"/>
      <c r="K397" s="364" t="n"/>
      <c r="L397" s="246">
        <f>IF(AND(D397="",J397="",K397=""),"-",SUM(J397:K397))</f>
        <v/>
      </c>
      <c r="M397" s="518">
        <f>IF(
IFERROR(LEN(LEFT(D397,FIND("-",D397)-1)),0)=0,
"",
IF(
IFERROR(LEN(LEFT(D397,FIND("-",D397)-1)),0)=13,
IF(
COUNTIF(enum_ListWasteCategories,D397)&gt;0,
template_label_error,
IF(
AND(D397&lt;&gt;"",G397&lt;&gt;"",J397&lt;&gt;"",K397&lt;&gt;""),
IF(COUNTIF($D$323:$D$422,D397)&gt;1,
template_label_value_inconsistency,
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
template_label_error)
)</f>
        <v/>
      </c>
    </row>
    <row r="398" hidden="1" outlineLevel="1">
      <c r="C398" s="325" t="n">
        <v>76</v>
      </c>
      <c r="D398" s="655" t="n"/>
      <c r="E398" s="1130" t="n"/>
      <c r="F398" s="1124" t="n"/>
      <c r="G398" s="649" t="n"/>
      <c r="H398" s="1130" t="n"/>
      <c r="I398" s="1124" t="n"/>
      <c r="J398" s="364" t="n"/>
      <c r="K398" s="364" t="n"/>
      <c r="L398" s="246">
        <f>IF(AND(D398="",J398="",K398=""),"-",SUM(J398:K398))</f>
        <v/>
      </c>
      <c r="M398" s="518">
        <f>IF(
IFERROR(LEN(LEFT(D398,FIND("-",D398)-1)),0)=0,
"",
IF(
IFERROR(LEN(LEFT(D398,FIND("-",D398)-1)),0)=13,
IF(
COUNTIF(enum_ListWasteCategories,D398)&gt;0,
template_label_error,
IF(
AND(D398&lt;&gt;"",G398&lt;&gt;"",J398&lt;&gt;"",K398&lt;&gt;""),
IF(COUNTIF($D$323:$D$422,D398)&gt;1,
template_label_value_inconsistency,
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
template_label_error)
)</f>
        <v/>
      </c>
    </row>
    <row r="399" hidden="1" outlineLevel="1">
      <c r="C399" s="325" t="n">
        <v>77</v>
      </c>
      <c r="D399" s="655" t="n"/>
      <c r="E399" s="1130" t="n"/>
      <c r="F399" s="1124" t="n"/>
      <c r="G399" s="649" t="n"/>
      <c r="H399" s="1130" t="n"/>
      <c r="I399" s="1124" t="n"/>
      <c r="J399" s="364" t="n"/>
      <c r="K399" s="364" t="n"/>
      <c r="L399" s="246">
        <f>IF(AND(D399="",J399="",K399=""),"-",SUM(J399:K399))</f>
        <v/>
      </c>
      <c r="M399" s="518">
        <f>IF(
IFERROR(LEN(LEFT(D399,FIND("-",D399)-1)),0)=0,
"",
IF(
IFERROR(LEN(LEFT(D399,FIND("-",D399)-1)),0)=13,
IF(
COUNTIF(enum_ListWasteCategories,D399)&gt;0,
template_label_error,
IF(
AND(D399&lt;&gt;"",G399&lt;&gt;"",J399&lt;&gt;"",K399&lt;&gt;""),
IF(COUNTIF($D$323:$D$422,D399)&gt;1,
template_label_value_inconsistency,
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
template_label_error)
)</f>
        <v/>
      </c>
    </row>
    <row r="400" hidden="1" outlineLevel="1">
      <c r="C400" s="325" t="n">
        <v>78</v>
      </c>
      <c r="D400" s="655" t="n"/>
      <c r="E400" s="1130" t="n"/>
      <c r="F400" s="1124" t="n"/>
      <c r="G400" s="649" t="n"/>
      <c r="H400" s="1130" t="n"/>
      <c r="I400" s="1124" t="n"/>
      <c r="J400" s="364" t="n"/>
      <c r="K400" s="364" t="n"/>
      <c r="L400" s="246">
        <f>IF(AND(D400="",J400="",K400=""),"-",SUM(J400:K400))</f>
        <v/>
      </c>
      <c r="M400" s="518">
        <f>IF(
IFERROR(LEN(LEFT(D400,FIND("-",D400)-1)),0)=0,
"",
IF(
IFERROR(LEN(LEFT(D400,FIND("-",D400)-1)),0)=13,
IF(
COUNTIF(enum_ListWasteCategories,D400)&gt;0,
template_label_error,
IF(
AND(D400&lt;&gt;"",G400&lt;&gt;"",J400&lt;&gt;"",K400&lt;&gt;""),
IF(COUNTIF($D$323:$D$422,D400)&gt;1,
template_label_value_inconsistency,
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
template_label_error)
)</f>
        <v/>
      </c>
    </row>
    <row r="401" hidden="1" outlineLevel="1">
      <c r="C401" s="325" t="n">
        <v>79</v>
      </c>
      <c r="D401" s="655" t="n"/>
      <c r="E401" s="1130" t="n"/>
      <c r="F401" s="1124" t="n"/>
      <c r="G401" s="649" t="n"/>
      <c r="H401" s="1130" t="n"/>
      <c r="I401" s="1124" t="n"/>
      <c r="J401" s="364" t="n"/>
      <c r="K401" s="364" t="n"/>
      <c r="L401" s="246">
        <f>IF(AND(D401="",J401="",K401=""),"-",SUM(J401:K401))</f>
        <v/>
      </c>
      <c r="M401" s="518">
        <f>IF(
IFERROR(LEN(LEFT(D401,FIND("-",D401)-1)),0)=0,
"",
IF(
IFERROR(LEN(LEFT(D401,FIND("-",D401)-1)),0)=13,
IF(
COUNTIF(enum_ListWasteCategories,D401)&gt;0,
template_label_error,
IF(
AND(D401&lt;&gt;"",G401&lt;&gt;"",J401&lt;&gt;"",K401&lt;&gt;""),
IF(COUNTIF($D$323:$D$422,D401)&gt;1,
template_label_value_inconsistency,
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
template_label_error)
)</f>
        <v/>
      </c>
    </row>
    <row r="402" hidden="1" outlineLevel="1">
      <c r="C402" s="325" t="n">
        <v>80</v>
      </c>
      <c r="D402" s="655" t="n"/>
      <c r="E402" s="1130" t="n"/>
      <c r="F402" s="1124" t="n"/>
      <c r="G402" s="649" t="n"/>
      <c r="H402" s="1130" t="n"/>
      <c r="I402" s="1124" t="n"/>
      <c r="J402" s="364" t="n"/>
      <c r="K402" s="364" t="n"/>
      <c r="L402" s="246">
        <f>IF(AND(D402="",J402="",K402=""),"-",SUM(J402:K402))</f>
        <v/>
      </c>
      <c r="M402" s="518">
        <f>IF(
IFERROR(LEN(LEFT(D402,FIND("-",D402)-1)),0)=0,
"",
IF(
IFERROR(LEN(LEFT(D402,FIND("-",D402)-1)),0)=13,
IF(
COUNTIF(enum_ListWasteCategories,D402)&gt;0,
template_label_error,
IF(
AND(D402&lt;&gt;"",G402&lt;&gt;"",J402&lt;&gt;"",K402&lt;&gt;""),
IF(COUNTIF($D$323:$D$422,D402)&gt;1,
template_label_value_inconsistency,
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
template_label_error)
)</f>
        <v/>
      </c>
    </row>
    <row r="403" hidden="1" outlineLevel="1">
      <c r="C403" s="325" t="n">
        <v>81</v>
      </c>
      <c r="D403" s="655" t="n"/>
      <c r="E403" s="1130" t="n"/>
      <c r="F403" s="1124" t="n"/>
      <c r="G403" s="649" t="n"/>
      <c r="H403" s="1130" t="n"/>
      <c r="I403" s="1124" t="n"/>
      <c r="J403" s="364" t="n"/>
      <c r="K403" s="364" t="n"/>
      <c r="L403" s="246">
        <f>IF(AND(D403="",J403="",K403=""),"-",SUM(J403:K403))</f>
        <v/>
      </c>
      <c r="M403" s="518">
        <f>IF(
IFERROR(LEN(LEFT(D403,FIND("-",D403)-1)),0)=0,
"",
IF(
IFERROR(LEN(LEFT(D403,FIND("-",D403)-1)),0)=13,
IF(
COUNTIF(enum_ListWasteCategories,D403)&gt;0,
template_label_error,
IF(
AND(D403&lt;&gt;"",G403&lt;&gt;"",J403&lt;&gt;"",K403&lt;&gt;""),
IF(COUNTIF($D$323:$D$422,D403)&gt;1,
template_label_value_inconsistency,
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
template_label_error)
)</f>
        <v/>
      </c>
    </row>
    <row r="404" hidden="1" outlineLevel="1">
      <c r="C404" s="325" t="n">
        <v>82</v>
      </c>
      <c r="D404" s="655" t="n"/>
      <c r="E404" s="1130" t="n"/>
      <c r="F404" s="1124" t="n"/>
      <c r="G404" s="649" t="n"/>
      <c r="H404" s="1130" t="n"/>
      <c r="I404" s="1124" t="n"/>
      <c r="J404" s="364" t="n"/>
      <c r="K404" s="364" t="n"/>
      <c r="L404" s="246">
        <f>IF(AND(D404="",J404="",K404=""),"-",SUM(J404:K404))</f>
        <v/>
      </c>
      <c r="M404" s="518">
        <f>IF(
IFERROR(LEN(LEFT(D404,FIND("-",D404)-1)),0)=0,
"",
IF(
IFERROR(LEN(LEFT(D404,FIND("-",D404)-1)),0)=13,
IF(
COUNTIF(enum_ListWasteCategories,D404)&gt;0,
template_label_error,
IF(
AND(D404&lt;&gt;"",G404&lt;&gt;"",J404&lt;&gt;"",K404&lt;&gt;""),
IF(COUNTIF($D$323:$D$422,D404)&gt;1,
template_label_value_inconsistency,
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
template_label_error)
)</f>
        <v/>
      </c>
    </row>
    <row r="405" hidden="1" outlineLevel="1">
      <c r="C405" s="325" t="n">
        <v>83</v>
      </c>
      <c r="D405" s="655" t="n"/>
      <c r="E405" s="1130" t="n"/>
      <c r="F405" s="1124" t="n"/>
      <c r="G405" s="649" t="n"/>
      <c r="H405" s="1130" t="n"/>
      <c r="I405" s="1124" t="n"/>
      <c r="J405" s="364" t="n"/>
      <c r="K405" s="364" t="n"/>
      <c r="L405" s="246">
        <f>IF(AND(D405="",J405="",K405=""),"-",SUM(J405:K405))</f>
        <v/>
      </c>
      <c r="M405" s="518">
        <f>IF(
IFERROR(LEN(LEFT(D405,FIND("-",D405)-1)),0)=0,
"",
IF(
IFERROR(LEN(LEFT(D405,FIND("-",D405)-1)),0)=13,
IF(
COUNTIF(enum_ListWasteCategories,D405)&gt;0,
template_label_error,
IF(
AND(D405&lt;&gt;"",G405&lt;&gt;"",J405&lt;&gt;"",K405&lt;&gt;""),
IF(COUNTIF($D$323:$D$422,D405)&gt;1,
template_label_value_inconsistency,
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
template_label_error)
)</f>
        <v/>
      </c>
    </row>
    <row r="406" hidden="1" outlineLevel="1">
      <c r="C406" s="325" t="n">
        <v>84</v>
      </c>
      <c r="D406" s="655" t="n"/>
      <c r="E406" s="1130" t="n"/>
      <c r="F406" s="1124" t="n"/>
      <c r="G406" s="649" t="n"/>
      <c r="H406" s="1130" t="n"/>
      <c r="I406" s="1124" t="n"/>
      <c r="J406" s="364" t="n"/>
      <c r="K406" s="364" t="n"/>
      <c r="L406" s="246">
        <f>IF(AND(D406="",J406="",K406=""),"-",SUM(J406:K406))</f>
        <v/>
      </c>
      <c r="M406" s="518">
        <f>IF(
IFERROR(LEN(LEFT(D406,FIND("-",D406)-1)),0)=0,
"",
IF(
IFERROR(LEN(LEFT(D406,FIND("-",D406)-1)),0)=13,
IF(
COUNTIF(enum_ListWasteCategories,D406)&gt;0,
template_label_error,
IF(
AND(D406&lt;&gt;"",G406&lt;&gt;"",J406&lt;&gt;"",K406&lt;&gt;""),
IF(COUNTIF($D$323:$D$422,D406)&gt;1,
template_label_value_inconsistency,
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
template_label_error)
)</f>
        <v/>
      </c>
    </row>
    <row r="407" hidden="1" outlineLevel="1">
      <c r="C407" s="325" t="n">
        <v>85</v>
      </c>
      <c r="D407" s="655" t="n"/>
      <c r="E407" s="1130" t="n"/>
      <c r="F407" s="1124" t="n"/>
      <c r="G407" s="649" t="n"/>
      <c r="H407" s="1130" t="n"/>
      <c r="I407" s="1124" t="n"/>
      <c r="J407" s="364" t="n"/>
      <c r="K407" s="364" t="n"/>
      <c r="L407" s="246">
        <f>IF(AND(D407="",J407="",K407=""),"-",SUM(J407:K407))</f>
        <v/>
      </c>
      <c r="M407" s="518">
        <f>IF(
IFERROR(LEN(LEFT(D407,FIND("-",D407)-1)),0)=0,
"",
IF(
IFERROR(LEN(LEFT(D407,FIND("-",D407)-1)),0)=13,
IF(
COUNTIF(enum_ListWasteCategories,D407)&gt;0,
template_label_error,
IF(
AND(D407&lt;&gt;"",G407&lt;&gt;"",J407&lt;&gt;"",K407&lt;&gt;""),
IF(COUNTIF($D$323:$D$422,D407)&gt;1,
template_label_value_inconsistency,
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
template_label_error)
)</f>
        <v/>
      </c>
    </row>
    <row r="408" hidden="1" outlineLevel="1">
      <c r="C408" s="325" t="n">
        <v>86</v>
      </c>
      <c r="D408" s="655" t="n"/>
      <c r="E408" s="1130" t="n"/>
      <c r="F408" s="1124" t="n"/>
      <c r="G408" s="649" t="n"/>
      <c r="H408" s="1130" t="n"/>
      <c r="I408" s="1124" t="n"/>
      <c r="J408" s="364" t="n"/>
      <c r="K408" s="364" t="n"/>
      <c r="L408" s="246">
        <f>IF(AND(D408="",J408="",K408=""),"-",SUM(J408:K408))</f>
        <v/>
      </c>
      <c r="M408" s="518">
        <f>IF(
IFERROR(LEN(LEFT(D408,FIND("-",D408)-1)),0)=0,
"",
IF(
IFERROR(LEN(LEFT(D408,FIND("-",D408)-1)),0)=13,
IF(
COUNTIF(enum_ListWasteCategories,D408)&gt;0,
template_label_error,
IF(
AND(D408&lt;&gt;"",G408&lt;&gt;"",J408&lt;&gt;"",K408&lt;&gt;""),
IF(COUNTIF($D$323:$D$422,D408)&gt;1,
template_label_value_inconsistency,
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
template_label_error)
)</f>
        <v/>
      </c>
    </row>
    <row r="409" hidden="1" outlineLevel="1">
      <c r="C409" s="325" t="n">
        <v>87</v>
      </c>
      <c r="D409" s="655" t="n"/>
      <c r="E409" s="1130" t="n"/>
      <c r="F409" s="1124" t="n"/>
      <c r="G409" s="649" t="n"/>
      <c r="H409" s="1130" t="n"/>
      <c r="I409" s="1124" t="n"/>
      <c r="J409" s="364" t="n"/>
      <c r="K409" s="364" t="n"/>
      <c r="L409" s="246">
        <f>IF(AND(D409="",J409="",K409=""),"-",SUM(J409:K409))</f>
        <v/>
      </c>
      <c r="M409" s="518">
        <f>IF(
IFERROR(LEN(LEFT(D409,FIND("-",D409)-1)),0)=0,
"",
IF(
IFERROR(LEN(LEFT(D409,FIND("-",D409)-1)),0)=13,
IF(
COUNTIF(enum_ListWasteCategories,D409)&gt;0,
template_label_error,
IF(
AND(D409&lt;&gt;"",G409&lt;&gt;"",J409&lt;&gt;"",K409&lt;&gt;""),
IF(COUNTIF($D$323:$D$422,D409)&gt;1,
template_label_value_inconsistency,
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
template_label_error)
)</f>
        <v/>
      </c>
    </row>
    <row r="410" hidden="1" outlineLevel="1">
      <c r="C410" s="325" t="n">
        <v>88</v>
      </c>
      <c r="D410" s="655" t="n"/>
      <c r="E410" s="1130" t="n"/>
      <c r="F410" s="1124" t="n"/>
      <c r="G410" s="649" t="n"/>
      <c r="H410" s="1130" t="n"/>
      <c r="I410" s="1124" t="n"/>
      <c r="J410" s="364" t="n"/>
      <c r="K410" s="364" t="n"/>
      <c r="L410" s="246">
        <f>IF(AND(D410="",J410="",K410=""),"-",SUM(J410:K410))</f>
        <v/>
      </c>
      <c r="M410" s="518">
        <f>IF(
IFERROR(LEN(LEFT(D410,FIND("-",D410)-1)),0)=0,
"",
IF(
IFERROR(LEN(LEFT(D410,FIND("-",D410)-1)),0)=13,
IF(
COUNTIF(enum_ListWasteCategories,D410)&gt;0,
template_label_error,
IF(
AND(D410&lt;&gt;"",G410&lt;&gt;"",J410&lt;&gt;"",K410&lt;&gt;""),
IF(COUNTIF($D$323:$D$422,D410)&gt;1,
template_label_value_inconsistency,
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
template_label_error)
)</f>
        <v/>
      </c>
    </row>
    <row r="411" hidden="1" outlineLevel="1">
      <c r="C411" s="325" t="n">
        <v>89</v>
      </c>
      <c r="D411" s="655" t="n"/>
      <c r="E411" s="1130" t="n"/>
      <c r="F411" s="1124" t="n"/>
      <c r="G411" s="649" t="n"/>
      <c r="H411" s="1130" t="n"/>
      <c r="I411" s="1124" t="n"/>
      <c r="J411" s="364" t="n"/>
      <c r="K411" s="364" t="n"/>
      <c r="L411" s="246">
        <f>IF(AND(D411="",J411="",K411=""),"-",SUM(J411:K411))</f>
        <v/>
      </c>
      <c r="M411" s="518">
        <f>IF(
IFERROR(LEN(LEFT(D411,FIND("-",D411)-1)),0)=0,
"",
IF(
IFERROR(LEN(LEFT(D411,FIND("-",D411)-1)),0)=13,
IF(
COUNTIF(enum_ListWasteCategories,D411)&gt;0,
template_label_error,
IF(
AND(D411&lt;&gt;"",G411&lt;&gt;"",J411&lt;&gt;"",K411&lt;&gt;""),
IF(COUNTIF($D$323:$D$422,D411)&gt;1,
template_label_value_inconsistency,
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
template_label_error)
)</f>
        <v/>
      </c>
    </row>
    <row r="412" hidden="1" outlineLevel="1">
      <c r="C412" s="325" t="n">
        <v>90</v>
      </c>
      <c r="D412" s="655" t="n"/>
      <c r="E412" s="1130" t="n"/>
      <c r="F412" s="1124" t="n"/>
      <c r="G412" s="649" t="n"/>
      <c r="H412" s="1130" t="n"/>
      <c r="I412" s="1124" t="n"/>
      <c r="J412" s="364" t="n"/>
      <c r="K412" s="364" t="n"/>
      <c r="L412" s="246">
        <f>IF(AND(D412="",J412="",K412=""),"-",SUM(J412:K412))</f>
        <v/>
      </c>
      <c r="M412" s="518">
        <f>IF(
IFERROR(LEN(LEFT(D412,FIND("-",D412)-1)),0)=0,
"",
IF(
IFERROR(LEN(LEFT(D412,FIND("-",D412)-1)),0)=13,
IF(
COUNTIF(enum_ListWasteCategories,D412)&gt;0,
template_label_error,
IF(
AND(D412&lt;&gt;"",G412&lt;&gt;"",J412&lt;&gt;"",K412&lt;&gt;""),
IF(COUNTIF($D$323:$D$422,D412)&gt;1,
template_label_value_inconsistency,
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
template_label_error)
)</f>
        <v/>
      </c>
    </row>
    <row r="413" hidden="1" outlineLevel="1">
      <c r="C413" s="325" t="n">
        <v>91</v>
      </c>
      <c r="D413" s="655" t="n"/>
      <c r="E413" s="1130" t="n"/>
      <c r="F413" s="1124" t="n"/>
      <c r="G413" s="649" t="n"/>
      <c r="H413" s="1130" t="n"/>
      <c r="I413" s="1124" t="n"/>
      <c r="J413" s="364" t="n"/>
      <c r="K413" s="364" t="n"/>
      <c r="L413" s="246">
        <f>IF(AND(D413="",J413="",K413=""),"-",SUM(J413:K413))</f>
        <v/>
      </c>
      <c r="M413" s="518">
        <f>IF(
IFERROR(LEN(LEFT(D413,FIND("-",D413)-1)),0)=0,
"",
IF(
IFERROR(LEN(LEFT(D413,FIND("-",D413)-1)),0)=13,
IF(
COUNTIF(enum_ListWasteCategories,D413)&gt;0,
template_label_error,
IF(
AND(D413&lt;&gt;"",G413&lt;&gt;"",J413&lt;&gt;"",K413&lt;&gt;""),
IF(COUNTIF($D$323:$D$422,D413)&gt;1,
template_label_value_inconsistency,
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
template_label_error)
)</f>
        <v/>
      </c>
    </row>
    <row r="414" hidden="1" outlineLevel="1">
      <c r="C414" s="325" t="n">
        <v>92</v>
      </c>
      <c r="D414" s="655" t="n"/>
      <c r="E414" s="1130" t="n"/>
      <c r="F414" s="1124" t="n"/>
      <c r="G414" s="649" t="n"/>
      <c r="H414" s="1130" t="n"/>
      <c r="I414" s="1124" t="n"/>
      <c r="J414" s="364" t="n"/>
      <c r="K414" s="364" t="n"/>
      <c r="L414" s="246">
        <f>IF(AND(D414="",J414="",K414=""),"-",SUM(J414:K414))</f>
        <v/>
      </c>
      <c r="M414" s="518">
        <f>IF(
IFERROR(LEN(LEFT(D414,FIND("-",D414)-1)),0)=0,
"",
IF(
IFERROR(LEN(LEFT(D414,FIND("-",D414)-1)),0)=13,
IF(
COUNTIF(enum_ListWasteCategories,D414)&gt;0,
template_label_error,
IF(
AND(D414&lt;&gt;"",G414&lt;&gt;"",J414&lt;&gt;"",K414&lt;&gt;""),
IF(COUNTIF($D$323:$D$422,D414)&gt;1,
template_label_value_inconsistency,
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
template_label_error)
)</f>
        <v/>
      </c>
    </row>
    <row r="415" hidden="1" outlineLevel="1">
      <c r="C415" s="325" t="n">
        <v>93</v>
      </c>
      <c r="D415" s="655" t="n"/>
      <c r="E415" s="1130" t="n"/>
      <c r="F415" s="1124" t="n"/>
      <c r="G415" s="649" t="n"/>
      <c r="H415" s="1130" t="n"/>
      <c r="I415" s="1124" t="n"/>
      <c r="J415" s="364" t="n"/>
      <c r="K415" s="364" t="n"/>
      <c r="L415" s="246">
        <f>IF(AND(D415="",J415="",K415=""),"-",SUM(J415:K415))</f>
        <v/>
      </c>
      <c r="M415" s="518">
        <f>IF(
IFERROR(LEN(LEFT(D415,FIND("-",D415)-1)),0)=0,
"",
IF(
IFERROR(LEN(LEFT(D415,FIND("-",D415)-1)),0)=13,
IF(
COUNTIF(enum_ListWasteCategories,D415)&gt;0,
template_label_error,
IF(
AND(D415&lt;&gt;"",G415&lt;&gt;"",J415&lt;&gt;"",K415&lt;&gt;""),
IF(COUNTIF($D$323:$D$422,D415)&gt;1,
template_label_value_inconsistency,
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
template_label_error)
)</f>
        <v/>
      </c>
    </row>
    <row r="416" hidden="1" outlineLevel="1">
      <c r="C416" s="325" t="n">
        <v>94</v>
      </c>
      <c r="D416" s="655" t="n"/>
      <c r="E416" s="1130" t="n"/>
      <c r="F416" s="1124" t="n"/>
      <c r="G416" s="649" t="n"/>
      <c r="H416" s="1130" t="n"/>
      <c r="I416" s="1124" t="n"/>
      <c r="J416" s="364" t="n"/>
      <c r="K416" s="364" t="n"/>
      <c r="L416" s="246">
        <f>IF(AND(D416="",J416="",K416=""),"-",SUM(J416:K416))</f>
        <v/>
      </c>
      <c r="M416" s="518">
        <f>IF(
IFERROR(LEN(LEFT(D416,FIND("-",D416)-1)),0)=0,
"",
IF(
IFERROR(LEN(LEFT(D416,FIND("-",D416)-1)),0)=13,
IF(
COUNTIF(enum_ListWasteCategories,D416)&gt;0,
template_label_error,
IF(
AND(D416&lt;&gt;"",G416&lt;&gt;"",J416&lt;&gt;"",K416&lt;&gt;""),
IF(COUNTIF($D$323:$D$422,D416)&gt;1,
template_label_value_inconsistency,
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
template_label_error)
)</f>
        <v/>
      </c>
    </row>
    <row r="417" hidden="1" outlineLevel="1">
      <c r="C417" s="325" t="n">
        <v>95</v>
      </c>
      <c r="D417" s="655" t="n"/>
      <c r="E417" s="1130" t="n"/>
      <c r="F417" s="1124" t="n"/>
      <c r="G417" s="649" t="n"/>
      <c r="H417" s="1130" t="n"/>
      <c r="I417" s="1124" t="n"/>
      <c r="J417" s="364" t="n"/>
      <c r="K417" s="364" t="n"/>
      <c r="L417" s="246">
        <f>IF(AND(D417="",J417="",K417=""),"-",SUM(J417:K417))</f>
        <v/>
      </c>
      <c r="M417" s="518">
        <f>IF(
IFERROR(LEN(LEFT(D417,FIND("-",D417)-1)),0)=0,
"",
IF(
IFERROR(LEN(LEFT(D417,FIND("-",D417)-1)),0)=13,
IF(
COUNTIF(enum_ListWasteCategories,D417)&gt;0,
template_label_error,
IF(
AND(D417&lt;&gt;"",G417&lt;&gt;"",J417&lt;&gt;"",K417&lt;&gt;""),
IF(COUNTIF($D$323:$D$422,D417)&gt;1,
template_label_value_inconsistency,
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
template_label_error)
)</f>
        <v/>
      </c>
    </row>
    <row r="418" hidden="1" outlineLevel="1">
      <c r="C418" s="325" t="n">
        <v>96</v>
      </c>
      <c r="D418" s="655" t="n"/>
      <c r="E418" s="1130" t="n"/>
      <c r="F418" s="1124" t="n"/>
      <c r="G418" s="649" t="n"/>
      <c r="H418" s="1130" t="n"/>
      <c r="I418" s="1124" t="n"/>
      <c r="J418" s="364" t="n"/>
      <c r="K418" s="364" t="n"/>
      <c r="L418" s="246">
        <f>IF(AND(D418="",J418="",K418=""),"-",SUM(J418:K418))</f>
        <v/>
      </c>
      <c r="M418" s="518">
        <f>IF(
IFERROR(LEN(LEFT(D418,FIND("-",D418)-1)),0)=0,
"",
IF(
IFERROR(LEN(LEFT(D418,FIND("-",D418)-1)),0)=13,
IF(
COUNTIF(enum_ListWasteCategories,D418)&gt;0,
template_label_error,
IF(
AND(D418&lt;&gt;"",G418&lt;&gt;"",J418&lt;&gt;"",K418&lt;&gt;""),
IF(COUNTIF($D$323:$D$422,D418)&gt;1,
template_label_value_inconsistency,
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
template_label_error)
)</f>
        <v/>
      </c>
    </row>
    <row r="419" hidden="1" outlineLevel="1">
      <c r="C419" s="325" t="n">
        <v>97</v>
      </c>
      <c r="D419" s="655" t="n"/>
      <c r="E419" s="1130" t="n"/>
      <c r="F419" s="1124" t="n"/>
      <c r="G419" s="649" t="n"/>
      <c r="H419" s="1130" t="n"/>
      <c r="I419" s="1124" t="n"/>
      <c r="J419" s="364" t="n"/>
      <c r="K419" s="364" t="n"/>
      <c r="L419" s="246">
        <f>IF(AND(D419="",J419="",K419=""),"-",SUM(J419:K419))</f>
        <v/>
      </c>
      <c r="M419" s="518">
        <f>IF(
IFERROR(LEN(LEFT(D419,FIND("-",D419)-1)),0)=0,
"",
IF(
IFERROR(LEN(LEFT(D419,FIND("-",D419)-1)),0)=13,
IF(
COUNTIF(enum_ListWasteCategories,D419)&gt;0,
template_label_error,
IF(
AND(D419&lt;&gt;"",G419&lt;&gt;"",J419&lt;&gt;"",K419&lt;&gt;""),
IF(COUNTIF($D$323:$D$422,D419)&gt;1,
template_label_value_inconsistency,
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
template_label_error)
)</f>
        <v/>
      </c>
    </row>
    <row r="420" hidden="1" outlineLevel="1">
      <c r="C420" s="325" t="n">
        <v>98</v>
      </c>
      <c r="D420" s="655" t="n"/>
      <c r="E420" s="1130" t="n"/>
      <c r="F420" s="1124" t="n"/>
      <c r="G420" s="649" t="n"/>
      <c r="H420" s="1130" t="n"/>
      <c r="I420" s="1124" t="n"/>
      <c r="J420" s="364" t="n"/>
      <c r="K420" s="364" t="n"/>
      <c r="L420" s="246">
        <f>IF(AND(D420="",J420="",K420=""),"-",SUM(J420:K420))</f>
        <v/>
      </c>
      <c r="M420" s="518">
        <f>IF(
IFERROR(LEN(LEFT(D420,FIND("-",D420)-1)),0)=0,
"",
IF(
IFERROR(LEN(LEFT(D420,FIND("-",D420)-1)),0)=13,
IF(
COUNTIF(enum_ListWasteCategories,D420)&gt;0,
template_label_error,
IF(
AND(D420&lt;&gt;"",G420&lt;&gt;"",J420&lt;&gt;"",K420&lt;&gt;""),
IF(COUNTIF($D$323:$D$422,D420)&gt;1,
template_label_value_inconsistency,
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
template_label_error)
)</f>
        <v/>
      </c>
    </row>
    <row r="421" hidden="1" outlineLevel="1">
      <c r="C421" s="325" t="n">
        <v>99</v>
      </c>
      <c r="D421" s="655" t="n"/>
      <c r="E421" s="1130" t="n"/>
      <c r="F421" s="1124" t="n"/>
      <c r="G421" s="649" t="n"/>
      <c r="H421" s="1130" t="n"/>
      <c r="I421" s="1124" t="n"/>
      <c r="J421" s="364" t="n"/>
      <c r="K421" s="364" t="n"/>
      <c r="L421" s="246">
        <f>IF(AND(D421="",J421="",K421=""),"-",SUM(J421:K421))</f>
        <v/>
      </c>
      <c r="M421" s="518">
        <f>IF(
IFERROR(LEN(LEFT(D421,FIND("-",D421)-1)),0)=0,
"",
IF(
IFERROR(LEN(LEFT(D421,FIND("-",D421)-1)),0)=13,
IF(
COUNTIF(enum_ListWasteCategories,D421)&gt;0,
template_label_error,
IF(
AND(D421&lt;&gt;"",G421&lt;&gt;"",J421&lt;&gt;"",K421&lt;&gt;""),
IF(COUNTIF($D$323:$D$422,D421)&gt;1,
template_label_value_inconsistency,
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
template_label_error)
)</f>
        <v/>
      </c>
    </row>
    <row r="422" hidden="1" outlineLevel="1" ht="15" customHeight="1" thickBot="1">
      <c r="C422" s="325" t="n">
        <v>100</v>
      </c>
      <c r="D422" s="817" t="n"/>
      <c r="E422" s="1166" t="n"/>
      <c r="F422" s="1167" t="n"/>
      <c r="G422" s="819" t="n"/>
      <c r="H422" s="1132" t="n"/>
      <c r="I422" s="1123" t="n"/>
      <c r="J422" s="251" t="n"/>
      <c r="K422" s="251" t="n"/>
      <c r="L422" s="248">
        <f>IF(AND(D422="",J422="",K422=""),"-",SUM(J422:K422))</f>
        <v/>
      </c>
      <c r="M422" s="518">
        <f>IF(
IFERROR(LEN(LEFT(D422,FIND("-",D422)-1)),0)=0,
"",
IF(
IFERROR(LEN(LEFT(D422,FIND("-",D422)-1)),0)=13,
IF(
COUNTIF(enum_ListWasteCategories,D422)&gt;0,
template_label_error,
IF(
AND(D422&lt;&gt;"",G422&lt;&gt;"",J422&lt;&gt;"",K422&lt;&gt;""),
IF(COUNTIF($D$323:$D$422,D422)&gt;1,
template_label_value_inconsistency,
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
template_label_error)
)</f>
        <v/>
      </c>
    </row>
    <row r="423" collapsed="1">
      <c r="C423" s="804">
        <f>template_label_total_amount_of_waste_generated</f>
        <v/>
      </c>
      <c r="D423" s="848">
        <f>template_label_total_hazardous_waste_generated_mass</f>
        <v/>
      </c>
      <c r="E423" s="1143" t="n"/>
      <c r="F423" s="1144" t="n"/>
      <c r="G423" s="845" t="inlineStr">
        <is>
          <t>kilograms (kg)</t>
        </is>
      </c>
      <c r="H423" s="1163" t="n"/>
      <c r="I423" s="1164" t="n"/>
      <c r="J423" s="87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
      </c>
      <c r="K423" s="1143" t="n"/>
      <c r="L423" s="1144" t="n"/>
      <c r="M423" s="518">
        <f t="array" ref="M423">IF(G423="",
    IF(SUMPRODUCT(--((G323:G422="metric tonnes (t)")+(G323:G422="kilograms (kg)")))&gt;0,
        template_label_missing_value,
        ""
    ),
    IF(SUMPRODUCT(--((G323:G422="metric tonnes (t)")+(G323:G422="kilograms (kg)")))&gt;0,
        template_label_ok,
        ""
    )
)</f>
        <v/>
      </c>
    </row>
    <row r="424">
      <c r="C424" s="1133" t="n"/>
      <c r="D424" s="652">
        <f>template_label_total_non_hazardous_waste_generated_mass</f>
        <v/>
      </c>
      <c r="E424" s="1106" t="n"/>
      <c r="F424" s="199" t="n"/>
      <c r="G424" s="841">
        <f>IF($G$423="", "-", $G$423)</f>
        <v/>
      </c>
      <c r="H424" s="1106" t="n"/>
      <c r="I424" s="199" t="n"/>
      <c r="J424" s="772">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
      </c>
      <c r="K424" s="1106" t="n"/>
      <c r="L424" s="199" t="n"/>
    </row>
    <row r="425" ht="15" customHeight="1" thickBot="1">
      <c r="C425" s="1133" t="n"/>
      <c r="D425" s="846">
        <f>template_label_total_waste_generated_mass</f>
        <v/>
      </c>
      <c r="E425" s="1140" t="n"/>
      <c r="F425" s="1125" t="n"/>
      <c r="G425" s="841">
        <f>IF($G$423="", "-", $G$423)</f>
        <v/>
      </c>
      <c r="H425" s="1106" t="n"/>
      <c r="I425" s="199" t="n"/>
      <c r="J425" s="671">
        <f>IF(AND(J423="-",J424="-"),"-",SUM(J423:L424))</f>
        <v/>
      </c>
      <c r="K425" s="1140" t="n"/>
      <c r="L425" s="1125" t="n"/>
    </row>
    <row r="426">
      <c r="C426" s="1133" t="n"/>
      <c r="D426" s="650">
        <f>template_label_total_hazardous_waste_generated_volume</f>
        <v/>
      </c>
      <c r="E426" s="508" t="n"/>
      <c r="F426" s="198" t="n"/>
      <c r="G426" s="654">
        <f>template_label_cubic_meters</f>
        <v/>
      </c>
      <c r="H426" s="1143" t="n"/>
      <c r="I426" s="1143" t="n"/>
      <c r="J426" s="873">
        <f>IF(
    AND(
        COUNTA(D323:D422)=0,
        COUNTA(J323:J422)=0,
        COUNTA(K323:K422)=0
    ),
    "-",
    SUMIFS(L323:L422, D323:D422,"* Hazardous *", G323:G422,"*cubic meters (m3)*")
)</f>
        <v/>
      </c>
      <c r="K426" s="508" t="n"/>
      <c r="L426" s="198" t="n"/>
    </row>
    <row r="427">
      <c r="C427" s="1133" t="n"/>
      <c r="D427" s="652">
        <f>template_label_total_non_hazardous_waste_generated_volume</f>
        <v/>
      </c>
      <c r="E427" s="1106" t="n"/>
      <c r="F427" s="199" t="n"/>
      <c r="G427" s="839">
        <f>template_label_cubic_meters</f>
        <v/>
      </c>
      <c r="H427" s="1106" t="n"/>
      <c r="I427" s="1106" t="n"/>
      <c r="J427" s="772">
        <f>IF(
    AND(
        COUNTA(D323:D422)=0,
        COUNTA(J323:J422)=0,
        COUNTA(K323:K422)=0
    ),
    "-",
    SUMIFS(L323:L422, D323:D422,"*Non-Hazardous*", G323:G422,"*cubic meters (m3)*")
)</f>
        <v/>
      </c>
      <c r="K427" s="1106" t="n"/>
      <c r="L427" s="199" t="n"/>
    </row>
    <row r="428" ht="15" customHeight="1" thickBot="1">
      <c r="C428" s="13" t="n"/>
      <c r="D428" s="846">
        <f>template_label_total_waste_generated_volume</f>
        <v/>
      </c>
      <c r="E428" s="1140" t="n"/>
      <c r="F428" s="1125" t="n"/>
      <c r="G428" s="840">
        <f>template_label_cubic_meters</f>
        <v/>
      </c>
      <c r="H428" s="1140" t="n"/>
      <c r="I428" s="1140" t="n"/>
      <c r="J428" s="671">
        <f>IF(AND(J426="-",J427="-"),"-",SUM(J426:L427))</f>
        <v/>
      </c>
      <c r="K428" s="1140" t="n"/>
      <c r="L428" s="1125" t="n"/>
    </row>
    <row r="429" ht="15" customHeight="1" thickBot="1"/>
    <row r="430" ht="15" customHeight="1" thickBot="1">
      <c r="C430" s="558">
        <f>template_label_b7_annual_mass_flow_of_relevant_materials_used&amp;" "&amp;template_label_from&amp;" "&amp;template_starting_date_display&amp;" "&amp;template_label_to&amp;" "&amp;template_ending_date_display&amp;" "&amp;template_label_if_applicable</f>
        <v/>
      </c>
      <c r="D430" s="1120" t="n"/>
      <c r="E430" s="1120" t="n"/>
      <c r="F430" s="1120" t="n"/>
      <c r="G430" s="1120" t="n"/>
      <c r="H430" s="1120" t="n"/>
      <c r="I430" s="1120" t="n"/>
      <c r="J430" s="1121" t="n"/>
    </row>
    <row r="431">
      <c r="C431" s="553" t="inlineStr">
        <is>
          <t>38(c)</t>
        </is>
      </c>
      <c r="D431" s="508" t="n"/>
      <c r="E431" s="508" t="n"/>
      <c r="F431" s="508" t="n"/>
      <c r="G431" s="508" t="n"/>
      <c r="H431" s="508" t="n"/>
      <c r="I431" s="508" t="n"/>
      <c r="J431" s="198" t="n"/>
    </row>
    <row r="432">
      <c r="C432" s="586" t="inlineStr">
        <is>
          <t>108-109</t>
        </is>
      </c>
      <c r="D432" s="1106" t="n"/>
      <c r="E432" s="1106" t="n"/>
      <c r="F432" s="1106" t="n"/>
      <c r="G432" s="1106" t="n"/>
      <c r="H432" s="1106" t="n"/>
      <c r="I432" s="1106" t="n"/>
      <c r="J432" s="199" t="n"/>
      <c r="K432" s="598" t="n"/>
      <c r="L432" s="598" t="n"/>
    </row>
    <row r="433" ht="30" customHeight="1">
      <c r="C433" s="613">
        <f>template_label_does_the_undertaking_operate_in_a_sector_using_significant_material_flows</f>
        <v/>
      </c>
      <c r="D433" s="1106" t="n"/>
      <c r="E433" s="1106" t="n"/>
      <c r="F433" s="199" t="n"/>
      <c r="G433" s="685" t="b">
        <v>1</v>
      </c>
      <c r="H433" s="1130" t="n"/>
      <c r="I433" s="1130" t="n"/>
      <c r="J433" s="1138" t="n"/>
    </row>
    <row r="434" ht="43.5" customHeight="1">
      <c r="C434" s="853">
        <f>template_label_row_id</f>
        <v/>
      </c>
      <c r="D434" s="773">
        <f>template_label_name_of_the_key_material</f>
        <v/>
      </c>
      <c r="E434" s="1106" t="n"/>
      <c r="F434" s="199" t="n"/>
      <c r="G434" s="773">
        <f>template_label_mass_volume</f>
        <v/>
      </c>
      <c r="H434" s="1106" t="n"/>
      <c r="I434" s="199" t="n"/>
      <c r="J434" s="750">
        <f>template_label_unit_of_measurement</f>
        <v/>
      </c>
    </row>
    <row r="435">
      <c r="C435" s="208" t="n">
        <v>1</v>
      </c>
      <c r="D435" s="657" t="inlineStr">
        <is>
          <t>Packaging, boxes for produce/meat</t>
        </is>
      </c>
      <c r="E435" s="1130" t="n"/>
      <c r="F435" s="1124" t="n"/>
      <c r="G435" s="645" t="n">
        <v>1500</v>
      </c>
      <c r="H435" s="1130" t="n"/>
      <c r="I435" s="1124" t="n"/>
      <c r="J435" s="778" t="inlineStr">
        <is>
          <t>kilograms (kg)</t>
        </is>
      </c>
      <c r="K435" s="872">
        <f>IF(AND(G433=TRUE,D435&lt;&gt;"",G435&lt;&gt;"",J435&lt;&gt;""),
    template_label_ok,
    IF(AND(G433=TRUE,OR(D435="",G435="",J435="")),
        template_label_missing_value,
        ""
    )
)</f>
        <v/>
      </c>
    </row>
    <row r="436">
      <c r="C436" s="208" t="n">
        <v>2</v>
      </c>
      <c r="D436" s="759" t="inlineStr">
        <is>
          <t>Wrapping, trays, containers</t>
        </is>
      </c>
      <c r="E436" s="1130" t="n"/>
      <c r="F436" s="1124" t="n"/>
      <c r="G436" s="645" t="n">
        <v>800</v>
      </c>
      <c r="H436" s="1130" t="n"/>
      <c r="I436" s="1124" t="n"/>
      <c r="J436" s="778" t="inlineStr">
        <is>
          <t>cubic meters (m3)</t>
        </is>
      </c>
      <c r="K436" s="872">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08" t="n">
        <v>3</v>
      </c>
      <c r="D437" s="759" t="n"/>
      <c r="E437" s="1130" t="n"/>
      <c r="F437" s="1124" t="n"/>
      <c r="G437" s="645" t="n"/>
      <c r="H437" s="1130" t="n"/>
      <c r="I437" s="1124" t="n"/>
      <c r="J437" s="778" t="n"/>
      <c r="K437" s="872">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08" t="n">
        <v>4</v>
      </c>
      <c r="D438" s="759" t="n"/>
      <c r="E438" s="1130" t="n"/>
      <c r="F438" s="1124" t="n"/>
      <c r="G438" s="645" t="n"/>
      <c r="H438" s="1130" t="n"/>
      <c r="I438" s="1124" t="n"/>
      <c r="J438" s="778" t="n"/>
      <c r="K438" s="872">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08" t="n">
        <v>5</v>
      </c>
      <c r="D439" s="759" t="n"/>
      <c r="E439" s="1130" t="n"/>
      <c r="F439" s="1124" t="n"/>
      <c r="G439" s="645" t="n"/>
      <c r="H439" s="1130" t="n"/>
      <c r="I439" s="1124" t="n"/>
      <c r="J439" s="778" t="n"/>
      <c r="K439" s="872">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08" t="n">
        <v>6</v>
      </c>
      <c r="D440" s="657" t="n"/>
      <c r="E440" s="1130" t="n"/>
      <c r="F440" s="1124" t="n"/>
      <c r="G440" s="645" t="n"/>
      <c r="H440" s="1130" t="n"/>
      <c r="I440" s="1124" t="n"/>
      <c r="J440" s="778" t="n"/>
      <c r="K440" s="872">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08" t="n">
        <v>7</v>
      </c>
      <c r="D441" s="657" t="n"/>
      <c r="E441" s="1130" t="n"/>
      <c r="F441" s="1124" t="n"/>
      <c r="G441" s="645" t="n"/>
      <c r="H441" s="1130" t="n"/>
      <c r="I441" s="1124" t="n"/>
      <c r="J441" s="778" t="n"/>
      <c r="K441" s="872">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08" t="n">
        <v>8</v>
      </c>
      <c r="D442" s="657" t="n"/>
      <c r="E442" s="1130" t="n"/>
      <c r="F442" s="1124" t="n"/>
      <c r="G442" s="645" t="n"/>
      <c r="H442" s="1130" t="n"/>
      <c r="I442" s="1124" t="n"/>
      <c r="J442" s="778" t="n"/>
      <c r="K442" s="872">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08" t="n">
        <v>9</v>
      </c>
      <c r="D443" s="657" t="n"/>
      <c r="E443" s="1130" t="n"/>
      <c r="F443" s="1124" t="n"/>
      <c r="G443" s="645" t="n"/>
      <c r="H443" s="1130" t="n"/>
      <c r="I443" s="1124" t="n"/>
      <c r="J443" s="778" t="n"/>
      <c r="K443" s="872">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08" t="n">
        <v>10</v>
      </c>
      <c r="D444" s="657" t="n"/>
      <c r="E444" s="1130" t="n"/>
      <c r="F444" s="1124" t="n"/>
      <c r="G444" s="645" t="n"/>
      <c r="H444" s="1130" t="n"/>
      <c r="I444" s="1124" t="n"/>
      <c r="J444" s="778" t="n"/>
      <c r="K444" s="872">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08" t="n">
        <v>11</v>
      </c>
      <c r="D445" s="657" t="n"/>
      <c r="E445" s="1130" t="n"/>
      <c r="F445" s="1124" t="n"/>
      <c r="G445" s="645" t="n"/>
      <c r="H445" s="1130" t="n"/>
      <c r="I445" s="1124" t="n"/>
      <c r="J445" s="778" t="n"/>
      <c r="K445" s="872">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08" t="n">
        <v>12</v>
      </c>
      <c r="D446" s="657" t="n"/>
      <c r="E446" s="1130" t="n"/>
      <c r="F446" s="1124" t="n"/>
      <c r="G446" s="645" t="n"/>
      <c r="H446" s="1130" t="n"/>
      <c r="I446" s="1124" t="n"/>
      <c r="J446" s="778" t="n"/>
      <c r="K446" s="872">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08" t="n">
        <v>13</v>
      </c>
      <c r="D447" s="657" t="n"/>
      <c r="E447" s="1130" t="n"/>
      <c r="F447" s="1124" t="n"/>
      <c r="G447" s="645" t="n"/>
      <c r="H447" s="1130" t="n"/>
      <c r="I447" s="1124" t="n"/>
      <c r="J447" s="778" t="n"/>
      <c r="K447" s="872">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08" t="n">
        <v>14</v>
      </c>
      <c r="D448" s="657" t="n"/>
      <c r="E448" s="1130" t="n"/>
      <c r="F448" s="1124" t="n"/>
      <c r="G448" s="645" t="n"/>
      <c r="H448" s="1130" t="n"/>
      <c r="I448" s="1124" t="n"/>
      <c r="J448" s="778" t="n"/>
      <c r="K448" s="872">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08" t="n">
        <v>15</v>
      </c>
      <c r="D449" s="657" t="n"/>
      <c r="E449" s="1130" t="n"/>
      <c r="F449" s="1124" t="n"/>
      <c r="G449" s="645" t="n"/>
      <c r="H449" s="1130" t="n"/>
      <c r="I449" s="1124" t="n"/>
      <c r="J449" s="778" t="n"/>
      <c r="K449" s="872">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08" t="n"/>
      <c r="D450" s="657" t="n"/>
      <c r="E450" s="1130" t="n"/>
      <c r="F450" s="1124" t="n"/>
      <c r="G450" s="645" t="n"/>
      <c r="H450" s="1130" t="n"/>
      <c r="I450" s="1124" t="n"/>
      <c r="J450" s="778" t="n"/>
      <c r="K450" s="872">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08" t="n"/>
      <c r="D451" s="657" t="n"/>
      <c r="E451" s="1130" t="n"/>
      <c r="F451" s="1124" t="n"/>
      <c r="G451" s="645" t="n"/>
      <c r="H451" s="1130" t="n"/>
      <c r="I451" s="1124" t="n"/>
      <c r="J451" s="778" t="n"/>
      <c r="K451" s="872">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08" t="n"/>
      <c r="D452" s="657" t="n"/>
      <c r="E452" s="1130" t="n"/>
      <c r="F452" s="1124" t="n"/>
      <c r="G452" s="645" t="n"/>
      <c r="H452" s="1130" t="n"/>
      <c r="I452" s="1124" t="n"/>
      <c r="J452" s="778" t="n"/>
      <c r="K452" s="872">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08" t="n"/>
      <c r="D453" s="657" t="n"/>
      <c r="E453" s="1130" t="n"/>
      <c r="F453" s="1124" t="n"/>
      <c r="G453" s="645" t="n"/>
      <c r="H453" s="1130" t="n"/>
      <c r="I453" s="1124" t="n"/>
      <c r="J453" s="778" t="n"/>
      <c r="K453" s="872">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08" t="n"/>
      <c r="D454" s="657" t="n"/>
      <c r="E454" s="1130" t="n"/>
      <c r="F454" s="1124" t="n"/>
      <c r="G454" s="645" t="n"/>
      <c r="H454" s="1130" t="n"/>
      <c r="I454" s="1124" t="n"/>
      <c r="J454" s="778" t="n"/>
      <c r="K454" s="872">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08" t="n"/>
      <c r="D455" s="657" t="n"/>
      <c r="E455" s="1130" t="n"/>
      <c r="F455" s="1124" t="n"/>
      <c r="G455" s="645" t="n"/>
      <c r="H455" s="1130" t="n"/>
      <c r="I455" s="1124" t="n"/>
      <c r="J455" s="778" t="n"/>
      <c r="K455" s="872">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08" t="n"/>
      <c r="D456" s="657" t="n"/>
      <c r="E456" s="1130" t="n"/>
      <c r="F456" s="1124" t="n"/>
      <c r="G456" s="645" t="n"/>
      <c r="H456" s="1130" t="n"/>
      <c r="I456" s="1124" t="n"/>
      <c r="J456" s="778" t="n"/>
      <c r="K456" s="872">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08" t="n"/>
      <c r="D457" s="657" t="n"/>
      <c r="E457" s="1130" t="n"/>
      <c r="F457" s="1124" t="n"/>
      <c r="G457" s="645" t="n"/>
      <c r="H457" s="1130" t="n"/>
      <c r="I457" s="1124" t="n"/>
      <c r="J457" s="778" t="n"/>
      <c r="K457" s="872">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08" t="n"/>
      <c r="D458" s="657" t="n"/>
      <c r="E458" s="1130" t="n"/>
      <c r="F458" s="1124" t="n"/>
      <c r="G458" s="645" t="n"/>
      <c r="H458" s="1130" t="n"/>
      <c r="I458" s="1124" t="n"/>
      <c r="J458" s="778" t="n"/>
      <c r="K458" s="872">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08" t="n"/>
      <c r="D459" s="657" t="n"/>
      <c r="E459" s="1130" t="n"/>
      <c r="F459" s="1124" t="n"/>
      <c r="G459" s="645" t="n"/>
      <c r="H459" s="1130" t="n"/>
      <c r="I459" s="1124" t="n"/>
      <c r="J459" s="778" t="n"/>
      <c r="K459" s="872">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08" t="n"/>
      <c r="D460" s="657" t="n"/>
      <c r="E460" s="1130" t="n"/>
      <c r="F460" s="1124" t="n"/>
      <c r="G460" s="645" t="n"/>
      <c r="H460" s="1130" t="n"/>
      <c r="I460" s="1124" t="n"/>
      <c r="J460" s="778" t="n"/>
      <c r="K460" s="872">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08" t="n"/>
      <c r="D461" s="657" t="n"/>
      <c r="E461" s="1130" t="n"/>
      <c r="F461" s="1124" t="n"/>
      <c r="G461" s="645" t="n"/>
      <c r="H461" s="1130" t="n"/>
      <c r="I461" s="1124" t="n"/>
      <c r="J461" s="778" t="n"/>
      <c r="K461" s="872">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08" t="n"/>
      <c r="D462" s="657" t="n"/>
      <c r="E462" s="1130" t="n"/>
      <c r="F462" s="1124" t="n"/>
      <c r="G462" s="645" t="n"/>
      <c r="H462" s="1130" t="n"/>
      <c r="I462" s="1124" t="n"/>
      <c r="J462" s="778" t="n"/>
      <c r="K462" s="872">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08" t="n"/>
      <c r="D463" s="657" t="n"/>
      <c r="E463" s="1130" t="n"/>
      <c r="F463" s="1124" t="n"/>
      <c r="G463" s="645" t="n"/>
      <c r="H463" s="1130" t="n"/>
      <c r="I463" s="1124" t="n"/>
      <c r="J463" s="778" t="n"/>
      <c r="K463" s="872">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08" t="n"/>
      <c r="D464" s="657" t="n"/>
      <c r="E464" s="1130" t="n"/>
      <c r="F464" s="1124" t="n"/>
      <c r="G464" s="645" t="n"/>
      <c r="H464" s="1130" t="n"/>
      <c r="I464" s="1124" t="n"/>
      <c r="J464" s="778" t="n"/>
      <c r="K464" s="872">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08" t="n"/>
      <c r="D465" s="657" t="n"/>
      <c r="E465" s="1130" t="n"/>
      <c r="F465" s="1124" t="n"/>
      <c r="G465" s="645" t="n"/>
      <c r="H465" s="1130" t="n"/>
      <c r="I465" s="1124" t="n"/>
      <c r="J465" s="778" t="n"/>
      <c r="K465" s="872">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08" t="n"/>
      <c r="D466" s="657" t="n"/>
      <c r="E466" s="1130" t="n"/>
      <c r="F466" s="1124" t="n"/>
      <c r="G466" s="645" t="n"/>
      <c r="H466" s="1130" t="n"/>
      <c r="I466" s="1124" t="n"/>
      <c r="J466" s="778" t="n"/>
      <c r="K466" s="872">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08" t="n"/>
      <c r="D467" s="657" t="n"/>
      <c r="E467" s="1130" t="n"/>
      <c r="F467" s="1124" t="n"/>
      <c r="G467" s="645" t="n"/>
      <c r="H467" s="1130" t="n"/>
      <c r="I467" s="1124" t="n"/>
      <c r="J467" s="778" t="n"/>
      <c r="K467" s="872">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08" t="n"/>
      <c r="D468" s="657" t="n"/>
      <c r="E468" s="1130" t="n"/>
      <c r="F468" s="1124" t="n"/>
      <c r="G468" s="645" t="n"/>
      <c r="H468" s="1130" t="n"/>
      <c r="I468" s="1124" t="n"/>
      <c r="J468" s="778" t="n"/>
      <c r="K468" s="872">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08" t="n"/>
      <c r="D469" s="657" t="n"/>
      <c r="E469" s="1130" t="n"/>
      <c r="F469" s="1124" t="n"/>
      <c r="G469" s="645" t="n"/>
      <c r="H469" s="1130" t="n"/>
      <c r="I469" s="1124" t="n"/>
      <c r="J469" s="778" t="n"/>
      <c r="K469" s="872">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08" t="n"/>
      <c r="D470" s="657" t="n"/>
      <c r="E470" s="1130" t="n"/>
      <c r="F470" s="1124" t="n"/>
      <c r="G470" s="645" t="n"/>
      <c r="H470" s="1130" t="n"/>
      <c r="I470" s="1124" t="n"/>
      <c r="J470" s="778" t="n"/>
      <c r="K470" s="872">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08" t="n"/>
      <c r="D471" s="657" t="n"/>
      <c r="E471" s="1130" t="n"/>
      <c r="F471" s="1124" t="n"/>
      <c r="G471" s="645" t="n"/>
      <c r="H471" s="1130" t="n"/>
      <c r="I471" s="1124" t="n"/>
      <c r="J471" s="778" t="n"/>
      <c r="K471" s="872">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08" t="n"/>
      <c r="D472" s="657" t="n"/>
      <c r="E472" s="1130" t="n"/>
      <c r="F472" s="1124" t="n"/>
      <c r="G472" s="645" t="n"/>
      <c r="H472" s="1130" t="n"/>
      <c r="I472" s="1124" t="n"/>
      <c r="J472" s="778" t="n"/>
      <c r="K472" s="872">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08" t="n"/>
      <c r="D473" s="657" t="n"/>
      <c r="E473" s="1130" t="n"/>
      <c r="F473" s="1124" t="n"/>
      <c r="G473" s="645" t="n"/>
      <c r="H473" s="1130" t="n"/>
      <c r="I473" s="1124" t="n"/>
      <c r="J473" s="778" t="n"/>
      <c r="K473" s="872">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08" t="n"/>
      <c r="D474" s="657" t="n"/>
      <c r="E474" s="1130" t="n"/>
      <c r="F474" s="1124" t="n"/>
      <c r="G474" s="645" t="n"/>
      <c r="H474" s="1130" t="n"/>
      <c r="I474" s="1124" t="n"/>
      <c r="J474" s="778" t="n"/>
      <c r="K474" s="872">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08" t="n"/>
      <c r="D475" s="657" t="n"/>
      <c r="E475" s="1130" t="n"/>
      <c r="F475" s="1124" t="n"/>
      <c r="G475" s="645" t="n"/>
      <c r="H475" s="1130" t="n"/>
      <c r="I475" s="1124" t="n"/>
      <c r="J475" s="778" t="n"/>
      <c r="K475" s="872">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08" t="n"/>
      <c r="D476" s="657" t="n"/>
      <c r="E476" s="1130" t="n"/>
      <c r="F476" s="1124" t="n"/>
      <c r="G476" s="645" t="n"/>
      <c r="H476" s="1130" t="n"/>
      <c r="I476" s="1124" t="n"/>
      <c r="J476" s="778" t="n"/>
      <c r="K476" s="872">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08" t="n"/>
      <c r="D477" s="657" t="n"/>
      <c r="E477" s="1130" t="n"/>
      <c r="F477" s="1124" t="n"/>
      <c r="G477" s="645" t="n"/>
      <c r="H477" s="1130" t="n"/>
      <c r="I477" s="1124" t="n"/>
      <c r="J477" s="778" t="n"/>
      <c r="K477" s="872">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08" t="n"/>
      <c r="D478" s="657" t="n"/>
      <c r="E478" s="1130" t="n"/>
      <c r="F478" s="1124" t="n"/>
      <c r="G478" s="645" t="n"/>
      <c r="H478" s="1130" t="n"/>
      <c r="I478" s="1124" t="n"/>
      <c r="J478" s="778" t="n"/>
      <c r="K478" s="872">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08" t="n"/>
      <c r="D479" s="657" t="n"/>
      <c r="E479" s="1130" t="n"/>
      <c r="F479" s="1124" t="n"/>
      <c r="G479" s="645" t="n"/>
      <c r="H479" s="1130" t="n"/>
      <c r="I479" s="1124" t="n"/>
      <c r="J479" s="778" t="n"/>
      <c r="K479" s="872">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08" t="n"/>
      <c r="D480" s="657" t="n"/>
      <c r="E480" s="1130" t="n"/>
      <c r="F480" s="1124" t="n"/>
      <c r="G480" s="645" t="n"/>
      <c r="H480" s="1130" t="n"/>
      <c r="I480" s="1124" t="n"/>
      <c r="J480" s="778" t="n"/>
      <c r="K480" s="872">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08" t="n"/>
      <c r="D481" s="657" t="n"/>
      <c r="E481" s="1130" t="n"/>
      <c r="F481" s="1124" t="n"/>
      <c r="G481" s="645" t="n"/>
      <c r="H481" s="1130" t="n"/>
      <c r="I481" s="1124" t="n"/>
      <c r="J481" s="778" t="n"/>
      <c r="K481" s="872">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08" t="n"/>
      <c r="D482" s="657" t="n"/>
      <c r="E482" s="1130" t="n"/>
      <c r="F482" s="1124" t="n"/>
      <c r="G482" s="645" t="n"/>
      <c r="H482" s="1130" t="n"/>
      <c r="I482" s="1124" t="n"/>
      <c r="J482" s="778" t="n"/>
      <c r="K482" s="872">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08" t="n"/>
      <c r="D483" s="657" t="n"/>
      <c r="E483" s="1130" t="n"/>
      <c r="F483" s="1124" t="n"/>
      <c r="G483" s="645" t="n"/>
      <c r="H483" s="1130" t="n"/>
      <c r="I483" s="1124" t="n"/>
      <c r="J483" s="778" t="n"/>
      <c r="K483" s="872">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08" t="n"/>
      <c r="D484" s="657" t="n"/>
      <c r="E484" s="1130" t="n"/>
      <c r="F484" s="1124" t="n"/>
      <c r="G484" s="645" t="n"/>
      <c r="H484" s="1130" t="n"/>
      <c r="I484" s="1124" t="n"/>
      <c r="J484" s="778" t="n"/>
      <c r="K484" s="872">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08" t="n"/>
      <c r="D485" s="657" t="n"/>
      <c r="E485" s="1130" t="n"/>
      <c r="F485" s="1124" t="n"/>
      <c r="G485" s="645" t="n"/>
      <c r="H485" s="1130" t="n"/>
      <c r="I485" s="1124" t="n"/>
      <c r="J485" s="778" t="n"/>
      <c r="K485" s="872">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08" t="n"/>
      <c r="D486" s="657" t="n"/>
      <c r="E486" s="1130" t="n"/>
      <c r="F486" s="1124" t="n"/>
      <c r="G486" s="645" t="n"/>
      <c r="H486" s="1130" t="n"/>
      <c r="I486" s="1124" t="n"/>
      <c r="J486" s="778" t="n"/>
      <c r="K486" s="872">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08" t="n"/>
      <c r="D487" s="657" t="n"/>
      <c r="E487" s="1130" t="n"/>
      <c r="F487" s="1124" t="n"/>
      <c r="G487" s="645" t="n"/>
      <c r="H487" s="1130" t="n"/>
      <c r="I487" s="1124" t="n"/>
      <c r="J487" s="778" t="n"/>
      <c r="K487" s="872">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08" t="n"/>
      <c r="D488" s="657" t="n"/>
      <c r="E488" s="1130" t="n"/>
      <c r="F488" s="1124" t="n"/>
      <c r="G488" s="645" t="n"/>
      <c r="H488" s="1130" t="n"/>
      <c r="I488" s="1124" t="n"/>
      <c r="J488" s="778" t="n"/>
      <c r="K488" s="872">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08" t="n"/>
      <c r="D489" s="657" t="n"/>
      <c r="E489" s="1130" t="n"/>
      <c r="F489" s="1124" t="n"/>
      <c r="G489" s="645" t="n"/>
      <c r="H489" s="1130" t="n"/>
      <c r="I489" s="1124" t="n"/>
      <c r="J489" s="778" t="n"/>
      <c r="K489" s="872">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08" t="n"/>
      <c r="D490" s="657" t="n"/>
      <c r="E490" s="1130" t="n"/>
      <c r="F490" s="1124" t="n"/>
      <c r="G490" s="645" t="n"/>
      <c r="H490" s="1130" t="n"/>
      <c r="I490" s="1124" t="n"/>
      <c r="J490" s="778" t="n"/>
      <c r="K490" s="872">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08" t="n"/>
      <c r="D491" s="657" t="n"/>
      <c r="E491" s="1130" t="n"/>
      <c r="F491" s="1124" t="n"/>
      <c r="G491" s="645" t="n"/>
      <c r="H491" s="1130" t="n"/>
      <c r="I491" s="1124" t="n"/>
      <c r="J491" s="778" t="n"/>
      <c r="K491" s="872">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08" t="n"/>
      <c r="D492" s="657" t="n"/>
      <c r="E492" s="1130" t="n"/>
      <c r="F492" s="1124" t="n"/>
      <c r="G492" s="645" t="n"/>
      <c r="H492" s="1130" t="n"/>
      <c r="I492" s="1124" t="n"/>
      <c r="J492" s="778" t="n"/>
      <c r="K492" s="872">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08" t="n"/>
      <c r="D493" s="657" t="n"/>
      <c r="E493" s="1130" t="n"/>
      <c r="F493" s="1124" t="n"/>
      <c r="G493" s="645" t="n"/>
      <c r="H493" s="1130" t="n"/>
      <c r="I493" s="1124" t="n"/>
      <c r="J493" s="778" t="n"/>
      <c r="K493" s="872">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08" t="n"/>
      <c r="D494" s="657" t="n"/>
      <c r="E494" s="1130" t="n"/>
      <c r="F494" s="1124" t="n"/>
      <c r="G494" s="645" t="n"/>
      <c r="H494" s="1130" t="n"/>
      <c r="I494" s="1124" t="n"/>
      <c r="J494" s="778" t="n"/>
      <c r="K494" s="872">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08" t="n"/>
      <c r="D495" s="657" t="n"/>
      <c r="E495" s="1130" t="n"/>
      <c r="F495" s="1124" t="n"/>
      <c r="G495" s="645" t="n"/>
      <c r="H495" s="1130" t="n"/>
      <c r="I495" s="1124" t="n"/>
      <c r="J495" s="778" t="n"/>
      <c r="K495" s="872">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08" t="n"/>
      <c r="D496" s="657" t="n"/>
      <c r="E496" s="1130" t="n"/>
      <c r="F496" s="1124" t="n"/>
      <c r="G496" s="645" t="n"/>
      <c r="H496" s="1130" t="n"/>
      <c r="I496" s="1124" t="n"/>
      <c r="J496" s="778" t="n"/>
      <c r="K496" s="872">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08" t="n"/>
      <c r="D497" s="657" t="n"/>
      <c r="E497" s="1130" t="n"/>
      <c r="F497" s="1124" t="n"/>
      <c r="G497" s="645" t="n"/>
      <c r="H497" s="1130" t="n"/>
      <c r="I497" s="1124" t="n"/>
      <c r="J497" s="778" t="n"/>
      <c r="K497" s="872">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08" t="n"/>
      <c r="D498" s="657" t="n"/>
      <c r="E498" s="1130" t="n"/>
      <c r="F498" s="1124" t="n"/>
      <c r="G498" s="645" t="n"/>
      <c r="H498" s="1130" t="n"/>
      <c r="I498" s="1124" t="n"/>
      <c r="J498" s="778" t="n"/>
      <c r="K498" s="872">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08" t="n"/>
      <c r="D499" s="657" t="n"/>
      <c r="E499" s="1130" t="n"/>
      <c r="F499" s="1124" t="n"/>
      <c r="G499" s="645" t="n"/>
      <c r="H499" s="1130" t="n"/>
      <c r="I499" s="1124" t="n"/>
      <c r="J499" s="778" t="n"/>
      <c r="K499" s="872">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08" t="n"/>
      <c r="D500" s="657" t="n"/>
      <c r="E500" s="1130" t="n"/>
      <c r="F500" s="1124" t="n"/>
      <c r="G500" s="645" t="n"/>
      <c r="H500" s="1130" t="n"/>
      <c r="I500" s="1124" t="n"/>
      <c r="J500" s="778" t="n"/>
      <c r="K500" s="872">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08" t="n"/>
      <c r="D501" s="657" t="n"/>
      <c r="E501" s="1130" t="n"/>
      <c r="F501" s="1124" t="n"/>
      <c r="G501" s="645" t="n"/>
      <c r="H501" s="1130" t="n"/>
      <c r="I501" s="1124" t="n"/>
      <c r="J501" s="778" t="n"/>
      <c r="K501" s="872">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08" t="n"/>
      <c r="D502" s="657" t="n"/>
      <c r="E502" s="1130" t="n"/>
      <c r="F502" s="1124" t="n"/>
      <c r="G502" s="645" t="n"/>
      <c r="H502" s="1130" t="n"/>
      <c r="I502" s="1124" t="n"/>
      <c r="J502" s="778" t="n"/>
      <c r="K502" s="872">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08" t="n"/>
      <c r="D503" s="657" t="n"/>
      <c r="E503" s="1130" t="n"/>
      <c r="F503" s="1124" t="n"/>
      <c r="G503" s="645" t="n"/>
      <c r="H503" s="1130" t="n"/>
      <c r="I503" s="1124" t="n"/>
      <c r="J503" s="778" t="n"/>
      <c r="K503" s="872">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08" t="n"/>
      <c r="D504" s="657" t="n"/>
      <c r="E504" s="1130" t="n"/>
      <c r="F504" s="1124" t="n"/>
      <c r="G504" s="645" t="n"/>
      <c r="H504" s="1130" t="n"/>
      <c r="I504" s="1124" t="n"/>
      <c r="J504" s="778" t="n"/>
      <c r="K504" s="872">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08" t="n"/>
      <c r="D505" s="657" t="n"/>
      <c r="E505" s="1130" t="n"/>
      <c r="F505" s="1124" t="n"/>
      <c r="G505" s="645" t="n"/>
      <c r="H505" s="1130" t="n"/>
      <c r="I505" s="1124" t="n"/>
      <c r="J505" s="778" t="n"/>
      <c r="K505" s="872">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08" t="n"/>
      <c r="D506" s="657" t="n"/>
      <c r="E506" s="1130" t="n"/>
      <c r="F506" s="1124" t="n"/>
      <c r="G506" s="645" t="n"/>
      <c r="H506" s="1130" t="n"/>
      <c r="I506" s="1124" t="n"/>
      <c r="J506" s="778" t="n"/>
      <c r="K506" s="872">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08" t="n"/>
      <c r="D507" s="657" t="n"/>
      <c r="E507" s="1130" t="n"/>
      <c r="F507" s="1124" t="n"/>
      <c r="G507" s="645" t="n"/>
      <c r="H507" s="1130" t="n"/>
      <c r="I507" s="1124" t="n"/>
      <c r="J507" s="778" t="n"/>
      <c r="K507" s="872">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08" t="n"/>
      <c r="D508" s="657" t="n"/>
      <c r="E508" s="1130" t="n"/>
      <c r="F508" s="1124" t="n"/>
      <c r="G508" s="645" t="n"/>
      <c r="H508" s="1130" t="n"/>
      <c r="I508" s="1124" t="n"/>
      <c r="J508" s="778" t="n"/>
      <c r="K508" s="872">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08" t="n"/>
      <c r="D509" s="657" t="n"/>
      <c r="E509" s="1130" t="n"/>
      <c r="F509" s="1124" t="n"/>
      <c r="G509" s="645" t="n"/>
      <c r="H509" s="1130" t="n"/>
      <c r="I509" s="1124" t="n"/>
      <c r="J509" s="778" t="n"/>
      <c r="K509" s="872">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08" t="n"/>
      <c r="D510" s="657" t="n"/>
      <c r="E510" s="1130" t="n"/>
      <c r="F510" s="1124" t="n"/>
      <c r="G510" s="645" t="n"/>
      <c r="H510" s="1130" t="n"/>
      <c r="I510" s="1124" t="n"/>
      <c r="J510" s="778" t="n"/>
      <c r="K510" s="872">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08" t="n"/>
      <c r="D511" s="657" t="n"/>
      <c r="E511" s="1130" t="n"/>
      <c r="F511" s="1124" t="n"/>
      <c r="G511" s="645" t="n"/>
      <c r="H511" s="1130" t="n"/>
      <c r="I511" s="1124" t="n"/>
      <c r="J511" s="778" t="n"/>
      <c r="K511" s="872">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08" t="n"/>
      <c r="D512" s="657" t="n"/>
      <c r="E512" s="1130" t="n"/>
      <c r="F512" s="1124" t="n"/>
      <c r="G512" s="645" t="n"/>
      <c r="H512" s="1130" t="n"/>
      <c r="I512" s="1124" t="n"/>
      <c r="J512" s="778" t="n"/>
      <c r="K512" s="872">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08" t="n"/>
      <c r="D513" s="657" t="n"/>
      <c r="E513" s="1130" t="n"/>
      <c r="F513" s="1124" t="n"/>
      <c r="G513" s="645" t="n"/>
      <c r="H513" s="1130" t="n"/>
      <c r="I513" s="1124" t="n"/>
      <c r="J513" s="778" t="n"/>
      <c r="K513" s="872">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08" t="n"/>
      <c r="D514" s="657" t="n"/>
      <c r="E514" s="1130" t="n"/>
      <c r="F514" s="1124" t="n"/>
      <c r="G514" s="645" t="n"/>
      <c r="H514" s="1130" t="n"/>
      <c r="I514" s="1124" t="n"/>
      <c r="J514" s="778" t="n"/>
      <c r="K514" s="872">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08" t="n"/>
      <c r="D515" s="657" t="n"/>
      <c r="E515" s="1130" t="n"/>
      <c r="F515" s="1124" t="n"/>
      <c r="G515" s="645" t="n"/>
      <c r="H515" s="1130" t="n"/>
      <c r="I515" s="1124" t="n"/>
      <c r="J515" s="778" t="n"/>
      <c r="K515" s="872">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08" t="n"/>
      <c r="D516" s="657" t="n"/>
      <c r="E516" s="1130" t="n"/>
      <c r="F516" s="1124" t="n"/>
      <c r="G516" s="645" t="n"/>
      <c r="H516" s="1130" t="n"/>
      <c r="I516" s="1124" t="n"/>
      <c r="J516" s="778" t="n"/>
      <c r="K516" s="872">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08" t="n"/>
      <c r="D517" s="657" t="n"/>
      <c r="E517" s="1130" t="n"/>
      <c r="F517" s="1124" t="n"/>
      <c r="G517" s="645" t="n"/>
      <c r="H517" s="1130" t="n"/>
      <c r="I517" s="1124" t="n"/>
      <c r="J517" s="778" t="n"/>
      <c r="K517" s="872">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08" t="n"/>
      <c r="D518" s="657" t="n"/>
      <c r="E518" s="1130" t="n"/>
      <c r="F518" s="1124" t="n"/>
      <c r="G518" s="645" t="n"/>
      <c r="H518" s="1130" t="n"/>
      <c r="I518" s="1124" t="n"/>
      <c r="J518" s="778" t="n"/>
      <c r="K518" s="872">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08" t="n"/>
      <c r="D519" s="657" t="n"/>
      <c r="E519" s="1130" t="n"/>
      <c r="F519" s="1124" t="n"/>
      <c r="G519" s="645" t="n"/>
      <c r="H519" s="1130" t="n"/>
      <c r="I519" s="1124" t="n"/>
      <c r="J519" s="778" t="n"/>
      <c r="K519" s="872">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08" t="n"/>
      <c r="D520" s="657" t="n"/>
      <c r="E520" s="1130" t="n"/>
      <c r="F520" s="1124" t="n"/>
      <c r="G520" s="645" t="n"/>
      <c r="H520" s="1130" t="n"/>
      <c r="I520" s="1124" t="n"/>
      <c r="J520" s="778" t="n"/>
      <c r="K520" s="872">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08" t="n"/>
      <c r="D521" s="657" t="n"/>
      <c r="E521" s="1130" t="n"/>
      <c r="F521" s="1124" t="n"/>
      <c r="G521" s="645" t="n"/>
      <c r="H521" s="1130" t="n"/>
      <c r="I521" s="1124" t="n"/>
      <c r="J521" s="778" t="n"/>
      <c r="K521" s="872">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08" t="n"/>
      <c r="D522" s="657" t="n"/>
      <c r="E522" s="1130" t="n"/>
      <c r="F522" s="1124" t="n"/>
      <c r="G522" s="645" t="n"/>
      <c r="H522" s="1130" t="n"/>
      <c r="I522" s="1124" t="n"/>
      <c r="J522" s="778" t="n"/>
      <c r="K522" s="872">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08" t="n"/>
      <c r="D523" s="657" t="n"/>
      <c r="E523" s="1130" t="n"/>
      <c r="F523" s="1124" t="n"/>
      <c r="G523" s="645" t="n"/>
      <c r="H523" s="1130" t="n"/>
      <c r="I523" s="1124" t="n"/>
      <c r="J523" s="778" t="n"/>
      <c r="K523" s="872">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08" t="n"/>
      <c r="D524" s="657" t="n"/>
      <c r="E524" s="1130" t="n"/>
      <c r="F524" s="1124" t="n"/>
      <c r="G524" s="645" t="n"/>
      <c r="H524" s="1130" t="n"/>
      <c r="I524" s="1124" t="n"/>
      <c r="J524" s="778" t="n"/>
      <c r="K524" s="872">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08" t="n"/>
      <c r="D525" s="657" t="n"/>
      <c r="E525" s="1130" t="n"/>
      <c r="F525" s="1124" t="n"/>
      <c r="G525" s="645" t="n"/>
      <c r="H525" s="1130" t="n"/>
      <c r="I525" s="1124" t="n"/>
      <c r="J525" s="778" t="n"/>
      <c r="K525" s="872">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08" t="n"/>
      <c r="D526" s="657" t="n"/>
      <c r="E526" s="1130" t="n"/>
      <c r="F526" s="1124" t="n"/>
      <c r="G526" s="645" t="n"/>
      <c r="H526" s="1130" t="n"/>
      <c r="I526" s="1124" t="n"/>
      <c r="J526" s="778" t="n"/>
      <c r="K526" s="872">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08" t="n"/>
      <c r="D527" s="657" t="n"/>
      <c r="E527" s="1130" t="n"/>
      <c r="F527" s="1124" t="n"/>
      <c r="G527" s="645" t="n"/>
      <c r="H527" s="1130" t="n"/>
      <c r="I527" s="1124" t="n"/>
      <c r="J527" s="778" t="n"/>
      <c r="K527" s="872">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08" t="n"/>
      <c r="D528" s="657" t="n"/>
      <c r="E528" s="1130" t="n"/>
      <c r="F528" s="1124" t="n"/>
      <c r="G528" s="645" t="n"/>
      <c r="H528" s="1130" t="n"/>
      <c r="I528" s="1124" t="n"/>
      <c r="J528" s="778" t="n"/>
      <c r="K528" s="872">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08" t="n"/>
      <c r="D529" s="657" t="n"/>
      <c r="E529" s="1130" t="n"/>
      <c r="F529" s="1124" t="n"/>
      <c r="G529" s="645" t="n"/>
      <c r="H529" s="1130" t="n"/>
      <c r="I529" s="1124" t="n"/>
      <c r="J529" s="778" t="n"/>
      <c r="K529" s="872">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08" t="n"/>
      <c r="D530" s="657" t="n"/>
      <c r="E530" s="1130" t="n"/>
      <c r="F530" s="1124" t="n"/>
      <c r="G530" s="645" t="n"/>
      <c r="H530" s="1130" t="n"/>
      <c r="I530" s="1124" t="n"/>
      <c r="J530" s="778" t="n"/>
      <c r="K530" s="872">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08" t="n"/>
      <c r="D531" s="657" t="n"/>
      <c r="E531" s="1130" t="n"/>
      <c r="F531" s="1124" t="n"/>
      <c r="G531" s="645" t="n"/>
      <c r="H531" s="1130" t="n"/>
      <c r="I531" s="1124" t="n"/>
      <c r="J531" s="778" t="n"/>
      <c r="K531" s="872">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08" t="n"/>
      <c r="D532" s="657" t="n"/>
      <c r="E532" s="1130" t="n"/>
      <c r="F532" s="1124" t="n"/>
      <c r="G532" s="645" t="n"/>
      <c r="H532" s="1130" t="n"/>
      <c r="I532" s="1124" t="n"/>
      <c r="J532" s="778" t="n"/>
      <c r="K532" s="872">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08" t="n"/>
      <c r="D533" s="657" t="n"/>
      <c r="E533" s="1130" t="n"/>
      <c r="F533" s="1124" t="n"/>
      <c r="G533" s="645" t="n"/>
      <c r="H533" s="1130" t="n"/>
      <c r="I533" s="1124" t="n"/>
      <c r="J533" s="778" t="n"/>
      <c r="K533" s="872">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08" t="n"/>
      <c r="D534" s="657" t="n"/>
      <c r="E534" s="1130" t="n"/>
      <c r="F534" s="1124" t="n"/>
      <c r="G534" s="645" t="n"/>
      <c r="H534" s="1130" t="n"/>
      <c r="I534" s="1124" t="n"/>
      <c r="J534" s="778" t="n"/>
      <c r="K534" s="872">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757">
        <f>template_label_total_annual_mass_flow_of_relevant_materials_used_mass</f>
        <v/>
      </c>
      <c r="D535" s="1106" t="n"/>
      <c r="E535" s="1106" t="n"/>
      <c r="F535" s="199" t="n"/>
      <c r="G535" s="772" t="n"/>
      <c r="H535" s="1106" t="n"/>
      <c r="I535" s="199" t="n"/>
      <c r="J535" s="128" t="n"/>
    </row>
    <row r="536" ht="15" customHeight="1" thickBot="1">
      <c r="C536" s="706">
        <f>template_label_total_annual_mass_flow_of_relevant_materials_used_volume</f>
        <v/>
      </c>
      <c r="D536" s="1140" t="n"/>
      <c r="E536" s="1140" t="n"/>
      <c r="F536" s="1125" t="n"/>
      <c r="G536" s="671" t="n"/>
      <c r="H536" s="1140" t="n"/>
      <c r="I536" s="1125" t="n"/>
      <c r="J536" s="126" t="n"/>
      <c r="K536" s="872" t="n"/>
    </row>
    <row r="537" ht="15" customHeight="1" thickBot="1"/>
    <row r="538" ht="15" customHeight="1" thickBot="1">
      <c r="C538" s="760">
        <f>template_label_c4_climate_risks&amp;" "&amp;template_label_from&amp;" "&amp;template_starting_date_display&amp;" "&amp;template_label_to&amp;" "&amp;template_ending_date_display&amp;" "&amp;template_label_if_applicable</f>
        <v/>
      </c>
      <c r="D538" s="1120" t="n"/>
      <c r="E538" s="1120" t="n"/>
      <c r="F538" s="1120" t="n"/>
      <c r="G538" s="1120" t="n"/>
      <c r="H538" s="1120" t="n"/>
      <c r="I538" s="1120" t="n"/>
      <c r="J538" s="1120" t="n"/>
      <c r="K538" s="1121" t="n"/>
    </row>
    <row r="539" ht="39.6" customHeight="1">
      <c r="C539" s="766">
        <f>template_label_has_the_undertaking_identified_climate_related_hazards_and_climate_related_transition_events</f>
        <v/>
      </c>
      <c r="D539" s="198" t="n"/>
      <c r="E539" s="768" t="b">
        <v>1</v>
      </c>
      <c r="F539" s="1136" t="n"/>
      <c r="G539" s="1136" t="n"/>
      <c r="H539" s="1136" t="n"/>
      <c r="I539" s="1136" t="n"/>
      <c r="J539" s="1136" t="n"/>
      <c r="K539" s="1122" t="n"/>
    </row>
    <row r="540">
      <c r="A540" s="551" t="inlineStr">
        <is>
          <t>57(a)</t>
        </is>
      </c>
      <c r="B540" s="559" t="inlineStr">
        <is>
          <t>164-166</t>
        </is>
      </c>
      <c r="C540" s="603">
        <f>template_label_description_of_climate_related_hazards_and_climate_related_transition_events</f>
        <v/>
      </c>
      <c r="D540" s="199" t="n"/>
      <c r="E540" s="763" t="inlineStr">
        <is>
          <t>Lorem ipsum dolor sit amet, consectetur adipiscing elit, sed do eiusmod tempor incididunt ut labore et dolore magna aliqua. 
Ut enim ad minim veniam, quis nostrud exercitation ullamco laboris nisi ut aliquip ex ea commodo consequat.</t>
        </is>
      </c>
      <c r="F540" s="1130" t="n"/>
      <c r="G540" s="1130" t="n"/>
      <c r="H540" s="1130" t="n"/>
      <c r="I540" s="1130" t="n"/>
      <c r="J540" s="1130" t="n"/>
      <c r="K540" s="1124" t="n"/>
      <c r="L540" s="518">
        <f>IF(AND($E$539=TRUE,E540&lt;&gt;""),
    template_label_ok,
    IF(AND($E$539=TRUE,G540=""),
        template_label_missing_value,
        ""
    )
)</f>
        <v/>
      </c>
    </row>
    <row r="541">
      <c r="A541" s="551" t="inlineStr">
        <is>
          <t>57(b)</t>
        </is>
      </c>
      <c r="B541" s="559" t="inlineStr">
        <is>
          <t>164-166</t>
        </is>
      </c>
      <c r="C541" s="603">
        <f>template_label_disclosure_of_how_it_has_assessed_the_exposure_and_sensitivity_of_its_assets</f>
        <v/>
      </c>
      <c r="D541" s="199" t="n"/>
      <c r="E541" s="763" t="inlineStr">
        <is>
          <t>Lorem ipsum dolor sit amet, consectetur adipiscing elit, sed do eiusmod tempor incididunt ut labore et dolore magna aliqua. 
Ut enim ad minim veniam, quis nostrud exercitation ullamco laboris nisi ut aliquip ex ea commodo consequat.</t>
        </is>
      </c>
      <c r="F541" s="1130" t="n"/>
      <c r="G541" s="1130" t="n"/>
      <c r="H541" s="1130" t="n"/>
      <c r="I541" s="1130" t="n"/>
      <c r="J541" s="1130" t="n"/>
      <c r="K541" s="1124" t="n"/>
      <c r="L541" s="518">
        <f>IF(AND($E$539=TRUE,E541&lt;&gt;""),
    template_label_ok,
    IF(AND($E$539=TRUE,G541=""),
        template_label_missing_value,
        ""
    )
)</f>
        <v/>
      </c>
    </row>
    <row r="542">
      <c r="A542" s="551" t="inlineStr">
        <is>
          <t>57(c)</t>
        </is>
      </c>
      <c r="B542" s="559" t="inlineStr">
        <is>
          <t>164-166</t>
        </is>
      </c>
      <c r="C542" s="603">
        <f>template_label_time_horizons_of_any_climate_related_hazards_and_transition_events_identified</f>
        <v/>
      </c>
      <c r="D542" s="199" t="n"/>
      <c r="E542" s="763" t="inlineStr">
        <is>
          <t>Lorem ipsum dolor sit amet, consectetur adipiscing elit, sed do eiusmod tempor incididunt ut labore et dolore magna aliqua. 
Ut enim ad minim veniam, quis nostrud exercitation ullamco laboris nisi ut aliquip ex ea commodo consequat.</t>
        </is>
      </c>
      <c r="F542" s="1130" t="n"/>
      <c r="G542" s="1130" t="n"/>
      <c r="H542" s="1130" t="n"/>
      <c r="I542" s="1130" t="n"/>
      <c r="J542" s="1130" t="n"/>
      <c r="K542" s="1124" t="n"/>
      <c r="L542" s="518">
        <f>IF(AND($E$539=TRUE,E542&lt;&gt;""),
    template_label_ok,
    IF(AND($E$539=TRUE,G542=""),
        template_label_missing_value,
        ""
    )
)</f>
        <v/>
      </c>
    </row>
    <row r="543" ht="27" customHeight="1">
      <c r="A543" s="551" t="inlineStr">
        <is>
          <t>57(d)</t>
        </is>
      </c>
      <c r="B543" s="559" t="inlineStr">
        <is>
          <t>164-166</t>
        </is>
      </c>
      <c r="C543" s="603">
        <f>template_label_disclosure_of_whether_it_has_undertaken_climate_change_adaptation_actions</f>
        <v/>
      </c>
      <c r="D543" s="199" t="n"/>
      <c r="E543" s="759" t="inlineStr">
        <is>
          <t>NO</t>
        </is>
      </c>
      <c r="F543" s="1130" t="n"/>
      <c r="G543" s="1130" t="n"/>
      <c r="H543" s="1130" t="n"/>
      <c r="I543" s="1130" t="n"/>
      <c r="J543" s="1130" t="n"/>
      <c r="K543" s="1124" t="n"/>
      <c r="L543" s="518">
        <f>IF(AND($E$539=TRUE,E543&lt;&gt;""),
    template_label_ok,
    IF(AND($E$539=TRUE,G543=""),
        template_label_missing_value,
        ""
    )
)</f>
        <v/>
      </c>
    </row>
    <row r="544" ht="29.4" customHeight="1" thickBot="1">
      <c r="A544" s="551" t="n">
        <v>58</v>
      </c>
      <c r="B544" s="559" t="inlineStr">
        <is>
          <t>164-166</t>
        </is>
      </c>
      <c r="C544" s="579">
        <f>template_label_potential_adverse_effects_of_climate_risks &amp; " - " &amp; template_label_may_not_headline</f>
        <v/>
      </c>
      <c r="D544" s="1125" t="n"/>
      <c r="E544" s="765" t="n"/>
      <c r="F544" s="1132" t="n"/>
      <c r="G544" s="1132" t="n"/>
      <c r="H544" s="1132" t="n"/>
      <c r="I544" s="1132" t="n"/>
      <c r="J544" s="1132" t="n"/>
      <c r="K544" s="1123" t="n"/>
      <c r="L544" s="518">
        <f>IF(AND($E$539=TRUE,E544&lt;&gt;""),
    template_label_ok,
    ""
)</f>
        <v/>
      </c>
    </row>
    <row r="545" ht="15" customHeight="1" thickBot="1"/>
    <row r="546" ht="15" customHeight="1" thickBot="1">
      <c r="C546" s="570">
        <f>template_label_disclosure_of_any_other_environmental_and_or_entity_specific_environmental_disclosures&amp;" "&amp;template_label_from&amp;" "&amp;template_starting_date_display&amp;" "&amp;template_label_to&amp;" "&amp;template_ending_date_display&amp;" " &amp; template_label_may</f>
        <v/>
      </c>
      <c r="D546" s="1120" t="n"/>
      <c r="E546" s="1120" t="n"/>
      <c r="F546" s="1120" t="n"/>
      <c r="G546" s="1120" t="n"/>
      <c r="H546" s="1120" t="n"/>
      <c r="I546" s="1120" t="n"/>
      <c r="J546" s="1120" t="n"/>
      <c r="K546" s="1120" t="n"/>
      <c r="L546" s="1121" t="n"/>
    </row>
    <row r="547">
      <c r="C547" s="553" t="n">
        <v>10</v>
      </c>
      <c r="D547" s="508" t="n"/>
      <c r="E547" s="508" t="n"/>
      <c r="F547" s="508" t="n"/>
      <c r="G547" s="508" t="n"/>
      <c r="H547" s="508" t="n"/>
      <c r="I547" s="508" t="n"/>
      <c r="J547" s="508" t="n"/>
      <c r="K547" s="508" t="n"/>
      <c r="L547" s="198" t="n"/>
    </row>
    <row r="548" ht="15" customHeight="1" thickBot="1">
      <c r="C548" s="564" t="n"/>
      <c r="D548" s="1132" t="n"/>
      <c r="E548" s="1132" t="n"/>
      <c r="F548" s="1132" t="n"/>
      <c r="G548" s="1132" t="n"/>
      <c r="H548" s="1132" t="n"/>
      <c r="I548" s="1132" t="n"/>
      <c r="J548" s="1132" t="n"/>
      <c r="K548" s="1132" t="n"/>
      <c r="L548" s="1123" t="n"/>
      <c r="M548" s="518">
        <f>IF(C548&lt;&gt;"", template_label_ok, "")</f>
        <v/>
      </c>
    </row>
  </sheetData>
  <mergeCells count="1016">
    <mergeCell ref="G125:I125"/>
    <mergeCell ref="D195:F195"/>
    <mergeCell ref="D189:F189"/>
    <mergeCell ref="G112:I112"/>
    <mergeCell ref="D456:F456"/>
    <mergeCell ref="D493:F493"/>
    <mergeCell ref="D287:F287"/>
    <mergeCell ref="D116:F116"/>
    <mergeCell ref="G348:I348"/>
    <mergeCell ref="D414:F414"/>
    <mergeCell ref="D352:F352"/>
    <mergeCell ref="D474:F474"/>
    <mergeCell ref="B59:B62"/>
    <mergeCell ref="G433:J433"/>
    <mergeCell ref="G323:I323"/>
    <mergeCell ref="G127:I127"/>
    <mergeCell ref="D197:F197"/>
    <mergeCell ref="D253:F253"/>
    <mergeCell ref="D351:F351"/>
    <mergeCell ref="D47:F47"/>
    <mergeCell ref="G412:I412"/>
    <mergeCell ref="D482:F482"/>
    <mergeCell ref="D416:F416"/>
    <mergeCell ref="D264:F264"/>
    <mergeCell ref="C302:D302"/>
    <mergeCell ref="G250:I250"/>
    <mergeCell ref="G201:I201"/>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D233:F233"/>
    <mergeCell ref="D208:F208"/>
    <mergeCell ref="C185:K185"/>
    <mergeCell ref="C320:L320"/>
    <mergeCell ref="C423:C428"/>
    <mergeCell ref="D469:F469"/>
    <mergeCell ref="D419:F419"/>
    <mergeCell ref="D219:F219"/>
    <mergeCell ref="D275:F275"/>
    <mergeCell ref="D406:F406"/>
    <mergeCell ref="D533:F533"/>
    <mergeCell ref="C17:F17"/>
    <mergeCell ref="D41:F41"/>
    <mergeCell ref="D277:F277"/>
    <mergeCell ref="D470:F470"/>
    <mergeCell ref="C431:J431"/>
    <mergeCell ref="E303:F303"/>
    <mergeCell ref="G196:I196"/>
    <mergeCell ref="G367:I367"/>
    <mergeCell ref="D371:F371"/>
    <mergeCell ref="C19:F19"/>
    <mergeCell ref="G354:I354"/>
    <mergeCell ref="D214:F214"/>
    <mergeCell ref="D43:F43"/>
    <mergeCell ref="G419:I419"/>
    <mergeCell ref="G133:I133"/>
    <mergeCell ref="D259:F259"/>
    <mergeCell ref="D137:F137"/>
    <mergeCell ref="G369:I369"/>
    <mergeCell ref="D501:F501"/>
    <mergeCell ref="G225:I225"/>
    <mergeCell ref="D495:F495"/>
    <mergeCell ref="G418:I418"/>
    <mergeCell ref="G356:I356"/>
    <mergeCell ref="D422:F422"/>
    <mergeCell ref="G527:I527"/>
    <mergeCell ref="G368:I368"/>
    <mergeCell ref="D130:F130"/>
    <mergeCell ref="G135:I135"/>
    <mergeCell ref="D201:F201"/>
    <mergeCell ref="D372:F372"/>
    <mergeCell ref="D117:F117"/>
    <mergeCell ref="C14:F14"/>
    <mergeCell ref="D188:F188"/>
    <mergeCell ref="G349:I349"/>
    <mergeCell ref="G420:I420"/>
    <mergeCell ref="D353:F353"/>
    <mergeCell ref="D524:F524"/>
    <mergeCell ref="D424:F424"/>
    <mergeCell ref="G525:I525"/>
    <mergeCell ref="G227:I227"/>
    <mergeCell ref="D132:F132"/>
    <mergeCell ref="G226:I226"/>
    <mergeCell ref="G364:I364"/>
    <mergeCell ref="C542:D542"/>
    <mergeCell ref="G164:I164"/>
    <mergeCell ref="D496:F496"/>
    <mergeCell ref="D361:F361"/>
    <mergeCell ref="D417:F417"/>
    <mergeCell ref="D62:K62"/>
    <mergeCell ref="H317:I317"/>
    <mergeCell ref="D498:F498"/>
    <mergeCell ref="C544:D544"/>
    <mergeCell ref="D354:F354"/>
    <mergeCell ref="G251:I251"/>
    <mergeCell ref="G17:I17"/>
    <mergeCell ref="D356:F356"/>
    <mergeCell ref="D21:F21"/>
    <mergeCell ref="G253:I253"/>
    <mergeCell ref="G82:I82"/>
    <mergeCell ref="C76:F76"/>
    <mergeCell ref="D60:H60"/>
    <mergeCell ref="C183:K183"/>
    <mergeCell ref="G19:I19"/>
    <mergeCell ref="G342:I342"/>
    <mergeCell ref="D145:F145"/>
    <mergeCell ref="G146:I146"/>
    <mergeCell ref="D272:F272"/>
    <mergeCell ref="D443:F443"/>
    <mergeCell ref="D210:F210"/>
    <mergeCell ref="D381:F381"/>
    <mergeCell ref="D514:F514"/>
    <mergeCell ref="C547:L547"/>
    <mergeCell ref="G83:I83"/>
    <mergeCell ref="D283:F283"/>
    <mergeCell ref="D87:F87"/>
    <mergeCell ref="G344:I344"/>
    <mergeCell ref="G515:I515"/>
    <mergeCell ref="D519:F519"/>
    <mergeCell ref="D274:F274"/>
    <mergeCell ref="D245:F245"/>
    <mergeCell ref="C51:K51"/>
    <mergeCell ref="D516:F516"/>
    <mergeCell ref="D122:F122"/>
    <mergeCell ref="G123:I123"/>
    <mergeCell ref="D193:F193"/>
    <mergeCell ref="D224:F224"/>
    <mergeCell ref="D491:F491"/>
    <mergeCell ref="G110:I110"/>
    <mergeCell ref="D347:F347"/>
    <mergeCell ref="D18:F18"/>
    <mergeCell ref="D285:F285"/>
    <mergeCell ref="E543:K543"/>
    <mergeCell ref="G66:K66"/>
    <mergeCell ref="G10:K10"/>
    <mergeCell ref="G408:I408"/>
    <mergeCell ref="A55:B55"/>
    <mergeCell ref="G423:I423"/>
    <mergeCell ref="G74:K74"/>
    <mergeCell ref="D349:F349"/>
    <mergeCell ref="D82:F82"/>
    <mergeCell ref="G68:K68"/>
    <mergeCell ref="G410:I410"/>
    <mergeCell ref="E304:F304"/>
    <mergeCell ref="G439:I439"/>
    <mergeCell ref="G531:I531"/>
    <mergeCell ref="G5:K5"/>
    <mergeCell ref="G12:I12"/>
    <mergeCell ref="D138:F138"/>
    <mergeCell ref="G370:I370"/>
    <mergeCell ref="G441:I441"/>
    <mergeCell ref="D374:F374"/>
    <mergeCell ref="G497:I497"/>
    <mergeCell ref="G435:I435"/>
    <mergeCell ref="G533:I533"/>
    <mergeCell ref="E540:K540"/>
    <mergeCell ref="G136:I136"/>
    <mergeCell ref="G241:I241"/>
    <mergeCell ref="D140:F140"/>
    <mergeCell ref="G434:I434"/>
    <mergeCell ref="D438:F438"/>
    <mergeCell ref="G228:I228"/>
    <mergeCell ref="G470:I470"/>
    <mergeCell ref="G355:I355"/>
    <mergeCell ref="D425:F425"/>
    <mergeCell ref="D229:F229"/>
    <mergeCell ref="D317:G317"/>
    <mergeCell ref="D204:F204"/>
    <mergeCell ref="C543:D543"/>
    <mergeCell ref="G436:I436"/>
    <mergeCell ref="D198:F198"/>
    <mergeCell ref="G243:I243"/>
    <mergeCell ref="D440:F440"/>
    <mergeCell ref="D369:F369"/>
    <mergeCell ref="D296:F296"/>
    <mergeCell ref="D375:F375"/>
    <mergeCell ref="D489:F489"/>
    <mergeCell ref="G528:I528"/>
    <mergeCell ref="D427:F427"/>
    <mergeCell ref="D141:F141"/>
    <mergeCell ref="D135:F135"/>
    <mergeCell ref="D377:F377"/>
    <mergeCell ref="D206:F206"/>
    <mergeCell ref="D504:F504"/>
    <mergeCell ref="G465:I465"/>
    <mergeCell ref="D298:F298"/>
    <mergeCell ref="G388:I388"/>
    <mergeCell ref="G231:I231"/>
    <mergeCell ref="D235:F235"/>
    <mergeCell ref="G325:I325"/>
    <mergeCell ref="G154:I154"/>
    <mergeCell ref="D451:F451"/>
    <mergeCell ref="G246:I246"/>
    <mergeCell ref="G346:I346"/>
    <mergeCell ref="G91:I91"/>
    <mergeCell ref="G25:I25"/>
    <mergeCell ref="D24:F24"/>
    <mergeCell ref="J428:L428"/>
    <mergeCell ref="D322:F322"/>
    <mergeCell ref="G85:I85"/>
    <mergeCell ref="D260:F260"/>
    <mergeCell ref="D89:F89"/>
    <mergeCell ref="C72:K72"/>
    <mergeCell ref="D393:F393"/>
    <mergeCell ref="G383:I383"/>
    <mergeCell ref="G389:I389"/>
    <mergeCell ref="D453:F453"/>
    <mergeCell ref="C186:K186"/>
    <mergeCell ref="I60:K60"/>
    <mergeCell ref="G454:I454"/>
    <mergeCell ref="D88:F88"/>
    <mergeCell ref="G198:I198"/>
    <mergeCell ref="D26:F26"/>
    <mergeCell ref="G149:I149"/>
    <mergeCell ref="D324:F324"/>
    <mergeCell ref="G247:I247"/>
    <mergeCell ref="D153:F153"/>
    <mergeCell ref="G385:I385"/>
    <mergeCell ref="D517:F517"/>
    <mergeCell ref="G483:I483"/>
    <mergeCell ref="G458:I458"/>
    <mergeCell ref="D261:F261"/>
    <mergeCell ref="D90:F90"/>
    <mergeCell ref="G151:I151"/>
    <mergeCell ref="D217:F217"/>
    <mergeCell ref="G178:I178"/>
    <mergeCell ref="G76:K76"/>
    <mergeCell ref="D388:F388"/>
    <mergeCell ref="G449:I449"/>
    <mergeCell ref="G126:I126"/>
    <mergeCell ref="G272:I272"/>
    <mergeCell ref="A59:A62"/>
    <mergeCell ref="D390:F390"/>
    <mergeCell ref="G38:I38"/>
    <mergeCell ref="G13:I13"/>
    <mergeCell ref="G249:I249"/>
    <mergeCell ref="D179:F179"/>
    <mergeCell ref="D446:F446"/>
    <mergeCell ref="G363:I363"/>
    <mergeCell ref="G534:I534"/>
    <mergeCell ref="D166:F166"/>
    <mergeCell ref="G338:I338"/>
    <mergeCell ref="D464:F464"/>
    <mergeCell ref="D402:F402"/>
    <mergeCell ref="D212:F212"/>
    <mergeCell ref="D439:F439"/>
    <mergeCell ref="A21:B26"/>
    <mergeCell ref="D510:F510"/>
    <mergeCell ref="G104:I104"/>
    <mergeCell ref="D37:F37"/>
    <mergeCell ref="D230:F230"/>
    <mergeCell ref="G536:I536"/>
    <mergeCell ref="D168:F168"/>
    <mergeCell ref="G340:I340"/>
    <mergeCell ref="G79:I79"/>
    <mergeCell ref="D466:F466"/>
    <mergeCell ref="D143:F143"/>
    <mergeCell ref="D441:F441"/>
    <mergeCell ref="D512:F512"/>
    <mergeCell ref="D506:F506"/>
    <mergeCell ref="D232:F232"/>
    <mergeCell ref="D530:F530"/>
    <mergeCell ref="G252:I252"/>
    <mergeCell ref="D256:F256"/>
    <mergeCell ref="D207:F207"/>
    <mergeCell ref="G173:I173"/>
    <mergeCell ref="G366:I366"/>
    <mergeCell ref="D370:F370"/>
    <mergeCell ref="D222:F222"/>
    <mergeCell ref="D532:F532"/>
    <mergeCell ref="D507:F507"/>
    <mergeCell ref="C430:J430"/>
    <mergeCell ref="C546:L546"/>
    <mergeCell ref="G155:I155"/>
    <mergeCell ref="G473:I473"/>
    <mergeCell ref="D159:F159"/>
    <mergeCell ref="D330:F330"/>
    <mergeCell ref="G391:I391"/>
    <mergeCell ref="D80:F80"/>
    <mergeCell ref="G518:I518"/>
    <mergeCell ref="G170:I170"/>
    <mergeCell ref="D96:F96"/>
    <mergeCell ref="G328:I328"/>
    <mergeCell ref="G157:I157"/>
    <mergeCell ref="G262:I262"/>
    <mergeCell ref="C4:K4"/>
    <mergeCell ref="G122:I122"/>
    <mergeCell ref="G455:I455"/>
    <mergeCell ref="D459:F459"/>
    <mergeCell ref="G504:I504"/>
    <mergeCell ref="G101:I101"/>
    <mergeCell ref="G172:I172"/>
    <mergeCell ref="G199:I199"/>
    <mergeCell ref="G28:I28"/>
    <mergeCell ref="G392:I392"/>
    <mergeCell ref="G326:I326"/>
    <mergeCell ref="D325:F325"/>
    <mergeCell ref="D225:F225"/>
    <mergeCell ref="D154:F154"/>
    <mergeCell ref="C539:D539"/>
    <mergeCell ref="D396:F396"/>
    <mergeCell ref="G386:I386"/>
    <mergeCell ref="D461:F461"/>
    <mergeCell ref="J423:L423"/>
    <mergeCell ref="G484:I484"/>
    <mergeCell ref="G457:I457"/>
    <mergeCell ref="C67:F67"/>
    <mergeCell ref="G263:I263"/>
    <mergeCell ref="G92:I92"/>
    <mergeCell ref="D91:F91"/>
    <mergeCell ref="G30:I30"/>
    <mergeCell ref="D162:F162"/>
    <mergeCell ref="G152:I152"/>
    <mergeCell ref="D327:F327"/>
    <mergeCell ref="D156:F156"/>
    <mergeCell ref="D227:F227"/>
    <mergeCell ref="D454:F454"/>
    <mergeCell ref="D460:F460"/>
    <mergeCell ref="G394:I394"/>
    <mergeCell ref="D398:F398"/>
    <mergeCell ref="D525:F525"/>
    <mergeCell ref="G486:I486"/>
    <mergeCell ref="D106:F106"/>
    <mergeCell ref="C69:F69"/>
    <mergeCell ref="D93:F93"/>
    <mergeCell ref="D220:F220"/>
    <mergeCell ref="D391:F391"/>
    <mergeCell ref="D157:F157"/>
    <mergeCell ref="D251:F251"/>
    <mergeCell ref="G41:I41"/>
    <mergeCell ref="D487:F487"/>
    <mergeCell ref="G277:I277"/>
    <mergeCell ref="D343:F343"/>
    <mergeCell ref="G106:I106"/>
    <mergeCell ref="G404:I404"/>
    <mergeCell ref="G81:I81"/>
    <mergeCell ref="G379:I379"/>
    <mergeCell ref="G105:I105"/>
    <mergeCell ref="G43:I43"/>
    <mergeCell ref="D280:F280"/>
    <mergeCell ref="D109:F109"/>
    <mergeCell ref="G341:I341"/>
    <mergeCell ref="D480:F480"/>
    <mergeCell ref="D345:F345"/>
    <mergeCell ref="G468:I468"/>
    <mergeCell ref="C291:F291"/>
    <mergeCell ref="G120:I120"/>
    <mergeCell ref="G145:I145"/>
    <mergeCell ref="G387:I387"/>
    <mergeCell ref="D246:F246"/>
    <mergeCell ref="D46:F46"/>
    <mergeCell ref="G381:I381"/>
    <mergeCell ref="D40:F40"/>
    <mergeCell ref="D282:F282"/>
    <mergeCell ref="D111:F111"/>
    <mergeCell ref="D338:F338"/>
    <mergeCell ref="C308:D308"/>
    <mergeCell ref="G405:I405"/>
    <mergeCell ref="D409:F409"/>
    <mergeCell ref="D257:F257"/>
    <mergeCell ref="D86:F86"/>
    <mergeCell ref="G147:I147"/>
    <mergeCell ref="G174:I174"/>
    <mergeCell ref="D444:F444"/>
    <mergeCell ref="D248:F248"/>
    <mergeCell ref="G245:I245"/>
    <mergeCell ref="D104:F104"/>
    <mergeCell ref="G445:I445"/>
    <mergeCell ref="G481:I481"/>
    <mergeCell ref="D340:F340"/>
    <mergeCell ref="G189:I189"/>
    <mergeCell ref="D150:F150"/>
    <mergeCell ref="D386:F386"/>
    <mergeCell ref="G34:I34"/>
    <mergeCell ref="C293:F293"/>
    <mergeCell ref="D485:F485"/>
    <mergeCell ref="G207:I207"/>
    <mergeCell ref="G334:I334"/>
    <mergeCell ref="G505:I505"/>
    <mergeCell ref="G269:I269"/>
    <mergeCell ref="G113:I113"/>
    <mergeCell ref="G200:I200"/>
    <mergeCell ref="D177:F177"/>
    <mergeCell ref="G271:I271"/>
    <mergeCell ref="G100:I100"/>
    <mergeCell ref="D33:F33"/>
    <mergeCell ref="D226:F226"/>
    <mergeCell ref="G94:I94"/>
    <mergeCell ref="C7:K7"/>
    <mergeCell ref="G336:I336"/>
    <mergeCell ref="D335:F335"/>
    <mergeCell ref="D462:F462"/>
    <mergeCell ref="J424:L424"/>
    <mergeCell ref="D164:F164"/>
    <mergeCell ref="G265:I265"/>
    <mergeCell ref="G44:I44"/>
    <mergeCell ref="G507:I507"/>
    <mergeCell ref="D241:F241"/>
    <mergeCell ref="G202:I202"/>
    <mergeCell ref="G31:I31"/>
    <mergeCell ref="G444:I444"/>
    <mergeCell ref="G273:I273"/>
    <mergeCell ref="G102:I102"/>
    <mergeCell ref="D228:F228"/>
    <mergeCell ref="D333:F333"/>
    <mergeCell ref="D35:F35"/>
    <mergeCell ref="G158:I158"/>
    <mergeCell ref="D399:F399"/>
    <mergeCell ref="D526:F526"/>
    <mergeCell ref="D295:F295"/>
    <mergeCell ref="D178:F178"/>
    <mergeCell ref="D34:F34"/>
    <mergeCell ref="D172:F172"/>
    <mergeCell ref="D56:K56"/>
    <mergeCell ref="D243:F243"/>
    <mergeCell ref="D270:F270"/>
    <mergeCell ref="D99:F99"/>
    <mergeCell ref="G331:I331"/>
    <mergeCell ref="D463:F463"/>
    <mergeCell ref="D397:F397"/>
    <mergeCell ref="G499:I499"/>
    <mergeCell ref="G502:I502"/>
    <mergeCell ref="D528:F528"/>
    <mergeCell ref="C12:F12"/>
    <mergeCell ref="G176:I176"/>
    <mergeCell ref="G347:I347"/>
    <mergeCell ref="D36:F36"/>
    <mergeCell ref="G97:I97"/>
    <mergeCell ref="G268:I268"/>
    <mergeCell ref="D101:F101"/>
    <mergeCell ref="G191:I191"/>
    <mergeCell ref="L59:L61"/>
    <mergeCell ref="C314:G314"/>
    <mergeCell ref="G476:I476"/>
    <mergeCell ref="G128:I128"/>
    <mergeCell ref="D254:F254"/>
    <mergeCell ref="G426:I426"/>
    <mergeCell ref="C313:G313"/>
    <mergeCell ref="G220:I220"/>
    <mergeCell ref="G171:I171"/>
    <mergeCell ref="D490:F490"/>
    <mergeCell ref="G413:I413"/>
    <mergeCell ref="D346:F346"/>
    <mergeCell ref="D175:F175"/>
    <mergeCell ref="G407:I407"/>
    <mergeCell ref="D477:F477"/>
    <mergeCell ref="C292:F292"/>
    <mergeCell ref="G121:I121"/>
    <mergeCell ref="J427:L427"/>
    <mergeCell ref="D125:F125"/>
    <mergeCell ref="G357:I357"/>
    <mergeCell ref="C2:K2"/>
    <mergeCell ref="G284:I284"/>
    <mergeCell ref="C315:G315"/>
    <mergeCell ref="D112:F112"/>
    <mergeCell ref="G222:I222"/>
    <mergeCell ref="G415:I415"/>
    <mergeCell ref="D348:F348"/>
    <mergeCell ref="G471:I471"/>
    <mergeCell ref="G520:I520"/>
    <mergeCell ref="D475:F475"/>
    <mergeCell ref="G259:I259"/>
    <mergeCell ref="G197:I197"/>
    <mergeCell ref="C301:D301"/>
    <mergeCell ref="D323:F323"/>
    <mergeCell ref="D127:F127"/>
    <mergeCell ref="G495:I495"/>
    <mergeCell ref="D176:F176"/>
    <mergeCell ref="G482:I482"/>
    <mergeCell ref="D114:F114"/>
    <mergeCell ref="G215:I215"/>
    <mergeCell ref="G27:J27"/>
    <mergeCell ref="D412:F412"/>
    <mergeCell ref="G261:I261"/>
    <mergeCell ref="D362:F362"/>
    <mergeCell ref="D476:F476"/>
    <mergeCell ref="C78:K78"/>
    <mergeCell ref="C321:L321"/>
    <mergeCell ref="D203:F203"/>
    <mergeCell ref="G362:I362"/>
    <mergeCell ref="D249:F249"/>
    <mergeCell ref="G39:I39"/>
    <mergeCell ref="D276:F276"/>
    <mergeCell ref="G166:I166"/>
    <mergeCell ref="G337:I337"/>
    <mergeCell ref="G508:I508"/>
    <mergeCell ref="J425:L425"/>
    <mergeCell ref="D267:F267"/>
    <mergeCell ref="C73:K73"/>
    <mergeCell ref="D509:F509"/>
    <mergeCell ref="G116:I116"/>
    <mergeCell ref="D359:F359"/>
    <mergeCell ref="D242:F242"/>
    <mergeCell ref="G414:I414"/>
    <mergeCell ref="G352:I352"/>
    <mergeCell ref="G103:I103"/>
    <mergeCell ref="D478:F478"/>
    <mergeCell ref="D278:F278"/>
    <mergeCell ref="G401:I401"/>
    <mergeCell ref="G339:I339"/>
    <mergeCell ref="D465:F465"/>
    <mergeCell ref="D269:F269"/>
    <mergeCell ref="G466:I466"/>
    <mergeCell ref="C289:F289"/>
    <mergeCell ref="G118:I118"/>
    <mergeCell ref="D244:F244"/>
    <mergeCell ref="G167:I167"/>
    <mergeCell ref="G416:I416"/>
    <mergeCell ref="G67:K67"/>
    <mergeCell ref="D342:F342"/>
    <mergeCell ref="G210:I210"/>
    <mergeCell ref="G403:I403"/>
    <mergeCell ref="D336:F336"/>
    <mergeCell ref="C306:D306"/>
    <mergeCell ref="C13:F13"/>
    <mergeCell ref="D273:F273"/>
    <mergeCell ref="D102:F102"/>
    <mergeCell ref="D57:K57"/>
    <mergeCell ref="L30:L44"/>
    <mergeCell ref="G192:I192"/>
    <mergeCell ref="D196:F196"/>
    <mergeCell ref="G428:I428"/>
    <mergeCell ref="D39:F39"/>
    <mergeCell ref="G526:I526"/>
    <mergeCell ref="G129:I129"/>
    <mergeCell ref="D133:F133"/>
    <mergeCell ref="C536:F536"/>
    <mergeCell ref="G365:I365"/>
    <mergeCell ref="G221:I221"/>
    <mergeCell ref="G492:I492"/>
    <mergeCell ref="C184:F184"/>
    <mergeCell ref="G463:I463"/>
    <mergeCell ref="G286:I286"/>
    <mergeCell ref="D418:F418"/>
    <mergeCell ref="D483:F483"/>
    <mergeCell ref="G131:I131"/>
    <mergeCell ref="G236:I236"/>
    <mergeCell ref="C3:K3"/>
    <mergeCell ref="D191:F191"/>
    <mergeCell ref="D262:F262"/>
    <mergeCell ref="C10:F10"/>
    <mergeCell ref="G223:I223"/>
    <mergeCell ref="G350:I350"/>
    <mergeCell ref="G521:I521"/>
    <mergeCell ref="G421:I421"/>
    <mergeCell ref="D420:F420"/>
    <mergeCell ref="D128:F128"/>
    <mergeCell ref="D199:F199"/>
    <mergeCell ref="D364:F364"/>
    <mergeCell ref="G287:I287"/>
    <mergeCell ref="D435:F435"/>
    <mergeCell ref="G16:K16"/>
    <mergeCell ref="D413:F413"/>
    <mergeCell ref="D497:F497"/>
    <mergeCell ref="D484:F484"/>
    <mergeCell ref="G523:I523"/>
    <mergeCell ref="G498:I498"/>
    <mergeCell ref="G295:G298"/>
    <mergeCell ref="D428:F428"/>
    <mergeCell ref="C540:D540"/>
    <mergeCell ref="D355:F355"/>
    <mergeCell ref="D415:F415"/>
    <mergeCell ref="G264:I264"/>
    <mergeCell ref="D194:F194"/>
    <mergeCell ref="C433:F433"/>
    <mergeCell ref="G205:I205"/>
    <mergeCell ref="G376:I376"/>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C5:F5"/>
    <mergeCell ref="G144:I144"/>
    <mergeCell ref="G69:K69"/>
    <mergeCell ref="D344:F344"/>
    <mergeCell ref="G442:I442"/>
    <mergeCell ref="G411:I411"/>
    <mergeCell ref="G467:I467"/>
    <mergeCell ref="D515:F515"/>
    <mergeCell ref="C290:F290"/>
    <mergeCell ref="G119:I119"/>
    <mergeCell ref="D368:F368"/>
    <mergeCell ref="G211:I211"/>
    <mergeCell ref="D481:F481"/>
    <mergeCell ref="D110:F110"/>
    <mergeCell ref="D85:F85"/>
    <mergeCell ref="G453:I453"/>
    <mergeCell ref="D408:F408"/>
    <mergeCell ref="D383:F383"/>
    <mergeCell ref="D174:F174"/>
    <mergeCell ref="D58:K58"/>
    <mergeCell ref="G406:I406"/>
    <mergeCell ref="E541:K541"/>
    <mergeCell ref="D472:F472"/>
    <mergeCell ref="L12:L14"/>
    <mergeCell ref="D410:F410"/>
    <mergeCell ref="E539:K539"/>
    <mergeCell ref="G437:I437"/>
    <mergeCell ref="G371:I371"/>
    <mergeCell ref="D297:F297"/>
    <mergeCell ref="G358:I358"/>
    <mergeCell ref="G529:I529"/>
    <mergeCell ref="C65:K65"/>
    <mergeCell ref="D136:F136"/>
    <mergeCell ref="G137:I137"/>
    <mergeCell ref="D263:F263"/>
    <mergeCell ref="D434:F434"/>
    <mergeCell ref="D505:F505"/>
    <mergeCell ref="D499:F499"/>
    <mergeCell ref="G422:I422"/>
    <mergeCell ref="G360:I360"/>
    <mergeCell ref="D486:F486"/>
    <mergeCell ref="D200:F200"/>
    <mergeCell ref="G239:I239"/>
    <mergeCell ref="G139:I139"/>
    <mergeCell ref="D376:F376"/>
    <mergeCell ref="D436:F436"/>
    <mergeCell ref="C548:L548"/>
    <mergeCell ref="D534:F534"/>
    <mergeCell ref="D363:F363"/>
    <mergeCell ref="G353:I353"/>
    <mergeCell ref="D357:F357"/>
    <mergeCell ref="G524:I524"/>
    <mergeCell ref="D202:F202"/>
    <mergeCell ref="C541:D541"/>
    <mergeCell ref="D373:F373"/>
    <mergeCell ref="D500:F500"/>
    <mergeCell ref="G168:I168"/>
    <mergeCell ref="D294:F294"/>
    <mergeCell ref="H316:I316"/>
    <mergeCell ref="M30:U45"/>
    <mergeCell ref="G384:I384"/>
    <mergeCell ref="G213:I213"/>
    <mergeCell ref="D231:F231"/>
    <mergeCell ref="D358:F358"/>
    <mergeCell ref="D529:F529"/>
    <mergeCell ref="G150:I150"/>
    <mergeCell ref="G255:I255"/>
    <mergeCell ref="C29:F29"/>
    <mergeCell ref="G242:I242"/>
    <mergeCell ref="G513:I513"/>
    <mergeCell ref="G478:I478"/>
    <mergeCell ref="C49:K49"/>
    <mergeCell ref="D20:F20"/>
    <mergeCell ref="G21:I21"/>
    <mergeCell ref="G208:I208"/>
    <mergeCell ref="E544:K544"/>
    <mergeCell ref="D389:F389"/>
    <mergeCell ref="G450:I450"/>
    <mergeCell ref="G244:I244"/>
    <mergeCell ref="G425:I425"/>
    <mergeCell ref="D84:F84"/>
    <mergeCell ref="G219:I219"/>
    <mergeCell ref="G194:I194"/>
    <mergeCell ref="D155:F155"/>
    <mergeCell ref="D22:F22"/>
    <mergeCell ref="G23:I23"/>
    <mergeCell ref="D149:F149"/>
    <mergeCell ref="G517:I517"/>
    <mergeCell ref="D447:F447"/>
    <mergeCell ref="G237:I237"/>
    <mergeCell ref="D385:F385"/>
    <mergeCell ref="D518:F518"/>
    <mergeCell ref="G452:I452"/>
    <mergeCell ref="D124:F124"/>
    <mergeCell ref="G479:I479"/>
    <mergeCell ref="G160:I160"/>
    <mergeCell ref="D360:F360"/>
    <mergeCell ref="G283:I283"/>
    <mergeCell ref="D213:F213"/>
    <mergeCell ref="D384:F384"/>
    <mergeCell ref="D151:F151"/>
    <mergeCell ref="G494:I494"/>
    <mergeCell ref="G519:I519"/>
    <mergeCell ref="D449:F449"/>
    <mergeCell ref="C55:K55"/>
    <mergeCell ref="D126:F126"/>
    <mergeCell ref="G18:I18"/>
    <mergeCell ref="G285:I285"/>
    <mergeCell ref="G456:I456"/>
    <mergeCell ref="D411:F411"/>
    <mergeCell ref="D215:F215"/>
    <mergeCell ref="D513:F513"/>
    <mergeCell ref="G397:I397"/>
    <mergeCell ref="G372:I372"/>
    <mergeCell ref="C52:K52"/>
    <mergeCell ref="G163:I163"/>
    <mergeCell ref="D531:F531"/>
    <mergeCell ref="E542:K542"/>
    <mergeCell ref="G138:I138"/>
    <mergeCell ref="G380:I380"/>
    <mergeCell ref="E310:F310"/>
    <mergeCell ref="G374:I374"/>
    <mergeCell ref="G230:I230"/>
    <mergeCell ref="G361:I361"/>
    <mergeCell ref="G165:I165"/>
    <mergeCell ref="D79:F79"/>
    <mergeCell ref="G140:I140"/>
    <mergeCell ref="D437:F437"/>
    <mergeCell ref="G438:I438"/>
    <mergeCell ref="G238:I238"/>
    <mergeCell ref="D508:F508"/>
    <mergeCell ref="G232:I232"/>
    <mergeCell ref="D502:F502"/>
    <mergeCell ref="G474:I474"/>
    <mergeCell ref="G530:I530"/>
    <mergeCell ref="D404:F404"/>
    <mergeCell ref="D316:G316"/>
    <mergeCell ref="G11:I11"/>
    <mergeCell ref="D81:F81"/>
    <mergeCell ref="G375:I375"/>
    <mergeCell ref="D379:F379"/>
    <mergeCell ref="C75:F75"/>
    <mergeCell ref="G440:I440"/>
    <mergeCell ref="G169:I169"/>
    <mergeCell ref="D366:F366"/>
    <mergeCell ref="G532:I532"/>
    <mergeCell ref="D139:F139"/>
    <mergeCell ref="G233:I233"/>
    <mergeCell ref="D503:F503"/>
    <mergeCell ref="G469:I469"/>
    <mergeCell ref="C50:K50"/>
    <mergeCell ref="G87:I87"/>
    <mergeCell ref="G258:I258"/>
    <mergeCell ref="G329:I329"/>
    <mergeCell ref="G451:I451"/>
    <mergeCell ref="D284:F284"/>
    <mergeCell ref="D455:F455"/>
    <mergeCell ref="D520:F520"/>
    <mergeCell ref="G195:I195"/>
    <mergeCell ref="G24:I24"/>
    <mergeCell ref="G266:I266"/>
    <mergeCell ref="G95:I95"/>
    <mergeCell ref="G322:I322"/>
    <mergeCell ref="D28:F28"/>
    <mergeCell ref="D221:F221"/>
    <mergeCell ref="G89:I89"/>
    <mergeCell ref="D326:F326"/>
    <mergeCell ref="D392:F392"/>
    <mergeCell ref="G393:I393"/>
    <mergeCell ref="D457:F457"/>
    <mergeCell ref="G493:I493"/>
    <mergeCell ref="C432:J432"/>
    <mergeCell ref="G260:I260"/>
    <mergeCell ref="D165:F165"/>
    <mergeCell ref="G88:I88"/>
    <mergeCell ref="D236:F236"/>
    <mergeCell ref="G26:I26"/>
    <mergeCell ref="D92:F92"/>
    <mergeCell ref="G324:I324"/>
    <mergeCell ref="D30:F30"/>
    <mergeCell ref="D223:F223"/>
    <mergeCell ref="D279:F279"/>
    <mergeCell ref="D152:F152"/>
    <mergeCell ref="G153:I153"/>
    <mergeCell ref="D394:F394"/>
    <mergeCell ref="D450:F450"/>
    <mergeCell ref="D521:F521"/>
    <mergeCell ref="G90:I90"/>
    <mergeCell ref="D23:F23"/>
    <mergeCell ref="D265:F265"/>
    <mergeCell ref="D216:F216"/>
    <mergeCell ref="D94:F94"/>
    <mergeCell ref="G217:I217"/>
    <mergeCell ref="D452:F452"/>
    <mergeCell ref="D252:F252"/>
    <mergeCell ref="D218:F218"/>
    <mergeCell ref="D247:F247"/>
    <mergeCell ref="G115:I115"/>
    <mergeCell ref="G382:I382"/>
    <mergeCell ref="G42:I42"/>
    <mergeCell ref="G75:K75"/>
    <mergeCell ref="G400:I400"/>
    <mergeCell ref="D527:F527"/>
    <mergeCell ref="G179:I179"/>
    <mergeCell ref="G446:I446"/>
    <mergeCell ref="C27:F27"/>
    <mergeCell ref="D105:F105"/>
    <mergeCell ref="G240:I240"/>
    <mergeCell ref="D341:F341"/>
    <mergeCell ref="D170:F170"/>
    <mergeCell ref="G402:I402"/>
    <mergeCell ref="D468:F468"/>
    <mergeCell ref="G464:I464"/>
    <mergeCell ref="G190:I190"/>
    <mergeCell ref="G141:I141"/>
    <mergeCell ref="G500:I500"/>
    <mergeCell ref="D120:F120"/>
    <mergeCell ref="D387:F387"/>
    <mergeCell ref="G377:I377"/>
    <mergeCell ref="G37:I37"/>
    <mergeCell ref="D107:F107"/>
    <mergeCell ref="D163:F163"/>
    <mergeCell ref="D234:F234"/>
    <mergeCell ref="D405:F405"/>
    <mergeCell ref="G254:I254"/>
    <mergeCell ref="G248:I248"/>
    <mergeCell ref="D209:F209"/>
    <mergeCell ref="D147:F147"/>
    <mergeCell ref="D380:F380"/>
    <mergeCell ref="G490:I490"/>
    <mergeCell ref="D445:F445"/>
    <mergeCell ref="G235:I235"/>
    <mergeCell ref="D171:F171"/>
    <mergeCell ref="G477:I477"/>
    <mergeCell ref="D407:F407"/>
    <mergeCell ref="G14:I14"/>
    <mergeCell ref="C71:K71"/>
    <mergeCell ref="D211:F211"/>
    <mergeCell ref="D382:F382"/>
    <mergeCell ref="C8:K8"/>
    <mergeCell ref="D25:F25"/>
    <mergeCell ref="D240:F240"/>
    <mergeCell ref="D511:F511"/>
    <mergeCell ref="G32:I32"/>
    <mergeCell ref="G330:I330"/>
    <mergeCell ref="G134:I134"/>
    <mergeCell ref="G159:I159"/>
    <mergeCell ref="D334:F334"/>
    <mergeCell ref="G395:I395"/>
    <mergeCell ref="G96:I96"/>
    <mergeCell ref="D271:F271"/>
    <mergeCell ref="C77:K77"/>
    <mergeCell ref="G332:I332"/>
    <mergeCell ref="D100:F100"/>
    <mergeCell ref="G161:I161"/>
    <mergeCell ref="D458:F458"/>
    <mergeCell ref="G459:I459"/>
    <mergeCell ref="G503:I503"/>
    <mergeCell ref="D523:F523"/>
    <mergeCell ref="D237:F237"/>
    <mergeCell ref="G98:I98"/>
    <mergeCell ref="D31:F31"/>
    <mergeCell ref="G396:I396"/>
    <mergeCell ref="D329:F329"/>
    <mergeCell ref="D158:F158"/>
    <mergeCell ref="G390:I390"/>
    <mergeCell ref="D400:F400"/>
    <mergeCell ref="D522:F522"/>
    <mergeCell ref="G461:I461"/>
    <mergeCell ref="G488:I488"/>
    <mergeCell ref="D108:F108"/>
    <mergeCell ref="D239:F239"/>
    <mergeCell ref="D266:F266"/>
    <mergeCell ref="D95:F95"/>
    <mergeCell ref="G327:I327"/>
    <mergeCell ref="G156:I156"/>
    <mergeCell ref="G267:I267"/>
    <mergeCell ref="D331:F331"/>
    <mergeCell ref="D160:F160"/>
    <mergeCell ref="G373:I373"/>
    <mergeCell ref="D32:F32"/>
    <mergeCell ref="G93:I93"/>
    <mergeCell ref="D268:F268"/>
    <mergeCell ref="D97:F97"/>
    <mergeCell ref="D395:F395"/>
    <mergeCell ref="G187:I187"/>
    <mergeCell ref="G485:I485"/>
    <mergeCell ref="C66:F66"/>
    <mergeCell ref="G279:I279"/>
    <mergeCell ref="G108:I108"/>
    <mergeCell ref="G472:I472"/>
    <mergeCell ref="D350:F350"/>
    <mergeCell ref="D255:F255"/>
    <mergeCell ref="G45:I45"/>
    <mergeCell ref="G487:I487"/>
    <mergeCell ref="G216:I216"/>
    <mergeCell ref="G343:I343"/>
    <mergeCell ref="C68:F68"/>
    <mergeCell ref="G281:I281"/>
    <mergeCell ref="G514:I514"/>
    <mergeCell ref="G20:I20"/>
    <mergeCell ref="C59:C62"/>
    <mergeCell ref="D121:F121"/>
    <mergeCell ref="G256:I256"/>
    <mergeCell ref="D192:F192"/>
    <mergeCell ref="G280:I280"/>
    <mergeCell ref="G109:I109"/>
    <mergeCell ref="D42:F42"/>
    <mergeCell ref="G47:I47"/>
    <mergeCell ref="G274:I274"/>
    <mergeCell ref="D113:F113"/>
    <mergeCell ref="D173:F173"/>
    <mergeCell ref="G345:I345"/>
    <mergeCell ref="G218:I218"/>
    <mergeCell ref="G84:I84"/>
    <mergeCell ref="D471:F471"/>
    <mergeCell ref="G193:I193"/>
    <mergeCell ref="G22:I22"/>
    <mergeCell ref="G516:I516"/>
    <mergeCell ref="D148:F148"/>
    <mergeCell ref="D123:F123"/>
    <mergeCell ref="G46:I46"/>
    <mergeCell ref="D250:F250"/>
    <mergeCell ref="G40:I40"/>
    <mergeCell ref="D421:F421"/>
    <mergeCell ref="G282:I282"/>
    <mergeCell ref="G111:I111"/>
    <mergeCell ref="D44:F44"/>
    <mergeCell ref="D286:F286"/>
    <mergeCell ref="D115:F115"/>
    <mergeCell ref="G409:I409"/>
    <mergeCell ref="G86:I86"/>
    <mergeCell ref="D473:F473"/>
    <mergeCell ref="G257:I257"/>
    <mergeCell ref="D187:F187"/>
    <mergeCell ref="D448:F448"/>
    <mergeCell ref="D423:F423"/>
    <mergeCell ref="G29:K29"/>
    <mergeCell ref="D45:F45"/>
    <mergeCell ref="D281:F281"/>
    <mergeCell ref="G209:I209"/>
    <mergeCell ref="C307:D307"/>
    <mergeCell ref="D59:H59"/>
    <mergeCell ref="G175:I175"/>
    <mergeCell ref="G162:I162"/>
    <mergeCell ref="C9:K9"/>
    <mergeCell ref="D337:F337"/>
    <mergeCell ref="G398:I398"/>
    <mergeCell ref="G460:I460"/>
    <mergeCell ref="G509:I509"/>
    <mergeCell ref="G229:I229"/>
    <mergeCell ref="G496:I496"/>
    <mergeCell ref="D238:F238"/>
    <mergeCell ref="D426:F426"/>
    <mergeCell ref="G177:I177"/>
    <mergeCell ref="G148:I148"/>
    <mergeCell ref="G204:I204"/>
    <mergeCell ref="G475:I475"/>
    <mergeCell ref="G33:I33"/>
    <mergeCell ref="G275:I275"/>
    <mergeCell ref="D103:F103"/>
    <mergeCell ref="G335:I335"/>
    <mergeCell ref="D134:F134"/>
    <mergeCell ref="D205:F205"/>
    <mergeCell ref="D339:F339"/>
    <mergeCell ref="C182:K182"/>
    <mergeCell ref="D401:F401"/>
    <mergeCell ref="G462:I462"/>
    <mergeCell ref="G427:I427"/>
    <mergeCell ref="G489:I489"/>
    <mergeCell ref="G114:I114"/>
    <mergeCell ref="G511:I511"/>
    <mergeCell ref="D118:F118"/>
    <mergeCell ref="G206:I206"/>
    <mergeCell ref="G35:I35"/>
    <mergeCell ref="D167:F167"/>
    <mergeCell ref="D332:F332"/>
    <mergeCell ref="G333:I333"/>
    <mergeCell ref="G184:K184"/>
    <mergeCell ref="C319:L319"/>
    <mergeCell ref="D161:F161"/>
    <mergeCell ref="D61:H61"/>
    <mergeCell ref="G399:I399"/>
    <mergeCell ref="D403:F403"/>
    <mergeCell ref="G491:I491"/>
    <mergeCell ref="C74:F74"/>
    <mergeCell ref="G143:I143"/>
    <mergeCell ref="D38:F38"/>
    <mergeCell ref="G270:I270"/>
    <mergeCell ref="G99:I99"/>
    <mergeCell ref="D98:F98"/>
    <mergeCell ref="D169:F169"/>
    <mergeCell ref="G506:I506"/>
    <mergeCell ref="C300:D300"/>
    <mergeCell ref="C535:F535"/>
    <mergeCell ref="C16:F16"/>
    <mergeCell ref="G351:I351"/>
    <mergeCell ref="G522:I522"/>
    <mergeCell ref="G130:I130"/>
    <mergeCell ref="G117:I117"/>
    <mergeCell ref="D492:F492"/>
    <mergeCell ref="D479:F479"/>
    <mergeCell ref="G480:I480"/>
    <mergeCell ref="J426:L426"/>
    <mergeCell ref="D131:F131"/>
    <mergeCell ref="I61:K61"/>
    <mergeCell ref="D258:F258"/>
    <mergeCell ref="C64:K64"/>
    <mergeCell ref="G132:I132"/>
    <mergeCell ref="C11:F11"/>
    <mergeCell ref="G224:I224"/>
    <mergeCell ref="D494:F494"/>
    <mergeCell ref="G417:I417"/>
    <mergeCell ref="G359:I359"/>
  </mergeCells>
  <conditionalFormatting sqref="C52:K52">
    <cfRule type="expression" priority="161" dxfId="99">
      <formula>$J$19=TRUE</formula>
    </cfRule>
  </conditionalFormatting>
  <conditionalFormatting sqref="C78:K78">
    <cfRule type="expression" priority="146" dxfId="159">
      <formula>$G$75=TRUE</formula>
    </cfRule>
    <cfRule type="expression" priority="168" dxfId="159">
      <formula>$G$75=TRUE</formula>
    </cfRule>
    <cfRule type="expression" priority="158" dxfId="99">
      <formula>$G$74=TRUE</formula>
    </cfRule>
  </conditionalFormatting>
  <conditionalFormatting sqref="C186:K186 G189:I286 G287 J189:K287">
    <cfRule type="expression" priority="156" dxfId="99">
      <formula>$G$184=TRUE</formula>
    </cfRule>
  </conditionalFormatting>
  <conditionalFormatting sqref="D58">
    <cfRule type="expression" priority="182" dxfId="99">
      <formula>AND($D$56=TRUE,$D$57="A transition plan has already been adopted")</formula>
    </cfRule>
  </conditionalFormatting>
  <conditionalFormatting sqref="D310">
    <cfRule type="expression" priority="153" dxfId="99">
      <formula>$D$309=TRUE</formula>
    </cfRule>
  </conditionalFormatting>
  <conditionalFormatting sqref="D30:F44">
    <cfRule type="expression" priority="31" dxfId="267">
      <formula>$G$29=TRUE</formula>
    </cfRule>
  </conditionalFormatting>
  <conditionalFormatting sqref="D45:F47">
    <cfRule type="expression" priority="29" dxfId="249">
      <formula>$G$29=FALSE</formula>
    </cfRule>
  </conditionalFormatting>
  <conditionalFormatting sqref="D80:F179">
    <cfRule type="expression" priority="19" dxfId="99">
      <formula>$G$74=TRUE</formula>
    </cfRule>
    <cfRule type="expression" priority="20" dxfId="159">
      <formula>$G$75=TRUE</formula>
    </cfRule>
  </conditionalFormatting>
  <conditionalFormatting sqref="D188:F188">
    <cfRule type="expression" priority="25" dxfId="34">
      <formula>$D$188="VALUE INCONSISTENCY"</formula>
    </cfRule>
  </conditionalFormatting>
  <conditionalFormatting sqref="D189:F287">
    <cfRule type="expression" priority="80" dxfId="34">
      <formula>$D189="VALUE INCONSISTENCY"</formula>
    </cfRule>
  </conditionalFormatting>
  <conditionalFormatting sqref="D317:G317">
    <cfRule type="expression" priority="190" dxfId="99">
      <formula>$D$316="YES"</formula>
    </cfRule>
  </conditionalFormatting>
  <conditionalFormatting sqref="D80:I80 D81:F179 G81:I82">
    <cfRule type="expression" priority="17" dxfId="159">
      <formula>$G$75=TRUE</formula>
    </cfRule>
  </conditionalFormatting>
  <conditionalFormatting sqref="D435:J435 D436:I441 D442:F444 D445:D534 G442:I532 G533:J533 G534 J436:J534">
    <cfRule type="expression" priority="8" dxfId="99">
      <formula>$G$433=TRUE</formula>
    </cfRule>
  </conditionalFormatting>
  <conditionalFormatting sqref="D57:K57">
    <cfRule type="expression" priority="3" dxfId="159">
      <formula>$D$56=FALSE</formula>
    </cfRule>
  </conditionalFormatting>
  <conditionalFormatting sqref="D59:K62">
    <cfRule type="expression" priority="4" dxfId="249">
      <formula>$D$57=""</formula>
    </cfRule>
    <cfRule type="expression" priority="5" dxfId="249">
      <formula>$D$57="A transition plan has already been adopted"</formula>
    </cfRule>
  </conditionalFormatting>
  <conditionalFormatting sqref="E303:E304">
    <cfRule type="expression" priority="221" dxfId="1">
      <formula>$E303=template_label_missing_value</formula>
    </cfRule>
    <cfRule type="expression" priority="220" dxfId="0">
      <formula>$E303=template_label_ok</formula>
    </cfRule>
  </conditionalFormatting>
  <conditionalFormatting sqref="E310">
    <cfRule type="expression" priority="196" dxfId="1">
      <formula>$E$310=template_label_missing_value</formula>
    </cfRule>
    <cfRule type="expression" priority="197" dxfId="0">
      <formula>$E$310=template_label_ok</formula>
    </cfRule>
  </conditionalFormatting>
  <conditionalFormatting sqref="E540:K544">
    <cfRule type="expression" priority="149" dxfId="99">
      <formula>$E$539=TRUE</formula>
    </cfRule>
  </conditionalFormatting>
  <conditionalFormatting sqref="G76">
    <cfRule type="expression" priority="173" dxfId="99">
      <formula>$G$75=TRUE</formula>
    </cfRule>
  </conditionalFormatting>
  <conditionalFormatting sqref="G293:G295">
    <cfRule type="expression" priority="143" dxfId="1">
      <formula>$G293=template_label_missing_value</formula>
    </cfRule>
    <cfRule type="expression" priority="144" dxfId="0">
      <formula>$G293=template_label_ok</formula>
    </cfRule>
    <cfRule type="expression" priority="23" dxfId="1">
      <formula>$G293=template_label_value_inconsistency</formula>
    </cfRule>
  </conditionalFormatting>
  <conditionalFormatting sqref="G80:I82">
    <cfRule type="expression" priority="16" dxfId="99">
      <formula>$G$74=TRUE</formula>
    </cfRule>
  </conditionalFormatting>
  <conditionalFormatting sqref="G12:J13">
    <cfRule type="expression" priority="165" dxfId="99">
      <formula>$G$10=TRUE</formula>
    </cfRule>
  </conditionalFormatting>
  <conditionalFormatting sqref="G14:J14">
    <cfRule type="expression" priority="34" dxfId="263">
      <formula>$G$10=FALSE</formula>
    </cfRule>
  </conditionalFormatting>
  <conditionalFormatting sqref="G21:J24">
    <cfRule type="expression" priority="164" dxfId="99">
      <formula>$J$19=TRUE</formula>
    </cfRule>
  </conditionalFormatting>
  <conditionalFormatting sqref="G30:J44">
    <cfRule type="expression" priority="30" dxfId="267">
      <formula>AND($G$29=TRUE,$J$19=TRUE)</formula>
    </cfRule>
  </conditionalFormatting>
  <conditionalFormatting sqref="G45:J47">
    <cfRule type="expression" priority="28" dxfId="249">
      <formula>OR($J$19=FALSE,$G$29=FALSE)</formula>
    </cfRule>
  </conditionalFormatting>
  <conditionalFormatting sqref="G80:J82">
    <cfRule type="expression" priority="14" dxfId="159">
      <formula>$G$75=TRUE</formula>
    </cfRule>
  </conditionalFormatting>
  <conditionalFormatting sqref="G10:K10">
    <cfRule type="expression" priority="166" dxfId="99">
      <formula>$D$105="YES"</formula>
    </cfRule>
  </conditionalFormatting>
  <conditionalFormatting sqref="G68:K69">
    <cfRule type="expression" priority="93" dxfId="263">
      <formula>$G$29=FALSE</formula>
    </cfRule>
  </conditionalFormatting>
  <conditionalFormatting sqref="G75:K75">
    <cfRule type="expression" priority="159" dxfId="99">
      <formula>$G$74=TRUE</formula>
    </cfRule>
  </conditionalFormatting>
  <conditionalFormatting sqref="G83:K179">
    <cfRule type="expression" priority="157" dxfId="159">
      <formula>$G$75=TRUE</formula>
    </cfRule>
    <cfRule type="expression" priority="160" dxfId="99">
      <formula>$G$74=TRUE</formula>
    </cfRule>
    <cfRule type="expression" priority="172" dxfId="159">
      <formula>$G$75=TRUE</formula>
    </cfRule>
  </conditionalFormatting>
  <conditionalFormatting sqref="G188:K188">
    <cfRule type="expression" priority="155" dxfId="99">
      <formula>$G$184=TRUE</formula>
    </cfRule>
  </conditionalFormatting>
  <conditionalFormatting sqref="H316">
    <cfRule type="expression" priority="192" dxfId="1">
      <formula>$H$316=template_label_missing_value</formula>
    </cfRule>
    <cfRule type="expression" priority="191" dxfId="0">
      <formula>$H$316=template_label_ok</formula>
    </cfRule>
  </conditionalFormatting>
  <conditionalFormatting sqref="H317">
    <cfRule type="expression" priority="189" dxfId="0">
      <formula>$H$317=template_label_ok</formula>
    </cfRule>
    <cfRule type="expression" priority="188" dxfId="1">
      <formula>$H$317=template_label_missing_value</formula>
    </cfRule>
    <cfRule type="expression" priority="1" dxfId="1">
      <formula>$H$317=template_label_value_inconsistency</formula>
    </cfRule>
  </conditionalFormatting>
  <conditionalFormatting sqref="J80:J82">
    <cfRule type="expression" priority="13" dxfId="99">
      <formula>$G$74=TRUE</formula>
    </cfRule>
  </conditionalFormatting>
  <conditionalFormatting sqref="J80:K82">
    <cfRule type="expression" priority="11" dxfId="159">
      <formula>$G$75=TRUE</formula>
    </cfRule>
  </conditionalFormatting>
  <conditionalFormatting sqref="K30:K44">
    <cfRule type="expression" priority="2" dxfId="250">
      <formula>AND($G30&lt;&gt;"", $J30&lt;&gt;"")</formula>
    </cfRule>
  </conditionalFormatting>
  <conditionalFormatting sqref="K30:K47">
    <cfRule type="expression" priority="27" dxfId="249">
      <formula>OR($J$19=FALSE,$G$29=FALSE)</formula>
    </cfRule>
  </conditionalFormatting>
  <conditionalFormatting sqref="K80:K82">
    <cfRule type="expression" priority="10" dxfId="99">
      <formula>$G$74=TRUE</formula>
    </cfRule>
    <cfRule type="expression" priority="9" dxfId="159">
      <formula>$G$75=TRUE</formula>
    </cfRule>
  </conditionalFormatting>
  <conditionalFormatting sqref="K293:K294">
    <cfRule type="expression" priority="231" dxfId="0">
      <formula>$K$293="OK"</formula>
    </cfRule>
    <cfRule type="expression" priority="237" dxfId="1">
      <formula>$K$293="MISSING VALUE"</formula>
    </cfRule>
  </conditionalFormatting>
  <conditionalFormatting sqref="K295:K298 K300 K536">
    <cfRule type="expression" priority="223" dxfId="0">
      <formula>$K295="OK"</formula>
    </cfRule>
    <cfRule type="expression" priority="222" dxfId="1">
      <formula>$K295="MISSING VALUE"</formula>
    </cfRule>
  </conditionalFormatting>
  <conditionalFormatting sqref="K435:K534">
    <cfRule type="expression" priority="235" dxfId="1">
      <formula>$K435=template_label_missing_value</formula>
    </cfRule>
    <cfRule type="expression" priority="236" dxfId="0">
      <formula>$K435=template_label_ok</formula>
    </cfRule>
  </conditionalFormatting>
  <conditionalFormatting sqref="L5">
    <cfRule type="expression" priority="195" dxfId="1">
      <formula>$L$5=template_label_missing_value</formula>
    </cfRule>
    <cfRule type="expression" priority="193" dxfId="0">
      <formula>$L$5= template_label_ok</formula>
    </cfRule>
  </conditionalFormatting>
  <conditionalFormatting sqref="L12">
    <cfRule type="expression" priority="24" dxfId="1">
      <formula>$L$12=template_label_value_inconsistency</formula>
    </cfRule>
    <cfRule type="expression" priority="148" dxfId="1">
      <formula>$L$12=template_label_missing_value</formula>
    </cfRule>
    <cfRule type="expression" priority="218" dxfId="0">
      <formula>$L12=template_label_ok</formula>
    </cfRule>
  </conditionalFormatting>
  <conditionalFormatting sqref="L21">
    <cfRule type="expression" priority="200" dxfId="1">
      <formula>$L$21=template_label_missing_value</formula>
    </cfRule>
    <cfRule type="expression" priority="201" dxfId="0">
      <formula>$L$21=template_label_ok</formula>
    </cfRule>
  </conditionalFormatting>
  <conditionalFormatting sqref="L22">
    <cfRule type="expression" priority="211" dxfId="0">
      <formula>$L$22="OK"</formula>
    </cfRule>
  </conditionalFormatting>
  <conditionalFormatting sqref="L22:L24">
    <cfRule type="expression" priority="205" dxfId="1">
      <formula>$L22=template_label_missing_value</formula>
    </cfRule>
  </conditionalFormatting>
  <conditionalFormatting sqref="L23:L24">
    <cfRule type="expression" priority="206" dxfId="0">
      <formula>$L23=template_label_ok</formula>
    </cfRule>
  </conditionalFormatting>
  <conditionalFormatting sqref="L30:L44">
    <cfRule type="expression" priority="32" dxfId="0">
      <formula>$L$30=template_label_ok</formula>
    </cfRule>
    <cfRule type="expression" priority="33" dxfId="1">
      <formula>$L$30=template_label_missing_value</formula>
    </cfRule>
  </conditionalFormatting>
  <conditionalFormatting sqref="L45">
    <cfRule type="expression" priority="384" dxfId="0">
      <formula>$L$45="OK"</formula>
    </cfRule>
    <cfRule type="expression" priority="383" dxfId="1">
      <formula>$L$45="MISSING VALUE"</formula>
    </cfRule>
  </conditionalFormatting>
  <conditionalFormatting sqref="L52">
    <cfRule type="expression" priority="147" dxfId="1">
      <formula>$L$52=template_label_missing_value</formula>
    </cfRule>
    <cfRule type="expression" priority="234" dxfId="0">
      <formula>$L$52=template_label_ok</formula>
    </cfRule>
  </conditionalFormatting>
  <conditionalFormatting sqref="L56:L59 L62">
    <cfRule type="expression" priority="176" dxfId="1">
      <formula>$L56=template_label_error</formula>
    </cfRule>
    <cfRule type="expression" priority="179" dxfId="1">
      <formula>$L56=template_label_missing_value</formula>
    </cfRule>
    <cfRule type="expression" priority="180" dxfId="0">
      <formula>$L56=template_label_ok</formula>
    </cfRule>
  </conditionalFormatting>
  <conditionalFormatting sqref="L62">
    <cfRule type="expression" priority="232" dxfId="0">
      <formula>$L$62="OK"</formula>
    </cfRule>
  </conditionalFormatting>
  <conditionalFormatting sqref="L74:L75">
    <cfRule type="expression" priority="170" dxfId="1">
      <formula>$L74=template_label_value_inconsistency</formula>
    </cfRule>
  </conditionalFormatting>
  <conditionalFormatting sqref="L74:L76">
    <cfRule type="expression" priority="171" dxfId="0">
      <formula>$L74=template_label_ok</formula>
    </cfRule>
  </conditionalFormatting>
  <conditionalFormatting sqref="L76">
    <cfRule type="expression" priority="7" dxfId="1">
      <formula>$L$76=template_label_invalid_url</formula>
    </cfRule>
    <cfRule type="expression" priority="169" dxfId="1">
      <formula>$L$76=template_label_missing_value</formula>
    </cfRule>
  </conditionalFormatting>
  <conditionalFormatting sqref="L78">
    <cfRule type="expression" priority="177" dxfId="0">
      <formula>$L$78=template_label_ok</formula>
    </cfRule>
    <cfRule type="expression" priority="178" dxfId="1">
      <formula>$L$78=template_label_missing_value</formula>
    </cfRule>
    <cfRule type="expression" priority="6" dxfId="1">
      <formula>$L$78=template_label_value_inconsistency</formula>
    </cfRule>
  </conditionalFormatting>
  <conditionalFormatting sqref="L80:L179">
    <cfRule type="expression" priority="22" dxfId="1">
      <formula>$L80=template_label_value_inconsistency</formula>
    </cfRule>
    <cfRule type="expression" priority="175" dxfId="0">
      <formula>$L80=template_label_ok</formula>
    </cfRule>
    <cfRule type="expression" priority="174" dxfId="1">
      <formula>$L80=template_label_missing_value</formula>
    </cfRule>
  </conditionalFormatting>
  <conditionalFormatting sqref="L186">
    <cfRule type="expression" priority="186" dxfId="1">
      <formula>$L$186=template_label_missing_value</formula>
    </cfRule>
    <cfRule type="expression" priority="185" dxfId="0">
      <formula>$L$186=template_label_ok</formula>
    </cfRule>
  </conditionalFormatting>
  <conditionalFormatting sqref="L188">
    <cfRule type="expression" priority="84" dxfId="181">
      <formula>$D$188=template_label_value_inconsistency</formula>
    </cfRule>
  </conditionalFormatting>
  <conditionalFormatting sqref="L188:L287">
    <cfRule type="expression" priority="238" dxfId="1">
      <formula>$L188=template_label_missing_value</formula>
    </cfRule>
    <cfRule type="expression" priority="187" dxfId="1">
      <formula>$L188=template_label_value_inconcistency</formula>
    </cfRule>
    <cfRule type="expression" priority="239" dxfId="0">
      <formula>$L188=template_label_ok</formula>
    </cfRule>
  </conditionalFormatting>
  <conditionalFormatting sqref="L189:L287">
    <cfRule type="expression" priority="83" dxfId="181">
      <formula>$D$189=template_label_value_inconsistency</formula>
    </cfRule>
  </conditionalFormatting>
  <conditionalFormatting sqref="L190">
    <cfRule type="expression" priority="82" dxfId="181">
      <formula>$D$190=template_label_value_inconsistency</formula>
    </cfRule>
  </conditionalFormatting>
  <conditionalFormatting sqref="L191">
    <cfRule type="expression" priority="85" dxfId="181">
      <formula>$D$191=template_label_value_inconsistency</formula>
    </cfRule>
  </conditionalFormatting>
  <conditionalFormatting sqref="L192">
    <cfRule type="expression" priority="81" dxfId="181">
      <formula>$D$192=template_label_value_inconsistency</formula>
    </cfRule>
  </conditionalFormatting>
  <conditionalFormatting sqref="L193">
    <cfRule type="expression" priority="56" dxfId="181">
      <formula>$D$193=template_label_value_inconsistency</formula>
    </cfRule>
  </conditionalFormatting>
  <conditionalFormatting sqref="L194:L287">
    <cfRule type="expression" priority="55" dxfId="181">
      <formula>$D$194=template_label_value_inconsistency</formula>
    </cfRule>
  </conditionalFormatting>
  <conditionalFormatting sqref="L195">
    <cfRule type="expression" priority="54" dxfId="181">
      <formula>$D$195=template_label_value_inconsistency</formula>
    </cfRule>
  </conditionalFormatting>
  <conditionalFormatting sqref="L196">
    <cfRule type="expression" priority="53" dxfId="181">
      <formula>$D$196=template_label_value_inconsistency</formula>
    </cfRule>
  </conditionalFormatting>
  <conditionalFormatting sqref="L197">
    <cfRule type="expression" priority="52" dxfId="181">
      <formula>$D$197=template_label_value_inconsistency</formula>
    </cfRule>
  </conditionalFormatting>
  <conditionalFormatting sqref="L198">
    <cfRule type="expression" priority="51" dxfId="181">
      <formula>$D$198=template_label_value_inconsistency</formula>
    </cfRule>
  </conditionalFormatting>
  <conditionalFormatting sqref="L199">
    <cfRule type="expression" priority="50" dxfId="181">
      <formula>$D$199=template_label_value_inconsistency</formula>
    </cfRule>
  </conditionalFormatting>
  <conditionalFormatting sqref="L200">
    <cfRule type="expression" priority="49" dxfId="181">
      <formula>$D$200=template_label_value_inconsistency</formula>
    </cfRule>
  </conditionalFormatting>
  <conditionalFormatting sqref="L201">
    <cfRule type="expression" priority="48" dxfId="181">
      <formula>$D$201=template_label_value_inconsistency</formula>
    </cfRule>
  </conditionalFormatting>
  <conditionalFormatting sqref="L202">
    <cfRule type="expression" priority="47" dxfId="181">
      <formula>$D$202=template_label_value_inconsistency</formula>
    </cfRule>
  </conditionalFormatting>
  <conditionalFormatting sqref="L203">
    <cfRule type="expression" priority="46" dxfId="181">
      <formula>$D$203=template_label_value_inconsistency</formula>
    </cfRule>
  </conditionalFormatting>
  <conditionalFormatting sqref="L204">
    <cfRule type="expression" priority="45" dxfId="181">
      <formula>$D$204=template_label_value_inconsistency</formula>
    </cfRule>
  </conditionalFormatting>
  <conditionalFormatting sqref="L205">
    <cfRule type="expression" priority="44" dxfId="181">
      <formula>$D$205=template_label_value_inconsistency</formula>
    </cfRule>
  </conditionalFormatting>
  <conditionalFormatting sqref="L206">
    <cfRule type="expression" priority="43" dxfId="181">
      <formula>$D$206=template_label_value_inconsistency</formula>
    </cfRule>
  </conditionalFormatting>
  <conditionalFormatting sqref="L207:L208">
    <cfRule type="expression" priority="41" dxfId="181">
      <formula>$D$207=template_label_value_inconsistency</formula>
    </cfRule>
  </conditionalFormatting>
  <conditionalFormatting sqref="L209">
    <cfRule type="expression" priority="40" dxfId="181">
      <formula>$D$209=template_label_value_inconsistency</formula>
    </cfRule>
  </conditionalFormatting>
  <conditionalFormatting sqref="L210">
    <cfRule type="expression" priority="39" dxfId="181">
      <formula>$D$210=template_label_value_inconsistency</formula>
    </cfRule>
  </conditionalFormatting>
  <conditionalFormatting sqref="L211:L285">
    <cfRule type="expression" priority="38" dxfId="181">
      <formula>$D$211=template_label_value_inconsistency</formula>
    </cfRule>
  </conditionalFormatting>
  <conditionalFormatting sqref="L286">
    <cfRule type="expression" priority="37" dxfId="181">
      <formula>$D$286=template_label_value_inconsistency</formula>
    </cfRule>
  </conditionalFormatting>
  <conditionalFormatting sqref="L287">
    <cfRule type="expression" priority="36" dxfId="181">
      <formula>$D$287=template_label_value_inconsistency</formula>
    </cfRule>
  </conditionalFormatting>
  <conditionalFormatting sqref="L540:L544">
    <cfRule type="expression" priority="145" dxfId="1">
      <formula>$L540=template_label_missing_value</formula>
    </cfRule>
    <cfRule type="expression" priority="229" dxfId="0">
      <formula>$L540=template_label_ok</formula>
    </cfRule>
  </conditionalFormatting>
  <conditionalFormatting sqref="M323:M423">
    <cfRule type="expression" priority="380" dxfId="1">
      <formula>$M323=template_label_error</formula>
    </cfRule>
    <cfRule type="expression" priority="381" dxfId="1">
      <formula>$M323=template_label_missing_value</formula>
    </cfRule>
    <cfRule type="expression" priority="382" dxfId="0">
      <formula>$M323=template_label_ok</formula>
    </cfRule>
    <cfRule type="expression" priority="21" dxfId="1">
      <formula>$M323=template_label_value_inconsistency</formula>
    </cfRule>
  </conditionalFormatting>
  <conditionalFormatting sqref="M548">
    <cfRule type="expression" priority="228" dxfId="0">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knowledgehub.efrag.org/eng/interactive/vsme/vsme-standard-annex-i/2025-07-30-ec-rec/29" r:id="rId1"/>
    <hyperlink xmlns:r="http://schemas.openxmlformats.org/officeDocument/2006/relationships" ref="C4" display="18-25" r:id="rId2"/>
    <hyperlink xmlns:r="http://schemas.openxmlformats.org/officeDocument/2006/relationships" ref="C8" display="https://knowledgehub.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knowledgehub.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knowledgehub.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knowledgehub.efrag.org/eng/interactive/vsme/vsme-guidance-annex-ii/2025-07-30-ec-rec/159" r:id="rId17"/>
    <hyperlink xmlns:r="http://schemas.openxmlformats.org/officeDocument/2006/relationships" ref="A55" display="https://www.efrag.org/en/vsme-supporting-guide-on-disclosure-c3-comprehensive-module-ghg-reduction-targets-and-climate" r:id="rId18"/>
    <hyperlink xmlns:r="http://schemas.openxmlformats.org/officeDocument/2006/relationships" ref="A56" display="https://knowledgehub.efrag.org/eng/interactive/vsme/vsme-standard-annex-i/2025-07-30-ec-rec/55" r:id="rId19"/>
    <hyperlink xmlns:r="http://schemas.openxmlformats.org/officeDocument/2006/relationships" ref="B56" r:id="rId20"/>
    <hyperlink xmlns:r="http://schemas.openxmlformats.org/officeDocument/2006/relationships" ref="A57" display="https://knowledgehub.efrag.org/eng/interactive/vsme/vsme-standard-annex-i/2025-07-30-ec-rec/55" r:id="rId21"/>
    <hyperlink xmlns:r="http://schemas.openxmlformats.org/officeDocument/2006/relationships" ref="B57" r:id="rId22"/>
    <hyperlink xmlns:r="http://schemas.openxmlformats.org/officeDocument/2006/relationships" ref="A58" display="https://knowledgehub.efrag.org/eng/interactive/vsme/vsme-standard-annex-i/2025-07-30-ec-rec/55" r:id="rId23"/>
    <hyperlink xmlns:r="http://schemas.openxmlformats.org/officeDocument/2006/relationships" ref="B58" r:id="rId24"/>
    <hyperlink xmlns:r="http://schemas.openxmlformats.org/officeDocument/2006/relationships" ref="A59" display="https://knowledgehub.efrag.org/eng/interactive/vsme/vsme-standard-annex-i/2025-07-30-ec-rec/56" r:id="rId25"/>
    <hyperlink xmlns:r="http://schemas.openxmlformats.org/officeDocument/2006/relationships" ref="B59" display="160-163" r:id="rId26"/>
    <hyperlink xmlns:r="http://schemas.openxmlformats.org/officeDocument/2006/relationships" ref="C65" display="https://knowledgehub.efrag.org/eng/interactive/vsme/vsme-standard-annex-i/2025-07-30-ec-rec/31" r:id="rId27"/>
    <hyperlink xmlns:r="http://schemas.openxmlformats.org/officeDocument/2006/relationships" ref="C72" display="https://knowledgehub.efrag.org/eng/interactive/vsme/vsme-standard-annex-i/2025-07-30-ec-rec/b4-pollution-of-air-water-and-soil" r:id="rId28"/>
    <hyperlink xmlns:r="http://schemas.openxmlformats.org/officeDocument/2006/relationships" ref="C73" display="46-69" r:id="rId29"/>
    <hyperlink xmlns:r="http://schemas.openxmlformats.org/officeDocument/2006/relationships" ref="C182" display="https://knowledgehub.efrag.org/eng/interactive/vsme/vsme-standard-annex-i/2025-07-30-ec-rec/33" r:id="rId30"/>
    <hyperlink xmlns:r="http://schemas.openxmlformats.org/officeDocument/2006/relationships" ref="C183" display="70-73" r:id="rId31"/>
    <hyperlink xmlns:r="http://schemas.openxmlformats.org/officeDocument/2006/relationships" ref="C290" display="https://knowledgehub.efrag.org/eng/interactive/vsme/vsme-standard-annex-i/2025-07-30-ec-rec/34" r:id="rId32"/>
    <hyperlink xmlns:r="http://schemas.openxmlformats.org/officeDocument/2006/relationships" ref="C291" display="74-76" r:id="rId33"/>
    <hyperlink xmlns:r="http://schemas.openxmlformats.org/officeDocument/2006/relationships" ref="C301" display="https://knowledgehub.efrag.org/eng/interactive/vsme/vsme-standard-annex-i/2025-07-30-ec-rec/35" r:id="rId34"/>
    <hyperlink xmlns:r="http://schemas.openxmlformats.org/officeDocument/2006/relationships" ref="C302" display="77-93" r:id="rId35"/>
    <hyperlink xmlns:r="http://schemas.openxmlformats.org/officeDocument/2006/relationships" ref="C307" display="https://knowledgehub.efrag.org/eng/interactive/vsme/vsme-standard-annex-i/2025-07-30-ec-rec/36" r:id="rId36"/>
    <hyperlink xmlns:r="http://schemas.openxmlformats.org/officeDocument/2006/relationships" ref="C308" display="77-90" r:id="rId37"/>
    <hyperlink xmlns:r="http://schemas.openxmlformats.org/officeDocument/2006/relationships" ref="C314" display="https://knowledgehub.efrag.org/eng/interactive/vsme/vsme-standard-annex-i/2025-07-30-ec-rec/37" r:id="rId38"/>
    <hyperlink xmlns:r="http://schemas.openxmlformats.org/officeDocument/2006/relationships" ref="C315" display="https://knowledgehub.efrag.org/eng/interactive/vsme/vsme-guidance-annex-ii/2025-07-30-ec-rec/94" r:id="rId39"/>
    <hyperlink xmlns:r="http://schemas.openxmlformats.org/officeDocument/2006/relationships" ref="C320" display="38(a) and 38(b)" r:id="rId40"/>
    <hyperlink xmlns:r="http://schemas.openxmlformats.org/officeDocument/2006/relationships" ref="C321" display="95-107" r:id="rId41"/>
    <hyperlink xmlns:r="http://schemas.openxmlformats.org/officeDocument/2006/relationships" ref="C431" display="38(c)" r:id="rId42"/>
    <hyperlink xmlns:r="http://schemas.openxmlformats.org/officeDocument/2006/relationships" ref="C432" display="108-109" r:id="rId43"/>
    <hyperlink xmlns:r="http://schemas.openxmlformats.org/officeDocument/2006/relationships" ref="A540" r:id="rId44"/>
    <hyperlink xmlns:r="http://schemas.openxmlformats.org/officeDocument/2006/relationships" ref="B540" r:id="rId45"/>
    <hyperlink xmlns:r="http://schemas.openxmlformats.org/officeDocument/2006/relationships" ref="A541" r:id="rId46"/>
    <hyperlink xmlns:r="http://schemas.openxmlformats.org/officeDocument/2006/relationships" ref="B541" r:id="rId47"/>
    <hyperlink xmlns:r="http://schemas.openxmlformats.org/officeDocument/2006/relationships" ref="A542" r:id="rId48"/>
    <hyperlink xmlns:r="http://schemas.openxmlformats.org/officeDocument/2006/relationships" ref="B542" r:id="rId49"/>
    <hyperlink xmlns:r="http://schemas.openxmlformats.org/officeDocument/2006/relationships" ref="A543" r:id="rId50"/>
    <hyperlink xmlns:r="http://schemas.openxmlformats.org/officeDocument/2006/relationships" ref="B543" r:id="rId51"/>
    <hyperlink xmlns:r="http://schemas.openxmlformats.org/officeDocument/2006/relationships" ref="A544" display="https://knowledgehub.efrag.org/eng/interactive/vsme/vsme-standard-annex-i/2025-07-30-ec-rec/58" r:id="rId52"/>
    <hyperlink xmlns:r="http://schemas.openxmlformats.org/officeDocument/2006/relationships" ref="B544" r:id="rId53"/>
    <hyperlink xmlns:r="http://schemas.openxmlformats.org/officeDocument/2006/relationships" ref="C547" display="https://knowledgehub.efrag.org/eng/interactive/vsme/vsme-standard-annex-i/2025-07-30-ec-rec/10" r:id="rId54"/>
  </hyperlinks>
  <pageMargins left="0.7" right="0.7" top="0.75" bottom="0.75" header="0.3" footer="0.3"/>
  <pageSetup orientation="portrait"/>
</worksheet>
</file>

<file path=xl/worksheets/sheet5.xml><?xml version="1.0" encoding="utf-8"?>
<worksheet xmlns="http://schemas.openxmlformats.org/spreadsheetml/2006/main">
  <sheetPr codeName="Sheet7">
    <outlinePr summaryBelow="1" summaryRight="1"/>
    <pageSetUpPr/>
  </sheetPr>
  <dimension ref="A1:V200"/>
  <sheetViews>
    <sheetView zoomScale="80" zoomScaleNormal="100" workbookViewId="0">
      <selection activeCell="C129" sqref="C129:D129"/>
    </sheetView>
  </sheetViews>
  <sheetFormatPr baseColWidth="8" defaultColWidth="8.88671875" defaultRowHeight="14.4" outlineLevelRow="1"/>
  <cols>
    <col width="10" bestFit="1" customWidth="1" style="1032" min="1" max="2"/>
    <col width="73.88671875" customWidth="1" style="1032" min="3" max="3"/>
    <col width="38.109375" customWidth="1" style="1032" min="4" max="4"/>
    <col width="27.88671875" customWidth="1" style="1032" min="5" max="5"/>
    <col width="8.88671875" customWidth="1" style="1032" min="6" max="7"/>
    <col width="23.33203125" customWidth="1" style="1032" min="8" max="8"/>
    <col width="21.33203125" bestFit="1" customWidth="1" style="1032" min="9" max="9"/>
    <col width="8.88671875" customWidth="1" style="1032" min="10" max="16384"/>
  </cols>
  <sheetData>
    <row r="1" ht="43.8" customHeight="1" thickBot="1">
      <c r="A1" s="227">
        <f>template_label_paragraph_reference</f>
        <v/>
      </c>
      <c r="B1" s="227">
        <f>template_label_paragraph_guidance_reference</f>
        <v/>
      </c>
    </row>
    <row r="2" ht="15" customHeight="1" thickBot="1">
      <c r="C2" s="1168">
        <f>template_label_employee_counting_methodology_for_the_disclosures_below_headcount_full_time_equivalent</f>
        <v/>
      </c>
      <c r="D2" s="1120" t="n"/>
      <c r="E2" s="1126" t="n"/>
      <c r="F2" s="883">
        <f>IF('General Information'!$E$284="","-",'General Information'!$E$284)</f>
        <v/>
      </c>
      <c r="G2" s="1120" t="n"/>
      <c r="H2" s="1121" t="n"/>
    </row>
    <row r="3" ht="15" customHeight="1" thickBot="1">
      <c r="C3" s="1168">
        <f>template_label_employee_counting_methodology_for_the_disclosures_below_period</f>
        <v/>
      </c>
      <c r="D3" s="1120" t="n"/>
      <c r="E3" s="1126" t="n"/>
      <c r="F3" s="1169">
        <f>IF('General Information'!$E$283="","-",'General Information'!$E$283)</f>
        <v/>
      </c>
      <c r="G3" s="1120" t="n"/>
      <c r="H3" s="1126" t="n"/>
    </row>
    <row r="5" ht="15" customHeight="1" thickBot="1"/>
    <row r="6" ht="15" customHeight="1" thickBot="1">
      <c r="C6" s="588">
        <f>template_label_b8_workforce_general_characteristics_type_of_contract&amp;" "&amp;template_label_always_to_be_reported</f>
        <v/>
      </c>
      <c r="D6" s="1120" t="n"/>
      <c r="E6" s="1120" t="n"/>
      <c r="F6" s="1120" t="n"/>
      <c r="G6" s="1121" t="n"/>
    </row>
    <row r="7">
      <c r="C7" s="553" t="inlineStr">
        <is>
          <t>39(a)</t>
        </is>
      </c>
      <c r="D7" s="508" t="n"/>
      <c r="E7" s="508" t="n"/>
      <c r="F7" s="508" t="n"/>
      <c r="G7" s="198" t="n"/>
    </row>
    <row r="8">
      <c r="C8" s="586" t="inlineStr">
        <is>
          <t>110-117</t>
        </is>
      </c>
      <c r="D8" s="1106" t="n"/>
      <c r="E8" s="1106" t="n"/>
      <c r="F8" s="1106" t="n"/>
      <c r="G8" s="199" t="n"/>
    </row>
    <row r="9">
      <c r="C9" s="430">
        <f>template_label_type_of_contract</f>
        <v/>
      </c>
      <c r="D9" s="888">
        <f>template_label_number_of_employees</f>
        <v/>
      </c>
      <c r="E9" s="1106" t="n"/>
      <c r="F9" s="1106" t="n"/>
      <c r="G9" s="199" t="n"/>
      <c r="H9" s="133" t="n"/>
    </row>
    <row r="10">
      <c r="C10" s="134">
        <f>template_label_permanent_contract</f>
        <v/>
      </c>
      <c r="D10" s="814" t="n">
        <v>110</v>
      </c>
      <c r="E10" s="1130" t="n"/>
      <c r="F10" s="1130" t="n"/>
      <c r="G10" s="1124" t="n"/>
      <c r="H10" s="890">
        <f>IF(OR(
'Table of Contents &amp; Validation'!D38=TRUE,'Table of Contents &amp; Validation'!D37=TRUE),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c r="C11" s="134">
        <f>template_label_temporary_contract</f>
        <v/>
      </c>
      <c r="D11" s="891" t="n"/>
      <c r="E11" s="1106" t="n"/>
      <c r="F11" s="1106" t="n"/>
      <c r="G11" s="199" t="n"/>
      <c r="H11" s="890" t="n"/>
    </row>
    <row r="12" ht="15" customHeight="1" thickBot="1">
      <c r="C12" s="901">
        <f>template_label_total_employees</f>
        <v/>
      </c>
      <c r="D12" s="893">
        <f>IF('General Information'!$E$282="", "-", VALUE(SUBSTITUTE('General Information'!$E$282, "-", "0")))</f>
        <v/>
      </c>
      <c r="E12" s="1140" t="n"/>
      <c r="F12" s="1140" t="n"/>
      <c r="G12" s="1125" t="n"/>
      <c r="H12" s="872" t="n"/>
    </row>
    <row r="13" ht="15" customHeight="1" thickBot="1"/>
    <row r="14" ht="15" customHeight="1" thickBot="1">
      <c r="C14" s="588">
        <f>template_label_b8_workforce_general_characteristics_gender&amp;" "&amp;template_label_always_to_be_reported</f>
        <v/>
      </c>
      <c r="D14" s="1120" t="n"/>
      <c r="E14" s="1120" t="n"/>
      <c r="F14" s="1120" t="n"/>
      <c r="G14" s="1121" t="n"/>
    </row>
    <row r="15">
      <c r="C15" s="553" t="inlineStr">
        <is>
          <t>39(b)</t>
        </is>
      </c>
      <c r="D15" s="508" t="n"/>
      <c r="E15" s="508" t="n"/>
      <c r="F15" s="508" t="n"/>
      <c r="G15" s="198" t="n"/>
    </row>
    <row r="16">
      <c r="C16" s="586" t="inlineStr">
        <is>
          <t>110-117</t>
        </is>
      </c>
      <c r="D16" s="1106" t="n"/>
      <c r="E16" s="1106" t="n"/>
      <c r="F16" s="1106" t="n"/>
      <c r="G16" s="199" t="n"/>
    </row>
    <row r="17">
      <c r="C17" s="430">
        <f>template_label_gender</f>
        <v/>
      </c>
      <c r="D17" s="888">
        <f>template_label_number_of_employees</f>
        <v/>
      </c>
      <c r="E17" s="1106" t="n"/>
      <c r="F17" s="1106" t="n"/>
      <c r="G17" s="199" t="n"/>
    </row>
    <row r="18">
      <c r="C18" s="134">
        <f>template_label_male</f>
        <v/>
      </c>
      <c r="D18" s="814" t="n">
        <v>55</v>
      </c>
      <c r="E18" s="1130" t="n"/>
      <c r="F18" s="1130" t="n"/>
      <c r="G18" s="1124" t="n"/>
      <c r="H18" s="890">
        <f>IF(OR(
'Table of Contents &amp; Validation'!D39=TRUE,'Table of Contents &amp; Validation'!D37=TRUE),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878">
        <f>template_label_number_of_employees_warning</f>
        <v/>
      </c>
    </row>
    <row r="19">
      <c r="C19" s="134">
        <f>template_label_female</f>
        <v/>
      </c>
      <c r="D19" s="814" t="n">
        <v>40</v>
      </c>
      <c r="E19" s="1130" t="n"/>
      <c r="F19" s="1130" t="n"/>
      <c r="G19" s="1124" t="n"/>
    </row>
    <row r="20">
      <c r="C20" s="134">
        <f>template_label_other</f>
        <v/>
      </c>
      <c r="D20" s="814" t="n">
        <v>5</v>
      </c>
      <c r="E20" s="1130" t="n"/>
      <c r="F20" s="1130" t="n"/>
      <c r="G20" s="1124" t="n"/>
    </row>
    <row r="21">
      <c r="C21" s="134">
        <f>template_label_not_reported</f>
        <v/>
      </c>
      <c r="D21" s="814" t="n">
        <v>51</v>
      </c>
      <c r="E21" s="1130" t="n"/>
      <c r="F21" s="1130" t="n"/>
      <c r="G21" s="1124" t="n"/>
    </row>
    <row r="22" ht="15" customHeight="1" thickBot="1">
      <c r="C22" s="901">
        <f>template_label_total_employees</f>
        <v/>
      </c>
      <c r="D22" s="893">
        <f>IF('General Information'!$E$282="","-",'General Information'!$E$282)</f>
        <v/>
      </c>
      <c r="E22" s="1140" t="n"/>
      <c r="F22" s="1140" t="n"/>
      <c r="G22" s="1125" t="n"/>
      <c r="H22" s="18" t="n"/>
    </row>
    <row r="23" ht="15" customHeight="1" thickBot="1"/>
    <row r="24" ht="15" customHeight="1" thickBot="1">
      <c r="C24" s="588">
        <f>template_label_b8_workforce_general_characteristics_country_of_employment&amp;" "&amp;template_label_if_applicable</f>
        <v/>
      </c>
      <c r="D24" s="1120" t="n"/>
      <c r="E24" s="1120" t="n"/>
      <c r="F24" s="1120" t="n"/>
      <c r="G24" s="1120" t="n"/>
      <c r="H24" s="1121" t="n"/>
    </row>
    <row r="25">
      <c r="C25" s="553" t="inlineStr">
        <is>
          <t>39(c)</t>
        </is>
      </c>
      <c r="D25" s="508" t="n"/>
      <c r="E25" s="508" t="n"/>
      <c r="F25" s="508" t="n"/>
      <c r="G25" s="508" t="n"/>
      <c r="H25" s="198" t="n"/>
    </row>
    <row r="26">
      <c r="C26" s="586" t="inlineStr">
        <is>
          <t>110-117</t>
        </is>
      </c>
      <c r="D26" s="1106" t="n"/>
      <c r="E26" s="1106" t="n"/>
      <c r="F26" s="1106" t="n"/>
      <c r="G26" s="1106" t="n"/>
      <c r="H26" s="199" t="n"/>
    </row>
    <row r="27">
      <c r="C27" s="895">
        <f>template_label_undertaking_operating_in_more_than_one_country</f>
        <v/>
      </c>
      <c r="D27" s="199" t="n"/>
      <c r="E27" s="684" t="b">
        <v>1</v>
      </c>
      <c r="F27" s="1130" t="n"/>
      <c r="G27" s="1130" t="n"/>
      <c r="H27" s="1124" t="n"/>
    </row>
    <row r="28">
      <c r="C28" s="853">
        <f>template_label_country_of_employment_contract</f>
        <v/>
      </c>
      <c r="D28" s="199" t="n"/>
      <c r="E28" s="888">
        <f>template_label_number_of_employees</f>
        <v/>
      </c>
      <c r="F28" s="1106" t="n"/>
      <c r="G28" s="1106" t="n"/>
      <c r="H28" s="199" t="n"/>
    </row>
    <row r="29" ht="14.7" customHeight="1">
      <c r="C29" s="854" t="inlineStr">
        <is>
          <t>Italy</t>
        </is>
      </c>
      <c r="D29" s="1124" t="n"/>
      <c r="E29" s="876" t="n">
        <v>140</v>
      </c>
      <c r="F29" s="1130" t="n"/>
      <c r="G29" s="1130" t="n"/>
      <c r="H29" s="1124" t="n"/>
      <c r="I29" s="890">
        <f>IF(
    AND(C29="", E29=""),
    "",
    IF(
        AND(C29&lt;&gt;"", E29=""),
        template_label_missing_value,
        IF(
            AND(C29&lt;&gt;"", E29&lt;&gt;""),
            IF(
                SUM($E$29:$E$128)&lt;$E$129,
                template_label_missing_value,
                IF(
                    COUNTIF($C$29:$C$128, C29) &gt; 1,
                    template_label_value_inconsistency,
                    template_label_ok
                )
            ),
            template_label_missing_value
        )
    )
)</f>
        <v/>
      </c>
      <c r="J29" s="879">
        <f>template_label_number_of_employees_warning</f>
        <v/>
      </c>
    </row>
    <row r="30">
      <c r="C30" s="854" t="inlineStr">
        <is>
          <t>Belgium</t>
        </is>
      </c>
      <c r="D30" s="1124" t="n"/>
      <c r="E30" s="876" t="n">
        <v>1</v>
      </c>
      <c r="F30" s="1130" t="n"/>
      <c r="G30" s="1130" t="n"/>
      <c r="H30" s="1124" t="n"/>
      <c r="I30" s="890">
        <f>IF(
AND(C30="", E30=""),
"",
IF(
AND(C30&lt;&gt;"", E30=""),
template_label_missing_value,
IF(
AND(C30&lt;&gt;"", E30&lt;&gt;""),
IF(
SUM($E$29:$E$128)&lt;$E$129,
template_label_missing_value,
IF(
COUNTIF($C$29:$C$128, C30) &gt; 1,
template_label_value_inconsistency,
template_label_ok)
),
template_label_missing_value)
)
)</f>
        <v/>
      </c>
    </row>
    <row r="31">
      <c r="C31" s="854" t="inlineStr">
        <is>
          <t>Albania</t>
        </is>
      </c>
      <c r="D31" s="1124" t="n"/>
      <c r="E31" s="876" t="n">
        <v>10</v>
      </c>
      <c r="F31" s="1130" t="n"/>
      <c r="G31" s="1130" t="n"/>
      <c r="H31" s="1124" t="n"/>
      <c r="I31" s="890">
        <f>IF(
AND(C31="", E31=""),
"",
IF(
AND(C31&lt;&gt;"", E31=""),
template_label_missing_value,
IF(
AND(C31&lt;&gt;"", E31&lt;&gt;""),
IF(
SUM($E$29:$E$128)&lt;$E$129,
template_label_missing_value,
IF(
COUNTIF($C$29:$C$128, C31) &gt; 1,
template_label_value_inconsistency,
template_label_ok)
),
template_label_missing_value)
)
)</f>
        <v/>
      </c>
      <c r="J31" s="1032">
        <f>template_label_additional_rows_warning</f>
        <v/>
      </c>
    </row>
    <row r="32" hidden="1" outlineLevel="1">
      <c r="C32" s="854" t="n"/>
      <c r="D32" s="1124" t="n"/>
      <c r="E32" s="876" t="n"/>
      <c r="F32" s="1130" t="n"/>
      <c r="G32" s="1130" t="n"/>
      <c r="H32" s="1124" t="n"/>
      <c r="I32" s="890">
        <f>IF(
AND(C32="", E32=""),
"",
IF(
AND(C32&lt;&gt;"", E32=""),
template_label_missing_value,
IF(
AND(C32&lt;&gt;"", E32&lt;&gt;""),
IF(
SUM($E$29:$E$128)&lt;$E$129,
template_label_missing_value,
IF(
COUNTIF($C$29:$C$128, C32) &gt; 1,
template_label_value_inconsistency,
template_label_ok)
),
template_label_missing_value)
)
)</f>
        <v/>
      </c>
    </row>
    <row r="33" hidden="1" outlineLevel="1">
      <c r="C33" s="854" t="n"/>
      <c r="D33" s="1124" t="n"/>
      <c r="E33" s="876" t="n"/>
      <c r="F33" s="1130" t="n"/>
      <c r="G33" s="1130" t="n"/>
      <c r="H33" s="1124" t="n"/>
      <c r="I33" s="890">
        <f>IF(
AND(C33="", E33=""),
"",
IF(
AND(C33&lt;&gt;"", E33=""),
template_label_missing_value,
IF(
AND(C33&lt;&gt;"", E33&lt;&gt;""),
IF(
SUM($E$29:$E$128)&lt;$E$129,
template_label_missing_value,
IF(
COUNTIF($C$29:$C$128, C33) &gt; 1,
template_label_value_inconsistency,
template_label_ok)
),
template_label_missing_value)
)
)</f>
        <v/>
      </c>
    </row>
    <row r="34" hidden="1" outlineLevel="1">
      <c r="C34" s="854" t="n"/>
      <c r="D34" s="1124" t="n"/>
      <c r="E34" s="876" t="n"/>
      <c r="F34" s="1130" t="n"/>
      <c r="G34" s="1130" t="n"/>
      <c r="H34" s="1124" t="n"/>
      <c r="I34" s="890">
        <f>IF(
AND(C34="", E34=""),
"",
IF(
AND(C34&lt;&gt;"", E34=""),
template_label_missing_value,
IF(
AND(C34&lt;&gt;"", E34&lt;&gt;""),
IF(
SUM($E$29:$E$128)&lt;$E$129,
template_label_missing_value,
IF(
COUNTIF($C$29:$C$128, C34) &gt; 1,
template_label_value_inconsistency,
template_label_ok)
),
template_label_missing_value)
)
)</f>
        <v/>
      </c>
    </row>
    <row r="35" hidden="1" outlineLevel="1">
      <c r="C35" s="854" t="n"/>
      <c r="D35" s="1124" t="n"/>
      <c r="E35" s="876" t="n"/>
      <c r="F35" s="1130" t="n"/>
      <c r="G35" s="1130" t="n"/>
      <c r="H35" s="1124" t="n"/>
      <c r="I35" s="890">
        <f>IF(
AND(C35="", E35=""),
"",
IF(
AND(C35&lt;&gt;"", E35=""),
template_label_missing_value,
IF(
AND(C35&lt;&gt;"", E35&lt;&gt;""),
IF(
SUM($E$29:$E$128)&lt;$E$129,
template_label_missing_value,
IF(
COUNTIF($C$29:$C$128, C35) &gt; 1,
template_label_value_inconsistency,
template_label_ok)
),
template_label_missing_value)
)
)</f>
        <v/>
      </c>
    </row>
    <row r="36" hidden="1" outlineLevel="1">
      <c r="C36" s="854" t="n"/>
      <c r="D36" s="1124" t="n"/>
      <c r="E36" s="876" t="n"/>
      <c r="F36" s="1130" t="n"/>
      <c r="G36" s="1130" t="n"/>
      <c r="H36" s="1124" t="n"/>
      <c r="I36" s="890">
        <f>IF(
AND(C36="", E36=""),
"",
IF(
AND(C36&lt;&gt;"", E36=""),
template_label_missing_value,
IF(
AND(C36&lt;&gt;"", E36&lt;&gt;""),
IF(
SUM($E$29:$E$128)&lt;$E$129,
template_label_missing_value,
IF(
COUNTIF($C$29:$C$128, C36) &gt; 1,
template_label_value_inconsistency,
template_label_ok)
),
template_label_missing_value)
)
)</f>
        <v/>
      </c>
    </row>
    <row r="37" hidden="1" outlineLevel="1">
      <c r="C37" s="854" t="n"/>
      <c r="D37" s="1124" t="n"/>
      <c r="E37" s="876" t="n"/>
      <c r="F37" s="1130" t="n"/>
      <c r="G37" s="1130" t="n"/>
      <c r="H37" s="1124" t="n"/>
      <c r="I37" s="890">
        <f>IF(
AND(C37="", E37=""),
"",
IF(
AND(C37&lt;&gt;"", E37=""),
template_label_missing_value,
IF(
AND(C37&lt;&gt;"", E37&lt;&gt;""),
IF(
SUM($E$29:$E$128)&lt;$E$129,
template_label_missing_value,
IF(
COUNTIF($C$29:$C$128, C37) &gt; 1,
template_label_value_inconsistency,
template_label_ok)
),
template_label_missing_value)
)
)</f>
        <v/>
      </c>
    </row>
    <row r="38" hidden="1" outlineLevel="1">
      <c r="C38" s="854" t="n"/>
      <c r="D38" s="1124" t="n"/>
      <c r="E38" s="876" t="n"/>
      <c r="F38" s="1130" t="n"/>
      <c r="G38" s="1130" t="n"/>
      <c r="H38" s="1124" t="n"/>
      <c r="I38" s="890">
        <f>IF(
AND(C38="", E38=""),
"",
IF(
AND(C38&lt;&gt;"", E38=""),
template_label_missing_value,
IF(
AND(C38&lt;&gt;"", E38&lt;&gt;""),
IF(
SUM($E$29:$E$128)&lt;$E$129,
template_label_missing_value,
IF(
COUNTIF($C$29:$C$128, C38) &gt; 1,
template_label_value_inconsistency,
template_label_ok)
),
template_label_missing_value)
)
)</f>
        <v/>
      </c>
    </row>
    <row r="39" hidden="1" outlineLevel="1">
      <c r="C39" s="854" t="n"/>
      <c r="D39" s="1124" t="n"/>
      <c r="E39" s="876" t="n"/>
      <c r="F39" s="1130" t="n"/>
      <c r="G39" s="1130" t="n"/>
      <c r="H39" s="1124" t="n"/>
      <c r="I39" s="890">
        <f>IF(
AND(C39="", E39=""),
"",
IF(
AND(C39&lt;&gt;"", E39=""),
template_label_missing_value,
IF(
AND(C39&lt;&gt;"", E39&lt;&gt;""),
IF(
SUM($E$29:$E$128)&lt;$E$129,
template_label_missing_value,
IF(
COUNTIF($C$29:$C$128, C39) &gt; 1,
template_label_value_inconsistency,
template_label_ok)
),
template_label_missing_value)
)
)</f>
        <v/>
      </c>
    </row>
    <row r="40" hidden="1" outlineLevel="1">
      <c r="C40" s="854" t="n"/>
      <c r="D40" s="1124" t="n"/>
      <c r="E40" s="876" t="n"/>
      <c r="F40" s="1130" t="n"/>
      <c r="G40" s="1130" t="n"/>
      <c r="H40" s="1124" t="n"/>
      <c r="I40" s="890">
        <f>IF(
AND(C40="", E40=""),
"",
IF(
AND(C40&lt;&gt;"", E40=""),
template_label_missing_value,
IF(
AND(C40&lt;&gt;"", E40&lt;&gt;""),
IF(
SUM($E$29:$E$128)&lt;$E$129,
template_label_missing_value,
IF(
COUNTIF($C$29:$C$128, C40) &gt; 1,
template_label_value_inconsistency,
template_label_ok)
),
template_label_missing_value)
)
)</f>
        <v/>
      </c>
    </row>
    <row r="41" hidden="1" outlineLevel="1">
      <c r="C41" s="854" t="n"/>
      <c r="D41" s="1124" t="n"/>
      <c r="E41" s="876" t="n"/>
      <c r="F41" s="1130" t="n"/>
      <c r="G41" s="1130" t="n"/>
      <c r="H41" s="1124" t="n"/>
      <c r="I41" s="890">
        <f>IF(
AND(C41="", E41=""),
"",
IF(
AND(C41&lt;&gt;"", E41=""),
template_label_missing_value,
IF(
AND(C41&lt;&gt;"", E41&lt;&gt;""),
IF(
SUM($E$29:$E$128)&lt;$E$129,
template_label_missing_value,
IF(
COUNTIF($C$29:$C$128, C41) &gt; 1,
template_label_value_inconsistency,
template_label_ok)
),
template_label_missing_value)
)
)</f>
        <v/>
      </c>
    </row>
    <row r="42" hidden="1" outlineLevel="1">
      <c r="C42" s="854" t="n"/>
      <c r="D42" s="1124" t="n"/>
      <c r="E42" s="876" t="n"/>
      <c r="F42" s="1130" t="n"/>
      <c r="G42" s="1130" t="n"/>
      <c r="H42" s="1124" t="n"/>
      <c r="I42" s="890">
        <f>IF(
AND(C42="", E42=""),
"",
IF(
AND(C42&lt;&gt;"", E42=""),
template_label_missing_value,
IF(
AND(C42&lt;&gt;"", E42&lt;&gt;""),
IF(
SUM($E$29:$E$128)&lt;$E$129,
template_label_missing_value,
IF(
COUNTIF($C$29:$C$128, C42) &gt; 1,
template_label_value_inconsistency,
template_label_ok)
),
template_label_missing_value)
)
)</f>
        <v/>
      </c>
    </row>
    <row r="43" hidden="1" outlineLevel="1">
      <c r="C43" s="854" t="n"/>
      <c r="D43" s="1124" t="n"/>
      <c r="E43" s="876" t="n"/>
      <c r="F43" s="1130" t="n"/>
      <c r="G43" s="1130" t="n"/>
      <c r="H43" s="1124" t="n"/>
      <c r="I43" s="890">
        <f>IF(
AND(C43="", E43=""),
"",
IF(
AND(C43&lt;&gt;"", E43=""),
template_label_missing_value,
IF(
AND(C43&lt;&gt;"", E43&lt;&gt;""),
IF(
SUM($E$29:$E$128)&lt;$E$129,
template_label_missing_value,
IF(
COUNTIF($C$29:$C$128, C43) &gt; 1,
template_label_value_inconsistency,
template_label_ok)
),
template_label_missing_value)
)
)</f>
        <v/>
      </c>
    </row>
    <row r="44" hidden="1" outlineLevel="1">
      <c r="C44" s="854" t="n"/>
      <c r="D44" s="1124" t="n"/>
      <c r="E44" s="876" t="n"/>
      <c r="F44" s="1130" t="n"/>
      <c r="G44" s="1130" t="n"/>
      <c r="H44" s="1124" t="n"/>
      <c r="I44" s="890">
        <f>IF(
AND(C44="", E44=""),
"",
IF(
AND(C44&lt;&gt;"", E44=""),
template_label_missing_value,
IF(
AND(C44&lt;&gt;"", E44&lt;&gt;""),
IF(
SUM($E$29:$E$128)&lt;$E$129,
template_label_missing_value,
IF(
COUNTIF($C$29:$C$128, C44) &gt; 1,
template_label_value_inconsistency,
template_label_ok)
),
template_label_missing_value)
)
)</f>
        <v/>
      </c>
    </row>
    <row r="45" hidden="1" outlineLevel="1">
      <c r="C45" s="854" t="n"/>
      <c r="D45" s="1124" t="n"/>
      <c r="E45" s="876" t="n"/>
      <c r="F45" s="1130" t="n"/>
      <c r="G45" s="1130" t="n"/>
      <c r="H45" s="1124" t="n"/>
      <c r="I45" s="890">
        <f>IF(
AND(C45="", E45=""),
"",
IF(
AND(C45&lt;&gt;"", E45=""),
template_label_missing_value,
IF(
AND(C45&lt;&gt;"", E45&lt;&gt;""),
IF(
SUM($E$29:$E$128)&lt;$E$129,
template_label_missing_value,
IF(
COUNTIF($C$29:$C$128, C45) &gt; 1,
template_label_value_inconsistency,
template_label_ok)
),
template_label_missing_value)
)
)</f>
        <v/>
      </c>
    </row>
    <row r="46" hidden="1" outlineLevel="1">
      <c r="C46" s="854" t="n"/>
      <c r="D46" s="1124" t="n"/>
      <c r="E46" s="876" t="n"/>
      <c r="F46" s="1130" t="n"/>
      <c r="G46" s="1130" t="n"/>
      <c r="H46" s="1124" t="n"/>
      <c r="I46" s="890">
        <f>IF(
AND(C46="", E46=""),
"",
IF(
AND(C46&lt;&gt;"", E46=""),
template_label_missing_value,
IF(
AND(C46&lt;&gt;"", E46&lt;&gt;""),
IF(
SUM($E$29:$E$128)&lt;$E$129,
template_label_missing_value,
IF(
COUNTIF($C$29:$C$128, C46) &gt; 1,
template_label_value_inconsistency,
template_label_ok)
),
template_label_missing_value)
)
)</f>
        <v/>
      </c>
    </row>
    <row r="47" hidden="1" outlineLevel="1">
      <c r="C47" s="854" t="n"/>
      <c r="D47" s="1124" t="n"/>
      <c r="E47" s="876" t="n"/>
      <c r="F47" s="1130" t="n"/>
      <c r="G47" s="1130" t="n"/>
      <c r="H47" s="1124" t="n"/>
      <c r="I47" s="890">
        <f>IF(
AND(C47="", E47=""),
"",
IF(
AND(C47&lt;&gt;"", E47=""),
template_label_missing_value,
IF(
AND(C47&lt;&gt;"", E47&lt;&gt;""),
IF(
SUM($E$29:$E$128)&lt;$E$129,
template_label_missing_value,
IF(
COUNTIF($C$29:$C$128, C47) &gt; 1,
template_label_value_inconsistency,
template_label_ok)
),
template_label_missing_value)
)
)</f>
        <v/>
      </c>
    </row>
    <row r="48" hidden="1" outlineLevel="1">
      <c r="C48" s="854" t="n"/>
      <c r="D48" s="1124" t="n"/>
      <c r="E48" s="876" t="n"/>
      <c r="F48" s="1130" t="n"/>
      <c r="G48" s="1130" t="n"/>
      <c r="H48" s="1124" t="n"/>
      <c r="I48" s="890">
        <f>IF(
AND(C48="", E48=""),
"",
IF(
AND(C48&lt;&gt;"", E48=""),
template_label_missing_value,
IF(
AND(C48&lt;&gt;"", E48&lt;&gt;""),
IF(
SUM($E$29:$E$128)&lt;$E$129,
template_label_missing_value,
IF(
COUNTIF($C$29:$C$128, C48) &gt; 1,
template_label_value_inconsistency,
template_label_ok)
),
template_label_missing_value)
)
)</f>
        <v/>
      </c>
    </row>
    <row r="49" hidden="1" outlineLevel="1">
      <c r="C49" s="854" t="n"/>
      <c r="D49" s="1124" t="n"/>
      <c r="E49" s="876" t="n"/>
      <c r="F49" s="1130" t="n"/>
      <c r="G49" s="1130" t="n"/>
      <c r="H49" s="1124" t="n"/>
      <c r="I49" s="890">
        <f>IF(
AND(C49="", E49=""),
"",
IF(
AND(C49&lt;&gt;"", E49=""),
template_label_missing_value,
IF(
AND(C49&lt;&gt;"", E49&lt;&gt;""),
IF(
SUM($E$29:$E$128)&lt;$E$129,
template_label_missing_value,
IF(
COUNTIF($C$29:$C$128, C49) &gt; 1,
template_label_value_inconsistency,
template_label_ok)
),
template_label_missing_value)
)
)</f>
        <v/>
      </c>
    </row>
    <row r="50" hidden="1" outlineLevel="1">
      <c r="C50" s="854" t="n"/>
      <c r="D50" s="1124" t="n"/>
      <c r="E50" s="876" t="n"/>
      <c r="F50" s="1130" t="n"/>
      <c r="G50" s="1130" t="n"/>
      <c r="H50" s="1124" t="n"/>
      <c r="I50" s="890">
        <f>IF(
AND(C50="", E50=""),
"",
IF(
AND(C50&lt;&gt;"", E50=""),
template_label_missing_value,
IF(
AND(C50&lt;&gt;"", E50&lt;&gt;""),
IF(
SUM($E$29:$E$128)&lt;$E$129,
template_label_missing_value,
IF(
COUNTIF($C$29:$C$128, C50) &gt; 1,
template_label_value_inconsistency,
template_label_ok)
),
template_label_missing_value)
)
)</f>
        <v/>
      </c>
    </row>
    <row r="51" hidden="1" outlineLevel="1">
      <c r="C51" s="854" t="n"/>
      <c r="D51" s="1124" t="n"/>
      <c r="E51" s="876" t="n"/>
      <c r="F51" s="1130" t="n"/>
      <c r="G51" s="1130" t="n"/>
      <c r="H51" s="1124" t="n"/>
      <c r="I51" s="890">
        <f>IF(
AND(C51="", E51=""),
"",
IF(
AND(C51&lt;&gt;"", E51=""),
template_label_missing_value,
IF(
AND(C51&lt;&gt;"", E51&lt;&gt;""),
IF(
SUM($E$29:$E$128)&lt;$E$129,
template_label_missing_value,
IF(
COUNTIF($C$29:$C$128, C51) &gt; 1,
template_label_value_inconsistency,
template_label_ok)
),
template_label_missing_value)
)
)</f>
        <v/>
      </c>
    </row>
    <row r="52" hidden="1" outlineLevel="1">
      <c r="C52" s="854" t="n"/>
      <c r="D52" s="1124" t="n"/>
      <c r="E52" s="876" t="n"/>
      <c r="F52" s="1130" t="n"/>
      <c r="G52" s="1130" t="n"/>
      <c r="H52" s="1124" t="n"/>
      <c r="I52" s="890">
        <f>IF(
AND(C52="", E52=""),
"",
IF(
AND(C52&lt;&gt;"", E52=""),
template_label_missing_value,
IF(
AND(C52&lt;&gt;"", E52&lt;&gt;""),
IF(
SUM($E$29:$E$128)&lt;$E$129,
template_label_missing_value,
IF(
COUNTIF($C$29:$C$128, C52) &gt; 1,
template_label_value_inconsistency,
template_label_ok)
),
template_label_missing_value)
)
)</f>
        <v/>
      </c>
    </row>
    <row r="53" hidden="1" outlineLevel="1">
      <c r="C53" s="854" t="n"/>
      <c r="D53" s="1124" t="n"/>
      <c r="E53" s="876" t="n"/>
      <c r="F53" s="1130" t="n"/>
      <c r="G53" s="1130" t="n"/>
      <c r="H53" s="1124" t="n"/>
      <c r="I53" s="890">
        <f>IF(
AND(C53="", E53=""),
"",
IF(
AND(C53&lt;&gt;"", E53=""),
template_label_missing_value,
IF(
AND(C53&lt;&gt;"", E53&lt;&gt;""),
IF(
SUM($E$29:$E$128)&lt;$E$129,
template_label_missing_value,
IF(
COUNTIF($C$29:$C$128, C53) &gt; 1,
template_label_value_inconsistency,
template_label_ok)
),
template_label_missing_value)
)
)</f>
        <v/>
      </c>
    </row>
    <row r="54" hidden="1" outlineLevel="1">
      <c r="C54" s="854" t="n"/>
      <c r="D54" s="1124" t="n"/>
      <c r="E54" s="876" t="n"/>
      <c r="F54" s="1130" t="n"/>
      <c r="G54" s="1130" t="n"/>
      <c r="H54" s="1124" t="n"/>
      <c r="I54" s="890">
        <f>IF(
AND(C54="", E54=""),
"",
IF(
AND(C54&lt;&gt;"", E54=""),
template_label_missing_value,
IF(
AND(C54&lt;&gt;"", E54&lt;&gt;""),
IF(
SUM($E$29:$E$128)&lt;$E$129,
template_label_missing_value,
IF(
COUNTIF($C$29:$C$128, C54) &gt; 1,
template_label_value_inconsistency,
template_label_ok)
),
template_label_missing_value)
)
)</f>
        <v/>
      </c>
    </row>
    <row r="55" hidden="1" outlineLevel="1">
      <c r="C55" s="854" t="n"/>
      <c r="D55" s="1124" t="n"/>
      <c r="E55" s="876" t="n"/>
      <c r="F55" s="1130" t="n"/>
      <c r="G55" s="1130" t="n"/>
      <c r="H55" s="1124" t="n"/>
      <c r="I55" s="890">
        <f>IF(
AND(C55="", E55=""),
"",
IF(
AND(C55&lt;&gt;"", E55=""),
template_label_missing_value,
IF(
AND(C55&lt;&gt;"", E55&lt;&gt;""),
IF(
SUM($E$29:$E$128)&lt;$E$129,
template_label_missing_value,
IF(
COUNTIF($C$29:$C$128, C55) &gt; 1,
template_label_value_inconsistency,
template_label_ok)
),
template_label_missing_value)
)
)</f>
        <v/>
      </c>
    </row>
    <row r="56" hidden="1" outlineLevel="1">
      <c r="C56" s="854" t="n"/>
      <c r="D56" s="1124" t="n"/>
      <c r="E56" s="876" t="n"/>
      <c r="F56" s="1130" t="n"/>
      <c r="G56" s="1130" t="n"/>
      <c r="H56" s="1124" t="n"/>
      <c r="I56" s="890">
        <f>IF(
AND(C56="", E56=""),
"",
IF(
AND(C56&lt;&gt;"", E56=""),
template_label_missing_value,
IF(
AND(C56&lt;&gt;"", E56&lt;&gt;""),
IF(
SUM($E$29:$E$128)&lt;$E$129,
template_label_missing_value,
IF(
COUNTIF($C$29:$C$128, C56) &gt; 1,
template_label_value_inconsistency,
template_label_ok)
),
template_label_missing_value)
)
)</f>
        <v/>
      </c>
    </row>
    <row r="57" hidden="1" outlineLevel="1">
      <c r="C57" s="854" t="n"/>
      <c r="D57" s="1124" t="n"/>
      <c r="E57" s="876" t="n"/>
      <c r="F57" s="1130" t="n"/>
      <c r="G57" s="1130" t="n"/>
      <c r="H57" s="1124" t="n"/>
      <c r="I57" s="890">
        <f>IF(
AND(C57="", E57=""),
"",
IF(
AND(C57&lt;&gt;"", E57=""),
template_label_missing_value,
IF(
AND(C57&lt;&gt;"", E57&lt;&gt;""),
IF(
SUM($E$29:$E$128)&lt;$E$129,
template_label_missing_value,
IF(
COUNTIF($C$29:$C$128, C57) &gt; 1,
template_label_value_inconsistency,
template_label_ok)
),
template_label_missing_value)
)
)</f>
        <v/>
      </c>
    </row>
    <row r="58" hidden="1" outlineLevel="1">
      <c r="C58" s="854" t="n"/>
      <c r="D58" s="1124" t="n"/>
      <c r="E58" s="876" t="n"/>
      <c r="F58" s="1130" t="n"/>
      <c r="G58" s="1130" t="n"/>
      <c r="H58" s="1124" t="n"/>
      <c r="I58" s="890">
        <f>IF(
AND(C58="", E58=""),
"",
IF(
AND(C58&lt;&gt;"", E58=""),
template_label_missing_value,
IF(
AND(C58&lt;&gt;"", E58&lt;&gt;""),
IF(
SUM($E$29:$E$128)&lt;$E$129,
template_label_missing_value,
IF(
COUNTIF($C$29:$C$128, C58) &gt; 1,
template_label_value_inconsistency,
template_label_ok)
),
template_label_missing_value)
)
)</f>
        <v/>
      </c>
    </row>
    <row r="59" hidden="1" outlineLevel="1">
      <c r="C59" s="854" t="n"/>
      <c r="D59" s="1124" t="n"/>
      <c r="E59" s="876" t="n"/>
      <c r="F59" s="1130" t="n"/>
      <c r="G59" s="1130" t="n"/>
      <c r="H59" s="1124" t="n"/>
      <c r="I59" s="890">
        <f>IF(
AND(C59="", E59=""),
"",
IF(
AND(C59&lt;&gt;"", E59=""),
template_label_missing_value,
IF(
AND(C59&lt;&gt;"", E59&lt;&gt;""),
IF(
SUM($E$29:$E$128)&lt;$E$129,
template_label_missing_value,
IF(
COUNTIF($C$29:$C$128, C59) &gt; 1,
template_label_value_inconsistency,
template_label_ok)
),
template_label_missing_value)
)
)</f>
        <v/>
      </c>
    </row>
    <row r="60" hidden="1" outlineLevel="1">
      <c r="C60" s="854" t="n"/>
      <c r="D60" s="1124" t="n"/>
      <c r="E60" s="876" t="n"/>
      <c r="F60" s="1130" t="n"/>
      <c r="G60" s="1130" t="n"/>
      <c r="H60" s="1124" t="n"/>
      <c r="I60" s="890">
        <f>IF(
AND(C60="", E60=""),
"",
IF(
AND(C60&lt;&gt;"", E60=""),
template_label_missing_value,
IF(
AND(C60&lt;&gt;"", E60&lt;&gt;""),
IF(
SUM($E$29:$E$128)&lt;$E$129,
template_label_missing_value,
IF(
COUNTIF($C$29:$C$128, C60) &gt; 1,
template_label_value_inconsistency,
template_label_ok)
),
template_label_missing_value)
)
)</f>
        <v/>
      </c>
    </row>
    <row r="61" hidden="1" outlineLevel="1">
      <c r="C61" s="854" t="n"/>
      <c r="D61" s="1124" t="n"/>
      <c r="E61" s="876" t="n"/>
      <c r="F61" s="1130" t="n"/>
      <c r="G61" s="1130" t="n"/>
      <c r="H61" s="1124" t="n"/>
      <c r="I61" s="890">
        <f>IF(
    AND(C61="", E61=""),
    "",
    IF(
        AND(C61&lt;&gt;"", E61=""),
        template_label_missing_value,
        IF(
            AND(C61&lt;&gt;"", E61&lt;&gt;""),
            IF(
                SUM($E$29:$E$128)&lt;$E$129,
                template_label_missing_value,
                IF(
                    COUNTIF($C$29:$C$128, C61) &gt; 1,
                    template_label_value_inconsistency,
                    template_label_ok
                )
            ),
            template_label_missing_value
        )
    )
)</f>
        <v/>
      </c>
    </row>
    <row r="62" hidden="1" outlineLevel="1">
      <c r="C62" s="854" t="n"/>
      <c r="D62" s="1124" t="n"/>
      <c r="E62" s="876" t="n"/>
      <c r="F62" s="1130" t="n"/>
      <c r="G62" s="1130" t="n"/>
      <c r="H62" s="1124" t="n"/>
      <c r="I62" s="890">
        <f>IF(
AND(C62="", E62=""),
"",
IF(
AND(C62&lt;&gt;"", E62=""),
template_label_missing_value,
IF(
AND(C62&lt;&gt;"", E62&lt;&gt;""),
IF(
SUM($E$29:$E$128)&lt;$E$129,
template_label_missing_value,
IF(
COUNTIF($C$29:$C$128, C62) &gt; 1,
template_label_value_inconsistency,
template_label_ok)
),
template_label_missing_value)
)
)</f>
        <v/>
      </c>
    </row>
    <row r="63" hidden="1" outlineLevel="1">
      <c r="C63" s="854" t="n"/>
      <c r="D63" s="1124" t="n"/>
      <c r="E63" s="876" t="n"/>
      <c r="F63" s="1130" t="n"/>
      <c r="G63" s="1130" t="n"/>
      <c r="H63" s="1124" t="n"/>
      <c r="I63" s="890">
        <f>IF(
AND(C63="", E63=""),
"",
IF(
AND(C63&lt;&gt;"", E63=""),
template_label_missing_value,
IF(
AND(C63&lt;&gt;"", E63&lt;&gt;""),
IF(
SUM($E$29:$E$128)&lt;$E$129,
template_label_missing_value,
IF(
COUNTIF($C$29:$C$128, C63) &gt; 1,
template_label_value_inconsistency,
template_label_ok)
),
template_label_missing_value)
)
)</f>
        <v/>
      </c>
    </row>
    <row r="64" hidden="1" outlineLevel="1">
      <c r="C64" s="854" t="n"/>
      <c r="D64" s="1124" t="n"/>
      <c r="E64" s="876" t="n"/>
      <c r="F64" s="1130" t="n"/>
      <c r="G64" s="1130" t="n"/>
      <c r="H64" s="1124" t="n"/>
      <c r="I64" s="890">
        <f>IF(
AND(C64="", E64=""),
"",
IF(
AND(C64&lt;&gt;"", E64=""),
template_label_missing_value,
IF(
AND(C64&lt;&gt;"", E64&lt;&gt;""),
IF(
SUM($E$29:$E$128)&lt;$E$129,
template_label_missing_value,
IF(
COUNTIF($C$29:$C$128, C64) &gt; 1,
template_label_value_inconsistency,
template_label_ok)
),
template_label_missing_value)
)
)</f>
        <v/>
      </c>
    </row>
    <row r="65" hidden="1" outlineLevel="1">
      <c r="C65" s="854" t="n"/>
      <c r="D65" s="1124" t="n"/>
      <c r="E65" s="876" t="n"/>
      <c r="F65" s="1130" t="n"/>
      <c r="G65" s="1130" t="n"/>
      <c r="H65" s="1124" t="n"/>
      <c r="I65" s="890">
        <f>IF(
AND(C65="", E65=""),
"",
IF(
AND(C65&lt;&gt;"", E65=""),
template_label_missing_value,
IF(
AND(C65&lt;&gt;"", E65&lt;&gt;""),
IF(
SUM($E$29:$E$128)&lt;$E$129,
template_label_missing_value,
IF(
COUNTIF($C$29:$C$128, C65) &gt; 1,
template_label_value_inconsistency,
template_label_ok)
),
template_label_missing_value)
)
)</f>
        <v/>
      </c>
    </row>
    <row r="66" hidden="1" outlineLevel="1">
      <c r="C66" s="854" t="n"/>
      <c r="D66" s="1124" t="n"/>
      <c r="E66" s="876" t="n"/>
      <c r="F66" s="1130" t="n"/>
      <c r="G66" s="1130" t="n"/>
      <c r="H66" s="1124" t="n"/>
      <c r="I66" s="890">
        <f>IF(
AND(C66="", E66=""),
"",
IF(
AND(C66&lt;&gt;"", E66=""),
template_label_missing_value,
IF(
AND(C66&lt;&gt;"", E66&lt;&gt;""),
IF(
SUM($E$29:$E$128)&lt;$E$129,
template_label_missing_value,
IF(
COUNTIF($C$29:$C$128, C66) &gt; 1,
template_label_value_inconsistency,
template_label_ok)
),
template_label_missing_value)
)
)</f>
        <v/>
      </c>
    </row>
    <row r="67" hidden="1" outlineLevel="1">
      <c r="C67" s="854" t="n"/>
      <c r="D67" s="1124" t="n"/>
      <c r="E67" s="876" t="n"/>
      <c r="F67" s="1130" t="n"/>
      <c r="G67" s="1130" t="n"/>
      <c r="H67" s="1124" t="n"/>
      <c r="I67" s="890">
        <f>IF(
AND(C67="", E67=""),
"",
IF(
AND(C67&lt;&gt;"", E67=""),
template_label_missing_value,
IF(
AND(C67&lt;&gt;"", E67&lt;&gt;""),
IF(
SUM($E$29:$E$128)&lt;$E$129,
template_label_missing_value,
IF(
COUNTIF($C$29:$C$128, C67) &gt; 1,
template_label_value_inconsistency,
template_label_ok)
),
template_label_missing_value)
)
)</f>
        <v/>
      </c>
    </row>
    <row r="68" hidden="1" outlineLevel="1">
      <c r="C68" s="854" t="n"/>
      <c r="D68" s="1124" t="n"/>
      <c r="E68" s="876" t="n"/>
      <c r="F68" s="1130" t="n"/>
      <c r="G68" s="1130" t="n"/>
      <c r="H68" s="1124" t="n"/>
      <c r="I68" s="890">
        <f>IF(
AND(C68="", E68=""),
"",
IF(
AND(C68&lt;&gt;"", E68=""),
template_label_missing_value,
IF(
AND(C68&lt;&gt;"", E68&lt;&gt;""),
IF(
SUM($E$29:$E$128)&lt;$E$129,
template_label_missing_value,
IF(
COUNTIF($C$29:$C$128, C68) &gt; 1,
template_label_value_inconsistency,
template_label_ok)
),
template_label_missing_value)
)
)</f>
        <v/>
      </c>
    </row>
    <row r="69" hidden="1" outlineLevel="1">
      <c r="C69" s="854" t="n"/>
      <c r="D69" s="1124" t="n"/>
      <c r="E69" s="876" t="n"/>
      <c r="F69" s="1130" t="n"/>
      <c r="G69" s="1130" t="n"/>
      <c r="H69" s="1124" t="n"/>
      <c r="I69" s="890">
        <f>IF(
AND(C69="", E69=""),
"",
IF(
AND(C69&lt;&gt;"", E69=""),
template_label_missing_value,
IF(
AND(C69&lt;&gt;"", E69&lt;&gt;""),
IF(
SUM($E$29:$E$128)&lt;$E$129,
template_label_missing_value,
IF(
COUNTIF($C$29:$C$128, C69) &gt; 1,
template_label_value_inconsistency,
template_label_ok)
),
template_label_missing_value)
)
)</f>
        <v/>
      </c>
    </row>
    <row r="70" hidden="1" outlineLevel="1">
      <c r="C70" s="854" t="n"/>
      <c r="D70" s="1124" t="n"/>
      <c r="E70" s="876" t="n"/>
      <c r="F70" s="1130" t="n"/>
      <c r="G70" s="1130" t="n"/>
      <c r="H70" s="1124" t="n"/>
      <c r="I70" s="890">
        <f>IF(
AND(C70="", E70=""),
"",
IF(
AND(C70&lt;&gt;"", E70=""),
template_label_missing_value,
IF(
AND(C70&lt;&gt;"", E70&lt;&gt;""),
IF(
SUM($E$29:$E$128)&lt;$E$129,
template_label_missing_value,
IF(
COUNTIF($C$29:$C$128, C70) &gt; 1,
template_label_value_inconsistency,
template_label_ok)
),
template_label_missing_value)
)
)</f>
        <v/>
      </c>
    </row>
    <row r="71" hidden="1" outlineLevel="1">
      <c r="C71" s="854" t="n"/>
      <c r="D71" s="1124" t="n"/>
      <c r="E71" s="876" t="n"/>
      <c r="F71" s="1130" t="n"/>
      <c r="G71" s="1130" t="n"/>
      <c r="H71" s="1124" t="n"/>
      <c r="I71" s="890">
        <f>IF(
AND(C71="", E71=""),
"",
IF(
AND(C71&lt;&gt;"", E71=""),
template_label_missing_value,
IF(
AND(C71&lt;&gt;"", E71&lt;&gt;""),
IF(
SUM($E$29:$E$128)&lt;$E$129,
template_label_missing_value,
IF(
COUNTIF($C$29:$C$128, C71) &gt; 1,
template_label_value_inconsistency,
template_label_ok)
),
template_label_missing_value)
)
)</f>
        <v/>
      </c>
    </row>
    <row r="72" hidden="1" outlineLevel="1">
      <c r="C72" s="854" t="n"/>
      <c r="D72" s="1124" t="n"/>
      <c r="E72" s="876" t="n"/>
      <c r="F72" s="1130" t="n"/>
      <c r="G72" s="1130" t="n"/>
      <c r="H72" s="1124" t="n"/>
      <c r="I72" s="890">
        <f>IF(
AND(C72="", E72=""),
"",
IF(
AND(C72&lt;&gt;"", E72=""),
template_label_missing_value,
IF(
AND(C72&lt;&gt;"", E72&lt;&gt;""),
IF(
SUM($E$29:$E$128)&lt;$E$129,
template_label_missing_value,
IF(
COUNTIF($C$29:$C$128, C72) &gt; 1,
template_label_value_inconsistency,
template_label_ok)
),
template_label_missing_value)
)
)</f>
        <v/>
      </c>
    </row>
    <row r="73" hidden="1" outlineLevel="1">
      <c r="C73" s="854" t="n"/>
      <c r="D73" s="1124" t="n"/>
      <c r="E73" s="876" t="n"/>
      <c r="F73" s="1130" t="n"/>
      <c r="G73" s="1130" t="n"/>
      <c r="H73" s="1124" t="n"/>
      <c r="I73" s="890">
        <f>IF(
AND(C73="", E73=""),
"",
IF(
AND(C73&lt;&gt;"", E73=""),
template_label_missing_value,
IF(
AND(C73&lt;&gt;"", E73&lt;&gt;""),
IF(
SUM($E$29:$E$128)&lt;$E$129,
template_label_missing_value,
IF(
COUNTIF($C$29:$C$128, C73) &gt; 1,
template_label_value_inconsistency,
template_label_ok)
),
template_label_missing_value)
)
)</f>
        <v/>
      </c>
    </row>
    <row r="74" hidden="1" outlineLevel="1">
      <c r="C74" s="854" t="n"/>
      <c r="D74" s="1124" t="n"/>
      <c r="E74" s="876" t="n"/>
      <c r="F74" s="1130" t="n"/>
      <c r="G74" s="1130" t="n"/>
      <c r="H74" s="1124" t="n"/>
      <c r="I74" s="890">
        <f>IF(
AND(C74="", E74=""),
"",
IF(
AND(C74&lt;&gt;"", E74=""),
template_label_missing_value,
IF(
AND(C74&lt;&gt;"", E74&lt;&gt;""),
IF(
SUM($E$29:$E$128)&lt;$E$129,
template_label_missing_value,
IF(
COUNTIF($C$29:$C$128, C74) &gt; 1,
template_label_value_inconsistency,
template_label_ok)
),
template_label_missing_value)
)
)</f>
        <v/>
      </c>
    </row>
    <row r="75" hidden="1" outlineLevel="1">
      <c r="C75" s="854" t="n"/>
      <c r="D75" s="1124" t="n"/>
      <c r="E75" s="876" t="n"/>
      <c r="F75" s="1130" t="n"/>
      <c r="G75" s="1130" t="n"/>
      <c r="H75" s="1124" t="n"/>
      <c r="I75" s="890">
        <f>IF(
AND(C75="", E75=""),
"",
IF(
AND(C75&lt;&gt;"", E75=""),
template_label_missing_value,
IF(
AND(C75&lt;&gt;"", E75&lt;&gt;""),
IF(
SUM($E$29:$E$128)&lt;$E$129,
template_label_missing_value,
IF(
COUNTIF($C$29:$C$128, C75) &gt; 1,
template_label_value_inconsistency,
template_label_ok)
),
template_label_missing_value)
)
)</f>
        <v/>
      </c>
    </row>
    <row r="76" hidden="1" outlineLevel="1">
      <c r="C76" s="854" t="n"/>
      <c r="D76" s="1124" t="n"/>
      <c r="E76" s="876" t="n"/>
      <c r="F76" s="1130" t="n"/>
      <c r="G76" s="1130" t="n"/>
      <c r="H76" s="1124" t="n"/>
      <c r="I76" s="890">
        <f>IF(
AND(C76="", E76=""),
"",
IF(
AND(C76&lt;&gt;"", E76=""),
template_label_missing_value,
IF(
AND(C76&lt;&gt;"", E76&lt;&gt;""),
IF(
SUM($E$29:$E$128)&lt;$E$129,
template_label_missing_value,
IF(
COUNTIF($C$29:$C$128, C76) &gt; 1,
template_label_value_inconsistency,
template_label_ok)
),
template_label_missing_value)
)
)</f>
        <v/>
      </c>
    </row>
    <row r="77" hidden="1" outlineLevel="1">
      <c r="C77" s="854" t="n"/>
      <c r="D77" s="1124" t="n"/>
      <c r="E77" s="876" t="n"/>
      <c r="F77" s="1130" t="n"/>
      <c r="G77" s="1130" t="n"/>
      <c r="H77" s="1124" t="n"/>
      <c r="I77" s="890">
        <f>IF(
AND(C77="", E77=""),
"",
IF(
AND(C77&lt;&gt;"", E77=""),
template_label_missing_value,
IF(
AND(C77&lt;&gt;"", E77&lt;&gt;""),
IF(
SUM($E$29:$E$128)&lt;$E$129,
template_label_missing_value,
IF(
COUNTIF($C$29:$C$128, C77) &gt; 1,
template_label_value_inconsistency,
template_label_ok)
),
template_label_missing_value)
)
)</f>
        <v/>
      </c>
    </row>
    <row r="78" hidden="1" outlineLevel="1">
      <c r="C78" s="854" t="n"/>
      <c r="D78" s="1124" t="n"/>
      <c r="E78" s="876" t="n"/>
      <c r="F78" s="1130" t="n"/>
      <c r="G78" s="1130" t="n"/>
      <c r="H78" s="1124" t="n"/>
      <c r="I78" s="890">
        <f>IF(
AND(C78="", E78=""),
"",
IF(
AND(C78&lt;&gt;"", E78=""),
template_label_missing_value,
IF(
AND(C78&lt;&gt;"", E78&lt;&gt;""),
IF(
SUM($E$29:$E$128)&lt;$E$129,
template_label_missing_value,
IF(
COUNTIF($C$29:$C$128, C78) &gt; 1,
template_label_value_inconsistency,
template_label_ok)
),
template_label_missing_value)
)
)</f>
        <v/>
      </c>
    </row>
    <row r="79" hidden="1" outlineLevel="1">
      <c r="C79" s="854" t="n"/>
      <c r="D79" s="1124" t="n"/>
      <c r="E79" s="876" t="n"/>
      <c r="F79" s="1130" t="n"/>
      <c r="G79" s="1130" t="n"/>
      <c r="H79" s="1124" t="n"/>
      <c r="I79" s="890">
        <f>IF(
AND(C79="", E79=""),
"",
IF(
AND(C79&lt;&gt;"", E79=""),
template_label_missing_value,
IF(
AND(C79&lt;&gt;"", E79&lt;&gt;""),
IF(
SUM($E$29:$E$128)&lt;$E$129,
template_label_missing_value,
IF(
COUNTIF($C$29:$C$128, C79) &gt; 1,
template_label_value_inconsistency,
template_label_ok)
),
template_label_missing_value)
)
)</f>
        <v/>
      </c>
    </row>
    <row r="80" hidden="1" outlineLevel="1">
      <c r="C80" s="854" t="n"/>
      <c r="D80" s="1124" t="n"/>
      <c r="E80" s="876" t="n"/>
      <c r="F80" s="1130" t="n"/>
      <c r="G80" s="1130" t="n"/>
      <c r="H80" s="1124" t="n"/>
      <c r="I80" s="890">
        <f>IF(
AND(C80="", E80=""),
"",
IF(
AND(C80&lt;&gt;"", E80=""),
template_label_missing_value,
IF(
AND(C80&lt;&gt;"", E80&lt;&gt;""),
IF(
SUM($E$29:$E$128)&lt;$E$129,
template_label_missing_value,
IF(
COUNTIF($C$29:$C$128, C80) &gt; 1,
template_label_value_inconsistency,
template_label_ok)
),
template_label_missing_value)
)
)</f>
        <v/>
      </c>
    </row>
    <row r="81" hidden="1" outlineLevel="1">
      <c r="C81" s="854" t="n"/>
      <c r="D81" s="1124" t="n"/>
      <c r="E81" s="876" t="n"/>
      <c r="F81" s="1130" t="n"/>
      <c r="G81" s="1130" t="n"/>
      <c r="H81" s="1124" t="n"/>
      <c r="I81" s="890">
        <f>IF(
AND(C81="", E81=""),
"",
IF(
AND(C81&lt;&gt;"", E81=""),
template_label_missing_value,
IF(
AND(C81&lt;&gt;"", E81&lt;&gt;""),
IF(
SUM($E$29:$E$128)&lt;$E$129,
template_label_missing_value,
IF(
COUNTIF($C$29:$C$128, C81) &gt; 1,
template_label_value_inconsistency,
template_label_ok)
),
template_label_missing_value)
)
)</f>
        <v/>
      </c>
    </row>
    <row r="82" hidden="1" outlineLevel="1">
      <c r="C82" s="854" t="n"/>
      <c r="D82" s="1124" t="n"/>
      <c r="E82" s="876" t="n"/>
      <c r="F82" s="1130" t="n"/>
      <c r="G82" s="1130" t="n"/>
      <c r="H82" s="1124" t="n"/>
      <c r="I82" s="890">
        <f>IF(
AND(C82="", E82=""),
"",
IF(
AND(C82&lt;&gt;"", E82=""),
template_label_missing_value,
IF(
AND(C82&lt;&gt;"", E82&lt;&gt;""),
IF(
SUM($E$29:$E$128)&lt;$E$129,
template_label_missing_value,
IF(
COUNTIF($C$29:$C$128, C82) &gt; 1,
template_label_value_inconsistency,
template_label_ok)
),
template_label_missing_value)
)
)</f>
        <v/>
      </c>
    </row>
    <row r="83" hidden="1" outlineLevel="1">
      <c r="C83" s="854" t="n"/>
      <c r="D83" s="1124" t="n"/>
      <c r="E83" s="876" t="n"/>
      <c r="F83" s="1130" t="n"/>
      <c r="G83" s="1130" t="n"/>
      <c r="H83" s="1124" t="n"/>
      <c r="I83" s="890">
        <f>IF(
AND(C83="", E83=""),
"",
IF(
AND(C83&lt;&gt;"", E83=""),
template_label_missing_value,
IF(
AND(C83&lt;&gt;"", E83&lt;&gt;""),
IF(
SUM($E$29:$E$128)&lt;$E$129,
template_label_missing_value,
IF(
COUNTIF($C$29:$C$128, C83) &gt; 1,
template_label_value_inconsistency,
template_label_ok)
),
template_label_missing_value)
)
)</f>
        <v/>
      </c>
    </row>
    <row r="84" hidden="1" outlineLevel="1">
      <c r="C84" s="854" t="n"/>
      <c r="D84" s="1124" t="n"/>
      <c r="E84" s="876" t="n"/>
      <c r="F84" s="1130" t="n"/>
      <c r="G84" s="1130" t="n"/>
      <c r="H84" s="1124" t="n"/>
      <c r="I84" s="890">
        <f>IF(
AND(C84="", E84=""),
"",
IF(
AND(C84&lt;&gt;"", E84=""),
template_label_missing_value,
IF(
AND(C84&lt;&gt;"", E84&lt;&gt;""),
IF(
SUM($E$29:$E$128)&lt;$E$129,
template_label_missing_value,
IF(
COUNTIF($C$29:$C$128, C84) &gt; 1,
template_label_value_inconsistency,
template_label_ok)
),
template_label_missing_value)
)
)</f>
        <v/>
      </c>
    </row>
    <row r="85" hidden="1" outlineLevel="1">
      <c r="C85" s="854" t="n"/>
      <c r="D85" s="1124" t="n"/>
      <c r="E85" s="876" t="n"/>
      <c r="F85" s="1130" t="n"/>
      <c r="G85" s="1130" t="n"/>
      <c r="H85" s="1124" t="n"/>
      <c r="I85" s="890">
        <f>IF(
AND(C85="", E85=""),
"",
IF(
AND(C85&lt;&gt;"", E85=""),
template_label_missing_value,
IF(
AND(C85&lt;&gt;"", E85&lt;&gt;""),
IF(
SUM($E$29:$E$128)&lt;$E$129,
template_label_missing_value,
IF(
COUNTIF($C$29:$C$128, C85) &gt; 1,
template_label_value_inconsistency,
template_label_ok)
),
template_label_missing_value)
)
)</f>
        <v/>
      </c>
    </row>
    <row r="86" hidden="1" outlineLevel="1">
      <c r="C86" s="854" t="n"/>
      <c r="D86" s="1124" t="n"/>
      <c r="E86" s="876" t="n"/>
      <c r="F86" s="1130" t="n"/>
      <c r="G86" s="1130" t="n"/>
      <c r="H86" s="1124" t="n"/>
      <c r="I86" s="890">
        <f>IF(
AND(C86="", E86=""),
"",
IF(
AND(C86&lt;&gt;"", E86=""),
template_label_missing_value,
IF(
AND(C86&lt;&gt;"", E86&lt;&gt;""),
IF(
SUM($E$29:$E$128)&lt;$E$129,
template_label_missing_value,
IF(
COUNTIF($C$29:$C$128, C86) &gt; 1,
template_label_value_inconsistency,
template_label_ok)
),
template_label_missing_value)
)
)</f>
        <v/>
      </c>
    </row>
    <row r="87" hidden="1" outlineLevel="1">
      <c r="C87" s="854" t="n"/>
      <c r="D87" s="1124" t="n"/>
      <c r="E87" s="876" t="n"/>
      <c r="F87" s="1130" t="n"/>
      <c r="G87" s="1130" t="n"/>
      <c r="H87" s="1124" t="n"/>
      <c r="I87" s="890">
        <f>IF(
AND(C87="", E87=""),
"",
IF(
AND(C87&lt;&gt;"", E87=""),
template_label_missing_value,
IF(
AND(C87&lt;&gt;"", E87&lt;&gt;""),
IF(
SUM($E$29:$E$128)&lt;$E$129,
template_label_missing_value,
IF(
COUNTIF($C$29:$C$128, C87) &gt; 1,
template_label_value_inconsistency,
template_label_ok)
),
template_label_missing_value)
)
)</f>
        <v/>
      </c>
    </row>
    <row r="88" hidden="1" outlineLevel="1">
      <c r="C88" s="854" t="n"/>
      <c r="D88" s="1124" t="n"/>
      <c r="E88" s="876" t="n"/>
      <c r="F88" s="1130" t="n"/>
      <c r="G88" s="1130" t="n"/>
      <c r="H88" s="1124" t="n"/>
      <c r="I88" s="890">
        <f>IF(
AND(C88="", E88=""),
"",
IF(
AND(C88&lt;&gt;"", E88=""),
template_label_missing_value,
IF(
AND(C88&lt;&gt;"", E88&lt;&gt;""),
IF(
SUM($E$29:$E$128)&lt;$E$129,
template_label_missing_value,
IF(
COUNTIF($C$29:$C$128, C88) &gt; 1,
template_label_value_inconsistency,
template_label_ok)
),
template_label_missing_value)
)
)</f>
        <v/>
      </c>
    </row>
    <row r="89" hidden="1" outlineLevel="1">
      <c r="C89" s="854" t="n"/>
      <c r="D89" s="1124" t="n"/>
      <c r="E89" s="876" t="n"/>
      <c r="F89" s="1130" t="n"/>
      <c r="G89" s="1130" t="n"/>
      <c r="H89" s="1124" t="n"/>
      <c r="I89" s="890">
        <f>IF(
AND(C89="", E89=""),
"",
IF(
AND(C89&lt;&gt;"", E89=""),
template_label_missing_value,
IF(
AND(C89&lt;&gt;"", E89&lt;&gt;""),
IF(
SUM($E$29:$E$128)&lt;$E$129,
template_label_missing_value,
IF(
COUNTIF($C$29:$C$128, C89) &gt; 1,
template_label_value_inconsistency,
template_label_ok)
),
template_label_missing_value)
)
)</f>
        <v/>
      </c>
    </row>
    <row r="90" hidden="1" outlineLevel="1">
      <c r="C90" s="854" t="n"/>
      <c r="D90" s="1124" t="n"/>
      <c r="E90" s="876" t="n"/>
      <c r="F90" s="1130" t="n"/>
      <c r="G90" s="1130" t="n"/>
      <c r="H90" s="1124" t="n"/>
      <c r="I90" s="890">
        <f>IF(
AND(C90="", E90=""),
"",
IF(
AND(C90&lt;&gt;"", E90=""),
template_label_missing_value,
IF(
AND(C90&lt;&gt;"", E90&lt;&gt;""),
IF(
SUM($E$29:$E$128)&lt;$E$129,
template_label_missing_value,
IF(
COUNTIF($C$29:$C$128, C90) &gt; 1,
template_label_value_inconsistency,
template_label_ok)
),
template_label_missing_value)
)
)</f>
        <v/>
      </c>
    </row>
    <row r="91" hidden="1" outlineLevel="1">
      <c r="C91" s="854" t="n"/>
      <c r="D91" s="1124" t="n"/>
      <c r="E91" s="876" t="n"/>
      <c r="F91" s="1130" t="n"/>
      <c r="G91" s="1130" t="n"/>
      <c r="H91" s="1124" t="n"/>
      <c r="I91" s="890">
        <f>IF(
AND(C91="", E91=""),
"",
IF(
AND(C91&lt;&gt;"", E91=""),
template_label_missing_value,
IF(
AND(C91&lt;&gt;"", E91&lt;&gt;""),
IF(
SUM($E$29:$E$128)&lt;$E$129,
template_label_missing_value,
IF(
COUNTIF($C$29:$C$128, C91) &gt; 1,
template_label_value_inconsistency,
template_label_ok)
),
template_label_missing_value)
)
)</f>
        <v/>
      </c>
    </row>
    <row r="92" hidden="1" outlineLevel="1">
      <c r="C92" s="854" t="n"/>
      <c r="D92" s="1124" t="n"/>
      <c r="E92" s="876" t="n"/>
      <c r="F92" s="1130" t="n"/>
      <c r="G92" s="1130" t="n"/>
      <c r="H92" s="1124" t="n"/>
      <c r="I92" s="890">
        <f>IF(
AND(C92="", E92=""),
"",
IF(
AND(C92&lt;&gt;"", E92=""),
template_label_missing_value,
IF(
AND(C92&lt;&gt;"", E92&lt;&gt;""),
IF(
SUM($E$29:$E$128)&lt;$E$129,
template_label_missing_value,
IF(
COUNTIF($C$29:$C$128, C92) &gt; 1,
template_label_value_inconsistency,
template_label_ok)
),
template_label_missing_value)
)
)</f>
        <v/>
      </c>
    </row>
    <row r="93" hidden="1" outlineLevel="1">
      <c r="C93" s="854" t="n"/>
      <c r="D93" s="1124" t="n"/>
      <c r="E93" s="876" t="n"/>
      <c r="F93" s="1130" t="n"/>
      <c r="G93" s="1130" t="n"/>
      <c r="H93" s="1124" t="n"/>
      <c r="I93" s="890">
        <f>IF(
    AND(C93="", E93=""),
    "",
    IF(
        AND(C93&lt;&gt;"", E93=""),
        template_label_missing_value,
        IF(
            AND(C93&lt;&gt;"", E93&lt;&gt;""),
            IF(
                SUM($E$29:$E$128)&lt;$E$129,
                template_label_missing_value,
                IF(
                    COUNTIF($C$29:$C$128, C93) &gt; 1,
                    template_label_value_inconsistency,
                    template_label_ok
                )
            ),
            template_label_missing_value
        )
    )
)</f>
        <v/>
      </c>
    </row>
    <row r="94" hidden="1" outlineLevel="1">
      <c r="C94" s="854" t="n"/>
      <c r="D94" s="1124" t="n"/>
      <c r="E94" s="876" t="n"/>
      <c r="F94" s="1130" t="n"/>
      <c r="G94" s="1130" t="n"/>
      <c r="H94" s="1124" t="n"/>
      <c r="I94" s="890">
        <f>IF(
AND(C94="", E94=""),
"",
IF(
AND(C94&lt;&gt;"", E94=""),
template_label_missing_value,
IF(
AND(C94&lt;&gt;"", E94&lt;&gt;""),
IF(
SUM($E$29:$E$128)&lt;$E$129,
template_label_missing_value,
IF(
COUNTIF($C$29:$C$128, C94) &gt; 1,
template_label_value_inconsistency,
template_label_ok)
),
template_label_missing_value)
)
)</f>
        <v/>
      </c>
    </row>
    <row r="95" hidden="1" outlineLevel="1">
      <c r="C95" s="854" t="n"/>
      <c r="D95" s="1124" t="n"/>
      <c r="E95" s="876" t="n"/>
      <c r="F95" s="1130" t="n"/>
      <c r="G95" s="1130" t="n"/>
      <c r="H95" s="1124" t="n"/>
      <c r="I95" s="890">
        <f>IF(
AND(C95="", E95=""),
"",
IF(
AND(C95&lt;&gt;"", E95=""),
template_label_missing_value,
IF(
AND(C95&lt;&gt;"", E95&lt;&gt;""),
IF(
SUM($E$29:$E$128)&lt;$E$129,
template_label_missing_value,
IF(
COUNTIF($C$29:$C$128, C95) &gt; 1,
template_label_value_inconsistency,
template_label_ok)
),
template_label_missing_value)
)
)</f>
        <v/>
      </c>
    </row>
    <row r="96" hidden="1" outlineLevel="1">
      <c r="C96" s="854" t="n"/>
      <c r="D96" s="1124" t="n"/>
      <c r="E96" s="876" t="n"/>
      <c r="F96" s="1130" t="n"/>
      <c r="G96" s="1130" t="n"/>
      <c r="H96" s="1124" t="n"/>
      <c r="I96" s="890">
        <f>IF(
AND(C96="", E96=""),
"",
IF(
AND(C96&lt;&gt;"", E96=""),
template_label_missing_value,
IF(
AND(C96&lt;&gt;"", E96&lt;&gt;""),
IF(
SUM($E$29:$E$128)&lt;$E$129,
template_label_missing_value,
IF(
COUNTIF($C$29:$C$128, C96) &gt; 1,
template_label_value_inconsistency,
template_label_ok)
),
template_label_missing_value)
)
)</f>
        <v/>
      </c>
    </row>
    <row r="97" hidden="1" outlineLevel="1">
      <c r="C97" s="854" t="n"/>
      <c r="D97" s="1124" t="n"/>
      <c r="E97" s="876" t="n"/>
      <c r="F97" s="1130" t="n"/>
      <c r="G97" s="1130" t="n"/>
      <c r="H97" s="1124" t="n"/>
      <c r="I97" s="890">
        <f>IF(
AND(C97="", E97=""),
"",
IF(
AND(C97&lt;&gt;"", E97=""),
template_label_missing_value,
IF(
AND(C97&lt;&gt;"", E97&lt;&gt;""),
IF(
SUM($E$29:$E$128)&lt;$E$129,
template_label_missing_value,
IF(
COUNTIF($C$29:$C$128, C97) &gt; 1,
template_label_value_inconsistency,
template_label_ok)
),
template_label_missing_value)
)
)</f>
        <v/>
      </c>
    </row>
    <row r="98" hidden="1" outlineLevel="1">
      <c r="C98" s="854" t="n"/>
      <c r="D98" s="1124" t="n"/>
      <c r="E98" s="876" t="n"/>
      <c r="F98" s="1130" t="n"/>
      <c r="G98" s="1130" t="n"/>
      <c r="H98" s="1124" t="n"/>
      <c r="I98" s="890">
        <f>IF(
AND(C98="", E98=""),
"",
IF(
AND(C98&lt;&gt;"", E98=""),
template_label_missing_value,
IF(
AND(C98&lt;&gt;"", E98&lt;&gt;""),
IF(
SUM($E$29:$E$128)&lt;$E$129,
template_label_missing_value,
IF(
COUNTIF($C$29:$C$128, C98) &gt; 1,
template_label_value_inconsistency,
template_label_ok)
),
template_label_missing_value)
)
)</f>
        <v/>
      </c>
    </row>
    <row r="99" hidden="1" outlineLevel="1">
      <c r="C99" s="854" t="n"/>
      <c r="D99" s="1124" t="n"/>
      <c r="E99" s="876" t="n"/>
      <c r="F99" s="1130" t="n"/>
      <c r="G99" s="1130" t="n"/>
      <c r="H99" s="1124" t="n"/>
      <c r="I99" s="890">
        <f>IF(
AND(C99="", E99=""),
"",
IF(
AND(C99&lt;&gt;"", E99=""),
template_label_missing_value,
IF(
AND(C99&lt;&gt;"", E99&lt;&gt;""),
IF(
SUM($E$29:$E$128)&lt;$E$129,
template_label_missing_value,
IF(
COUNTIF($C$29:$C$128, C99) &gt; 1,
template_label_value_inconsistency,
template_label_ok)
),
template_label_missing_value)
)
)</f>
        <v/>
      </c>
    </row>
    <row r="100" hidden="1" outlineLevel="1">
      <c r="C100" s="854" t="n"/>
      <c r="D100" s="1124" t="n"/>
      <c r="E100" s="876" t="n"/>
      <c r="F100" s="1130" t="n"/>
      <c r="G100" s="1130" t="n"/>
      <c r="H100" s="1124" t="n"/>
      <c r="I100" s="890">
        <f>IF(
AND(C100="", E100=""),
"",
IF(
AND(C100&lt;&gt;"", E100=""),
template_label_missing_value,
IF(
AND(C100&lt;&gt;"", E100&lt;&gt;""),
IF(
SUM($E$29:$E$128)&lt;$E$129,
template_label_missing_value,
IF(
COUNTIF($C$29:$C$128, C100) &gt; 1,
template_label_value_inconsistency,
template_label_ok)
),
template_label_missing_value)
)
)</f>
        <v/>
      </c>
    </row>
    <row r="101" hidden="1" outlineLevel="1">
      <c r="C101" s="854" t="n"/>
      <c r="D101" s="1124" t="n"/>
      <c r="E101" s="876" t="n"/>
      <c r="F101" s="1130" t="n"/>
      <c r="G101" s="1130" t="n"/>
      <c r="H101" s="1124" t="n"/>
      <c r="I101" s="890">
        <f>IF(
AND(C101="", E101=""),
"",
IF(
AND(C101&lt;&gt;"", E101=""),
template_label_missing_value,
IF(
AND(C101&lt;&gt;"", E101&lt;&gt;""),
IF(
SUM($E$29:$E$128)&lt;$E$129,
template_label_missing_value,
IF(
COUNTIF($C$29:$C$128, C101) &gt; 1,
template_label_value_inconsistency,
template_label_ok)
),
template_label_missing_value)
)
)</f>
        <v/>
      </c>
    </row>
    <row r="102" hidden="1" outlineLevel="1">
      <c r="C102" s="854" t="n"/>
      <c r="D102" s="1124" t="n"/>
      <c r="E102" s="876" t="n"/>
      <c r="F102" s="1130" t="n"/>
      <c r="G102" s="1130" t="n"/>
      <c r="H102" s="1124" t="n"/>
      <c r="I102" s="890">
        <f>IF(
AND(C102="", E102=""),
"",
IF(
AND(C102&lt;&gt;"", E102=""),
template_label_missing_value,
IF(
AND(C102&lt;&gt;"", E102&lt;&gt;""),
IF(
SUM($E$29:$E$128)&lt;$E$129,
template_label_missing_value,
IF(
COUNTIF($C$29:$C$128, C102) &gt; 1,
template_label_value_inconsistency,
template_label_ok)
),
template_label_missing_value)
)
)</f>
        <v/>
      </c>
    </row>
    <row r="103" hidden="1" outlineLevel="1">
      <c r="C103" s="854" t="n"/>
      <c r="D103" s="1124" t="n"/>
      <c r="E103" s="876" t="n"/>
      <c r="F103" s="1130" t="n"/>
      <c r="G103" s="1130" t="n"/>
      <c r="H103" s="1124" t="n"/>
      <c r="I103" s="890">
        <f>IF(
AND(C103="", E103=""),
"",
IF(
AND(C103&lt;&gt;"", E103=""),
template_label_missing_value,
IF(
AND(C103&lt;&gt;"", E103&lt;&gt;""),
IF(
SUM($E$29:$E$128)&lt;$E$129,
template_label_missing_value,
IF(
COUNTIF($C$29:$C$128, C103) &gt; 1,
template_label_value_inconsistency,
template_label_ok)
),
template_label_missing_value)
)
)</f>
        <v/>
      </c>
    </row>
    <row r="104" hidden="1" outlineLevel="1">
      <c r="C104" s="854" t="n"/>
      <c r="D104" s="1124" t="n"/>
      <c r="E104" s="876" t="n"/>
      <c r="F104" s="1130" t="n"/>
      <c r="G104" s="1130" t="n"/>
      <c r="H104" s="1124" t="n"/>
      <c r="I104" s="890">
        <f>IF(
AND(C104="", E104=""),
"",
IF(
AND(C104&lt;&gt;"", E104=""),
template_label_missing_value,
IF(
AND(C104&lt;&gt;"", E104&lt;&gt;""),
IF(
SUM($E$29:$E$128)&lt;$E$129,
template_label_missing_value,
IF(
COUNTIF($C$29:$C$128, C104) &gt; 1,
template_label_value_inconsistency,
template_label_ok)
),
template_label_missing_value)
)
)</f>
        <v/>
      </c>
    </row>
    <row r="105" hidden="1" outlineLevel="1">
      <c r="C105" s="854" t="n"/>
      <c r="D105" s="1124" t="n"/>
      <c r="E105" s="876" t="n"/>
      <c r="F105" s="1130" t="n"/>
      <c r="G105" s="1130" t="n"/>
      <c r="H105" s="1124" t="n"/>
      <c r="I105" s="890">
        <f>IF(
AND(C105="", E105=""),
"",
IF(
AND(C105&lt;&gt;"", E105=""),
template_label_missing_value,
IF(
AND(C105&lt;&gt;"", E105&lt;&gt;""),
IF(
SUM($E$29:$E$128)&lt;$E$129,
template_label_missing_value,
IF(
COUNTIF($C$29:$C$128, C105) &gt; 1,
template_label_value_inconsistency,
template_label_ok)
),
template_label_missing_value)
)
)</f>
        <v/>
      </c>
    </row>
    <row r="106" hidden="1" outlineLevel="1">
      <c r="C106" s="854" t="n"/>
      <c r="D106" s="1124" t="n"/>
      <c r="E106" s="876" t="n"/>
      <c r="F106" s="1130" t="n"/>
      <c r="G106" s="1130" t="n"/>
      <c r="H106" s="1124" t="n"/>
      <c r="I106" s="890">
        <f>IF(
AND(C106="", E106=""),
"",
IF(
AND(C106&lt;&gt;"", E106=""),
template_label_missing_value,
IF(
AND(C106&lt;&gt;"", E106&lt;&gt;""),
IF(
SUM($E$29:$E$128)&lt;$E$129,
template_label_missing_value,
IF(
COUNTIF($C$29:$C$128, C106) &gt; 1,
template_label_value_inconsistency,
template_label_ok)
),
template_label_missing_value)
)
)</f>
        <v/>
      </c>
    </row>
    <row r="107" hidden="1" outlineLevel="1">
      <c r="C107" s="854" t="n"/>
      <c r="D107" s="1124" t="n"/>
      <c r="E107" s="876" t="n"/>
      <c r="F107" s="1130" t="n"/>
      <c r="G107" s="1130" t="n"/>
      <c r="H107" s="1124" t="n"/>
      <c r="I107" s="890">
        <f>IF(
AND(C107="", E107=""),
"",
IF(
AND(C107&lt;&gt;"", E107=""),
template_label_missing_value,
IF(
AND(C107&lt;&gt;"", E107&lt;&gt;""),
IF(
SUM($E$29:$E$128)&lt;$E$129,
template_label_missing_value,
IF(
COUNTIF($C$29:$C$128, C107) &gt; 1,
template_label_value_inconsistency,
template_label_ok)
),
template_label_missing_value)
)
)</f>
        <v/>
      </c>
    </row>
    <row r="108" hidden="1" outlineLevel="1">
      <c r="C108" s="854" t="n"/>
      <c r="D108" s="1124" t="n"/>
      <c r="E108" s="876" t="n"/>
      <c r="F108" s="1130" t="n"/>
      <c r="G108" s="1130" t="n"/>
      <c r="H108" s="1124" t="n"/>
      <c r="I108" s="890">
        <f>IF(
AND(C108="", E108=""),
"",
IF(
AND(C108&lt;&gt;"", E108=""),
template_label_missing_value,
IF(
AND(C108&lt;&gt;"", E108&lt;&gt;""),
IF(
SUM($E$29:$E$128)&lt;$E$129,
template_label_missing_value,
IF(
COUNTIF($C$29:$C$128, C108) &gt; 1,
template_label_value_inconsistency,
template_label_ok)
),
template_label_missing_value)
)
)</f>
        <v/>
      </c>
    </row>
    <row r="109" hidden="1" outlineLevel="1">
      <c r="C109" s="854" t="n"/>
      <c r="D109" s="1124" t="n"/>
      <c r="E109" s="876" t="n"/>
      <c r="F109" s="1130" t="n"/>
      <c r="G109" s="1130" t="n"/>
      <c r="H109" s="1124" t="n"/>
      <c r="I109" s="890">
        <f>IF(
AND(C109="", E109=""),
"",
IF(
AND(C109&lt;&gt;"", E109=""),
template_label_missing_value,
IF(
AND(C109&lt;&gt;"", E109&lt;&gt;""),
IF(
SUM($E$29:$E$128)&lt;$E$129,
template_label_missing_value,
IF(
COUNTIF($C$29:$C$128, C109) &gt; 1,
template_label_value_inconsistency,
template_label_ok)
),
template_label_missing_value)
)
)</f>
        <v/>
      </c>
    </row>
    <row r="110" hidden="1" outlineLevel="1">
      <c r="C110" s="854" t="n"/>
      <c r="D110" s="1124" t="n"/>
      <c r="E110" s="876" t="n"/>
      <c r="F110" s="1130" t="n"/>
      <c r="G110" s="1130" t="n"/>
      <c r="H110" s="1124" t="n"/>
      <c r="I110" s="890">
        <f>IF(
AND(C110="", E110=""),
"",
IF(
AND(C110&lt;&gt;"", E110=""),
template_label_missing_value,
IF(
AND(C110&lt;&gt;"", E110&lt;&gt;""),
IF(
SUM($E$29:$E$128)&lt;$E$129,
template_label_missing_value,
IF(
COUNTIF($C$29:$C$128, C110) &gt; 1,
template_label_value_inconsistency,
template_label_ok)
),
template_label_missing_value)
)
)</f>
        <v/>
      </c>
    </row>
    <row r="111" hidden="1" outlineLevel="1">
      <c r="C111" s="854" t="n"/>
      <c r="D111" s="1124" t="n"/>
      <c r="E111" s="876" t="n"/>
      <c r="F111" s="1130" t="n"/>
      <c r="G111" s="1130" t="n"/>
      <c r="H111" s="1124" t="n"/>
      <c r="I111" s="890">
        <f>IF(
AND(C111="", E111=""),
"",
IF(
AND(C111&lt;&gt;"", E111=""),
template_label_missing_value,
IF(
AND(C111&lt;&gt;"", E111&lt;&gt;""),
IF(
SUM($E$29:$E$128)&lt;$E$129,
template_label_missing_value,
IF(
COUNTIF($C$29:$C$128, C111) &gt; 1,
template_label_value_inconsistency,
template_label_ok)
),
template_label_missing_value)
)
)</f>
        <v/>
      </c>
    </row>
    <row r="112" hidden="1" outlineLevel="1">
      <c r="C112" s="854" t="n"/>
      <c r="D112" s="1124" t="n"/>
      <c r="E112" s="876" t="n"/>
      <c r="F112" s="1130" t="n"/>
      <c r="G112" s="1130" t="n"/>
      <c r="H112" s="1124" t="n"/>
      <c r="I112" s="890">
        <f>IF(
AND(C112="", E112=""),
"",
IF(
AND(C112&lt;&gt;"", E112=""),
template_label_missing_value,
IF(
AND(C112&lt;&gt;"", E112&lt;&gt;""),
IF(
SUM($E$29:$E$128)&lt;$E$129,
template_label_missing_value,
IF(
COUNTIF($C$29:$C$128, C112) &gt; 1,
template_label_value_inconsistency,
template_label_ok)
),
template_label_missing_value)
)
)</f>
        <v/>
      </c>
    </row>
    <row r="113" hidden="1" outlineLevel="1">
      <c r="C113" s="854" t="n"/>
      <c r="D113" s="1124" t="n"/>
      <c r="E113" s="876" t="n"/>
      <c r="F113" s="1130" t="n"/>
      <c r="G113" s="1130" t="n"/>
      <c r="H113" s="1124" t="n"/>
      <c r="I113" s="890">
        <f>IF(
AND(C113="", E113=""),
"",
IF(
AND(C113&lt;&gt;"", E113=""),
template_label_missing_value,
IF(
AND(C113&lt;&gt;"", E113&lt;&gt;""),
IF(
SUM($E$29:$E$128)&lt;$E$129,
template_label_missing_value,
IF(
COUNTIF($C$29:$C$128, C113) &gt; 1,
template_label_value_inconsistency,
template_label_ok)
),
template_label_missing_value)
)
)</f>
        <v/>
      </c>
    </row>
    <row r="114" hidden="1" outlineLevel="1">
      <c r="C114" s="854" t="n"/>
      <c r="D114" s="1124" t="n"/>
      <c r="E114" s="876" t="n"/>
      <c r="F114" s="1130" t="n"/>
      <c r="G114" s="1130" t="n"/>
      <c r="H114" s="1124" t="n"/>
      <c r="I114" s="890">
        <f>IF(
AND(C114="", E114=""),
"",
IF(
AND(C114&lt;&gt;"", E114=""),
template_label_missing_value,
IF(
AND(C114&lt;&gt;"", E114&lt;&gt;""),
IF(
SUM($E$29:$E$128)&lt;$E$129,
template_label_missing_value,
IF(
COUNTIF($C$29:$C$128, C114) &gt; 1,
template_label_value_inconsistency,
template_label_ok)
),
template_label_missing_value)
)
)</f>
        <v/>
      </c>
    </row>
    <row r="115" hidden="1" outlineLevel="1">
      <c r="C115" s="854" t="n"/>
      <c r="D115" s="1124" t="n"/>
      <c r="E115" s="876" t="n"/>
      <c r="F115" s="1130" t="n"/>
      <c r="G115" s="1130" t="n"/>
      <c r="H115" s="1124" t="n"/>
      <c r="I115" s="890">
        <f>IF(
AND(C115="", E115=""),
"",
IF(
AND(C115&lt;&gt;"", E115=""),
template_label_missing_value,
IF(
AND(C115&lt;&gt;"", E115&lt;&gt;""),
IF(
SUM($E$29:$E$128)&lt;$E$129,
template_label_missing_value,
IF(
COUNTIF($C$29:$C$128, C115) &gt; 1,
template_label_value_inconsistency,
template_label_ok)
),
template_label_missing_value)
)
)</f>
        <v/>
      </c>
    </row>
    <row r="116" hidden="1" outlineLevel="1">
      <c r="C116" s="854" t="n"/>
      <c r="D116" s="1124" t="n"/>
      <c r="E116" s="876" t="n"/>
      <c r="F116" s="1130" t="n"/>
      <c r="G116" s="1130" t="n"/>
      <c r="H116" s="1124" t="n"/>
      <c r="I116" s="890">
        <f>IF(
AND(C116="", E116=""),
"",
IF(
AND(C116&lt;&gt;"", E116=""),
template_label_missing_value,
IF(
AND(C116&lt;&gt;"", E116&lt;&gt;""),
IF(
SUM($E$29:$E$128)&lt;$E$129,
template_label_missing_value,
IF(
COUNTIF($C$29:$C$128, C116) &gt; 1,
template_label_value_inconsistency,
template_label_ok)
),
template_label_missing_value)
)
)</f>
        <v/>
      </c>
    </row>
    <row r="117" hidden="1" outlineLevel="1">
      <c r="C117" s="854" t="n"/>
      <c r="D117" s="1124" t="n"/>
      <c r="E117" s="876" t="n"/>
      <c r="F117" s="1130" t="n"/>
      <c r="G117" s="1130" t="n"/>
      <c r="H117" s="1124" t="n"/>
      <c r="I117" s="890">
        <f>IF(
AND(C117="", E117=""),
"",
IF(
AND(C117&lt;&gt;"", E117=""),
template_label_missing_value,
IF(
AND(C117&lt;&gt;"", E117&lt;&gt;""),
IF(
SUM($E$29:$E$128)&lt;$E$129,
template_label_missing_value,
IF(
COUNTIF($C$29:$C$128, C117) &gt; 1,
template_label_value_inconsistency,
template_label_ok)
),
template_label_missing_value)
)
)</f>
        <v/>
      </c>
    </row>
    <row r="118" hidden="1" outlineLevel="1">
      <c r="C118" s="854" t="n"/>
      <c r="D118" s="1124" t="n"/>
      <c r="E118" s="876" t="n"/>
      <c r="F118" s="1130" t="n"/>
      <c r="G118" s="1130" t="n"/>
      <c r="H118" s="1124" t="n"/>
      <c r="I118" s="890">
        <f>IF(
AND(C118="", E118=""),
"",
IF(
AND(C118&lt;&gt;"", E118=""),
template_label_missing_value,
IF(
AND(C118&lt;&gt;"", E118&lt;&gt;""),
IF(
SUM($E$29:$E$128)&lt;$E$129,
template_label_missing_value,
IF(
COUNTIF($C$29:$C$128, C118) &gt; 1,
template_label_value_inconsistency,
template_label_ok)
),
template_label_missing_value)
)
)</f>
        <v/>
      </c>
    </row>
    <row r="119" hidden="1" outlineLevel="1">
      <c r="C119" s="854" t="n"/>
      <c r="D119" s="1124" t="n"/>
      <c r="E119" s="876" t="n"/>
      <c r="F119" s="1130" t="n"/>
      <c r="G119" s="1130" t="n"/>
      <c r="H119" s="1124" t="n"/>
      <c r="I119" s="890">
        <f>IF(
AND(C119="", E119=""),
"",
IF(
AND(C119&lt;&gt;"", E119=""),
template_label_missing_value,
IF(
AND(C119&lt;&gt;"", E119&lt;&gt;""),
IF(
SUM($E$29:$E$128)&lt;$E$129,
template_label_missing_value,
IF(
COUNTIF($C$29:$C$128, C119) &gt; 1,
template_label_value_inconsistency,
template_label_ok)
),
template_label_missing_value)
)
)</f>
        <v/>
      </c>
    </row>
    <row r="120" hidden="1" outlineLevel="1">
      <c r="C120" s="854" t="n"/>
      <c r="D120" s="1124" t="n"/>
      <c r="E120" s="876" t="n"/>
      <c r="F120" s="1130" t="n"/>
      <c r="G120" s="1130" t="n"/>
      <c r="H120" s="1124" t="n"/>
      <c r="I120" s="890">
        <f>IF(
AND(C120="", E120=""),
"",
IF(
AND(C120&lt;&gt;"", E120=""),
template_label_missing_value,
IF(
AND(C120&lt;&gt;"", E120&lt;&gt;""),
IF(
SUM($E$29:$E$128)&lt;$E$129,
template_label_missing_value,
IF(
COUNTIF($C$29:$C$128, C120) &gt; 1,
template_label_value_inconsistency,
template_label_ok)
),
template_label_missing_value)
)
)</f>
        <v/>
      </c>
    </row>
    <row r="121" hidden="1" outlineLevel="1">
      <c r="C121" s="854" t="n"/>
      <c r="D121" s="1124" t="n"/>
      <c r="E121" s="876" t="n"/>
      <c r="F121" s="1130" t="n"/>
      <c r="G121" s="1130" t="n"/>
      <c r="H121" s="1124" t="n"/>
      <c r="I121" s="890">
        <f>IF(
AND(C121="", E121=""),
"",
IF(
AND(C121&lt;&gt;"", E121=""),
template_label_missing_value,
IF(
AND(C121&lt;&gt;"", E121&lt;&gt;""),
IF(
SUM($E$29:$E$128)&lt;$E$129,
template_label_missing_value,
IF(
COUNTIF($C$29:$C$128, C121) &gt; 1,
template_label_value_inconsistency,
template_label_ok)
),
template_label_missing_value)
)
)</f>
        <v/>
      </c>
    </row>
    <row r="122" hidden="1" outlineLevel="1">
      <c r="C122" s="854" t="n"/>
      <c r="D122" s="1124" t="n"/>
      <c r="E122" s="876" t="n"/>
      <c r="F122" s="1130" t="n"/>
      <c r="G122" s="1130" t="n"/>
      <c r="H122" s="1124" t="n"/>
      <c r="I122" s="890">
        <f>IF(
AND(C122="", E122=""),
"",
IF(
AND(C122&lt;&gt;"", E122=""),
template_label_missing_value,
IF(
AND(C122&lt;&gt;"", E122&lt;&gt;""),
IF(
SUM($E$29:$E$128)&lt;$E$129,
template_label_missing_value,
IF(
COUNTIF($C$29:$C$128, C122) &gt; 1,
template_label_value_inconsistency,
template_label_ok)
),
template_label_missing_value)
)
)</f>
        <v/>
      </c>
    </row>
    <row r="123" hidden="1" outlineLevel="1">
      <c r="C123" s="854" t="n"/>
      <c r="D123" s="1124" t="n"/>
      <c r="E123" s="876" t="n"/>
      <c r="F123" s="1130" t="n"/>
      <c r="G123" s="1130" t="n"/>
      <c r="H123" s="1124" t="n"/>
      <c r="I123" s="890">
        <f>IF(
AND(C123="", E123=""),
"",
IF(
AND(C123&lt;&gt;"", E123=""),
template_label_missing_value,
IF(
AND(C123&lt;&gt;"", E123&lt;&gt;""),
IF(
SUM($E$29:$E$128)&lt;$E$129,
template_label_missing_value,
IF(
COUNTIF($C$29:$C$128, C123) &gt; 1,
template_label_value_inconsistency,
template_label_ok)
),
template_label_missing_value)
)
)</f>
        <v/>
      </c>
    </row>
    <row r="124" hidden="1" outlineLevel="1">
      <c r="C124" s="854" t="n"/>
      <c r="D124" s="1124" t="n"/>
      <c r="E124" s="876" t="n"/>
      <c r="F124" s="1130" t="n"/>
      <c r="G124" s="1130" t="n"/>
      <c r="H124" s="1124" t="n"/>
      <c r="I124" s="890">
        <f>IF(
AND(C124="", E124=""),
"",
IF(
AND(C124&lt;&gt;"", E124=""),
template_label_missing_value,
IF(
AND(C124&lt;&gt;"", E124&lt;&gt;""),
IF(
SUM($E$29:$E$128)&lt;$E$129,
template_label_missing_value,
IF(
COUNTIF($C$29:$C$128, C124) &gt; 1,
template_label_value_inconsistency,
template_label_ok)
),
template_label_missing_value)
)
)</f>
        <v/>
      </c>
    </row>
    <row r="125" hidden="1" outlineLevel="1">
      <c r="C125" s="854" t="n"/>
      <c r="D125" s="1124" t="n"/>
      <c r="E125" s="876" t="n"/>
      <c r="F125" s="1130" t="n"/>
      <c r="G125" s="1130" t="n"/>
      <c r="H125" s="1124" t="n"/>
      <c r="I125" s="890">
        <f>IF(
AND(C125="", E125=""),
"",
IF(
AND(C125&lt;&gt;"", E125=""),
template_label_missing_value,
IF(
AND(C125&lt;&gt;"", E125&lt;&gt;""),
IF(
SUM($E$29:$E$128)&lt;$E$129,
template_label_missing_value,
IF(
COUNTIF($C$29:$C$128, C125) &gt; 1,
template_label_value_inconsistency,
template_label_ok)
),
template_label_missing_value)
)
)</f>
        <v/>
      </c>
    </row>
    <row r="126" hidden="1" outlineLevel="1">
      <c r="C126" s="854" t="n"/>
      <c r="D126" s="1124" t="n"/>
      <c r="E126" s="876" t="n"/>
      <c r="F126" s="1130" t="n"/>
      <c r="G126" s="1130" t="n"/>
      <c r="H126" s="1124" t="n"/>
      <c r="I126" s="890">
        <f>IF(
AND(C126="", E126=""),
"",
IF(
AND(C126&lt;&gt;"", E126=""),
template_label_missing_value,
IF(
AND(C126&lt;&gt;"", E126&lt;&gt;""),
IF(
SUM($E$29:$E$128)&lt;$E$129,
template_label_missing_value,
IF(
COUNTIF($C$29:$C$128, C126) &gt; 1,
template_label_value_inconsistency,
template_label_ok)
),
template_label_missing_value)
)
)</f>
        <v/>
      </c>
    </row>
    <row r="127" hidden="1" outlineLevel="1">
      <c r="C127" s="854" t="n"/>
      <c r="D127" s="1124" t="n"/>
      <c r="E127" s="876" t="n"/>
      <c r="F127" s="1130" t="n"/>
      <c r="G127" s="1130" t="n"/>
      <c r="H127" s="1124" t="n"/>
      <c r="I127" s="890">
        <f>IF(
AND(C127="", E127=""),
"",
IF(
AND(C127&lt;&gt;"", E127=""),
template_label_missing_value,
IF(
AND(C127&lt;&gt;"", E127&lt;&gt;""),
IF(
SUM($E$29:$E$128)&lt;$E$129,
template_label_missing_value,
IF(
COUNTIF($C$29:$C$128, C127) &gt; 1,
template_label_value_inconsistency,
template_label_ok)
),
template_label_missing_value)
)
)</f>
        <v/>
      </c>
    </row>
    <row r="128" hidden="1" outlineLevel="1">
      <c r="C128" s="854" t="n"/>
      <c r="D128" s="1124" t="n"/>
      <c r="E128" s="876" t="n"/>
      <c r="F128" s="1130" t="n"/>
      <c r="G128" s="1130" t="n"/>
      <c r="H128" s="1124" t="n"/>
      <c r="I128" s="890">
        <f>IF(
AND(C128="", E128=""),
"",
IF(
AND(C128&lt;&gt;"", E128=""),
template_label_missing_value,
IF(
AND(C128&lt;&gt;"", E128&lt;&gt;""),
IF(
SUM($E$29:$E$128)&lt;$E$129,
template_label_missing_value,
IF(
COUNTIF($C$29:$C$128, C128) &gt; 1,
template_label_value_inconsistency,
template_label_ok)
),
template_label_missing_value)
)
)</f>
        <v/>
      </c>
    </row>
    <row r="129" collapsed="1" ht="15" customHeight="1" thickBot="1">
      <c r="C129" s="901">
        <f>template_label_total_employees</f>
        <v/>
      </c>
      <c r="D129" s="1125" t="n"/>
      <c r="E129" s="893">
        <f>IF('General Information'!$E$282="","-",'General Information'!$E$282)</f>
        <v/>
      </c>
      <c r="F129" s="1140" t="n"/>
      <c r="G129" s="1140" t="n"/>
      <c r="H129" s="1125" t="n"/>
      <c r="I129" s="890" t="n"/>
    </row>
    <row r="130" ht="15" customHeight="1" thickBot="1"/>
    <row r="131" ht="15" customHeight="1" thickBot="1">
      <c r="C131" s="588">
        <f>template_label_b8_workforce_general_characteristics_turnover_rate&amp;" "&amp;template_label_from&amp;" "&amp;template_starting_date_display&amp;" "&amp;template_label_to&amp;" "&amp;template_ending_date_display&amp;" "&amp;template_label_if_applicable</f>
        <v/>
      </c>
      <c r="D131" s="1120" t="n"/>
      <c r="E131" s="1120" t="n"/>
      <c r="F131" s="1120" t="n"/>
      <c r="G131" s="1120" t="n"/>
      <c r="H131" s="1121" t="n"/>
    </row>
    <row r="132">
      <c r="C132" s="553" t="n">
        <v>40</v>
      </c>
      <c r="D132" s="508" t="n"/>
      <c r="E132" s="508" t="n"/>
      <c r="F132" s="508" t="n"/>
      <c r="G132" s="508" t="n"/>
      <c r="H132" s="198" t="n"/>
    </row>
    <row r="133">
      <c r="C133" s="586" t="n">
        <v>118</v>
      </c>
      <c r="D133" s="1106" t="n"/>
      <c r="E133" s="1106" t="n"/>
      <c r="F133" s="1106" t="n"/>
      <c r="G133" s="1106" t="n"/>
      <c r="H133" s="199" t="n"/>
    </row>
    <row r="134">
      <c r="C134" s="135">
        <f>template_label_number_of_employees_who_left_during_the_reporting_period</f>
        <v/>
      </c>
      <c r="D134" s="897" t="n">
        <v>50</v>
      </c>
      <c r="E134" s="1130" t="n"/>
      <c r="F134" s="1130" t="n"/>
      <c r="G134" s="1130" t="n"/>
      <c r="H134" s="1124" t="n"/>
      <c r="I134" s="890">
        <f>IF(
    AND('General Information'!$E$282&lt;50, D134=""),
    "",
    IF(
        AND('General Information'!$E$282&lt;50, D134&lt;&gt;""),
        template_label_ok,
        IF(
            AND('General Information'!$E$282&gt;=50, D134&lt;&gt;""),
            template_label_ok,
            template_label_missing_value
        )
    )
)</f>
        <v/>
      </c>
    </row>
    <row r="135">
      <c r="C135" s="135">
        <f>template_label_number_of_employees_at_the_beginning_of_the_reporting_period</f>
        <v/>
      </c>
      <c r="D135" s="897" t="n">
        <v>201</v>
      </c>
      <c r="E135" s="1130" t="n"/>
      <c r="F135" s="1130" t="n"/>
      <c r="G135" s="1130" t="n"/>
      <c r="H135" s="1124" t="n"/>
      <c r="I135" s="890">
        <f>IF(
    AND('General Information'!$E$282&lt;50, D135=""),
    "",
    IF(
        AND('General Information'!$E$282&lt;50, D135&lt;&gt;""),
        template_label_ok,
        IF(
            AND('General Information'!$E$282&gt;=50, D135&lt;&gt;""),
            template_label_ok,
            template_label_missing_value
        )
    )
)</f>
        <v/>
      </c>
    </row>
    <row r="136">
      <c r="C136" s="135">
        <f>template_label_number_of_employees_at_the_end_of_the_reporting_period</f>
        <v/>
      </c>
      <c r="D136" s="897" t="n">
        <v>151</v>
      </c>
      <c r="E136" s="1130" t="n"/>
      <c r="F136" s="1130" t="n"/>
      <c r="G136" s="1130" t="n"/>
      <c r="H136" s="1124" t="n"/>
      <c r="I136" s="890">
        <f>IF(
    AND('General Information'!$E$282&lt;50, D136=""),
    "",
    IF(
        AND('General Information'!$E$282&lt;50, D136&lt;&gt;""),
        template_label_ok,
        IF(
            AND('General Information'!$E$282&gt;=50, D136&lt;&gt;""),
            template_label_ok,
            template_label_missing_value
        )
    )
)</f>
        <v/>
      </c>
    </row>
    <row r="137" ht="15" customHeight="1" thickBot="1">
      <c r="C137" s="992">
        <f>template_label_employee_turnover_rate_in_the_reporting_period</f>
        <v/>
      </c>
      <c r="D137" s="899" t="n"/>
      <c r="E137" s="1140" t="n"/>
      <c r="F137" s="1140" t="n"/>
      <c r="G137" s="1140" t="n"/>
      <c r="H137" s="1125" t="n"/>
    </row>
    <row r="138" ht="15" customHeight="1" thickBot="1"/>
    <row r="139" ht="15" customHeight="1" thickBot="1">
      <c r="C139" s="1170">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171" t="n"/>
    </row>
    <row r="140">
      <c r="A140" s="551" t="inlineStr">
        <is>
          <t>41(a)</t>
        </is>
      </c>
      <c r="B140" s="559" t="inlineStr">
        <is>
          <t>119-126</t>
        </is>
      </c>
      <c r="C140" s="229">
        <f>template_label_number_of_recordable_work_related_accidents_in_the_reporting_period</f>
        <v/>
      </c>
      <c r="D140" s="922" t="n">
        <v>0</v>
      </c>
      <c r="E140" s="1163" t="n"/>
      <c r="F140" s="1163" t="n"/>
      <c r="G140" s="1163" t="n"/>
      <c r="H140" s="1164" t="n"/>
      <c r="I140" s="890">
        <f>IF(
'Table of Contents &amp; Validation'!D42=TRUE,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c r="A141" s="551" t="inlineStr">
        <is>
          <t>41(a)</t>
        </is>
      </c>
      <c r="B141" s="559" t="inlineStr">
        <is>
          <t>119-126</t>
        </is>
      </c>
      <c r="C141" s="136">
        <f>template_label_number_of_hours_worked_by_one_fulltime_employee_in_the_reporting_period</f>
        <v/>
      </c>
      <c r="D141" s="1172" t="n">
        <v>2000</v>
      </c>
      <c r="E141" s="1130" t="n"/>
      <c r="F141" s="1130" t="n"/>
      <c r="G141" s="1130" t="n"/>
      <c r="H141" s="1138" t="n"/>
      <c r="I141" s="890">
        <f>IF(D141="", "MISSING VALUE", IF(D141&lt;&gt;2000, "OK", ""))</f>
        <v/>
      </c>
      <c r="J141" s="1032">
        <f>template_label_health_and_safety_formula_warning</f>
        <v/>
      </c>
    </row>
    <row r="142">
      <c r="A142" s="551" t="inlineStr">
        <is>
          <t>41(a)</t>
        </is>
      </c>
      <c r="B142" s="559" t="inlineStr">
        <is>
          <t>119-126</t>
        </is>
      </c>
      <c r="C142" s="136">
        <f>template_label_total_number_of_hours_worked_in_a_year_by_all_employees_in_the_reporting_period</f>
        <v/>
      </c>
      <c r="D142" s="1173">
        <f>IF('General Information'!E282="","-",D141*'General Information'!E282)</f>
        <v/>
      </c>
      <c r="E142" s="1130" t="n"/>
      <c r="F142" s="1130" t="n"/>
      <c r="G142" s="1130" t="n"/>
      <c r="H142" s="1138" t="n"/>
      <c r="I142" s="890" t="n"/>
    </row>
    <row r="143" ht="15" customHeight="1" thickBot="1">
      <c r="A143" s="551" t="inlineStr">
        <is>
          <t>41(a)</t>
        </is>
      </c>
      <c r="B143" s="559" t="inlineStr">
        <is>
          <t>119-126</t>
        </is>
      </c>
      <c r="C143" s="192">
        <f>template_label_rate_of_recordable_work_related_accidents_in_the_reporting_period</f>
        <v/>
      </c>
      <c r="D143" s="1174" t="n"/>
      <c r="E143" s="1132" t="n"/>
      <c r="F143" s="1132" t="n"/>
      <c r="G143" s="1132" t="n"/>
      <c r="H143" s="1139" t="n"/>
    </row>
    <row r="144" ht="15" customHeight="1" thickBot="1">
      <c r="A144" s="551" t="inlineStr">
        <is>
          <t>41(b)</t>
        </is>
      </c>
      <c r="B144" s="559" t="inlineStr">
        <is>
          <t>119-126</t>
        </is>
      </c>
      <c r="C144" s="191">
        <f>template_label_number_of_fatalities_as_a_result_of_work_related_injuries_and_work_related_ill_health</f>
        <v/>
      </c>
      <c r="D144" s="903" t="n">
        <v>0</v>
      </c>
      <c r="E144" s="1175" t="n"/>
      <c r="F144" s="1175" t="n"/>
      <c r="G144" s="1175" t="n"/>
      <c r="H144" s="1176" t="n"/>
      <c r="I144" s="890">
        <f>IF(
'Table of Contents &amp; Validation'!D42=TRUE,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ht="15" customHeight="1" thickBot="1"/>
    <row r="146" ht="15" customHeight="1" thickBot="1">
      <c r="C146" s="905">
        <f>template_label_b10_workforce_remuneration_collective_bargaining&amp;" "&amp;template_label_from&amp;" "&amp;template_starting_date_display&amp;" "&amp;template_label_to&amp;" "&amp;template_ending_date_display&amp;" "&amp;template_label_always_to_be_reported_if_applicable</f>
        <v/>
      </c>
      <c r="D146" s="1120" t="n"/>
      <c r="E146" s="1120" t="n"/>
      <c r="F146" s="1120" t="n"/>
      <c r="G146" s="1120" t="n"/>
      <c r="H146" s="1121" t="n"/>
    </row>
    <row r="147" ht="29.4" customHeight="1" thickBot="1">
      <c r="A147" s="551" t="inlineStr">
        <is>
          <t>42(a)</t>
        </is>
      </c>
      <c r="B147" s="559" t="inlineStr">
        <is>
          <t>127-128</t>
        </is>
      </c>
      <c r="C147" s="434">
        <f>template_label_employees_receive_pay_that_is_equal_or_above_applicable_minimum_wage</f>
        <v/>
      </c>
      <c r="D147" s="908" t="inlineStr">
        <is>
          <t>YES</t>
        </is>
      </c>
      <c r="E147" s="1177" t="n"/>
      <c r="F147" s="1177" t="n"/>
      <c r="G147" s="1177" t="n"/>
      <c r="H147" s="1178" t="n"/>
      <c r="I147" s="890">
        <f>IF(OR(
'Table of Contents &amp; Validation'!D44=TRUE,'Table of Contents &amp; Validation'!D43=TRUE),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c r="A148" s="551" t="inlineStr">
        <is>
          <t>42(b)</t>
        </is>
      </c>
      <c r="B148" s="559" t="inlineStr">
        <is>
          <t>129-136</t>
        </is>
      </c>
      <c r="C148" s="190">
        <f>template_label_average_gross_hourly_pay_level_of_male_employees &amp; " " &amp; "(" &amp; template_label_amount_in &amp; " " &amp; template_currency &amp; ")"</f>
        <v/>
      </c>
      <c r="D148" s="1179" t="n">
        <v>20</v>
      </c>
      <c r="E148" s="1163" t="n"/>
      <c r="F148" s="1163" t="n"/>
      <c r="G148" s="1163" t="n"/>
      <c r="H148" s="1180" t="n"/>
      <c r="I148" s="890">
        <f>IF(
    AND('General Information'!$E$282&lt;150, D148=""),
    "",
    IF(
        AND('General Information'!$E$282&lt;150, D148&lt;&gt;""),
        template_label_ok,
        IF(
            AND('General Information'!$E$282&gt;=150, D148&lt;&gt;""),
            template_label_ok,
            template_label_missing_value
        )
    )
)</f>
        <v/>
      </c>
    </row>
    <row r="149">
      <c r="A149" s="551" t="inlineStr">
        <is>
          <t>42(b)</t>
        </is>
      </c>
      <c r="B149" s="559" t="inlineStr">
        <is>
          <t>129-136</t>
        </is>
      </c>
      <c r="C149" s="137">
        <f>template_label_average_gross_hourly_pay_level_of_female_employees &amp; " " &amp; "(" &amp; template_label_amount_in &amp; " " &amp; template_currency &amp; ")"</f>
        <v/>
      </c>
      <c r="D149" s="1181" t="n">
        <v>18</v>
      </c>
      <c r="E149" s="1130" t="n"/>
      <c r="F149" s="1130" t="n"/>
      <c r="G149" s="1130" t="n"/>
      <c r="H149" s="1138" t="n"/>
      <c r="I149" s="890">
        <f>IF(
    AND('General Information'!$E$282&lt;150, D149=""),
    "",
    IF(
        AND('General Information'!$E$282&lt;150, D149&lt;&gt;""),
        template_label_ok,
        IF(
            AND('General Information'!$E$282&gt;=150, D149&lt;&gt;""),
            template_label_ok,
            template_label_missing_value
        )
    )
)</f>
        <v/>
      </c>
    </row>
    <row r="150" ht="15" customHeight="1" thickBot="1">
      <c r="A150" s="551" t="inlineStr">
        <is>
          <t>42(b)</t>
        </is>
      </c>
      <c r="B150" s="559" t="inlineStr">
        <is>
          <t>129-136</t>
        </is>
      </c>
      <c r="C150" s="138">
        <f>template_label_percentage_gap_in_pay_between_the__undertakings_female_and_male_employees</f>
        <v/>
      </c>
      <c r="D150" s="1182" t="n"/>
      <c r="E150" s="1140" t="n"/>
      <c r="F150" s="1140" t="n"/>
      <c r="G150" s="1140" t="n"/>
      <c r="H150" s="1146" t="n"/>
    </row>
    <row r="151">
      <c r="A151" s="551" t="inlineStr">
        <is>
          <t>42(c)</t>
        </is>
      </c>
      <c r="B151" s="559" t="inlineStr">
        <is>
          <t>137-140</t>
        </is>
      </c>
      <c r="C151" s="189">
        <f>template_label_number_of_employees_covered_by_collective_bargaining_agreements</f>
        <v/>
      </c>
      <c r="D151" s="1183" t="n">
        <v>140</v>
      </c>
      <c r="E151" s="1163" t="n"/>
      <c r="F151" s="1163" t="n"/>
      <c r="G151" s="1163" t="n"/>
      <c r="H151" s="1180" t="n"/>
      <c r="I151" s="890">
        <f>IF(OR(
'Table of Contents &amp; Validation'!D44=TRUE,'Table of Contents &amp; Validation'!D43=TRUE),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ht="15" customHeight="1" thickBot="1">
      <c r="A152" s="3" t="n"/>
      <c r="B152" s="1128" t="n"/>
      <c r="C152" s="138">
        <f>template_label_percentage_of_employees_covered_by_collective_bargaining_agreements</f>
        <v/>
      </c>
      <c r="D152" s="1184" t="n"/>
      <c r="E152" s="1132" t="n"/>
      <c r="F152" s="1132" t="n"/>
      <c r="G152" s="1132" t="n"/>
      <c r="H152" s="1139" t="n"/>
    </row>
    <row r="153" ht="15" customHeight="1" thickBot="1"/>
    <row r="154" ht="15" customHeight="1" thickBot="1">
      <c r="C154" s="905">
        <f>template_label_number_of_annual_training_hours_per_employee_during_the_reporting_period&amp;" "&amp;template_label_from&amp;" "&amp;template_starting_date_display&amp;" "&amp;template_label_to&amp;" "&amp;template_ending_date_display&amp;" "&amp;template_label_always_to_be_reported</f>
        <v/>
      </c>
      <c r="D154" s="1120" t="n"/>
      <c r="E154" s="1120" t="n"/>
      <c r="F154" s="1120" t="n"/>
      <c r="G154" s="1120" t="n"/>
      <c r="H154" s="1121" t="n"/>
    </row>
    <row r="155">
      <c r="C155" s="553" t="inlineStr">
        <is>
          <t>42(d)</t>
        </is>
      </c>
      <c r="D155" s="508" t="n"/>
      <c r="E155" s="508" t="n"/>
      <c r="F155" s="508" t="n"/>
      <c r="G155" s="508" t="n"/>
      <c r="H155" s="198" t="n"/>
    </row>
    <row r="156">
      <c r="C156" s="430">
        <f>template_label_gender</f>
        <v/>
      </c>
      <c r="D156" s="933">
        <f>template_label_number_of_annual_training_hours_per_employee_during_the_reporting_period</f>
        <v/>
      </c>
      <c r="E156" s="1106" t="n"/>
      <c r="F156" s="1106" t="n"/>
      <c r="G156" s="1106" t="n"/>
      <c r="H156" s="199" t="n"/>
      <c r="I156" s="890" t="n"/>
    </row>
    <row r="157">
      <c r="C157" s="134">
        <f>template_label_male</f>
        <v/>
      </c>
      <c r="D157" s="935" t="n">
        <v>100</v>
      </c>
      <c r="E157" s="1130" t="n"/>
      <c r="F157" s="1130" t="n"/>
      <c r="G157" s="1130" t="n"/>
      <c r="H157" s="1124" t="n"/>
      <c r="I157" s="890">
        <f>IF(OR(
'Table of Contents &amp; Validation'!D45=TRUE,'Table of Contents &amp; Validation'!D43=TRUE),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c r="C158" s="134">
        <f>template_label_female</f>
        <v/>
      </c>
      <c r="D158" s="935" t="n">
        <v>150</v>
      </c>
      <c r="E158" s="1130" t="n"/>
      <c r="F158" s="1130" t="n"/>
      <c r="G158" s="1130" t="n"/>
      <c r="H158" s="1124" t="n"/>
    </row>
    <row r="159">
      <c r="C159" s="134">
        <f>template_label_other</f>
        <v/>
      </c>
      <c r="D159" s="935" t="n">
        <v>140</v>
      </c>
      <c r="E159" s="1130" t="n"/>
      <c r="F159" s="1130" t="n"/>
      <c r="G159" s="1130" t="n"/>
      <c r="H159" s="1124" t="n"/>
    </row>
    <row r="160">
      <c r="C160" s="134">
        <f>template_label_not_reported</f>
        <v/>
      </c>
      <c r="D160" s="935" t="n">
        <v>120</v>
      </c>
      <c r="E160" s="1130" t="n"/>
      <c r="F160" s="1130" t="n"/>
      <c r="G160" s="1130" t="n"/>
      <c r="H160" s="1124" t="n"/>
    </row>
    <row r="161">
      <c r="C161" s="960">
        <f>template_label_average_number_of_annual_training_hours_per_employee</f>
        <v/>
      </c>
      <c r="D161" s="1106" t="n"/>
      <c r="E161" s="1106" t="n"/>
      <c r="F161" s="1106" t="n"/>
      <c r="G161" s="1106" t="n"/>
      <c r="H161" s="199" t="n"/>
      <c r="I161" s="890" t="n"/>
    </row>
    <row r="162" ht="15" customHeight="1" thickBot="1">
      <c r="C162" s="963">
        <f>IFERROR(
    IF(
        AND(D18&lt;&gt;"",D18&lt;&gt;0,D19&lt;&gt;"",D19&lt;&gt;0,D20&lt;&gt;"",D20&lt;&gt;0,D21&lt;&gt;"",D21&lt;&gt;0),
        AVERAGE(D157:D160),
        IF(OR(D18="", D18=0), AVERAGE(D158:D160),
        IF(OR(D19="", D19=0), AVERAGE(D157,D159,D160),
        IF(OR(D20="", D20=0), AVERAGE(D157,D158,D160),
        IF(OR(D21="", D21=0), AVERAGE(D157,D158,D159), "-"))))
    ),
"-")</f>
        <v/>
      </c>
      <c r="D162" s="1140" t="n"/>
      <c r="E162" s="1140" t="n"/>
      <c r="F162" s="1140" t="n"/>
      <c r="G162" s="1140" t="n"/>
      <c r="H162" s="1125" t="n"/>
      <c r="I162" s="890" t="n"/>
    </row>
    <row r="163" ht="15" customHeight="1" thickBot="1"/>
    <row r="164" ht="15" customHeight="1" thickBot="1">
      <c r="C164" s="964">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185" t="n"/>
    </row>
    <row r="165">
      <c r="A165" s="551" t="n">
        <v>59</v>
      </c>
      <c r="B165" s="559" t="inlineStr">
        <is>
          <t>167-169</t>
        </is>
      </c>
      <c r="C165" s="139">
        <f>template_label_number_of_male_employees_at_management_level</f>
        <v/>
      </c>
      <c r="D165" s="1179" t="n">
        <v>5</v>
      </c>
      <c r="E165" s="1163" t="n"/>
      <c r="F165" s="1163" t="n"/>
      <c r="G165" s="1163" t="n"/>
      <c r="H165" s="1180" t="n"/>
      <c r="I165" s="890">
        <f>IF(D165&lt;&gt;"", template_label_ok, "")</f>
        <v/>
      </c>
    </row>
    <row r="166">
      <c r="A166" s="551" t="n">
        <v>59</v>
      </c>
      <c r="B166" s="559" t="inlineStr">
        <is>
          <t>167-169</t>
        </is>
      </c>
      <c r="C166" s="140">
        <f>template_label_number_of_female_employees_at_management_level</f>
        <v/>
      </c>
      <c r="D166" s="1181" t="n">
        <v>4</v>
      </c>
      <c r="E166" s="1130" t="n"/>
      <c r="F166" s="1130" t="n"/>
      <c r="G166" s="1130" t="n"/>
      <c r="H166" s="1138" t="n"/>
      <c r="I166" s="890">
        <f>IF(D166&lt;&gt;"", template_label_ok, "")</f>
        <v/>
      </c>
    </row>
    <row r="167" ht="15" customHeight="1" thickBot="1">
      <c r="A167" s="551" t="n">
        <v>59</v>
      </c>
      <c r="B167" s="559" t="inlineStr">
        <is>
          <t>167-169</t>
        </is>
      </c>
      <c r="C167" s="138">
        <f>template_label_female_to_male_ratio_at_management_level_for_the_reporting_period</f>
        <v/>
      </c>
      <c r="D167" s="429" t="n"/>
      <c r="E167" s="1140" t="n"/>
      <c r="F167" s="1140" t="n"/>
      <c r="G167" s="1140" t="n"/>
      <c r="H167" s="1146" t="n"/>
    </row>
    <row r="168" ht="28.8" customHeight="1">
      <c r="A168" s="551" t="n">
        <v>60</v>
      </c>
      <c r="B168" s="559" t="inlineStr">
        <is>
          <t>170-172</t>
        </is>
      </c>
      <c r="C168" s="141">
        <f>template_label_total_self_employed_workers_without_personnel_that_are_working_exclusively_for_the_undertaking</f>
        <v/>
      </c>
      <c r="D168" s="1186" t="n">
        <v>4</v>
      </c>
      <c r="E168" s="1136" t="n"/>
      <c r="F168" s="1136" t="n"/>
      <c r="G168" s="1136" t="n"/>
      <c r="H168" s="1137" t="n"/>
      <c r="I168" s="890">
        <f>IF(D168&lt;&gt;"", template_label_ok, "")</f>
        <v/>
      </c>
    </row>
    <row r="169" ht="29.4" customHeight="1" thickBot="1">
      <c r="A169" s="551" t="n">
        <v>60</v>
      </c>
      <c r="B169" s="559" t="inlineStr">
        <is>
          <t>170-172</t>
        </is>
      </c>
      <c r="C169" s="142">
        <f>template_label_total_temporary_workers_provided_by_undertakings_primarily_engaged_in_employment_activities</f>
        <v/>
      </c>
      <c r="D169" s="1187" t="n">
        <v>50</v>
      </c>
      <c r="E169" s="1132" t="n"/>
      <c r="F169" s="1132" t="n"/>
      <c r="G169" s="1132" t="n"/>
      <c r="H169" s="1139" t="n"/>
      <c r="I169" s="890">
        <f>IF(D169&lt;&gt;"", template_label_ok, "")</f>
        <v/>
      </c>
    </row>
    <row r="170" ht="15" customHeight="1" thickBot="1"/>
    <row r="171" ht="15" customHeight="1" thickBot="1">
      <c r="C171" s="949">
        <f>template_label_c6_additional_own_workforce_information_human_rights_policies_and_processes&amp;" "&amp;template_label_from&amp;" "&amp;template_starting_date_display&amp;" "&amp;template_label_to&amp;" "&amp;template_ending_date_display&amp;" "&amp;template_label_always_to_be_reported</f>
        <v/>
      </c>
      <c r="D171" s="1120" t="n"/>
      <c r="E171" s="1120" t="n"/>
      <c r="F171" s="1120" t="n"/>
      <c r="G171" s="1120" t="n"/>
      <c r="H171" s="1121" t="n"/>
    </row>
    <row r="172">
      <c r="A172" s="551" t="inlineStr">
        <is>
          <t>61(a)</t>
        </is>
      </c>
      <c r="B172" s="559" t="n">
        <v>173</v>
      </c>
      <c r="C172" s="143">
        <f>template_label_does_the_undertaking_have_a_code_of_conduct_or_human_rights_policy_for_its_own_workforce</f>
        <v/>
      </c>
      <c r="D172" s="975" t="inlineStr">
        <is>
          <t>YES</t>
        </is>
      </c>
      <c r="E172" s="1136" t="n"/>
      <c r="F172" s="1136" t="n"/>
      <c r="G172" s="1136" t="n"/>
      <c r="H172" s="1137" t="n"/>
      <c r="I172" s="890">
        <f>IF(
'Table of Contents &amp; Validation'!D60=TRUE,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c r="A173" s="551" t="inlineStr">
        <is>
          <t>61(b)</t>
        </is>
      </c>
      <c r="B173" s="559" t="n">
        <v>173</v>
      </c>
      <c r="C173" s="117">
        <f>template_label_if_yes_does_this_cover</f>
        <v/>
      </c>
      <c r="D173" s="746" t="n"/>
      <c r="E173" s="1106" t="n"/>
      <c r="F173" s="1106" t="n"/>
      <c r="G173" s="1106" t="n"/>
      <c r="H173" s="1188" t="n"/>
    </row>
    <row r="174">
      <c r="A174" s="551" t="inlineStr">
        <is>
          <t>61(b)</t>
        </is>
      </c>
      <c r="B174" s="559" t="n">
        <v>173</v>
      </c>
      <c r="C174" s="144">
        <f>template_label_child_labour</f>
        <v/>
      </c>
      <c r="D174" s="959" t="b">
        <v>1</v>
      </c>
      <c r="E174" s="1130" t="n"/>
      <c r="F174" s="1130" t="n"/>
      <c r="G174" s="1130" t="n"/>
      <c r="H174" s="1138" t="n"/>
      <c r="I174" s="978">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551" t="inlineStr">
        <is>
          <t>61(b)</t>
        </is>
      </c>
      <c r="B175" s="559" t="n">
        <v>173</v>
      </c>
      <c r="C175" s="144">
        <f>template_label_forced_labour</f>
        <v/>
      </c>
      <c r="D175" s="959" t="b">
        <v>1</v>
      </c>
      <c r="E175" s="1130" t="n"/>
      <c r="F175" s="1130" t="n"/>
      <c r="G175" s="1130" t="n"/>
      <c r="H175" s="1138" t="n"/>
      <c r="I175" s="8" t="n"/>
    </row>
    <row r="176">
      <c r="A176" s="551" t="inlineStr">
        <is>
          <t>61(b)</t>
        </is>
      </c>
      <c r="B176" s="559" t="n">
        <v>173</v>
      </c>
      <c r="C176" s="144">
        <f>template_label_human_trafficking</f>
        <v/>
      </c>
      <c r="D176" s="959" t="b">
        <v>1</v>
      </c>
      <c r="E176" s="1130" t="n"/>
      <c r="F176" s="1130" t="n"/>
      <c r="G176" s="1130" t="n"/>
      <c r="H176" s="1138" t="n"/>
      <c r="I176" s="8" t="n"/>
    </row>
    <row r="177">
      <c r="A177" s="551" t="inlineStr">
        <is>
          <t>61(b)</t>
        </is>
      </c>
      <c r="B177" s="559" t="n">
        <v>173</v>
      </c>
      <c r="C177" s="144">
        <f>template_label_discrimination</f>
        <v/>
      </c>
      <c r="D177" s="959" t="b">
        <v>1</v>
      </c>
      <c r="E177" s="1130" t="n"/>
      <c r="F177" s="1130" t="n"/>
      <c r="G177" s="1130" t="n"/>
      <c r="H177" s="1138" t="n"/>
      <c r="I177" s="8" t="n"/>
    </row>
    <row r="178">
      <c r="A178" s="551" t="inlineStr">
        <is>
          <t>61(b)</t>
        </is>
      </c>
      <c r="B178" s="559" t="n">
        <v>173</v>
      </c>
      <c r="C178" s="145">
        <f>template_label_accident_prevention</f>
        <v/>
      </c>
      <c r="D178" s="977" t="b">
        <v>1</v>
      </c>
      <c r="E178" s="1130" t="n"/>
      <c r="F178" s="1130" t="n"/>
      <c r="G178" s="1130" t="n"/>
      <c r="H178" s="1138" t="n"/>
      <c r="I178" s="8" t="n"/>
    </row>
    <row r="179">
      <c r="A179" s="551" t="inlineStr">
        <is>
          <t>61(b)</t>
        </is>
      </c>
      <c r="B179" s="559" t="n">
        <v>173</v>
      </c>
      <c r="C179" s="146">
        <f>template_label_other_if_yes_specify</f>
        <v/>
      </c>
      <c r="D179" s="959" t="b">
        <v>0</v>
      </c>
      <c r="E179" s="1130" t="n"/>
      <c r="F179" s="1130" t="n"/>
      <c r="G179" s="1130" t="n"/>
      <c r="H179" s="1138" t="n"/>
      <c r="I179" s="8" t="n"/>
      <c r="J179" s="1032">
        <f>template_label_other_warning</f>
        <v/>
      </c>
    </row>
    <row r="180" ht="33.6" customHeight="1">
      <c r="A180" s="551" t="inlineStr">
        <is>
          <t>61(b)</t>
        </is>
      </c>
      <c r="B180" s="559" t="n">
        <v>173</v>
      </c>
      <c r="C180" s="603">
        <f>template_label_specify_other_types_of_content_covered_by_the_code_of_conduct_or_human_rights_policy</f>
        <v/>
      </c>
      <c r="D180" s="971" t="n"/>
      <c r="E180" s="1166" t="n"/>
      <c r="F180" s="1166" t="n"/>
      <c r="G180" s="1166" t="n"/>
      <c r="H180" s="1189" t="n"/>
      <c r="I180" s="890">
        <f>IF(AND(D179=TRUE,D180&lt;&gt;""), template_label_ok,
IF(AND(D179=TRUE,D180=""), template_label_missing_value,
IF(AND(D179=FALSE,D180&lt;&gt;""), template_label_missing_value,
"")))</f>
        <v/>
      </c>
    </row>
    <row r="181" ht="31.2" customHeight="1" thickBot="1">
      <c r="A181" s="551" t="inlineStr">
        <is>
          <t>61(c)</t>
        </is>
      </c>
      <c r="B181" s="559" t="n">
        <v>173</v>
      </c>
      <c r="C181" s="147">
        <f>template_label_does_the_undertaking_have_a_complaint_handling_mechanism_for_its_own_workforce</f>
        <v/>
      </c>
      <c r="D181" s="1190" t="inlineStr">
        <is>
          <t>YES</t>
        </is>
      </c>
      <c r="E181" s="1132" t="n"/>
      <c r="F181" s="1132" t="n"/>
      <c r="G181" s="1132" t="n"/>
      <c r="H181" s="1139" t="n"/>
      <c r="I181" s="890">
        <f>IF(
'Table of Contents &amp; Validation'!D60=TRUE,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ht="15" customHeight="1" thickBot="1"/>
    <row r="183" ht="89.40000000000001" customHeight="1" thickBot="1">
      <c r="A183" s="981">
        <f>template_label_supporting_guidance_c3</f>
        <v/>
      </c>
      <c r="B183" s="1148" t="n"/>
      <c r="C183" s="760">
        <f>template_label_c7_severe_negative_human_rights_incidents&amp;" "&amp;template_label_from&amp;" "&amp;template_starting_date_display&amp;" "&amp;template_label_to&amp;" "&amp;template_ending_date_display&amp;" "&amp;template_label_always_to_be_reported</f>
        <v/>
      </c>
      <c r="D183" s="1120" t="n"/>
      <c r="E183" s="1120" t="n"/>
      <c r="F183" s="1120" t="n"/>
      <c r="G183" s="1120" t="n"/>
      <c r="H183" s="1121" t="n"/>
    </row>
    <row r="184">
      <c r="A184" s="551" t="n">
        <v>62</v>
      </c>
      <c r="B184" s="559" t="n">
        <v>174</v>
      </c>
      <c r="C184" s="435">
        <f>template_label_does_the_undertaking_have_confirmed_incidents_in_its_own_workforce</f>
        <v/>
      </c>
      <c r="D184" s="860" t="inlineStr">
        <is>
          <t>NO</t>
        </is>
      </c>
      <c r="E184" s="1136" t="n"/>
      <c r="F184" s="1136" t="n"/>
      <c r="G184" s="1136" t="n"/>
      <c r="H184" s="1122" t="n"/>
      <c r="I184" s="890">
        <f>IF(
'Table of Contents &amp; Validation'!D61=TRUE,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c r="A185" s="551" t="inlineStr">
        <is>
          <t>62(a)</t>
        </is>
      </c>
      <c r="B185" s="559" t="n">
        <v>174</v>
      </c>
      <c r="C185" s="148">
        <f>template_label_if_yes_are_incidents_related_to</f>
        <v/>
      </c>
      <c r="D185" s="746" t="n"/>
      <c r="E185" s="1106" t="n"/>
      <c r="F185" s="1106" t="n"/>
      <c r="G185" s="1106" t="n"/>
      <c r="H185" s="1188" t="n"/>
    </row>
    <row r="186">
      <c r="A186" s="551" t="inlineStr">
        <is>
          <t>62(a)</t>
        </is>
      </c>
      <c r="B186" s="559" t="n">
        <v>174</v>
      </c>
      <c r="C186" s="146">
        <f>template_label_child_labour</f>
        <v/>
      </c>
      <c r="D186" s="976" t="b">
        <v>0</v>
      </c>
      <c r="E186" s="1130" t="n"/>
      <c r="F186" s="1130" t="n"/>
      <c r="G186" s="1130" t="n"/>
      <c r="H186" s="1124" t="n"/>
      <c r="I186" s="978">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551" t="inlineStr">
        <is>
          <t>62(a)</t>
        </is>
      </c>
      <c r="B187" s="559" t="n">
        <v>174</v>
      </c>
      <c r="C187" s="146">
        <f>template_label_forced_labour</f>
        <v/>
      </c>
      <c r="D187" s="976" t="b">
        <v>0</v>
      </c>
      <c r="E187" s="1130" t="n"/>
      <c r="F187" s="1130" t="n"/>
      <c r="G187" s="1130" t="n"/>
      <c r="H187" s="1124" t="n"/>
      <c r="I187" s="8" t="n"/>
    </row>
    <row r="188">
      <c r="A188" s="551" t="inlineStr">
        <is>
          <t>62(a)</t>
        </is>
      </c>
      <c r="B188" s="559" t="n">
        <v>174</v>
      </c>
      <c r="C188" s="146">
        <f>template_label_human_trafficking</f>
        <v/>
      </c>
      <c r="D188" s="976" t="b">
        <v>0</v>
      </c>
      <c r="E188" s="1130" t="n"/>
      <c r="F188" s="1130" t="n"/>
      <c r="G188" s="1130" t="n"/>
      <c r="H188" s="1124" t="n"/>
      <c r="I188" s="8" t="n"/>
    </row>
    <row r="189">
      <c r="A189" s="551" t="inlineStr">
        <is>
          <t>62(a)</t>
        </is>
      </c>
      <c r="B189" s="559" t="n">
        <v>174</v>
      </c>
      <c r="C189" s="146">
        <f>template_label_discrimination</f>
        <v/>
      </c>
      <c r="D189" s="976" t="b">
        <v>0</v>
      </c>
      <c r="E189" s="1130" t="n"/>
      <c r="F189" s="1130" t="n"/>
      <c r="G189" s="1130" t="n"/>
      <c r="H189" s="1124" t="n"/>
      <c r="I189" s="8" t="n"/>
    </row>
    <row r="190">
      <c r="A190" s="551" t="inlineStr">
        <is>
          <t>62(a)</t>
        </is>
      </c>
      <c r="B190" s="559" t="n">
        <v>174</v>
      </c>
      <c r="C190" s="146">
        <f>template_label_other_if_yes_specify</f>
        <v/>
      </c>
      <c r="D190" s="976" t="b">
        <v>0</v>
      </c>
      <c r="E190" s="1130" t="n"/>
      <c r="F190" s="1130" t="n"/>
      <c r="G190" s="1130" t="n"/>
      <c r="H190" s="1124" t="n"/>
      <c r="I190" s="8" t="n"/>
      <c r="J190" s="1032">
        <f>template_label_other_warning</f>
        <v/>
      </c>
    </row>
    <row r="191">
      <c r="A191" s="551" t="inlineStr">
        <is>
          <t>62(a)</t>
        </is>
      </c>
      <c r="B191" s="559" t="n">
        <v>174</v>
      </c>
      <c r="C191" s="603">
        <f>template_label_specify_other_human_rights_related_to_the_confirmed_incidents</f>
        <v/>
      </c>
      <c r="D191" s="988" t="n"/>
      <c r="E191" s="1130" t="n"/>
      <c r="F191" s="1130" t="n"/>
      <c r="G191" s="1130" t="n"/>
      <c r="H191" s="1124" t="n"/>
      <c r="I191" s="890">
        <f>IF(AND(D190=TRUE,D191&lt;&gt;""), template_label_ok,
IF(AND(D190=TRUE,D191=""), template_label_missing_value,
IF(AND(D190=FALSE,D191&lt;&gt;""), template_label_missing_value, "")))</f>
        <v/>
      </c>
    </row>
    <row r="192">
      <c r="A192" s="551" t="inlineStr">
        <is>
          <t>62(b)</t>
        </is>
      </c>
      <c r="B192" s="559" t="n">
        <v>174</v>
      </c>
      <c r="C192" s="603">
        <f>template_label_description_of_actions_taken_to_address_the_confirmed_incidents</f>
        <v/>
      </c>
      <c r="D192" s="1191" t="n"/>
      <c r="E192" s="1130" t="n"/>
      <c r="F192" s="1130" t="n"/>
      <c r="G192" s="1130" t="n"/>
      <c r="H192" s="1138" t="n"/>
      <c r="I192" s="890">
        <f>IF(D192&lt;&gt;"",template_label_ok,"")</f>
        <v/>
      </c>
    </row>
    <row r="193" ht="28.8" customHeight="1">
      <c r="A193" s="551" t="inlineStr">
        <is>
          <t>62(c)</t>
        </is>
      </c>
      <c r="B193" s="559" t="n">
        <v>174</v>
      </c>
      <c r="C193" s="117">
        <f>template_label_is_the_undertaking_aware_of_any_confirmed_incidents_involving_workers</f>
        <v/>
      </c>
      <c r="D193" s="649" t="inlineStr">
        <is>
          <t>NO</t>
        </is>
      </c>
      <c r="E193" s="1130" t="n"/>
      <c r="F193" s="1130" t="n"/>
      <c r="G193" s="1130" t="n"/>
      <c r="H193" s="1124" t="n"/>
      <c r="I193" s="890">
        <f>IF(
'Table of Contents &amp; Validation'!D61=TRUE,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ht="29.4" customHeight="1" thickBot="1">
      <c r="A194" s="551" t="inlineStr">
        <is>
          <t>62(c)</t>
        </is>
      </c>
      <c r="B194" s="559" t="n">
        <v>174</v>
      </c>
      <c r="C194" s="581">
        <f>template_label_specification_of_any_confirmed_incident_involving_workers</f>
        <v/>
      </c>
      <c r="D194" s="987" t="n"/>
      <c r="E194" s="1132" t="n"/>
      <c r="F194" s="1132" t="n"/>
      <c r="G194" s="1132" t="n"/>
      <c r="H194" s="1139" t="n"/>
      <c r="I194" s="890">
        <f>IF(AND(D193="YES",D194&lt;&gt;""), template_label_ok,
IF(AND(D193="YES",D194=""), template_label_missing_value,
IF(AND(D193="NO",D194&lt;&gt;""), template_label_missing_value, "")))</f>
        <v/>
      </c>
    </row>
    <row r="197" ht="15" customHeight="1" thickBot="1"/>
    <row r="198" ht="15" customHeight="1" thickBot="1">
      <c r="C198" s="570">
        <f>template_label_disclosure_of_any_other_social_and_or_entity_specific_social_disclosures&amp;" "&amp;template_label_from&amp;" "&amp;template_starting_date_display&amp;" "&amp;template_label_to&amp;" "&amp;template_ending_date_display&amp;" " &amp; template_label_may</f>
        <v/>
      </c>
      <c r="D198" s="1120" t="n"/>
      <c r="E198" s="1120" t="n"/>
      <c r="F198" s="1120" t="n"/>
      <c r="G198" s="1120" t="n"/>
      <c r="H198" s="1121" t="n"/>
    </row>
    <row r="199">
      <c r="C199" s="553" t="n">
        <v>10</v>
      </c>
      <c r="D199" s="508" t="n"/>
      <c r="E199" s="508" t="n"/>
      <c r="F199" s="508" t="n"/>
      <c r="G199" s="508" t="n"/>
      <c r="H199" s="198" t="n"/>
    </row>
    <row r="200" ht="15" customHeight="1" thickBot="1">
      <c r="C200" s="564" t="n"/>
      <c r="D200" s="1132" t="n"/>
      <c r="E200" s="1132" t="n"/>
      <c r="F200" s="1132" t="n"/>
      <c r="G200" s="1132" t="n"/>
      <c r="H200" s="1123" t="n"/>
      <c r="I200" s="890">
        <f>IF(C200&lt;&gt;"", template_label_ok, "")</f>
        <v/>
      </c>
    </row>
  </sheetData>
  <mergeCells count="299">
    <mergeCell ref="C25:H25"/>
    <mergeCell ref="D18:G18"/>
    <mergeCell ref="C62:D62"/>
    <mergeCell ref="C183:H183"/>
    <mergeCell ref="E61:H61"/>
    <mergeCell ref="C98:D98"/>
    <mergeCell ref="C133:H133"/>
    <mergeCell ref="C107:D107"/>
    <mergeCell ref="C89:D89"/>
    <mergeCell ref="F2:H2"/>
    <mergeCell ref="C198:H198"/>
    <mergeCell ref="C14:G14"/>
    <mergeCell ref="C116:D116"/>
    <mergeCell ref="C64:D64"/>
    <mergeCell ref="E32:H32"/>
    <mergeCell ref="C79:D79"/>
    <mergeCell ref="E37:H37"/>
    <mergeCell ref="C73:D73"/>
    <mergeCell ref="E97:H97"/>
    <mergeCell ref="E125:H125"/>
    <mergeCell ref="E109:H109"/>
    <mergeCell ref="C54:D54"/>
    <mergeCell ref="E47:H47"/>
    <mergeCell ref="B151:B152"/>
    <mergeCell ref="D20:G20"/>
    <mergeCell ref="C41:D41"/>
    <mergeCell ref="C63:D63"/>
    <mergeCell ref="C121:D121"/>
    <mergeCell ref="D189:H189"/>
    <mergeCell ref="C50:D50"/>
    <mergeCell ref="C93:D93"/>
    <mergeCell ref="E96:H96"/>
    <mergeCell ref="E62:H62"/>
    <mergeCell ref="E129:H129"/>
    <mergeCell ref="E71:H71"/>
    <mergeCell ref="E111:H111"/>
    <mergeCell ref="A151:A152"/>
    <mergeCell ref="C56:D56"/>
    <mergeCell ref="D179:H179"/>
    <mergeCell ref="C105:D105"/>
    <mergeCell ref="D22:G22"/>
    <mergeCell ref="C43:D43"/>
    <mergeCell ref="E98:H98"/>
    <mergeCell ref="D166:H166"/>
    <mergeCell ref="C161:H161"/>
    <mergeCell ref="E64:H64"/>
    <mergeCell ref="E79:H79"/>
    <mergeCell ref="E73:H73"/>
    <mergeCell ref="D181:H181"/>
    <mergeCell ref="C27:D27"/>
    <mergeCell ref="C76:D76"/>
    <mergeCell ref="C120:D120"/>
    <mergeCell ref="C36:D36"/>
    <mergeCell ref="D21:G21"/>
    <mergeCell ref="E51:H51"/>
    <mergeCell ref="C119:D119"/>
    <mergeCell ref="E82:H82"/>
    <mergeCell ref="E88:H88"/>
    <mergeCell ref="D168:H168"/>
    <mergeCell ref="C154:H154"/>
    <mergeCell ref="E63:H63"/>
    <mergeCell ref="E128:H128"/>
    <mergeCell ref="D165:H165"/>
    <mergeCell ref="D180:H180"/>
    <mergeCell ref="D143:H143"/>
    <mergeCell ref="D152:H152"/>
    <mergeCell ref="C24:H24"/>
    <mergeCell ref="C7:G7"/>
    <mergeCell ref="C67:D67"/>
    <mergeCell ref="E65:H65"/>
    <mergeCell ref="E34:H34"/>
    <mergeCell ref="E74:H74"/>
    <mergeCell ref="E105:H105"/>
    <mergeCell ref="D142:H142"/>
    <mergeCell ref="E99:H99"/>
    <mergeCell ref="C28:D28"/>
    <mergeCell ref="C111:D111"/>
    <mergeCell ref="C26:H26"/>
    <mergeCell ref="C171:H171"/>
    <mergeCell ref="E49:H49"/>
    <mergeCell ref="E27:H27"/>
    <mergeCell ref="C69:D69"/>
    <mergeCell ref="E36:H36"/>
    <mergeCell ref="C83:D83"/>
    <mergeCell ref="D191:H191"/>
    <mergeCell ref="E119:H119"/>
    <mergeCell ref="E45:H45"/>
    <mergeCell ref="D144:H144"/>
    <mergeCell ref="C92:D92"/>
    <mergeCell ref="C30:D30"/>
    <mergeCell ref="E101:H101"/>
    <mergeCell ref="E116:H116"/>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D194:H194"/>
    <mergeCell ref="C40:D40"/>
    <mergeCell ref="C124:D124"/>
    <mergeCell ref="E122:H122"/>
    <mergeCell ref="E67:H67"/>
    <mergeCell ref="E127:H127"/>
    <mergeCell ref="E48:H48"/>
    <mergeCell ref="C90:D90"/>
    <mergeCell ref="C199:H199"/>
    <mergeCell ref="D156:H156"/>
    <mergeCell ref="C60:D60"/>
    <mergeCell ref="C71:D71"/>
    <mergeCell ref="E38:H38"/>
    <mergeCell ref="C123:D123"/>
    <mergeCell ref="D11:G11"/>
    <mergeCell ref="C110:D110"/>
    <mergeCell ref="E87:H87"/>
    <mergeCell ref="C91:D91"/>
    <mergeCell ref="E40:H40"/>
    <mergeCell ref="C82:D82"/>
    <mergeCell ref="D188:H188"/>
    <mergeCell ref="D157:H157"/>
    <mergeCell ref="C57:D57"/>
    <mergeCell ref="C66:D66"/>
    <mergeCell ref="E90:H90"/>
    <mergeCell ref="E104:H104"/>
    <mergeCell ref="C53:D53"/>
    <mergeCell ref="F3:H3"/>
    <mergeCell ref="C102:D102"/>
    <mergeCell ref="C162:H162"/>
    <mergeCell ref="J29:V30"/>
    <mergeCell ref="C34:D34"/>
    <mergeCell ref="C77:D77"/>
    <mergeCell ref="C86:D86"/>
    <mergeCell ref="D9:G9"/>
    <mergeCell ref="C68:D68"/>
    <mergeCell ref="E110:H110"/>
    <mergeCell ref="E124:H124"/>
    <mergeCell ref="C108:D108"/>
    <mergeCell ref="C146:H146"/>
    <mergeCell ref="C164:H164"/>
    <mergeCell ref="C58:D58"/>
    <mergeCell ref="E76:H76"/>
    <mergeCell ref="D190:H190"/>
    <mergeCell ref="D159:H159"/>
    <mergeCell ref="I18:M21"/>
    <mergeCell ref="C139:H139"/>
    <mergeCell ref="C128:D128"/>
    <mergeCell ref="C2:E2"/>
    <mergeCell ref="C113:D113"/>
    <mergeCell ref="E66:H66"/>
    <mergeCell ref="C29:D29"/>
    <mergeCell ref="C85:D85"/>
    <mergeCell ref="A183:B183"/>
    <mergeCell ref="C100:D100"/>
    <mergeCell ref="C112:D112"/>
    <mergeCell ref="C94:D94"/>
    <mergeCell ref="C132:H132"/>
    <mergeCell ref="C16:G16"/>
    <mergeCell ref="C65:D65"/>
    <mergeCell ref="E50:H50"/>
    <mergeCell ref="E53:H53"/>
    <mergeCell ref="E121:H121"/>
    <mergeCell ref="D136:H136"/>
    <mergeCell ref="E68:H68"/>
    <mergeCell ref="C44:D44"/>
    <mergeCell ref="C75:D75"/>
    <mergeCell ref="C84:D84"/>
    <mergeCell ref="C127:D127"/>
    <mergeCell ref="D10:G10"/>
    <mergeCell ref="C31:D31"/>
    <mergeCell ref="C80:D80"/>
    <mergeCell ref="E55:H55"/>
    <mergeCell ref="C114:D114"/>
    <mergeCell ref="C129:D129"/>
    <mergeCell ref="E117:H117"/>
    <mergeCell ref="C59:D59"/>
    <mergeCell ref="E52:H52"/>
    <mergeCell ref="E123:H123"/>
    <mergeCell ref="E92:H92"/>
    <mergeCell ref="C46:D46"/>
    <mergeCell ref="E39:H39"/>
    <mergeCell ref="C155:H155"/>
    <mergeCell ref="D147:H147"/>
    <mergeCell ref="C51:D51"/>
    <mergeCell ref="C95:D95"/>
    <mergeCell ref="E107:H107"/>
    <mergeCell ref="E29:H29"/>
    <mergeCell ref="C61:D61"/>
    <mergeCell ref="D193:H193"/>
    <mergeCell ref="D184:H184"/>
    <mergeCell ref="C70:D70"/>
    <mergeCell ref="D137:H137"/>
    <mergeCell ref="C48:D48"/>
    <mergeCell ref="E94:H94"/>
    <mergeCell ref="E103:H103"/>
    <mergeCell ref="C106:D106"/>
    <mergeCell ref="E84:H84"/>
    <mergeCell ref="E78:H78"/>
    <mergeCell ref="C32:D32"/>
    <mergeCell ref="D192:H192"/>
    <mergeCell ref="E31:H31"/>
    <mergeCell ref="D17:G17"/>
    <mergeCell ref="C38:D38"/>
    <mergeCell ref="C125:D125"/>
    <mergeCell ref="E114:H114"/>
    <mergeCell ref="E118:H118"/>
    <mergeCell ref="D173:H173"/>
    <mergeCell ref="E46:H46"/>
    <mergeCell ref="E108:H108"/>
    <mergeCell ref="E86:H86"/>
    <mergeCell ref="D148:H148"/>
    <mergeCell ref="E80:H80"/>
    <mergeCell ref="E95:H95"/>
    <mergeCell ref="C200:H200"/>
    <mergeCell ref="E89:H89"/>
    <mergeCell ref="C49:D49"/>
    <mergeCell ref="I186:I190"/>
    <mergeCell ref="C101:D101"/>
    <mergeCell ref="E70:H70"/>
    <mergeCell ref="D178:H178"/>
    <mergeCell ref="I174:I179"/>
    <mergeCell ref="D172:H172"/>
    <mergeCell ref="D187:H187"/>
    <mergeCell ref="C33:D33"/>
    <mergeCell ref="C6:G6"/>
    <mergeCell ref="C15:G15"/>
    <mergeCell ref="D12:G12"/>
    <mergeCell ref="C42:D42"/>
    <mergeCell ref="D174:H174"/>
    <mergeCell ref="C104:D104"/>
    <mergeCell ref="E54:H54"/>
    <mergeCell ref="E57:H57"/>
    <mergeCell ref="E120:H120"/>
    <mergeCell ref="C74:D74"/>
    <mergeCell ref="E72:H72"/>
    <mergeCell ref="E41:H41"/>
    <mergeCell ref="D140:H140"/>
    <mergeCell ref="C88:D88"/>
    <mergeCell ref="C126:D126"/>
    <mergeCell ref="E81:H81"/>
    <mergeCell ref="D149:H149"/>
    <mergeCell ref="E112:H112"/>
    <mergeCell ref="C35:D35"/>
    <mergeCell ref="D158:H158"/>
    <mergeCell ref="E56:H56"/>
    <mergeCell ref="C103:D103"/>
    <mergeCell ref="E43:H43"/>
    <mergeCell ref="E58:H58"/>
    <mergeCell ref="C117:D117"/>
    <mergeCell ref="D151:H151"/>
    <mergeCell ref="C55:D55"/>
    <mergeCell ref="C99:D99"/>
    <mergeCell ref="D160:H160"/>
    <mergeCell ref="E106:H106"/>
    <mergeCell ref="E33:H33"/>
    <mergeCell ref="D141:H141"/>
    <mergeCell ref="C118:D118"/>
    <mergeCell ref="C96:D96"/>
    <mergeCell ref="D135:H135"/>
    <mergeCell ref="D150:H150"/>
    <mergeCell ref="E42:H42"/>
    <mergeCell ref="D175:H175"/>
    <mergeCell ref="E126:H126"/>
    <mergeCell ref="C115:D115"/>
    <mergeCell ref="E83:H83"/>
    <mergeCell ref="C131:H131"/>
    <mergeCell ref="E35:H35"/>
    <mergeCell ref="D134:H134"/>
    <mergeCell ref="E44:H44"/>
    <mergeCell ref="C3:E3"/>
    <mergeCell ref="C52:D52"/>
    <mergeCell ref="C8:G8"/>
    <mergeCell ref="E28:H28"/>
    <mergeCell ref="D167:H167"/>
    <mergeCell ref="C39:D39"/>
    <mergeCell ref="C122:D122"/>
    <mergeCell ref="D176:H176"/>
    <mergeCell ref="I157:I160"/>
    <mergeCell ref="H18:H21"/>
    <mergeCell ref="E60:H60"/>
    <mergeCell ref="E69:H69"/>
    <mergeCell ref="C72:D72"/>
    <mergeCell ref="D177:H177"/>
    <mergeCell ref="C81:D81"/>
    <mergeCell ref="C37:D37"/>
    <mergeCell ref="E30:H30"/>
    <mergeCell ref="D169:H169"/>
    <mergeCell ref="E59:H59"/>
    <mergeCell ref="E77:H77"/>
    <mergeCell ref="C78:D78"/>
    <mergeCell ref="C87:D87"/>
  </mergeCells>
  <conditionalFormatting sqref="D180">
    <cfRule type="expression" priority="29" dxfId="99">
      <formula>$D$179=TRUE</formula>
    </cfRule>
  </conditionalFormatting>
  <conditionalFormatting sqref="D191:D192">
    <cfRule type="expression" priority="18" dxfId="99">
      <formula>$D$190=TRUE</formula>
    </cfRule>
  </conditionalFormatting>
  <conditionalFormatting sqref="D194">
    <cfRule type="expression" priority="17" dxfId="99">
      <formula>$D$193="YES"</formula>
    </cfRule>
  </conditionalFormatting>
  <conditionalFormatting sqref="D174:H179">
    <cfRule type="expression" priority="34" dxfId="99">
      <formula>$D$172="YES"</formula>
    </cfRule>
  </conditionalFormatting>
  <conditionalFormatting sqref="D186:H190">
    <cfRule type="expression" priority="23" dxfId="99">
      <formula>$D$184="YES"</formula>
    </cfRule>
  </conditionalFormatting>
  <conditionalFormatting sqref="D192:H192">
    <cfRule type="expression" priority="10" dxfId="99">
      <formula>$D$184="YES"</formula>
    </cfRule>
  </conditionalFormatting>
  <conditionalFormatting sqref="E29:H29">
    <cfRule type="expression" priority="2" dxfId="161">
      <formula>$E$27=TRUE</formula>
    </cfRule>
  </conditionalFormatting>
  <conditionalFormatting sqref="E29:H128">
    <cfRule type="expression" priority="60" dxfId="99">
      <formula>$C29&lt;&gt;""</formula>
    </cfRule>
  </conditionalFormatting>
  <conditionalFormatting sqref="E30:H128">
    <cfRule type="expression" priority="61" dxfId="159">
      <formula>$D30=""</formula>
    </cfRule>
  </conditionalFormatting>
  <conditionalFormatting sqref="H10:H11">
    <cfRule type="expression" priority="71" dxfId="1">
      <formula>$H10=template_label_missing_value</formula>
    </cfRule>
    <cfRule type="expression" priority="72" dxfId="0">
      <formula>$H10=template_label_ok</formula>
    </cfRule>
  </conditionalFormatting>
  <conditionalFormatting sqref="H12">
    <cfRule type="expression" priority="74" dxfId="1">
      <formula>$H$12="VALUE INCONSISTENCY"</formula>
    </cfRule>
    <cfRule type="expression" priority="73" dxfId="0">
      <formula>$H$12="OK"</formula>
    </cfRule>
  </conditionalFormatting>
  <conditionalFormatting sqref="H18:H21">
    <cfRule type="expression" priority="1" dxfId="1">
      <formula>$H$18=template_label_value_inconsistency</formula>
    </cfRule>
    <cfRule type="expression" priority="66" dxfId="1">
      <formula>$H$18=template_label_missing_value</formula>
    </cfRule>
    <cfRule type="expression" priority="67" dxfId="0">
      <formula>$H$18=template_label_ok</formula>
    </cfRule>
  </conditionalFormatting>
  <conditionalFormatting sqref="H22">
    <cfRule type="expression" priority="68" dxfId="1">
      <formula>$H$22="VALUE INCONSISTENCY"</formula>
    </cfRule>
    <cfRule type="expression" priority="69" dxfId="1">
      <formula>$H$22="MISSING VALUE"</formula>
    </cfRule>
    <cfRule type="expression" priority="70" dxfId="0">
      <formula>$H$22="OK"</formula>
    </cfRule>
  </conditionalFormatting>
  <conditionalFormatting sqref="I29:I128">
    <cfRule type="expression" priority="5" dxfId="1">
      <formula>$I29=template_label_value_inconsistency</formula>
    </cfRule>
    <cfRule type="expression" priority="65" dxfId="1">
      <formula>$I29=template_label_missing_value</formula>
    </cfRule>
    <cfRule type="expression" priority="64" dxfId="0">
      <formula>$I29=template_label_ok</formula>
    </cfRule>
  </conditionalFormatting>
  <conditionalFormatting sqref="I129">
    <cfRule type="expression" priority="62" dxfId="0">
      <formula>$I$129="OK"</formula>
    </cfRule>
    <cfRule type="expression" priority="63" dxfId="1">
      <formula>$I$129="VALUE INCONSISTENCY"</formula>
    </cfRule>
  </conditionalFormatting>
  <conditionalFormatting sqref="I134:I136">
    <cfRule type="expression" priority="59" dxfId="0">
      <formula>$I134=template_label_ok</formula>
    </cfRule>
    <cfRule type="expression" priority="58" dxfId="1">
      <formula>$I134=template_label_missing_value</formula>
    </cfRule>
  </conditionalFormatting>
  <conditionalFormatting sqref="I140:I141">
    <cfRule type="expression" priority="56" dxfId="0">
      <formula>$I140=template_label_ok</formula>
    </cfRule>
    <cfRule type="expression" priority="55" dxfId="1">
      <formula>$I140=template_label_missing_value</formula>
    </cfRule>
  </conditionalFormatting>
  <conditionalFormatting sqref="I142">
    <cfRule type="expression" priority="52" dxfId="1">
      <formula>$I$142="MISSING VALUE"</formula>
    </cfRule>
    <cfRule type="expression" priority="51" dxfId="0">
      <formula>$I$142="OK"</formula>
    </cfRule>
  </conditionalFormatting>
  <conditionalFormatting sqref="I144">
    <cfRule type="expression" priority="53" dxfId="1">
      <formula>$I$144=template_label_missing_value</formula>
    </cfRule>
    <cfRule type="expression" priority="54" dxfId="0">
      <formula>$I$144=template_label_ok</formula>
    </cfRule>
  </conditionalFormatting>
  <conditionalFormatting sqref="I147">
    <cfRule type="expression" priority="46" dxfId="0">
      <formula>$I$147=template_label_ok</formula>
    </cfRule>
    <cfRule type="expression" priority="45" dxfId="1">
      <formula>$I$147=template_label_missing_value</formula>
    </cfRule>
  </conditionalFormatting>
  <conditionalFormatting sqref="I148:I149">
    <cfRule type="expression" priority="50" dxfId="1">
      <formula>$I148=template_label_missing_value</formula>
    </cfRule>
    <cfRule type="expression" priority="49" dxfId="0">
      <formula>$I148=template_label_ok</formula>
    </cfRule>
  </conditionalFormatting>
  <conditionalFormatting sqref="I151">
    <cfRule type="expression" priority="47" dxfId="0">
      <formula>$I$151=template_label_ok</formula>
    </cfRule>
    <cfRule type="expression" priority="48" dxfId="1">
      <formula>$I$151=template_label_missing_value</formula>
    </cfRule>
  </conditionalFormatting>
  <conditionalFormatting sqref="I156:I157 I161">
    <cfRule type="expression" priority="43" dxfId="1">
      <formula>$I156=template_label_missing_value</formula>
    </cfRule>
    <cfRule type="expression" priority="42" dxfId="0">
      <formula>$I156=template_label_ok</formula>
    </cfRule>
  </conditionalFormatting>
  <conditionalFormatting sqref="I165">
    <cfRule type="expression" priority="41" dxfId="0">
      <formula>$I$165=template_label_ok</formula>
    </cfRule>
  </conditionalFormatting>
  <conditionalFormatting sqref="I166">
    <cfRule type="expression" priority="40" dxfId="0">
      <formula>$I$166=template_label_ok</formula>
    </cfRule>
  </conditionalFormatting>
  <conditionalFormatting sqref="I168">
    <cfRule type="expression" priority="39" dxfId="0">
      <formula>$I$168=template_label_ok</formula>
    </cfRule>
  </conditionalFormatting>
  <conditionalFormatting sqref="I169">
    <cfRule type="expression" priority="38" dxfId="0">
      <formula>$I$169=template_label_ok</formula>
    </cfRule>
  </conditionalFormatting>
  <conditionalFormatting sqref="I172">
    <cfRule type="expression" priority="31" dxfId="0">
      <formula>$I$172=template_label_ok</formula>
    </cfRule>
    <cfRule type="expression" priority="30" dxfId="1">
      <formula>$I$172=template_label_missing_value</formula>
    </cfRule>
  </conditionalFormatting>
  <conditionalFormatting sqref="I174:I179">
    <cfRule type="expression" priority="7" dxfId="1">
      <formula>$I$174=template_label_value_inconsistency</formula>
    </cfRule>
    <cfRule type="expression" priority="26" dxfId="0">
      <formula>$I$174=template_label_ok</formula>
    </cfRule>
    <cfRule type="expression" priority="25" dxfId="1">
      <formula>$I$174=template_label_missing_value</formula>
    </cfRule>
  </conditionalFormatting>
  <conditionalFormatting sqref="I180">
    <cfRule type="expression" priority="33" dxfId="1">
      <formula>$I$180=template_label_missing_value</formula>
    </cfRule>
    <cfRule type="expression" priority="32" dxfId="0">
      <formula>$I$180=template_label_ok</formula>
    </cfRule>
  </conditionalFormatting>
  <conditionalFormatting sqref="I181">
    <cfRule type="expression" priority="28" dxfId="0">
      <formula>$I$181=template_label_ok</formula>
    </cfRule>
    <cfRule type="expression" priority="27" dxfId="1">
      <formula>$I$181=template_label_missing_value</formula>
    </cfRule>
  </conditionalFormatting>
  <conditionalFormatting sqref="I184">
    <cfRule type="expression" priority="16" dxfId="1">
      <formula>$I$184=template_label_missing_value</formula>
    </cfRule>
    <cfRule type="expression" priority="15" dxfId="0">
      <formula>$I$184=template_label_ok</formula>
    </cfRule>
  </conditionalFormatting>
  <conditionalFormatting sqref="I186:I190">
    <cfRule type="expression" priority="14" dxfId="1">
      <formula>$I$186=template_label_missing_value</formula>
    </cfRule>
    <cfRule type="expression" priority="13" dxfId="0">
      <formula>$I$186=template_label_ok</formula>
    </cfRule>
    <cfRule type="expression" priority="6" dxfId="1">
      <formula>$I$186=template_label_value_inconsistency</formula>
    </cfRule>
  </conditionalFormatting>
  <conditionalFormatting sqref="I191">
    <cfRule type="expression" priority="21" dxfId="0">
      <formula>$I$191=template_label_ok</formula>
    </cfRule>
    <cfRule type="expression" priority="22" dxfId="1">
      <formula>$I$191=template_label_missing_value</formula>
    </cfRule>
  </conditionalFormatting>
  <conditionalFormatting sqref="I192">
    <cfRule type="expression" priority="9" dxfId="0">
      <formula>$I$192=template_label_ok</formula>
    </cfRule>
  </conditionalFormatting>
  <conditionalFormatting sqref="I193">
    <cfRule type="expression" priority="11" dxfId="1">
      <formula>$I$193=template_label_missing_value</formula>
    </cfRule>
    <cfRule type="expression" priority="12" dxfId="0">
      <formula>$I$193=template_label_ok</formula>
    </cfRule>
  </conditionalFormatting>
  <conditionalFormatting sqref="I194">
    <cfRule type="expression" priority="19" dxfId="1">
      <formula>$I$194=template_label_missing_value</formula>
    </cfRule>
    <cfRule type="expression" priority="20" dxfId="0">
      <formula>$I$194=template_label_ok</formula>
    </cfRule>
  </conditionalFormatting>
  <conditionalFormatting sqref="I200">
    <cfRule type="expression" priority="8" dxfId="0">
      <formula>$I$200=template_label_ok</formula>
    </cfRule>
  </conditionalFormatting>
  <dataValidations xWindow="1283" yWindow="371" count="28">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2 D144: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 sqref="D143:H143" showDropDown="0" showInputMessage="1" showErrorMessage="1" allowBlank="1" promptTitle="200,000 hours worked" prompt="A rate based on 200,000 hours worked defines the number of recordable work-related accidents per 100 full-time workers, under the assumption that one full-time worker works 2,000 hours per year" type="decimal" operator="equal">
      <formula1>D143</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knowledgehub.efrag.org/eng/interactive/vsme/vsme-standard-annex-i/2025-07-30-ec-rec/40" r:id="rId7"/>
    <hyperlink xmlns:r="http://schemas.openxmlformats.org/officeDocument/2006/relationships" ref="C133" display="https://knowledgehub.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knowledgehub.efrag.org/eng/interactive/vsme/vsme-standard-annex-i/2025-07-30-ec-rec/59" r:id="rId30"/>
    <hyperlink xmlns:r="http://schemas.openxmlformats.org/officeDocument/2006/relationships" ref="B165" r:id="rId31"/>
    <hyperlink xmlns:r="http://schemas.openxmlformats.org/officeDocument/2006/relationships" ref="A166" display="https://knowledgehub.efrag.org/eng/interactive/vsme/vsme-standard-annex-i/2025-07-30-ec-rec/59" r:id="rId32"/>
    <hyperlink xmlns:r="http://schemas.openxmlformats.org/officeDocument/2006/relationships" ref="B166" r:id="rId33"/>
    <hyperlink xmlns:r="http://schemas.openxmlformats.org/officeDocument/2006/relationships" ref="A167" display="https://knowledgehub.efrag.org/eng/interactive/vsme/vsme-standard-annex-i/2025-07-30-ec-rec/59" r:id="rId34"/>
    <hyperlink xmlns:r="http://schemas.openxmlformats.org/officeDocument/2006/relationships" ref="B167" r:id="rId35"/>
    <hyperlink xmlns:r="http://schemas.openxmlformats.org/officeDocument/2006/relationships" ref="A168" display="https://knowledgehub.efrag.org/eng/interactive/vsme/vsme-standard-annex-i/2025-07-30-ec-rec/60" r:id="rId36"/>
    <hyperlink xmlns:r="http://schemas.openxmlformats.org/officeDocument/2006/relationships" ref="B168" r:id="rId37"/>
    <hyperlink xmlns:r="http://schemas.openxmlformats.org/officeDocument/2006/relationships" ref="A169" display="https://knowledgehub.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knowledgehub.efrag.org/eng/interactive/vsme/vsme-guidance-annex-ii/2025-07-30-ec-rec/173" r:id="rId41"/>
    <hyperlink xmlns:r="http://schemas.openxmlformats.org/officeDocument/2006/relationships" ref="A173" r:id="rId42"/>
    <hyperlink xmlns:r="http://schemas.openxmlformats.org/officeDocument/2006/relationships" ref="B173" display="https://knowledgehub.efrag.org/eng/interactive/vsme/vsme-guidance-annex-ii/2025-07-30-ec-rec/173" r:id="rId43"/>
    <hyperlink xmlns:r="http://schemas.openxmlformats.org/officeDocument/2006/relationships" ref="A174" r:id="rId44"/>
    <hyperlink xmlns:r="http://schemas.openxmlformats.org/officeDocument/2006/relationships" ref="B174" display="https://knowledgehub.efrag.org/eng/interactive/vsme/vsme-guidance-annex-ii/2025-07-30-ec-rec/173" r:id="rId45"/>
    <hyperlink xmlns:r="http://schemas.openxmlformats.org/officeDocument/2006/relationships" ref="A175" r:id="rId46"/>
    <hyperlink xmlns:r="http://schemas.openxmlformats.org/officeDocument/2006/relationships" ref="B175" display="https://knowledgehub.efrag.org/eng/interactive/vsme/vsme-guidance-annex-ii/2025-07-30-ec-rec/173" r:id="rId47"/>
    <hyperlink xmlns:r="http://schemas.openxmlformats.org/officeDocument/2006/relationships" ref="A176" r:id="rId48"/>
    <hyperlink xmlns:r="http://schemas.openxmlformats.org/officeDocument/2006/relationships" ref="B176" display="https://knowledgehub.efrag.org/eng/interactive/vsme/vsme-guidance-annex-ii/2025-07-30-ec-rec/173" r:id="rId49"/>
    <hyperlink xmlns:r="http://schemas.openxmlformats.org/officeDocument/2006/relationships" ref="A177" r:id="rId50"/>
    <hyperlink xmlns:r="http://schemas.openxmlformats.org/officeDocument/2006/relationships" ref="B177" display="https://knowledgehub.efrag.org/eng/interactive/vsme/vsme-guidance-annex-ii/2025-07-30-ec-rec/173" r:id="rId51"/>
    <hyperlink xmlns:r="http://schemas.openxmlformats.org/officeDocument/2006/relationships" ref="A178" r:id="rId52"/>
    <hyperlink xmlns:r="http://schemas.openxmlformats.org/officeDocument/2006/relationships" ref="B178" display="https://knowledgehub.efrag.org/eng/interactive/vsme/vsme-guidance-annex-ii/2025-07-30-ec-rec/173" r:id="rId53"/>
    <hyperlink xmlns:r="http://schemas.openxmlformats.org/officeDocument/2006/relationships" ref="A179" r:id="rId54"/>
    <hyperlink xmlns:r="http://schemas.openxmlformats.org/officeDocument/2006/relationships" ref="B179" display="https://knowledgehub.efrag.org/eng/interactive/vsme/vsme-guidance-annex-ii/2025-07-30-ec-rec/173" r:id="rId55"/>
    <hyperlink xmlns:r="http://schemas.openxmlformats.org/officeDocument/2006/relationships" ref="A180" r:id="rId56"/>
    <hyperlink xmlns:r="http://schemas.openxmlformats.org/officeDocument/2006/relationships" ref="B180" display="https://knowledgehub.efrag.org/eng/interactive/vsme/vsme-guidance-annex-ii/2025-07-30-ec-rec/173" r:id="rId57"/>
    <hyperlink xmlns:r="http://schemas.openxmlformats.org/officeDocument/2006/relationships" ref="A181" r:id="rId58"/>
    <hyperlink xmlns:r="http://schemas.openxmlformats.org/officeDocument/2006/relationships" ref="B181" display="https://knowledgehub.efrag.org/eng/interactive/vsme/vsme-guidance-annex-ii/2025-07-30-ec-rec/173" r:id="rId59"/>
    <hyperlink xmlns:r="http://schemas.openxmlformats.org/officeDocument/2006/relationships" ref="A183" display="https://www.efrag.org/en/vsme-supporting-guide-to-disclosure-c7-comprehensive-module-severe-negative-human-rights-incidents" r:id="rId60"/>
    <hyperlink xmlns:r="http://schemas.openxmlformats.org/officeDocument/2006/relationships" ref="A184" display="https://knowledgehub.efrag.org/eng/interactive/vsme/vsme-standard-annex-i/2025-07-30-ec-rec/62" r:id="rId61"/>
    <hyperlink xmlns:r="http://schemas.openxmlformats.org/officeDocument/2006/relationships" ref="B184" display="https://knowledgehub.efrag.org/eng/interactive/vsme/vsme-guidance-annex-ii/2025-07-30-ec-rec/174" r:id="rId62"/>
    <hyperlink xmlns:r="http://schemas.openxmlformats.org/officeDocument/2006/relationships" ref="A185" r:id="rId63"/>
    <hyperlink xmlns:r="http://schemas.openxmlformats.org/officeDocument/2006/relationships" ref="B185" display="https://knowledgehub.efrag.org/eng/interactive/vsme/vsme-guidance-annex-ii/2025-07-30-ec-rec/174" r:id="rId64"/>
    <hyperlink xmlns:r="http://schemas.openxmlformats.org/officeDocument/2006/relationships" ref="A186" r:id="rId65"/>
    <hyperlink xmlns:r="http://schemas.openxmlformats.org/officeDocument/2006/relationships" ref="B186" display="https://knowledgehub.efrag.org/eng/interactive/vsme/vsme-guidance-annex-ii/2025-07-30-ec-rec/174" r:id="rId66"/>
    <hyperlink xmlns:r="http://schemas.openxmlformats.org/officeDocument/2006/relationships" ref="A187" r:id="rId67"/>
    <hyperlink xmlns:r="http://schemas.openxmlformats.org/officeDocument/2006/relationships" ref="B187" display="https://knowledgehub.efrag.org/eng/interactive/vsme/vsme-guidance-annex-ii/2025-07-30-ec-rec/174" r:id="rId68"/>
    <hyperlink xmlns:r="http://schemas.openxmlformats.org/officeDocument/2006/relationships" ref="A188" r:id="rId69"/>
    <hyperlink xmlns:r="http://schemas.openxmlformats.org/officeDocument/2006/relationships" ref="B188" display="https://knowledgehub.efrag.org/eng/interactive/vsme/vsme-guidance-annex-ii/2025-07-30-ec-rec/174" r:id="rId70"/>
    <hyperlink xmlns:r="http://schemas.openxmlformats.org/officeDocument/2006/relationships" ref="A189" r:id="rId71"/>
    <hyperlink xmlns:r="http://schemas.openxmlformats.org/officeDocument/2006/relationships" ref="B189" display="https://knowledgehub.efrag.org/eng/interactive/vsme/vsme-guidance-annex-ii/2025-07-30-ec-rec/174" r:id="rId72"/>
    <hyperlink xmlns:r="http://schemas.openxmlformats.org/officeDocument/2006/relationships" ref="A190" r:id="rId73"/>
    <hyperlink xmlns:r="http://schemas.openxmlformats.org/officeDocument/2006/relationships" ref="B190" display="https://knowledgehub.efrag.org/eng/interactive/vsme/vsme-guidance-annex-ii/2025-07-30-ec-rec/174" r:id="rId74"/>
    <hyperlink xmlns:r="http://schemas.openxmlformats.org/officeDocument/2006/relationships" ref="A191" r:id="rId75"/>
    <hyperlink xmlns:r="http://schemas.openxmlformats.org/officeDocument/2006/relationships" ref="B191" display="https://knowledgehub.efrag.org/eng/interactive/vsme/vsme-guidance-annex-ii/2025-07-30-ec-rec/174" r:id="rId76"/>
    <hyperlink xmlns:r="http://schemas.openxmlformats.org/officeDocument/2006/relationships" ref="A192" r:id="rId77"/>
    <hyperlink xmlns:r="http://schemas.openxmlformats.org/officeDocument/2006/relationships" ref="B192" display="https://knowledgehub.efrag.org/eng/interactive/vsme/vsme-guidance-annex-ii/2025-07-30-ec-rec/174" r:id="rId78"/>
    <hyperlink xmlns:r="http://schemas.openxmlformats.org/officeDocument/2006/relationships" ref="A193" r:id="rId79"/>
    <hyperlink xmlns:r="http://schemas.openxmlformats.org/officeDocument/2006/relationships" ref="B193" display="https://knowledgehub.efrag.org/eng/interactive/vsme/vsme-guidance-annex-ii/2025-07-30-ec-rec/174" r:id="rId80"/>
    <hyperlink xmlns:r="http://schemas.openxmlformats.org/officeDocument/2006/relationships" ref="A194" r:id="rId81"/>
    <hyperlink xmlns:r="http://schemas.openxmlformats.org/officeDocument/2006/relationships" ref="B194" display="https://knowledgehub.efrag.org/eng/interactive/vsme/vsme-guidance-annex-ii/2025-07-30-ec-rec/174" r:id="rId82"/>
    <hyperlink xmlns:r="http://schemas.openxmlformats.org/officeDocument/2006/relationships" ref="C199" display="https://knowledgehub.efrag.org/eng/interactive/vsme/vsme-standard-annex-i/2025-07-30-ec-rec/10" r:id="rId83"/>
  </hyperlinks>
  <pageMargins left="0.7" right="0.7" top="0.75" bottom="0.75" header="0.3" footer="0.3"/>
  <pageSetup orientation="portrait" paperSize="9" horizontalDpi="4294967293" verticalDpi="4294967293"/>
</worksheet>
</file>

<file path=xl/worksheets/sheet6.xml><?xml version="1.0" encoding="utf-8"?>
<worksheet xmlns="http://schemas.openxmlformats.org/spreadsheetml/2006/main">
  <sheetPr codeName="Sheet5">
    <outlinePr summaryBelow="1" summaryRight="1"/>
    <pageSetUpPr autoPageBreaks="0"/>
  </sheetPr>
  <dimension ref="A1:I218"/>
  <sheetViews>
    <sheetView zoomScaleNormal="100" workbookViewId="0">
      <selection activeCell="H5" sqref="H5"/>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890" min="9" max="9"/>
    <col width="16.44140625" customWidth="1" style="1032" min="10" max="10"/>
    <col width="8.5546875" customWidth="1" style="1032" min="11" max="17"/>
    <col width="8.6640625" customWidth="1" style="1032" min="18" max="78"/>
  </cols>
  <sheetData>
    <row r="1" ht="43.8" customHeight="1" thickBot="1">
      <c r="A1" s="228" t="inlineStr">
        <is>
          <t>Paragraph Reference</t>
        </is>
      </c>
      <c r="B1" s="228" t="inlineStr">
        <is>
          <t>Paragraph Guidance Reference</t>
        </is>
      </c>
      <c r="C1" s="1032" t="n"/>
      <c r="D1" s="1032" t="n"/>
      <c r="E1" s="1032" t="n"/>
      <c r="F1" s="1032" t="n"/>
      <c r="G1" s="1032" t="n"/>
      <c r="H1" s="1032" t="n"/>
    </row>
    <row r="2" ht="15" customHeight="1" thickBot="1">
      <c r="A2" s="1032" t="n"/>
      <c r="B2" s="1032" t="n"/>
      <c r="C2" s="588">
        <f>template_label_b11_convictions_and_fines_for_corruption_and_bribery&amp;" "&amp;template_label_from&amp;" "&amp;template_starting_date_display&amp;" "&amp;template_label_to&amp;" "&amp;template_ending_date_display&amp;" "&amp;template_label_if_applicable</f>
        <v/>
      </c>
      <c r="D2" s="1120" t="n"/>
      <c r="E2" s="1120" t="n"/>
      <c r="F2" s="1120" t="n"/>
      <c r="G2" s="1120" t="n"/>
      <c r="H2" s="1121" t="n"/>
    </row>
    <row r="3">
      <c r="A3" s="1032" t="n"/>
      <c r="B3" s="1032" t="n"/>
      <c r="C3" s="553" t="n">
        <v>43</v>
      </c>
      <c r="D3" s="508" t="n"/>
      <c r="E3" s="508" t="n"/>
      <c r="F3" s="508" t="n"/>
      <c r="G3" s="508" t="n"/>
      <c r="H3" s="198" t="n"/>
    </row>
    <row r="4">
      <c r="A4" s="1032" t="n"/>
      <c r="B4" s="1032" t="n"/>
      <c r="C4" s="586" t="inlineStr">
        <is>
          <t>141-144</t>
        </is>
      </c>
      <c r="D4" s="1106" t="n"/>
      <c r="E4" s="1106" t="n"/>
      <c r="F4" s="1106" t="n"/>
      <c r="G4" s="1106" t="n"/>
      <c r="H4" s="199" t="n"/>
    </row>
    <row r="5" customFormat="1" s="1032">
      <c r="C5" s="613">
        <f>template_label_has_the_undertaking_incurred_in_convictions_and_fines_in_the_reporting_period</f>
        <v/>
      </c>
      <c r="D5" s="1106" t="n"/>
      <c r="E5" s="1106" t="n"/>
      <c r="F5" s="1106" t="n"/>
      <c r="G5" s="199" t="n"/>
      <c r="H5" s="149" t="b">
        <v>1</v>
      </c>
      <c r="I5" s="890" t="n"/>
    </row>
    <row r="6" ht="21.6" customFormat="1" customHeight="1" s="1032">
      <c r="C6" s="1023">
        <f>template_label_total_number_of_convictions_for_the_violation_of_anti_corruption_and_anti_bribery_laws</f>
        <v/>
      </c>
      <c r="D6" s="1106" t="n"/>
      <c r="E6" s="1106" t="n"/>
      <c r="F6" s="1106" t="n"/>
      <c r="G6" s="199" t="n"/>
      <c r="H6" s="252" t="n">
        <v>1</v>
      </c>
      <c r="I6" s="890">
        <f>IF(AND($H$5=TRUE,H6&lt;&gt;""), template_label_ok,
IF(AND($H$5=TRUE,H6=""), template_label_missing_value, ""))</f>
        <v/>
      </c>
    </row>
    <row r="7" ht="15" customFormat="1" customHeight="1" s="1032" thickBot="1">
      <c r="C7" s="1025">
        <f>template_label_total_amount_of_fines_for_the_violation_of_anti_corruption_and_anti_bribery_laws &amp; " " &amp; "(" &amp; template_label_amount_in &amp; " " &amp; template_currency &amp; ")"</f>
        <v/>
      </c>
      <c r="D7" s="1140" t="n"/>
      <c r="E7" s="1140" t="n"/>
      <c r="F7" s="1140" t="n"/>
      <c r="G7" s="1125" t="n"/>
      <c r="H7" s="256" t="n">
        <v>5000</v>
      </c>
      <c r="I7" s="890">
        <f>IF(AND($H$5=TRUE,H7&lt;&gt;""), template_label_ok,
IF(AND($H$5=TRUE,H7=""), template_label_missing_value, ""))</f>
        <v/>
      </c>
    </row>
    <row r="8" ht="15" customFormat="1" customHeight="1" s="1032" thickBot="1">
      <c r="I8" s="890" t="n"/>
    </row>
    <row r="9" ht="15" customFormat="1" customHeight="1" s="1032" thickBot="1">
      <c r="C9" s="1192">
        <f>template_label_c8_revenues_from_certain_sectors&amp;" "&amp;template_label_from&amp;" "&amp;template_starting_date_display&amp;" "&amp;template_label_to&amp;" "&amp;template_ending_date_display&amp;" "&amp;template_label_if_applicable</f>
        <v/>
      </c>
      <c r="D9" s="1120" t="n"/>
      <c r="E9" s="1120" t="n"/>
      <c r="F9" s="1120" t="n"/>
      <c r="G9" s="1120" t="n"/>
      <c r="H9" s="1126" t="n"/>
      <c r="I9" s="890" t="n"/>
    </row>
    <row r="10" ht="28.2" customHeight="1">
      <c r="A10" s="1032" t="n"/>
      <c r="B10" s="1032" t="n"/>
      <c r="C10" s="766">
        <f>template_label_is_the_undertaking_deriving_revenues_from_one_of_the_activities_listed_below</f>
        <v/>
      </c>
      <c r="D10" s="508" t="n"/>
      <c r="E10" s="508" t="n"/>
      <c r="F10" s="508" t="n"/>
      <c r="G10" s="198" t="n"/>
      <c r="H10" s="131" t="b">
        <v>0</v>
      </c>
    </row>
    <row r="11">
      <c r="A11" s="1032" t="n"/>
      <c r="B11" s="1032" t="n"/>
      <c r="C11" s="744" t="n"/>
      <c r="D11" s="1106" t="n"/>
      <c r="E11" s="1106" t="n"/>
      <c r="F11" s="1106" t="n"/>
      <c r="G11" s="199" t="n"/>
      <c r="H11" s="842">
        <f>template_label_monetary_amount_in &amp; " " &amp; template_currency</f>
        <v/>
      </c>
    </row>
    <row r="12" ht="32.4" customFormat="1" customHeight="1" s="1032">
      <c r="A12" s="551" t="inlineStr">
        <is>
          <t>63(a)</t>
        </is>
      </c>
      <c r="B12" s="559" t="inlineStr">
        <is>
          <t>175-176</t>
        </is>
      </c>
      <c r="C12" s="603">
        <f>template_label_revenue_derived_from_controversial_weapons</f>
        <v/>
      </c>
      <c r="D12" s="1106" t="n"/>
      <c r="E12" s="1106" t="n"/>
      <c r="F12" s="1106" t="n"/>
      <c r="G12" s="199" t="n"/>
      <c r="H12" s="252" t="n"/>
      <c r="I12" s="994">
        <f>IF(AND(H10=FALSE,COUNTA(H12:H16)=0, H18=""),
    "",
    IF(AND(OR(COUNTA(H12:H16)&gt;0, H18&lt;&gt;""), SUM(H12:H16, H18)&lt;='General Information'!E281),
        template_label_ok,
        IF(AND(H10=TRUE, COUNTA(H12:H16)=0, H18=""),
            template_label_missing_value,
            template_label_value_inconsistency
        )
    )
)</f>
        <v/>
      </c>
    </row>
    <row r="13" ht="15" customFormat="1" customHeight="1" s="1032" thickBot="1">
      <c r="A13" s="551" t="inlineStr">
        <is>
          <t>63(b)</t>
        </is>
      </c>
      <c r="B13" s="559" t="inlineStr">
        <is>
          <t>175-176</t>
        </is>
      </c>
      <c r="C13" s="660">
        <f>template_label_revenue_derived_from_cultivation_and_production_of_tobacco</f>
        <v/>
      </c>
      <c r="D13" s="1115" t="n"/>
      <c r="E13" s="1115" t="n"/>
      <c r="F13" s="1115" t="n"/>
      <c r="G13" s="1116" t="n"/>
      <c r="H13" s="253" t="n"/>
    </row>
    <row r="14" customFormat="1" s="1032">
      <c r="A14" s="551" t="inlineStr">
        <is>
          <t>63(c)</t>
        </is>
      </c>
      <c r="B14" s="559" t="inlineStr">
        <is>
          <t>175-176</t>
        </is>
      </c>
      <c r="C14" s="996">
        <f>template_label_revenue_derived_from_coal</f>
        <v/>
      </c>
      <c r="D14" s="1143" t="n"/>
      <c r="E14" s="1143" t="n"/>
      <c r="F14" s="1143" t="n"/>
      <c r="G14" s="1144" t="n"/>
      <c r="H14" s="254" t="n"/>
    </row>
    <row r="15" customFormat="1" s="1032">
      <c r="A15" s="551" t="inlineStr">
        <is>
          <t>63(c)</t>
        </is>
      </c>
      <c r="B15" s="559" t="inlineStr">
        <is>
          <t>175-176</t>
        </is>
      </c>
      <c r="C15" s="603">
        <f>template_label_revenue_derived_from_oil</f>
        <v/>
      </c>
      <c r="D15" s="1106" t="n"/>
      <c r="E15" s="1106" t="n"/>
      <c r="F15" s="1106" t="n"/>
      <c r="G15" s="199" t="n"/>
      <c r="H15" s="252" t="n"/>
    </row>
    <row r="16" customFormat="1" s="1032">
      <c r="A16" s="551" t="inlineStr">
        <is>
          <t>63(c)</t>
        </is>
      </c>
      <c r="B16" s="559" t="inlineStr">
        <is>
          <t>175-176</t>
        </is>
      </c>
      <c r="C16" s="603">
        <f>template_label_revenue_derived_from_gas</f>
        <v/>
      </c>
      <c r="D16" s="1106" t="n"/>
      <c r="E16" s="1106" t="n"/>
      <c r="F16" s="1106" t="n"/>
      <c r="G16" s="199" t="n"/>
      <c r="H16" s="252" t="n"/>
    </row>
    <row r="17" ht="60.6" customFormat="1" customHeight="1" s="1032" thickBot="1">
      <c r="A17" s="551" t="inlineStr">
        <is>
          <t>63(c)</t>
        </is>
      </c>
      <c r="B17" s="559" t="inlineStr">
        <is>
          <t>175-176</t>
        </is>
      </c>
      <c r="C17" s="992">
        <f>template_label_total_revenues_derived_from_fossil_fuel_sector</f>
        <v/>
      </c>
      <c r="D17" s="1140" t="n"/>
      <c r="E17" s="1140" t="n"/>
      <c r="F17" s="1140" t="n"/>
      <c r="G17" s="1125" t="n"/>
      <c r="H17" s="248" t="n"/>
    </row>
    <row r="18" ht="15" customFormat="1" customHeight="1" s="1032" thickBot="1">
      <c r="A18" s="551" t="inlineStr">
        <is>
          <t>63(d)</t>
        </is>
      </c>
      <c r="B18" s="559" t="inlineStr">
        <is>
          <t>175-176</t>
        </is>
      </c>
      <c r="C18" s="662">
        <f>template_label_revenue_derived_from_chemicals_production</f>
        <v/>
      </c>
      <c r="D18" s="12" t="n"/>
      <c r="E18" s="12" t="n"/>
      <c r="F18" s="12" t="n"/>
      <c r="G18" s="1131" t="n"/>
      <c r="H18" s="255" t="n"/>
    </row>
    <row r="19" ht="15" customFormat="1" customHeight="1" s="1032" thickBot="1">
      <c r="I19" s="890" t="n"/>
    </row>
    <row r="20" ht="15" customFormat="1" customHeight="1" s="1032" thickBot="1">
      <c r="C20" s="1192">
        <f>template_label_c8_exclusion_from_eu_reference_benchmarks&amp;" "&amp;template_label_from&amp;" "&amp;template_starting_date_display&amp;" "&amp;template_label_to&amp;" "&amp;template_ending_date_display&amp;" "&amp;template_label_always_to_be_reported</f>
        <v/>
      </c>
      <c r="D20" s="1120" t="n"/>
      <c r="E20" s="1120" t="n"/>
      <c r="F20" s="1120" t="n"/>
      <c r="G20" s="1120" t="n"/>
      <c r="H20" s="1126" t="n"/>
      <c r="I20" s="890" t="n"/>
    </row>
    <row r="21" customFormat="1" s="1032">
      <c r="C21" s="1193">
        <f>template_label_undertakings_are_excluded_from_the_eu_paris_aligned_benchmarks_if_they_derive</f>
        <v/>
      </c>
      <c r="D21" s="508" t="n"/>
      <c r="E21" s="508" t="n"/>
      <c r="F21" s="508" t="n"/>
      <c r="G21" s="508" t="n"/>
      <c r="H21" s="1148" t="n"/>
      <c r="I21" s="890" t="n"/>
    </row>
    <row r="22" ht="30" customFormat="1" customHeight="1" s="1032">
      <c r="A22" s="551" t="n">
        <v>64</v>
      </c>
      <c r="B22" s="559" t="inlineStr">
        <is>
          <t>177(a)</t>
        </is>
      </c>
      <c r="C22" s="1194">
        <f>template_label_1_percent_or_more_of_their_revenues_from_exploration_mining_extraction_distribution_or_refining_of_hard_coal_and_lignite</f>
        <v/>
      </c>
      <c r="G22" s="1108" t="n"/>
      <c r="H22" s="151" t="b">
        <v>0</v>
      </c>
      <c r="I22" s="978">
        <f>IF(OR(
'Table of Contents &amp; Validation'!D65=TRUE,'Table of Contents &amp; Validation'!D63=TRUE),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customFormat="1" s="1032">
      <c r="A23" s="551" t="n">
        <v>64</v>
      </c>
      <c r="B23" s="559" t="inlineStr">
        <is>
          <t>177(b)</t>
        </is>
      </c>
      <c r="C23" s="1195">
        <f>template_label_10_percent_or_more_of_their_revenues_from_the_exploration_extraction_distribution_or_refining_of_oil_fuels</f>
        <v/>
      </c>
      <c r="D23" s="1115" t="n"/>
      <c r="E23" s="1115" t="n"/>
      <c r="F23" s="1115" t="n"/>
      <c r="G23" s="1116" t="n"/>
      <c r="H23" s="152" t="b">
        <v>0</v>
      </c>
      <c r="I23" s="8" t="n"/>
    </row>
    <row r="24" ht="32.4" customFormat="1" customHeight="1" s="1032">
      <c r="A24" s="551" t="n">
        <v>64</v>
      </c>
      <c r="B24" s="559" t="inlineStr">
        <is>
          <t>177(c)</t>
        </is>
      </c>
      <c r="C24" s="1196">
        <f>template_label_50_percent_or_more_of_their_revenues_from_the_exploration_extraction_manufacturing_or_distribution_of_gaseous_fuels</f>
        <v/>
      </c>
      <c r="D24" s="1106" t="n"/>
      <c r="E24" s="1106" t="n"/>
      <c r="F24" s="1106" t="n"/>
      <c r="G24" s="199" t="n"/>
      <c r="H24" s="152" t="b">
        <v>0</v>
      </c>
      <c r="I24" s="8" t="n"/>
    </row>
    <row r="25" ht="31.2" customFormat="1" customHeight="1" s="1032" thickBot="1">
      <c r="A25" s="551" t="n">
        <v>64</v>
      </c>
      <c r="B25" s="559" t="inlineStr">
        <is>
          <t>177(d)</t>
        </is>
      </c>
      <c r="C25" s="1197">
        <f>template_label_50_percent_or_more_of_their_revenues_from_electricity_generation</f>
        <v/>
      </c>
      <c r="D25" s="12" t="n"/>
      <c r="E25" s="12" t="n"/>
      <c r="F25" s="12" t="n"/>
      <c r="G25" s="1131" t="n"/>
      <c r="H25" s="153" t="b">
        <v>0</v>
      </c>
      <c r="I25" s="8" t="n"/>
    </row>
    <row r="26" ht="15" customFormat="1" customHeight="1" s="1032" thickBot="1">
      <c r="A26" s="551" t="n"/>
      <c r="B26" s="432" t="n"/>
      <c r="C26" s="998">
        <f>template_label_none_of_the_above</f>
        <v/>
      </c>
      <c r="D26" s="1120" t="n"/>
      <c r="E26" s="1120" t="n"/>
      <c r="F26" s="1120" t="n"/>
      <c r="G26" s="1121" t="n"/>
      <c r="H26" s="154" t="b">
        <v>1</v>
      </c>
      <c r="I26" s="8" t="n"/>
    </row>
    <row r="27" ht="15" customFormat="1" customHeight="1" s="1032" thickBot="1">
      <c r="A27" s="551" t="n">
        <v>64</v>
      </c>
      <c r="B27" s="559" t="n">
        <v>177</v>
      </c>
      <c r="C27" s="1198">
        <f>template_label_undertakings_are_excluded_from_any_eu_reference_benchmarks_that_are_aligned_with_the_paris_agreement</f>
        <v/>
      </c>
      <c r="D27" s="12" t="n"/>
      <c r="E27" s="12" t="n"/>
      <c r="F27" s="12" t="n"/>
      <c r="G27" s="1131" t="n"/>
      <c r="H27" s="20" t="n"/>
      <c r="I27" s="890">
        <f>IF(H27=TRUE, template_label_ok, "")</f>
        <v/>
      </c>
    </row>
    <row r="28" ht="15" customFormat="1" customHeight="1" s="1032" thickBot="1">
      <c r="I28" s="890" t="n"/>
    </row>
    <row r="29" ht="15" customFormat="1" customHeight="1" s="1032" thickBot="1">
      <c r="C29" s="830">
        <f>template_label_c9_gender_diversity_ratio_in_the_governance_body&amp;" "&amp;template_label_at&amp;" "&amp;template_ending_date_display&amp;" "&amp;template_label_if_applicable</f>
        <v/>
      </c>
      <c r="D29" s="1120" t="n"/>
      <c r="E29" s="1120" t="n"/>
      <c r="F29" s="1120" t="n"/>
      <c r="G29" s="1120" t="n"/>
      <c r="H29" s="1121" t="n"/>
      <c r="I29" s="890" t="n"/>
    </row>
    <row r="30" customFormat="1" s="1032">
      <c r="C30" s="766">
        <f>template_label_does_the_undertaking_have_a_governance_body_in_place</f>
        <v/>
      </c>
      <c r="D30" s="508" t="n"/>
      <c r="E30" s="508" t="n"/>
      <c r="F30" s="508" t="n"/>
      <c r="G30" s="198" t="n"/>
      <c r="H30" s="131" t="b">
        <v>1</v>
      </c>
      <c r="I30" s="890" t="n"/>
    </row>
    <row r="31" customFormat="1" s="1032">
      <c r="A31" s="551" t="n">
        <v>65</v>
      </c>
      <c r="B31" s="559" t="inlineStr">
        <is>
          <t>178-180</t>
        </is>
      </c>
      <c r="C31" s="613">
        <f>template_label_number_of_female_board_members_at_the_end_of_the_reporting_period</f>
        <v/>
      </c>
      <c r="D31" s="1106" t="n"/>
      <c r="E31" s="1106" t="n"/>
      <c r="F31" s="1106" t="n"/>
      <c r="G31" s="199" t="n"/>
      <c r="H31" s="252" t="n">
        <v>5</v>
      </c>
      <c r="I31" s="890">
        <f>IF(AND($H$30=TRUE, H31&lt;&gt;""), template_label_ok, IF(AND($H$30=TRUE, H31=""), template_label_missing_value, ""))</f>
        <v/>
      </c>
    </row>
    <row r="32" customFormat="1" s="1032">
      <c r="A32" s="450" t="n"/>
      <c r="B32" s="387" t="n"/>
      <c r="C32" s="613">
        <f>template_label_number_of_male_board_members_at_the_end_of_the_reporting_period</f>
        <v/>
      </c>
      <c r="D32" s="1106" t="n"/>
      <c r="E32" s="1106" t="n"/>
      <c r="F32" s="1106" t="n"/>
      <c r="G32" s="199" t="n"/>
      <c r="H32" s="252" t="n">
        <v>2</v>
      </c>
      <c r="I32" s="890">
        <f>IF(AND($H$30=TRUE, H32&lt;&gt;""), template_label_ok, IF(AND($H$30=TRUE, H32=""), template_label_missing_value, ""))</f>
        <v/>
      </c>
    </row>
    <row r="33" ht="15" customFormat="1" customHeight="1" s="1032" thickBot="1">
      <c r="A33" s="3" t="n"/>
      <c r="B33" s="1128" t="n"/>
      <c r="C33" s="990">
        <f>template_label_gender_diversity_ratio_in_governance_body</f>
        <v/>
      </c>
      <c r="D33" s="1140" t="n"/>
      <c r="E33" s="1140" t="n"/>
      <c r="F33" s="1140" t="n"/>
      <c r="G33" s="1125" t="n"/>
      <c r="H33" s="248" t="n"/>
      <c r="I33" s="890" t="n"/>
    </row>
    <row r="34" customFormat="1" s="1032">
      <c r="I34" s="890" t="n"/>
    </row>
    <row r="35" ht="15" customFormat="1" customHeight="1" s="1032" thickBot="1">
      <c r="I35" s="890" t="n"/>
    </row>
    <row r="36" ht="15" customFormat="1" customHeight="1" s="1032" thickBot="1">
      <c r="C36" s="570">
        <f>template_label_disclosure_of_any_other_governance_and_or_entity_specific_governance_disclosures&amp;" "&amp;template_label_from&amp;" "&amp;template_starting_date_display&amp;" "&amp;template_label_to&amp;" "&amp;template_ending_date_display&amp;" " &amp; template_label_may</f>
        <v/>
      </c>
      <c r="D36" s="1120" t="n"/>
      <c r="E36" s="1120" t="n"/>
      <c r="F36" s="1120" t="n"/>
      <c r="G36" s="1120" t="n"/>
      <c r="H36" s="1121" t="n"/>
      <c r="I36" s="890" t="n"/>
    </row>
    <row r="37" customFormat="1" s="1032">
      <c r="C37" s="553" t="n">
        <v>10</v>
      </c>
      <c r="D37" s="508" t="n"/>
      <c r="E37" s="508" t="n"/>
      <c r="F37" s="508" t="n"/>
      <c r="G37" s="508" t="n"/>
      <c r="H37" s="198" t="n"/>
      <c r="I37" s="890" t="n"/>
    </row>
    <row r="38" ht="15" customFormat="1" customHeight="1" s="1032" thickBot="1">
      <c r="C38" s="564" t="n"/>
      <c r="D38" s="1132" t="n"/>
      <c r="E38" s="1132" t="n"/>
      <c r="F38" s="1132" t="n"/>
      <c r="G38" s="1132" t="n"/>
      <c r="H38" s="1123" t="n"/>
      <c r="I38" s="19">
        <f>IF(C38&lt;&gt;"",template_label_ok, "")</f>
        <v/>
      </c>
    </row>
    <row r="39" customFormat="1" s="1032">
      <c r="I39" s="890" t="n"/>
    </row>
    <row r="40" customFormat="1" s="1032">
      <c r="I40" s="890" t="n"/>
    </row>
    <row r="41" customFormat="1" s="1032">
      <c r="I41" s="890" t="n"/>
    </row>
    <row r="42" customFormat="1" s="1032">
      <c r="I42" s="890" t="n"/>
    </row>
    <row r="43" customFormat="1" s="1032">
      <c r="I43" s="890" t="n"/>
    </row>
    <row r="44" customFormat="1" s="1032">
      <c r="I44" s="890" t="n"/>
    </row>
    <row r="45" customFormat="1" s="1032">
      <c r="I45" s="890" t="n"/>
    </row>
    <row r="46" customFormat="1" s="1032">
      <c r="I46" s="890" t="n"/>
    </row>
    <row r="47" customFormat="1" s="1032">
      <c r="I47" s="890" t="n"/>
    </row>
    <row r="48" customFormat="1" s="1032">
      <c r="I48" s="890" t="n"/>
    </row>
    <row r="49" customFormat="1" s="1032">
      <c r="I49" s="890" t="n"/>
    </row>
    <row r="50" customFormat="1" s="1032">
      <c r="I50" s="890" t="n"/>
    </row>
    <row r="51" customFormat="1" s="1032">
      <c r="I51" s="890" t="n"/>
    </row>
    <row r="52" customFormat="1" s="1032">
      <c r="I52" s="890" t="n"/>
    </row>
    <row r="53" customFormat="1" s="1032">
      <c r="I53" s="890" t="n"/>
    </row>
    <row r="54" customFormat="1" s="1032">
      <c r="I54" s="890" t="n"/>
    </row>
    <row r="55" customFormat="1" s="1032">
      <c r="I55" s="890" t="n"/>
    </row>
    <row r="56" customFormat="1" s="1032">
      <c r="I56" s="890" t="n"/>
    </row>
    <row r="57" customFormat="1" s="1032">
      <c r="I57" s="890" t="n"/>
    </row>
    <row r="58" customFormat="1" s="1032">
      <c r="I58" s="890" t="n"/>
    </row>
    <row r="59" customFormat="1" s="1032">
      <c r="I59" s="890" t="n"/>
    </row>
    <row r="60" customFormat="1" s="1032">
      <c r="I60" s="890" t="n"/>
    </row>
    <row r="61" customFormat="1" s="1032">
      <c r="I61" s="890" t="n"/>
    </row>
    <row r="62" customFormat="1" s="1032">
      <c r="I62" s="890" t="n"/>
    </row>
    <row r="63" customFormat="1" s="1032">
      <c r="I63" s="890" t="n"/>
    </row>
    <row r="64" customFormat="1" s="1032">
      <c r="I64" s="890" t="n"/>
    </row>
    <row r="65" customFormat="1" s="1032">
      <c r="I65" s="890" t="n"/>
    </row>
    <row r="66" customFormat="1" s="1032">
      <c r="I66" s="890" t="n"/>
    </row>
    <row r="67" customFormat="1" s="1032">
      <c r="I67" s="890" t="n"/>
    </row>
    <row r="68" customFormat="1" s="1032">
      <c r="I68" s="890" t="n"/>
    </row>
    <row r="69" customFormat="1" s="1032">
      <c r="I69" s="890" t="n"/>
    </row>
    <row r="70" customFormat="1" s="1032">
      <c r="I70" s="890" t="n"/>
    </row>
    <row r="71" customFormat="1" s="1032">
      <c r="I71" s="890" t="n"/>
    </row>
    <row r="72" customFormat="1" s="1032">
      <c r="I72" s="890" t="n"/>
    </row>
    <row r="73" customFormat="1" s="1032">
      <c r="I73" s="890" t="n"/>
    </row>
    <row r="74" customFormat="1" s="1032">
      <c r="I74" s="890" t="n"/>
    </row>
    <row r="75" customFormat="1" s="1032">
      <c r="I75" s="890" t="n"/>
    </row>
    <row r="76" customFormat="1" s="1032">
      <c r="I76" s="890" t="n"/>
    </row>
    <row r="77" customFormat="1" s="1032">
      <c r="I77" s="890" t="n"/>
    </row>
    <row r="78" customFormat="1" s="1032">
      <c r="I78" s="890" t="n"/>
    </row>
    <row r="79" customFormat="1" s="1032">
      <c r="I79" s="890" t="n"/>
    </row>
    <row r="80" customFormat="1" s="1032">
      <c r="I80" s="890" t="n"/>
    </row>
    <row r="81" customFormat="1" s="1032">
      <c r="I81" s="890" t="n"/>
    </row>
    <row r="82" customFormat="1" s="1032">
      <c r="I82" s="890" t="n"/>
    </row>
    <row r="83" customFormat="1" s="1032">
      <c r="I83" s="890" t="n"/>
    </row>
    <row r="84" customFormat="1" s="1032">
      <c r="I84" s="890" t="n"/>
    </row>
    <row r="85" customFormat="1" s="1032">
      <c r="I85" s="890" t="n"/>
    </row>
    <row r="86" customFormat="1" s="1032">
      <c r="I86" s="890" t="n"/>
    </row>
    <row r="87" customFormat="1" s="1032">
      <c r="I87" s="890" t="n"/>
    </row>
    <row r="88" customFormat="1" s="1032">
      <c r="I88" s="890" t="n"/>
    </row>
    <row r="89" customFormat="1" s="1032">
      <c r="I89" s="890" t="n"/>
    </row>
    <row r="90" customFormat="1" s="1032">
      <c r="I90" s="890" t="n"/>
    </row>
    <row r="91" customFormat="1" s="1032">
      <c r="I91" s="890" t="n"/>
    </row>
    <row r="92" customFormat="1" s="1032">
      <c r="I92" s="890" t="n"/>
    </row>
    <row r="93" customFormat="1" s="1032">
      <c r="I93" s="890" t="n"/>
    </row>
    <row r="94" customFormat="1" s="1032">
      <c r="I94" s="890" t="n"/>
    </row>
    <row r="95" customFormat="1" s="1032">
      <c r="I95" s="890" t="n"/>
    </row>
    <row r="96" customFormat="1" s="1032">
      <c r="I96" s="890" t="n"/>
    </row>
    <row r="97" customFormat="1" s="1032">
      <c r="I97" s="890" t="n"/>
    </row>
    <row r="98" customFormat="1" s="1032">
      <c r="I98" s="890" t="n"/>
    </row>
    <row r="99" customFormat="1" s="1032">
      <c r="I99" s="890" t="n"/>
    </row>
    <row r="100" customFormat="1" s="1032">
      <c r="I100" s="890" t="n"/>
    </row>
    <row r="101" customFormat="1" s="1032">
      <c r="I101" s="890" t="n"/>
    </row>
    <row r="102" customFormat="1" s="1032">
      <c r="I102" s="890" t="n"/>
    </row>
    <row r="103" customFormat="1" s="1032">
      <c r="I103" s="890" t="n"/>
    </row>
    <row r="104" customFormat="1" s="1032">
      <c r="I104" s="890" t="n"/>
    </row>
    <row r="105" customFormat="1" s="1032">
      <c r="I105" s="890" t="n"/>
    </row>
    <row r="106" customFormat="1" s="1032">
      <c r="I106" s="890" t="n"/>
    </row>
    <row r="107" customFormat="1" s="1032">
      <c r="I107" s="890" t="n"/>
    </row>
    <row r="108" customFormat="1" s="1032">
      <c r="I108" s="890" t="n"/>
    </row>
    <row r="109" customFormat="1" s="1032">
      <c r="I109" s="890" t="n"/>
    </row>
    <row r="110" customFormat="1" s="1032">
      <c r="I110" s="890" t="n"/>
    </row>
    <row r="111" customFormat="1" s="1032">
      <c r="I111" s="890" t="n"/>
    </row>
    <row r="112" customFormat="1" s="1032">
      <c r="I112" s="890" t="n"/>
    </row>
    <row r="113" customFormat="1" s="1032">
      <c r="I113" s="890" t="n"/>
    </row>
    <row r="114" customFormat="1" s="1032">
      <c r="I114" s="890" t="n"/>
    </row>
    <row r="115" customFormat="1" s="1032">
      <c r="I115" s="890" t="n"/>
    </row>
    <row r="116" customFormat="1" s="1032">
      <c r="I116" s="890" t="n"/>
    </row>
    <row r="117" customFormat="1" s="1032">
      <c r="I117" s="890" t="n"/>
    </row>
    <row r="118" customFormat="1" s="1032">
      <c r="I118" s="890" t="n"/>
    </row>
    <row r="119" customFormat="1" s="1032">
      <c r="I119" s="890" t="n"/>
    </row>
    <row r="120" customFormat="1" s="1032">
      <c r="I120" s="890" t="n"/>
    </row>
    <row r="121" customFormat="1" s="1032">
      <c r="I121" s="890" t="n"/>
    </row>
    <row r="122" customFormat="1" s="1032">
      <c r="I122" s="890" t="n"/>
    </row>
    <row r="123" customFormat="1" s="1032">
      <c r="I123" s="890" t="n"/>
    </row>
    <row r="124" customFormat="1" s="1032">
      <c r="I124" s="890" t="n"/>
    </row>
    <row r="125" customFormat="1" s="1032">
      <c r="I125" s="890" t="n"/>
    </row>
    <row r="126" customFormat="1" s="1032">
      <c r="I126" s="890" t="n"/>
    </row>
    <row r="127" customFormat="1" s="1032">
      <c r="I127" s="890" t="n"/>
    </row>
    <row r="128" customFormat="1" s="1032">
      <c r="I128" s="890" t="n"/>
    </row>
    <row r="129" customFormat="1" s="1032">
      <c r="I129" s="890" t="n"/>
    </row>
    <row r="130" customFormat="1" s="1032">
      <c r="I130" s="890" t="n"/>
    </row>
    <row r="131" customFormat="1" s="1032">
      <c r="I131" s="890" t="n"/>
    </row>
    <row r="132" customFormat="1" s="1032">
      <c r="I132" s="890" t="n"/>
    </row>
    <row r="133" customFormat="1" s="1032">
      <c r="I133" s="890" t="n"/>
    </row>
    <row r="134" customFormat="1" s="1032">
      <c r="I134" s="890" t="n"/>
    </row>
    <row r="135" customFormat="1" s="1032">
      <c r="I135" s="890" t="n"/>
    </row>
    <row r="136" customFormat="1" s="1032">
      <c r="I136" s="890" t="n"/>
    </row>
    <row r="137" customFormat="1" s="1032">
      <c r="I137" s="890" t="n"/>
    </row>
    <row r="138" customFormat="1" s="1032">
      <c r="I138" s="890" t="n"/>
    </row>
    <row r="139" customFormat="1" s="1032">
      <c r="I139" s="890" t="n"/>
    </row>
    <row r="140" customFormat="1" s="1032">
      <c r="I140" s="890" t="n"/>
    </row>
    <row r="141" customFormat="1" s="1032">
      <c r="I141" s="890" t="n"/>
    </row>
    <row r="142" customFormat="1" s="1032">
      <c r="I142" s="890" t="n"/>
    </row>
    <row r="143" customFormat="1" s="1032">
      <c r="I143" s="890" t="n"/>
    </row>
    <row r="144" customFormat="1" s="1032">
      <c r="I144" s="890" t="n"/>
    </row>
    <row r="145" customFormat="1" s="1032">
      <c r="I145" s="890" t="n"/>
    </row>
    <row r="146" customFormat="1" s="1032">
      <c r="I146" s="890" t="n"/>
    </row>
    <row r="147" customFormat="1" s="1032">
      <c r="I147" s="890" t="n"/>
    </row>
    <row r="148" customFormat="1" s="1032">
      <c r="I148" s="890" t="n"/>
    </row>
    <row r="149" customFormat="1" s="1032">
      <c r="I149" s="890" t="n"/>
    </row>
    <row r="150" customFormat="1" s="1032">
      <c r="I150" s="890" t="n"/>
    </row>
    <row r="151" customFormat="1" s="1032">
      <c r="I151" s="890" t="n"/>
    </row>
    <row r="152" customFormat="1" s="1032">
      <c r="I152" s="890" t="n"/>
    </row>
    <row r="153" customFormat="1" s="1032">
      <c r="I153" s="890" t="n"/>
    </row>
    <row r="154" customFormat="1" s="1032">
      <c r="I154" s="890" t="n"/>
    </row>
    <row r="155" customFormat="1" s="1032">
      <c r="I155" s="890" t="n"/>
    </row>
    <row r="156" customFormat="1" s="1032">
      <c r="I156" s="890" t="n"/>
    </row>
    <row r="157" customFormat="1" s="1032">
      <c r="I157" s="890" t="n"/>
    </row>
    <row r="158" customFormat="1" s="1032">
      <c r="I158" s="890" t="n"/>
    </row>
    <row r="159" customFormat="1" s="1032">
      <c r="I159" s="890" t="n"/>
    </row>
    <row r="160" customFormat="1" s="1032">
      <c r="I160" s="890" t="n"/>
    </row>
    <row r="161" customFormat="1" s="1032">
      <c r="I161" s="890" t="n"/>
    </row>
    <row r="162" customFormat="1" s="1032">
      <c r="I162" s="890" t="n"/>
    </row>
    <row r="163" customFormat="1" s="1032">
      <c r="I163" s="890" t="n"/>
    </row>
    <row r="164" customFormat="1" s="1032">
      <c r="I164" s="890" t="n"/>
    </row>
    <row r="165" customFormat="1" s="1032">
      <c r="I165" s="890" t="n"/>
    </row>
    <row r="166" customFormat="1" s="1032">
      <c r="I166" s="890" t="n"/>
    </row>
    <row r="167" customFormat="1" s="1032">
      <c r="I167" s="890" t="n"/>
    </row>
    <row r="168" customFormat="1" s="1032">
      <c r="I168" s="890" t="n"/>
    </row>
    <row r="169" customFormat="1" s="1032">
      <c r="I169" s="890" t="n"/>
    </row>
    <row r="170" customFormat="1" s="1032">
      <c r="I170" s="890" t="n"/>
    </row>
    <row r="171" customFormat="1" s="1032">
      <c r="I171" s="890" t="n"/>
    </row>
    <row r="172" customFormat="1" s="1032">
      <c r="I172" s="890" t="n"/>
    </row>
    <row r="173" customFormat="1" s="1032">
      <c r="I173" s="890" t="n"/>
    </row>
    <row r="174" customFormat="1" s="1032">
      <c r="I174" s="890" t="n"/>
    </row>
    <row r="175" customFormat="1" s="1032">
      <c r="I175" s="890" t="n"/>
    </row>
    <row r="176" customFormat="1" s="1032">
      <c r="I176" s="890" t="n"/>
    </row>
    <row r="177" customFormat="1" s="1032">
      <c r="I177" s="890" t="n"/>
    </row>
    <row r="178" customFormat="1" s="1032">
      <c r="I178" s="890" t="n"/>
    </row>
    <row r="179" customFormat="1" s="1032">
      <c r="I179" s="890" t="n"/>
    </row>
    <row r="180" customFormat="1" s="1032">
      <c r="I180" s="890" t="n"/>
    </row>
    <row r="181" customFormat="1" s="1032">
      <c r="I181" s="890" t="n"/>
    </row>
    <row r="182" customFormat="1" s="1032">
      <c r="I182" s="890" t="n"/>
    </row>
    <row r="183" customFormat="1" s="1032">
      <c r="I183" s="890" t="n"/>
    </row>
    <row r="184" customFormat="1" s="1032">
      <c r="I184" s="890" t="n"/>
    </row>
    <row r="185" customFormat="1" s="1032">
      <c r="I185" s="890" t="n"/>
    </row>
    <row r="186" customFormat="1" s="1032">
      <c r="I186" s="890" t="n"/>
    </row>
    <row r="187" customFormat="1" s="1032">
      <c r="I187" s="890" t="n"/>
    </row>
    <row r="188" customFormat="1" s="1032">
      <c r="I188" s="890" t="n"/>
    </row>
    <row r="189" customFormat="1" s="1032">
      <c r="I189" s="890" t="n"/>
    </row>
    <row r="190" customFormat="1" s="1032">
      <c r="I190" s="890" t="n"/>
    </row>
    <row r="191" customFormat="1" s="1032">
      <c r="I191" s="890" t="n"/>
    </row>
    <row r="192" customFormat="1" s="1032">
      <c r="I192" s="890" t="n"/>
    </row>
    <row r="193" customFormat="1" s="1032">
      <c r="I193" s="890" t="n"/>
    </row>
    <row r="194" customFormat="1" s="1032">
      <c r="I194" s="890" t="n"/>
    </row>
    <row r="195" customFormat="1" s="1032">
      <c r="I195" s="890" t="n"/>
    </row>
    <row r="196" customFormat="1" s="1032">
      <c r="I196" s="890" t="n"/>
    </row>
    <row r="197" customFormat="1" s="1032">
      <c r="I197" s="890" t="n"/>
    </row>
    <row r="198" customFormat="1" s="1032">
      <c r="I198" s="890" t="n"/>
    </row>
    <row r="199" customFormat="1" s="1032">
      <c r="I199" s="890" t="n"/>
    </row>
    <row r="200" customFormat="1" s="1032">
      <c r="I200" s="890" t="n"/>
    </row>
    <row r="201" customFormat="1" s="1032">
      <c r="I201" s="890" t="n"/>
    </row>
    <row r="202" customFormat="1" s="1032">
      <c r="I202" s="890" t="n"/>
    </row>
    <row r="203" customFormat="1" s="1032">
      <c r="I203" s="890" t="n"/>
    </row>
    <row r="204" customFormat="1" s="1032">
      <c r="I204" s="890" t="n"/>
    </row>
    <row r="205" customFormat="1" s="1032">
      <c r="I205" s="890" t="n"/>
    </row>
    <row r="206" customFormat="1" s="1032">
      <c r="I206" s="890" t="n"/>
    </row>
    <row r="207" customFormat="1" s="1032">
      <c r="I207" s="890" t="n"/>
    </row>
    <row r="208" customFormat="1" s="1032">
      <c r="I208" s="890" t="n"/>
    </row>
    <row r="209" customFormat="1" s="1032">
      <c r="I209" s="890" t="n"/>
    </row>
    <row r="210" customFormat="1" s="1032">
      <c r="I210" s="890" t="n"/>
    </row>
    <row r="211" customFormat="1" s="1032">
      <c r="I211" s="890" t="n"/>
    </row>
    <row r="212" customFormat="1" s="1032">
      <c r="I212" s="890" t="n"/>
    </row>
    <row r="213" customFormat="1" s="1032">
      <c r="I213" s="890" t="n"/>
    </row>
    <row r="214" customFormat="1" s="1032">
      <c r="I214" s="890" t="n"/>
    </row>
    <row r="215" customFormat="1" s="1032">
      <c r="I215" s="890" t="n"/>
    </row>
    <row r="216" customFormat="1" s="1032">
      <c r="I216" s="890" t="n"/>
    </row>
    <row r="217" customFormat="1" s="1032">
      <c r="I217" s="890" t="n"/>
    </row>
    <row r="218" customFormat="1" s="1032">
      <c r="I218" s="890" t="n"/>
    </row>
  </sheetData>
  <mergeCells count="36">
    <mergeCell ref="C30:G30"/>
    <mergeCell ref="C6:G6"/>
    <mergeCell ref="C24:G24"/>
    <mergeCell ref="C18:G18"/>
    <mergeCell ref="C9:H9"/>
    <mergeCell ref="C15:G15"/>
    <mergeCell ref="C33:G33"/>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23:G23"/>
    <mergeCell ref="C3:H3"/>
    <mergeCell ref="C17:G17"/>
    <mergeCell ref="C7:G7"/>
    <mergeCell ref="C32:G32"/>
    <mergeCell ref="C4:H4"/>
    <mergeCell ref="C20:H20"/>
    <mergeCell ref="I22:I26"/>
    <mergeCell ref="I12:I18"/>
    <mergeCell ref="C29:H29"/>
  </mergeCells>
  <conditionalFormatting sqref="H6:H7">
    <cfRule type="expression" priority="7" dxfId="99">
      <formula>$H$5=TRUE</formula>
    </cfRule>
  </conditionalFormatting>
  <conditionalFormatting sqref="H12:H16">
    <cfRule type="expression" priority="6" dxfId="99">
      <formula>$H$10=TRUE</formula>
    </cfRule>
  </conditionalFormatting>
  <conditionalFormatting sqref="H18">
    <cfRule type="expression" priority="5" dxfId="99">
      <formula>$H$10=TRUE</formula>
    </cfRule>
  </conditionalFormatting>
  <conditionalFormatting sqref="H31:H32">
    <cfRule type="expression" priority="4" dxfId="98">
      <formula>$H$30=TRUE</formula>
    </cfRule>
  </conditionalFormatting>
  <conditionalFormatting sqref="I6:I7">
    <cfRule type="expression" priority="3" dxfId="1">
      <formula>$I6=template_label_missing_value</formula>
    </cfRule>
    <cfRule type="expression" priority="25" dxfId="0">
      <formula>$I6=template_label_ok</formula>
    </cfRule>
  </conditionalFormatting>
  <conditionalFormatting sqref="I12:I18">
    <cfRule type="expression" priority="1" dxfId="1">
      <formula>$I$12=template_label_missing_value</formula>
    </cfRule>
    <cfRule type="expression" priority="11" dxfId="1">
      <formula>$I$12=template_label_value_inconsistency</formula>
    </cfRule>
    <cfRule type="expression" priority="12" dxfId="0">
      <formula>$I$12=template_label_ok</formula>
    </cfRule>
  </conditionalFormatting>
  <conditionalFormatting sqref="I22">
    <cfRule type="expression" priority="8" dxfId="0">
      <formula>$I$22=template_label_ok</formula>
    </cfRule>
    <cfRule type="expression" priority="9" dxfId="1">
      <formula>$I$22=template_label_missing_value</formula>
    </cfRule>
  </conditionalFormatting>
  <conditionalFormatting sqref="I27">
    <cfRule type="expression" priority="18" dxfId="0">
      <formula>$I$27="OK"</formula>
    </cfRule>
  </conditionalFormatting>
  <conditionalFormatting sqref="I30:I32">
    <cfRule type="expression" priority="17" dxfId="0">
      <formula>$I30=template_label_ok</formula>
    </cfRule>
  </conditionalFormatting>
  <conditionalFormatting sqref="I31:I32">
    <cfRule type="expression" priority="2" dxfId="1">
      <formula>$I31=template_label_missing_value</formula>
    </cfRule>
  </conditionalFormatting>
  <conditionalFormatting sqref="I38">
    <cfRule type="expression" priority="10" dxfId="0">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knowledgehub.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knowledgehub.efrag.org/eng/interactive/vsme/vsme-standard-annex-i/2025-07-30-ec-rec/64" r:id="rId17"/>
    <hyperlink xmlns:r="http://schemas.openxmlformats.org/officeDocument/2006/relationships" ref="B22" r:id="rId18"/>
    <hyperlink xmlns:r="http://schemas.openxmlformats.org/officeDocument/2006/relationships" ref="A23" display="https://knowledgehub.efrag.org/eng/interactive/vsme/vsme-standard-annex-i/2025-07-30-ec-rec/64" r:id="rId19"/>
    <hyperlink xmlns:r="http://schemas.openxmlformats.org/officeDocument/2006/relationships" ref="B23" r:id="rId20"/>
    <hyperlink xmlns:r="http://schemas.openxmlformats.org/officeDocument/2006/relationships" ref="A24" display="https://knowledgehub.efrag.org/eng/interactive/vsme/vsme-standard-annex-i/2025-07-30-ec-rec/64" r:id="rId21"/>
    <hyperlink xmlns:r="http://schemas.openxmlformats.org/officeDocument/2006/relationships" ref="B24" r:id="rId22"/>
    <hyperlink xmlns:r="http://schemas.openxmlformats.org/officeDocument/2006/relationships" ref="A25" display="https://knowledgehub.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2025-07-30-ec-rec/64" r:id="rId25"/>
    <hyperlink xmlns:r="http://schemas.openxmlformats.org/officeDocument/2006/relationships" ref="B27" display="https://knowledgehub.efrag.org/eng/interactive/vsme/vsme-guidance-annex-ii/2025-07-30-ec-rec/177/d" r:id="rId26"/>
    <hyperlink xmlns:r="http://schemas.openxmlformats.org/officeDocument/2006/relationships" ref="A31" display="https://knowledgehub.efrag.org/eng/interactive/vsme/vsme-standard-annex-i/2025-07-30-ec-rec/65" r:id="rId27"/>
    <hyperlink xmlns:r="http://schemas.openxmlformats.org/officeDocument/2006/relationships" ref="B31" display="178-180" r:id="rId28"/>
    <hyperlink xmlns:r="http://schemas.openxmlformats.org/officeDocument/2006/relationships" ref="C37" display="https://knowledgehub.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autoPageBreaks="0"/>
  </sheetPr>
  <dimension ref="A1:BA48"/>
  <sheetViews>
    <sheetView zoomScale="66" zoomScaleNormal="100" workbookViewId="0">
      <selection activeCell="H22" sqref="H22"/>
    </sheetView>
  </sheetViews>
  <sheetFormatPr baseColWidth="8" defaultColWidth="9.33203125" defaultRowHeight="14.4"/>
  <cols>
    <col width="28.5546875" bestFit="1" customWidth="1" min="1" max="1"/>
    <col width="32.44140625" customWidth="1" min="2" max="2"/>
    <col width="19.6640625" bestFit="1" customWidth="1" style="1032" min="3" max="3"/>
    <col width="17.6640625" bestFit="1" customWidth="1" style="1032" min="4" max="4"/>
    <col width="21.33203125" bestFit="1" customWidth="1" style="1032" min="5" max="5"/>
    <col width="24.109375" bestFit="1" customWidth="1" style="1032" min="6" max="6"/>
    <col width="33.109375" bestFit="1" customWidth="1" style="1032" min="7" max="7"/>
    <col width="32.33203125" customWidth="1" style="1032" min="8" max="8"/>
    <col width="20.5546875" customWidth="1" style="1032" min="9" max="9"/>
    <col width="23.5546875" customWidth="1" style="1032" min="10" max="10"/>
    <col width="14.6640625" customWidth="1" style="1032" min="11" max="11"/>
    <col width="24.5546875" customWidth="1" style="1032" min="12" max="12"/>
    <col width="25" customWidth="1" style="1032" min="13" max="13"/>
    <col width="67.5546875" customWidth="1" style="1032" min="14" max="14"/>
    <col hidden="1" width="24.33203125" customWidth="1" style="1032" min="15" max="15"/>
    <col hidden="1" width="24.5546875" customWidth="1" style="1032" min="16" max="16"/>
    <col hidden="1" width="25" customWidth="1" style="1032" min="17" max="17"/>
    <col hidden="1" width="62.33203125" customWidth="1" style="1032" min="18" max="18"/>
    <col hidden="1" width="22.6640625" customWidth="1" style="1032" min="19" max="19"/>
    <col hidden="1" width="24.5546875" customWidth="1" style="1032" min="20" max="20"/>
    <col hidden="1" width="25" customWidth="1" style="1032" min="21" max="21"/>
    <col hidden="1" width="34.5546875" customWidth="1" style="1032" min="22" max="22"/>
    <col hidden="1" width="23.5546875" customWidth="1" style="1032" min="23" max="23"/>
    <col hidden="1" width="24.5546875" customWidth="1" style="1032" min="24" max="24"/>
    <col hidden="1" width="25" customWidth="1" style="1032" min="25" max="25"/>
    <col hidden="1" width="33.5546875" customWidth="1" style="1032" min="26" max="26"/>
    <col hidden="1" width="30.5546875" customWidth="1" style="1032" min="27" max="27"/>
    <col hidden="1" width="41.33203125" customWidth="1" style="1032" min="28" max="28"/>
    <col hidden="1" width="25" customWidth="1" style="1032" min="29" max="29"/>
    <col hidden="1" width="46.44140625" customWidth="1" style="1032" min="30" max="30"/>
    <col hidden="1" width="27" customWidth="1" style="1032" min="31" max="31"/>
    <col hidden="1" width="33.88671875" customWidth="1" style="1032" min="32" max="32"/>
    <col hidden="1" width="25" customWidth="1" style="1032" min="33" max="33"/>
    <col hidden="1" width="42" customWidth="1" style="1032" min="34" max="34"/>
    <col hidden="1" width="29.6640625" customWidth="1" style="1032" min="35" max="35"/>
    <col hidden="1" width="31.33203125" customWidth="1" style="1032" min="36" max="36"/>
    <col hidden="1" width="25" customWidth="1" style="1032" min="37" max="37"/>
    <col hidden="1" width="39.6640625" customWidth="1" min="38" max="38"/>
    <col hidden="1" width="26" customWidth="1" style="1032" min="39" max="39"/>
    <col hidden="1" width="24.5546875" customWidth="1" min="40" max="40"/>
    <col hidden="1" width="25" customWidth="1" min="41" max="41"/>
    <col hidden="1" width="42.44140625" customWidth="1" min="42" max="42"/>
    <col hidden="1" width="29.88671875" customWidth="1" style="1032" min="43" max="43"/>
    <col hidden="1" width="38.6640625" customWidth="1" style="1032" min="44" max="44"/>
    <col hidden="1" width="25" customWidth="1" style="1032" min="45" max="45"/>
    <col hidden="1" width="45.6640625" customWidth="1" style="1032" min="46" max="46"/>
    <col hidden="1" width="32.5546875" customWidth="1" style="1032" min="47" max="47"/>
    <col hidden="1" width="38.44140625" customWidth="1" style="1032" min="48" max="48"/>
    <col hidden="1" width="24.6640625" customWidth="1" style="1032" min="49" max="49"/>
    <col hidden="1" width="50.109375" customWidth="1" style="1032" min="50" max="50"/>
    <col hidden="1" width="1.109375" customWidth="1" style="1032" min="51" max="51"/>
    <col hidden="1" width="0.44140625" customWidth="1" style="1032" min="52" max="52"/>
    <col hidden="1" width="0.6640625" customWidth="1" style="1032" min="53" max="53"/>
    <col width="9.33203125" customWidth="1" style="1032" min="54" max="54"/>
    <col width="9.33203125" customWidth="1" style="1032" min="55" max="16384"/>
  </cols>
  <sheetData>
    <row r="1" ht="28.5" customHeight="1" thickBot="1" thickTop="1">
      <c r="A1" s="329">
        <f>template_label_fuel_converter</f>
        <v/>
      </c>
      <c r="B1" s="1032" t="n"/>
      <c r="AL1" s="1032" t="n"/>
      <c r="AN1" s="1032" t="n"/>
      <c r="AO1" s="1032" t="n"/>
      <c r="AP1" s="1032" t="n"/>
    </row>
    <row r="2" ht="39.45" customHeight="1" thickTop="1">
      <c r="A2" s="354">
        <f>template_label_disclaimer</f>
        <v/>
      </c>
      <c r="B2" s="1032" t="n"/>
      <c r="AL2" s="1032" t="n"/>
      <c r="AN2" s="1032" t="n"/>
      <c r="AO2" s="1032" t="n"/>
      <c r="AP2" s="1032" t="n"/>
    </row>
    <row r="3" ht="54" customHeight="1">
      <c r="A3" s="1031">
        <f>template_label_this_converter_is_intended_solely_to_illustrate_how_energy_consumption_in_mwh</f>
        <v/>
      </c>
      <c r="AL3" s="1032" t="n"/>
      <c r="AN3" s="1032" t="n"/>
      <c r="AO3" s="1032" t="n"/>
      <c r="AP3" s="1032" t="n"/>
    </row>
    <row r="4" ht="42.6" customHeight="1">
      <c r="A4" s="1031">
        <f>template_label_please_note_that_the_typical_values_for_net_calorific_value_and_density_are_provided_for_each_fuel_type</f>
        <v/>
      </c>
      <c r="AL4" s="1032" t="n"/>
      <c r="AN4" s="1032" t="n"/>
      <c r="AO4" s="1032" t="n"/>
      <c r="AP4" s="1032" t="n"/>
    </row>
    <row r="5" ht="66.59999999999999" customHeight="1" thickBot="1">
      <c r="A5" s="1031">
        <f>template_label_additionally_users_are_encouraged_to_determine_the_renewability_status_of_each_fuel_based_on_guarantees_of_origin</f>
        <v/>
      </c>
      <c r="AL5" s="1032" t="n"/>
      <c r="AN5" s="1032" t="n"/>
      <c r="AO5" s="1032" t="n"/>
      <c r="AP5" s="1032" t="n"/>
    </row>
    <row r="6" ht="35.4" customHeight="1" thickBot="1">
      <c r="A6" s="332" t="n"/>
      <c r="B6" s="1199">
        <f>template_label_indicates_that_the_cell_should_be_filled_either_by_selecting_a_value_from_the_dropdown</f>
        <v/>
      </c>
      <c r="C6" s="1120" t="n"/>
      <c r="D6" s="1120" t="n"/>
      <c r="E6" s="1120" t="n"/>
      <c r="F6" s="1126" t="n"/>
      <c r="G6" s="333" t="n"/>
      <c r="H6" s="331" t="n"/>
      <c r="I6" s="331" t="n"/>
      <c r="J6" s="331" t="n"/>
      <c r="AL6" s="1032" t="n"/>
      <c r="AN6" s="1032" t="n"/>
      <c r="AO6" s="1032" t="n"/>
      <c r="AP6" s="1032" t="n"/>
    </row>
    <row r="7" ht="44.4" customHeight="1" thickBot="1">
      <c r="A7" s="1200" t="inlineStr">
        <is>
          <t>-</t>
        </is>
      </c>
      <c r="B7" s="1199">
        <f>template_label_indicates_that_the_cell_is_automatically_calculated_and_that_no_data_entry_is_required</f>
        <v/>
      </c>
      <c r="C7" s="1120" t="n"/>
      <c r="D7" s="1120" t="n"/>
      <c r="E7" s="1120" t="n"/>
      <c r="F7" s="1126" t="n"/>
      <c r="G7" s="333" t="n"/>
      <c r="H7" s="331" t="n"/>
      <c r="I7" s="331" t="n"/>
      <c r="J7" s="331" t="n"/>
      <c r="AL7" s="1032" t="n"/>
      <c r="AN7" s="1032" t="n"/>
      <c r="AO7" s="1032" t="n"/>
      <c r="AP7" s="1032" t="n"/>
    </row>
    <row r="8" ht="40.2" customHeight="1" thickBot="1">
      <c r="A8" s="330" t="n"/>
      <c r="B8" s="1032" t="n"/>
      <c r="AC8" s="335" t="n"/>
      <c r="AL8" s="1032" t="n"/>
      <c r="AN8" s="1032" t="n"/>
      <c r="AO8" s="1032" t="n"/>
      <c r="AP8" s="1032" t="n"/>
    </row>
    <row r="9" ht="21.6" customHeight="1" thickBot="1">
      <c r="A9" s="439">
        <f>template_label_fuel_type</f>
        <v/>
      </c>
      <c r="B9" s="439">
        <f>template_label_unit_of_measurement</f>
        <v/>
      </c>
      <c r="C9" s="440">
        <f>template_label_amount</f>
        <v/>
      </c>
      <c r="D9" s="440">
        <f>template_label_state_of_matter</f>
        <v/>
      </c>
      <c r="E9" s="441">
        <f>template_label_typical_renewable_state</f>
        <v/>
      </c>
      <c r="F9" s="442">
        <f>template_label_calculated_energy_in_mwh</f>
        <v/>
      </c>
      <c r="G9" s="512">
        <f>template_label_overall_validation_status_validation&amp;":"</f>
        <v/>
      </c>
      <c r="H9" s="513">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
      </c>
      <c r="J9" s="330">
        <f>template_label_usage_of_fuel_converter</f>
        <v/>
      </c>
      <c r="O9" s="379" t="n"/>
      <c r="P9" s="380" t="n"/>
      <c r="Q9" s="381" t="n"/>
      <c r="S9" s="379" t="n"/>
      <c r="T9" s="380" t="n"/>
      <c r="U9" s="381" t="n"/>
      <c r="W9" s="379" t="n"/>
      <c r="X9" s="380" t="n"/>
      <c r="Y9" s="381" t="n"/>
      <c r="AA9" s="379" t="n"/>
      <c r="AB9" s="380" t="n"/>
      <c r="AC9" s="381" t="n"/>
      <c r="AE9" s="379" t="n"/>
      <c r="AF9" s="380" t="n"/>
      <c r="AG9" s="381" t="n"/>
      <c r="AI9" s="379" t="n"/>
      <c r="AJ9" s="380" t="n"/>
      <c r="AK9" s="381" t="n"/>
      <c r="AL9" s="1032" t="n"/>
      <c r="AM9" s="379" t="n"/>
      <c r="AN9" s="380" t="n"/>
      <c r="AO9" s="381" t="n"/>
      <c r="AP9" s="1032" t="n"/>
      <c r="AQ9" s="379" t="n"/>
      <c r="AR9" s="380" t="n"/>
      <c r="AS9" s="381" t="n"/>
      <c r="AU9" s="379" t="n"/>
      <c r="AV9" s="380" t="n"/>
      <c r="AW9" s="381" t="n"/>
      <c r="AY9" s="379" t="n"/>
      <c r="AZ9" s="380" t="n"/>
      <c r="BA9" s="381" t="n"/>
    </row>
    <row r="10" ht="15" customHeight="1" thickBot="1">
      <c r="A10" s="327" t="inlineStr">
        <is>
          <t>Biodiesel</t>
        </is>
      </c>
      <c r="B10" s="327" t="inlineStr">
        <is>
          <t>m³ - cubic meters</t>
        </is>
      </c>
      <c r="C10" s="328" t="n">
        <v>12</v>
      </c>
      <c r="D10" s="1201">
        <f>P11</f>
        <v/>
      </c>
      <c r="E10" s="1202">
        <f>P12</f>
        <v/>
      </c>
      <c r="F10" s="1203">
        <f>IF(C10="","-",O23)</f>
        <v/>
      </c>
      <c r="G10" s="1053">
        <f>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144" t="n"/>
      <c r="J10" s="1032">
        <f>template_label_1_in_cell_a9_select_the_fuel_used_searching_for_it_or_scrolling_down_the_list_displayed_clicking_the_cell</f>
        <v/>
      </c>
      <c r="O10" s="340" t="inlineStr">
        <is>
          <t xml:space="preserve">What is your fuel? </t>
        </is>
      </c>
      <c r="P10" s="382">
        <f>IF(A10="","-",A10)</f>
        <v/>
      </c>
      <c r="Q10" s="383" t="n"/>
      <c r="S10" s="340" t="inlineStr">
        <is>
          <t xml:space="preserve">What is your fuel? </t>
        </is>
      </c>
      <c r="T10" s="382">
        <f>IF(A11="","-",A11)</f>
        <v/>
      </c>
      <c r="U10" s="383" t="n"/>
      <c r="W10" s="340" t="inlineStr">
        <is>
          <t xml:space="preserve">What is your fuel? </t>
        </is>
      </c>
      <c r="X10" s="382">
        <f>IF(A12="","-",A12)</f>
        <v/>
      </c>
      <c r="Y10" s="383" t="n"/>
      <c r="AA10" s="340" t="inlineStr">
        <is>
          <t xml:space="preserve">What is your fuel? </t>
        </is>
      </c>
      <c r="AB10" s="382">
        <f>IF(A13="","-",A13)</f>
        <v/>
      </c>
      <c r="AC10" s="383" t="n"/>
      <c r="AE10" s="340" t="inlineStr">
        <is>
          <t xml:space="preserve">What is your fuel? </t>
        </is>
      </c>
      <c r="AF10" s="382">
        <f>IF(A14="","-",A14)</f>
        <v/>
      </c>
      <c r="AG10" s="383" t="n"/>
      <c r="AI10" s="340" t="inlineStr">
        <is>
          <t xml:space="preserve">What is your fuel? </t>
        </is>
      </c>
      <c r="AJ10" s="382">
        <f>IF(A15="","-",A15)</f>
        <v/>
      </c>
      <c r="AK10" s="383" t="n"/>
      <c r="AL10" s="1032" t="n"/>
      <c r="AM10" s="340" t="inlineStr">
        <is>
          <t xml:space="preserve">What is your fuel? </t>
        </is>
      </c>
      <c r="AN10" s="382">
        <f>IF(A16="","-",A16)</f>
        <v/>
      </c>
      <c r="AO10" s="383" t="n"/>
      <c r="AP10" s="1032" t="n"/>
      <c r="AQ10" s="340" t="inlineStr">
        <is>
          <t xml:space="preserve">What is your fuel? </t>
        </is>
      </c>
      <c r="AR10" s="382">
        <f>IF(A17="","-",A17)</f>
        <v/>
      </c>
      <c r="AS10" s="383" t="n"/>
      <c r="AU10" s="340" t="inlineStr">
        <is>
          <t xml:space="preserve">What is your fuel? </t>
        </is>
      </c>
      <c r="AV10" s="382">
        <f>IF(A18="","-",A18)</f>
        <v/>
      </c>
      <c r="AW10" s="383" t="n"/>
      <c r="AY10" s="340" t="inlineStr">
        <is>
          <t xml:space="preserve">What is your fuel? </t>
        </is>
      </c>
      <c r="AZ10" s="382">
        <f>IF(A19="","-",A19)</f>
        <v/>
      </c>
      <c r="BA10" s="383" t="n"/>
    </row>
    <row r="11" ht="15" customHeight="1" thickBot="1">
      <c r="A11" s="327" t="inlineStr">
        <is>
          <t>Methane</t>
        </is>
      </c>
      <c r="B11" s="327" t="inlineStr">
        <is>
          <t>L - Liter</t>
        </is>
      </c>
      <c r="C11" s="328" t="n">
        <v>23</v>
      </c>
      <c r="D11" s="1204">
        <f>T11</f>
        <v/>
      </c>
      <c r="E11" s="1205">
        <f>T12</f>
        <v/>
      </c>
      <c r="F11" s="1203">
        <f>IF(C11="","-",S23)</f>
        <v/>
      </c>
      <c r="G11" s="1027">
        <f>IF(AND(B11="",D11="Liquid"),
template_label_liquid_warning,
IF(AND(A11&lt;&gt;"",B11&lt;&gt;"",C11&lt;&gt;"",D11&lt;&gt;"",E11&lt;&gt;"",F11&lt;&gt;"",OR(AND(OR(B11="L - Liter",B11="m³ - cubic meters"),OR(D11="Liquid",D11="Gaseous")),AND(OR(B11="Kg - Kilogram",B11="t - tonne",B11="g - gram"),D11="Solid"))),"OK",
IF(AND(OR(B11="m³ - cubic meters",B11="L - Liter"),D11="Liquid",C11=""),
"",
IF(AND(OR(B11="Gg - Gigagram",B11="t - tonne",B11="Kg - Kilogram",B11="g - gram"),D11="Liquid"),
template_label_liquid_warning,
IF(AND(B11="",D11="Gaseous"),
template_label_gaseous_warning,
IF(AND(A11&lt;&gt;"",B11&lt;&gt;"",C11&lt;&gt;"",D11&lt;&gt;"",E11&lt;&gt;"",F11&lt;&gt;"",OR(AND(OR(B11="L - Liter",B11="m³ - cubic meters"),OR(D11="Liquid",D11="Gaseous")),AND(OR(B11="Kg - Kilogram",B11="t - tonne",B11="g - gram"),D11="Solid"))),"OK",IF(AND(OR(B11="m³ - cubic meters",B11="L - Liter"),D11="Gaseous",C11=""),
"",
IF(AND(OR(B11="Gg - Gigagram",B11="t - tonne",B11="Kg - Kilogram",B11="g - gram"),D11="Gaseous"),
template_label_gaseous_warning,
IF(AND(B11="",D11="Solid"),
template_label_solid_warning,
IF(AND(A11&lt;&gt;"",B11&lt;&gt;"",C11&lt;&gt;"",D11&lt;&gt;"",E11&lt;&gt;"",F11&lt;&gt;"",OR(AND(OR(B11="L - Liter",B11="m³ - cubic meters"),OR(D11="Liquid",D11="Gaseous")),AND(OR(B11="Kg - Kilogram",B11="t - tonne",B11="g - gram"),D11="Solid"))),"OK",IF(AND(OR(B11="Gg - Gigagram",B11="t - tonne",B11="Kg - Kilogram",B11="g - gram"),D11="Solid"),
"",
IF(AND(OR(B11="m³ - cubic meters",B11="L - Liter"),D11="Solid"),
template_label_solid_warning,
""))))))))))))</f>
        <v/>
      </c>
      <c r="H11" s="199" t="n"/>
      <c r="J11" s="1032">
        <f>template_label_2_in_cell_b9_select_the_unit_of_measurement_used</f>
        <v/>
      </c>
      <c r="O11" s="340" t="inlineStr">
        <is>
          <t>State of matter</t>
        </is>
      </c>
      <c r="P11" s="384">
        <f>IF(OR(P10="", P10="-"), "-", IFERROR(IF(INDEX('Fuel Conversion Parameters'!$B$2:$B$61, MATCH(P10, 'Fuel Conversion Parameters'!$A$2:$A$61, 0))="", "MISSING VALUE", INDEX('Fuel Conversion Parameters'!$B$2:$B$61, MATCH(P10, 'Fuel Conversion Parameters'!$A$2:$A$61, 0))), "MISSING VALUE"))</f>
        <v/>
      </c>
      <c r="Q11" s="383" t="n"/>
      <c r="S11" s="340" t="inlineStr">
        <is>
          <t>State of matter</t>
        </is>
      </c>
      <c r="T11" s="384">
        <f>IF(OR(T10="", T10="-"), "-", IFERROR(IF(INDEX('Fuel Conversion Parameters'!$B$2:$B$61, MATCH(T10, 'Fuel Conversion Parameters'!$A$2:$A$61, 0))="", "MISSING VALUE", INDEX('Fuel Conversion Parameters'!$B$2:$B$61, MATCH(T10, 'Fuel Conversion Parameters'!$A$2:$A$61, 0))), "MISSING VALUE"))</f>
        <v/>
      </c>
      <c r="U11" s="383" t="n"/>
      <c r="W11" s="340" t="inlineStr">
        <is>
          <t>State of matter</t>
        </is>
      </c>
      <c r="X11" s="384">
        <f>IF(OR(X10="", X10="-"), "-", IFERROR(IF(INDEX('Fuel Conversion Parameters'!$B$2:$B$61, MATCH(X10, 'Fuel Conversion Parameters'!$A$2:$A$61, 0))="", "MISSING VALUE", INDEX('Fuel Conversion Parameters'!$B$2:$B$61, MATCH(X10, 'Fuel Conversion Parameters'!$A$2:$A$61, 0))), "MISSING VALUE"))</f>
        <v/>
      </c>
      <c r="Y11" s="383" t="n"/>
      <c r="AA11" s="340" t="inlineStr">
        <is>
          <t>State of matter</t>
        </is>
      </c>
      <c r="AB11" s="384">
        <f>IF(OR(AB10="", AB10="-"), "-", IFERROR(IF(INDEX('Fuel Conversion Parameters'!$B$2:$B$61, MATCH(AB10, 'Fuel Conversion Parameters'!$A$2:$A$61, 0))="", "MISSING VALUE", INDEX('Fuel Conversion Parameters'!$B$2:$B$61, MATCH(AB10, 'Fuel Conversion Parameters'!$A$2:$A$61, 0))), "MISSING VALUE"))</f>
        <v/>
      </c>
      <c r="AC11" s="383" t="n"/>
      <c r="AE11" s="340" t="inlineStr">
        <is>
          <t>State of matter</t>
        </is>
      </c>
      <c r="AF11" s="384">
        <f>IF(OR(AF10="", AF10="-"), "-", IFERROR(IF(INDEX('Fuel Conversion Parameters'!$B$2:$B$61, MATCH(AF10, 'Fuel Conversion Parameters'!$A$2:$A$61, 0))="", "MISSING VALUE", INDEX('Fuel Conversion Parameters'!$B$2:$B$61, MATCH(AF10, 'Fuel Conversion Parameters'!$A$2:$A$61, 0))), "MISSING VALUE"))</f>
        <v/>
      </c>
      <c r="AG11" s="383" t="n"/>
      <c r="AI11" s="340" t="inlineStr">
        <is>
          <t>State of matter</t>
        </is>
      </c>
      <c r="AJ11" s="384">
        <f>IF(OR(AJ10="", AJ10="-"), "-", IFERROR(IF(INDEX('Fuel Conversion Parameters'!$B$2:$B$61, MATCH(AJ10, 'Fuel Conversion Parameters'!$A$2:$A$61, 0))="", "MISSING VALUE", INDEX('Fuel Conversion Parameters'!$B$2:$B$61, MATCH(AJ10, 'Fuel Conversion Parameters'!$A$2:$A$61, 0))), "MISSING VALUE"))</f>
        <v/>
      </c>
      <c r="AK11" s="383" t="n"/>
      <c r="AL11" s="1032" t="n"/>
      <c r="AM11" s="340" t="inlineStr">
        <is>
          <t>State of matter</t>
        </is>
      </c>
      <c r="AN11" s="384">
        <f>IF(OR(AN10="", AN10="-"), "-", IFERROR(IF(INDEX('Fuel Conversion Parameters'!$B$2:$B$61, MATCH(AN10, 'Fuel Conversion Parameters'!$A$2:$A$61, 0))="", "MISSING VALUE", INDEX('Fuel Conversion Parameters'!$B$2:$B$61, MATCH(AN10, 'Fuel Conversion Parameters'!$A$2:$A$61, 0))), "MISSING VALUE"))</f>
        <v/>
      </c>
      <c r="AO11" s="383" t="n"/>
      <c r="AP11" s="1032" t="n"/>
      <c r="AQ11" s="340" t="inlineStr">
        <is>
          <t>State of matter</t>
        </is>
      </c>
      <c r="AR11" s="384">
        <f>IF(OR(AR10="", AR10="-"), "-", IFERROR(IF(INDEX('Fuel Conversion Parameters'!$B$2:$B$61, MATCH(AR10, 'Fuel Conversion Parameters'!$A$2:$A$61, 0))="", "MISSING VALUE", INDEX('Fuel Conversion Parameters'!$B$2:$B$61, MATCH(AR10, 'Fuel Conversion Parameters'!$A$2:$A$61, 0))), "MISSING VALUE"))</f>
        <v/>
      </c>
      <c r="AS11" s="383" t="n"/>
      <c r="AU11" s="340" t="inlineStr">
        <is>
          <t>State of matter</t>
        </is>
      </c>
      <c r="AV11" s="384">
        <f>IF(OR(AV10="", AV10="-"), "-", IFERROR(IF(INDEX('Fuel Conversion Parameters'!$B$2:$B$61, MATCH(AV10, 'Fuel Conversion Parameters'!$A$2:$A$61, 0))="", "MISSING VALUE", INDEX('Fuel Conversion Parameters'!$B$2:$B$61, MATCH(AV10, 'Fuel Conversion Parameters'!$A$2:$A$61, 0))), "MISSING VALUE"))</f>
        <v/>
      </c>
      <c r="AW11" s="383" t="n"/>
      <c r="AY11" s="340" t="inlineStr">
        <is>
          <t>State of matter</t>
        </is>
      </c>
      <c r="AZ11" s="384">
        <f>IF(OR(AZ10="", AZ10="-"), "-", IFERROR(IF(INDEX('Fuel Conversion Parameters'!$B$2:$B$61, MATCH(AZ10, 'Fuel Conversion Parameters'!$A$2:$A$61, 0))="", "MISSING VALUE", INDEX('Fuel Conversion Parameters'!$B$2:$B$61, MATCH(AZ10, 'Fuel Conversion Parameters'!$A$2:$A$61, 0))), "MISSING VALUE"))</f>
        <v/>
      </c>
      <c r="BA11" s="383" t="n"/>
    </row>
    <row r="12" ht="15" customHeight="1" thickBot="1">
      <c r="A12" s="327" t="n"/>
      <c r="B12" s="327" t="n"/>
      <c r="C12" s="328" t="n"/>
      <c r="D12" s="1204">
        <f>X11</f>
        <v/>
      </c>
      <c r="E12" s="1205">
        <f>X12</f>
        <v/>
      </c>
      <c r="F12" s="1203">
        <f>IF(C12="","-",W23)</f>
        <v/>
      </c>
      <c r="G12" s="1027">
        <f>IF(AND(B12="",D12="Liquid"),
template_label_liquid_warning,
IF(AND(A12&lt;&gt;"",B12&lt;&gt;"",C12&lt;&gt;"",D12&lt;&gt;"",E12&lt;&gt;"",F12&lt;&gt;"",OR(AND(OR(B12="L - Liter",B12="m³ - cubic meters"),OR(D12="Liquid",D12="Gaseous")),AND(OR(B12="Kg - Kilogram",B12="t - tonne",B12="g - gram"),D12="Solid"))),"OK",
IF(AND(OR(B12="m³ - cubic meters",B12="L - Liter"),D12="Liquid",C12=""),
"",
IF(AND(OR(B12="Gg - Gigagram",B12="t - tonne",B12="Kg - Kilogram",B12="g - gram"),D12="Liquid"),
template_label_liquid_warning,
IF(AND(B12="",D12="Gaseous"),
template_label_gaseous_warning,
IF(AND(A12&lt;&gt;"",B12&lt;&gt;"",C12&lt;&gt;"",D12&lt;&gt;"",E12&lt;&gt;"",F12&lt;&gt;"",OR(AND(OR(B12="L - Liter",B12="m³ - cubic meters"),OR(D12="Liquid",D12="Gaseous")),AND(OR(B12="Kg - Kilogram",B12="t - tonne",B12="g - gram"),D12="Solid"))),"OK",IF(AND(OR(B12="m³ - cubic meters",B12="L - Liter"),D12="Gaseous",C12=""),
"",
IF(AND(OR(B12="Gg - Gigagram",B12="t - tonne",B12="Kg - Kilogram",B12="g - gram"),D12="Gaseous"),
template_label_gaseous_warning,
IF(AND(B12="",D12="Solid"),
template_label_solid_warning,
IF(AND(A12&lt;&gt;"",B12&lt;&gt;"",C12&lt;&gt;"",D12&lt;&gt;"",E12&lt;&gt;"",F12&lt;&gt;"",OR(AND(OR(B12="L - Liter",B12="m³ - cubic meters"),OR(D12="Liquid",D12="Gaseous")),AND(OR(B12="Kg - Kilogram",B12="t - tonne",B12="g - gram"),D12="Solid"))),"OK",IF(AND(OR(B12="Gg - Gigagram",B12="t - tonne",B12="Kg - Kilogram",B12="g - gram"),D12="Solid"),
"",
IF(AND(OR(B12="m³ - cubic meters",B12="L - Liter"),D12="Solid"),
template_label_solid_warning,
""))))))))))))</f>
        <v/>
      </c>
      <c r="H12" s="199" t="n"/>
      <c r="J12" s="1032">
        <f>template_label_3_in_cell_c9_select_the_amount_of_fuel_used</f>
        <v/>
      </c>
      <c r="O12" s="340" t="inlineStr">
        <is>
          <t>Typical renewability state</t>
        </is>
      </c>
      <c r="P12" s="384">
        <f>IF(OR(P10="", P10="-"), "-", IFERROR(IF(INDEX('Fuel Conversion Parameters'!$F$2:$F$61, MATCH(P10, 'Fuel Conversion Parameters'!$A$2:$A$61, 0))="", "MISSING VALUE", INDEX('Fuel Conversion Parameters'!$F$2:$F$61, MATCH(P10, 'Fuel Conversion Parameters'!$A$2:$A$61, 0))), "MISSING VALUE"))</f>
        <v/>
      </c>
      <c r="Q12" s="383" t="n"/>
      <c r="S12" s="340" t="inlineStr">
        <is>
          <t>Typical renewability state</t>
        </is>
      </c>
      <c r="T12" s="384">
        <f>IF(OR(T10="", T10="-"), "-", IFERROR(IF(INDEX('Fuel Conversion Parameters'!$F$2:$F$61, MATCH(T10, 'Fuel Conversion Parameters'!$A$2:$A$61, 0))="", "MISSING VALUE", INDEX('Fuel Conversion Parameters'!$F$2:$F$61, MATCH(T10, 'Fuel Conversion Parameters'!$A$2:$A$61, 0))), "MISSING VALUE"))</f>
        <v/>
      </c>
      <c r="U12" s="383" t="n"/>
      <c r="W12" s="340" t="inlineStr">
        <is>
          <t>Typical renewability state</t>
        </is>
      </c>
      <c r="X12" s="384">
        <f>IF(OR(X10="", X10="-"), "-", IFERROR(IF(INDEX('Fuel Conversion Parameters'!$F$2:$F$61, MATCH(X10, 'Fuel Conversion Parameters'!$A$2:$A$61, 0))="", "MISSING VALUE", INDEX('Fuel Conversion Parameters'!$F$2:$F$61, MATCH(X10, 'Fuel Conversion Parameters'!$A$2:$A$61, 0))), "MISSING VALUE"))</f>
        <v/>
      </c>
      <c r="Y12" s="383" t="n"/>
      <c r="AA12" s="340" t="inlineStr">
        <is>
          <t>Typical renewability state</t>
        </is>
      </c>
      <c r="AB12" s="384">
        <f>IF(OR(AB10="", AB10="-"), "-", IFERROR(IF(INDEX('Fuel Conversion Parameters'!$F$2:$F$61, MATCH(AB10, 'Fuel Conversion Parameters'!$A$2:$A$61, 0))="", "MISSING VALUE", INDEX('Fuel Conversion Parameters'!$F$2:$F$61, MATCH(AB10, 'Fuel Conversion Parameters'!$A$2:$A$61, 0))), "MISSING VALUE"))</f>
        <v/>
      </c>
      <c r="AC12" s="383" t="n"/>
      <c r="AE12" s="340" t="inlineStr">
        <is>
          <t>Typical renewability state</t>
        </is>
      </c>
      <c r="AF12" s="384">
        <f>IF(OR(AF10="", AF10="-"), "-", IFERROR(IF(INDEX('Fuel Conversion Parameters'!$F$2:$F$61, MATCH(AF10, 'Fuel Conversion Parameters'!$A$2:$A$61, 0))="", "MISSING VALUE", INDEX('Fuel Conversion Parameters'!$F$2:$F$61, MATCH(AF10, 'Fuel Conversion Parameters'!$A$2:$A$61, 0))), "MISSING VALUE"))</f>
        <v/>
      </c>
      <c r="AG12" s="383" t="n"/>
      <c r="AI12" s="340" t="inlineStr">
        <is>
          <t>Typical renewability state</t>
        </is>
      </c>
      <c r="AJ12" s="384">
        <f>IF(OR(AJ10="", AJ10="-"), "-", IFERROR(IF(INDEX('Fuel Conversion Parameters'!$F$2:$F$61, MATCH(AJ10, 'Fuel Conversion Parameters'!$A$2:$A$61, 0))="", "MISSING VALUE", INDEX('Fuel Conversion Parameters'!$F$2:$F$61, MATCH(AJ10, 'Fuel Conversion Parameters'!$A$2:$A$61, 0))), "MISSING VALUE"))</f>
        <v/>
      </c>
      <c r="AK12" s="383" t="n"/>
      <c r="AL12" s="1032" t="n"/>
      <c r="AM12" s="340" t="inlineStr">
        <is>
          <t>Typical renewability state</t>
        </is>
      </c>
      <c r="AN12" s="384">
        <f>IF(OR(AN10="", AN10="-"), "-", IFERROR(IF(INDEX('Fuel Conversion Parameters'!$F$2:$F$61, MATCH(AN10, 'Fuel Conversion Parameters'!$A$2:$A$61, 0))="", "MISSING VALUE", INDEX('Fuel Conversion Parameters'!$F$2:$F$61, MATCH(AN10, 'Fuel Conversion Parameters'!$A$2:$A$61, 0))), "MISSING VALUE"))</f>
        <v/>
      </c>
      <c r="AO12" s="383" t="n"/>
      <c r="AP12" s="1032" t="n"/>
      <c r="AQ12" s="340" t="inlineStr">
        <is>
          <t>Typical renewability state</t>
        </is>
      </c>
      <c r="AR12" s="384">
        <f>IF(OR(AR10="", AR10="-"), "-", IFERROR(IF(INDEX('Fuel Conversion Parameters'!$F$2:$F$61, MATCH(AR10, 'Fuel Conversion Parameters'!$A$2:$A$61, 0))="", "MISSING VALUE", INDEX('Fuel Conversion Parameters'!$F$2:$F$61, MATCH(AR10, 'Fuel Conversion Parameters'!$A$2:$A$61, 0))), "MISSING VALUE"))</f>
        <v/>
      </c>
      <c r="AS12" s="383" t="n"/>
      <c r="AU12" s="340" t="inlineStr">
        <is>
          <t>Typical renewability state</t>
        </is>
      </c>
      <c r="AV12" s="384">
        <f>IF(OR(AV10="", AV10="-"), "-", IFERROR(IF(INDEX('Fuel Conversion Parameters'!$F$2:$F$61, MATCH(AV10, 'Fuel Conversion Parameters'!$A$2:$A$61, 0))="", "MISSING VALUE", INDEX('Fuel Conversion Parameters'!$F$2:$F$61, MATCH(AV10, 'Fuel Conversion Parameters'!$A$2:$A$61, 0))), "MISSING VALUE"))</f>
        <v/>
      </c>
      <c r="AW12" s="383" t="n"/>
      <c r="AY12" s="340" t="inlineStr">
        <is>
          <t>Typical renewability state</t>
        </is>
      </c>
      <c r="AZ12" s="384">
        <f>IF(OR(AZ10="", AZ10="-"), "-", IFERROR(IF(INDEX('Fuel Conversion Parameters'!$F$2:$F$61, MATCH(AZ10, 'Fuel Conversion Parameters'!$A$2:$A$61, 0))="", "MISSING VALUE", INDEX('Fuel Conversion Parameters'!$F$2:$F$61, MATCH(AZ10, 'Fuel Conversion Parameters'!$A$2:$A$61, 0))), "MISSING VALUE"))</f>
        <v/>
      </c>
      <c r="BA12" s="383" t="n"/>
    </row>
    <row r="13">
      <c r="A13" s="327" t="n"/>
      <c r="B13" s="327" t="n"/>
      <c r="C13" s="328" t="n"/>
      <c r="D13" s="1204">
        <f>AB11</f>
        <v/>
      </c>
      <c r="E13" s="1205">
        <f>AB12</f>
        <v/>
      </c>
      <c r="F13" s="1203">
        <f>IF(C13="","-",AA23)</f>
        <v/>
      </c>
      <c r="G13" s="1027">
        <f>IF(AND(B13="",D13="Liquid"),
template_label_liquid_warning,
IF(AND(A13&lt;&gt;"",B13&lt;&gt;"",C13&lt;&gt;"",D13&lt;&gt;"",E13&lt;&gt;"",F13&lt;&gt;"",OR(AND(OR(B13="L - Liter",B13="m³ - cubic meters"),OR(D13="Liquid",D13="Gaseous")),AND(OR(B13="Kg - Kilogram",B13="t - tonne",B13="g - gram"),D13="Solid"))),"OK",
IF(AND(OR(B13="m³ - cubic meters",B13="L - Liter"),D13="Liquid",C13=""),
"",
IF(AND(OR(B13="Gg - Gigagram",B13="t - tonne",B13="Kg - Kilogram",B13="g - gram"),D13="Liquid"),
template_label_liquid_warning,
IF(AND(B13="",D13="Gaseous"),
template_label_gaseous_warning,
IF(AND(A13&lt;&gt;"",B13&lt;&gt;"",C13&lt;&gt;"",D13&lt;&gt;"",E13&lt;&gt;"",F13&lt;&gt;"",OR(AND(OR(B13="L - Liter",B13="m³ - cubic meters"),OR(D13="Liquid",D13="Gaseous")),AND(OR(B13="Kg - Kilogram",B13="t - tonne",B13="g - gram"),D13="Solid"))),"OK",IF(AND(OR(B13="m³ - cubic meters",B13="L - Liter"),D13="Gaseous",C13=""),
"",
IF(AND(OR(B13="Gg - Gigagram",B13="t - tonne",B13="Kg - Kilogram",B13="g - gram"),D13="Gaseous"),
template_label_gaseous_warning,
IF(AND(B13="",D13="Solid"),
template_label_solid_warning,
IF(AND(A13&lt;&gt;"",B13&lt;&gt;"",C13&lt;&gt;"",D13&lt;&gt;"",E13&lt;&gt;"",F13&lt;&gt;"",OR(AND(OR(B13="L - Liter",B13="m³ - cubic meters"),OR(D13="Liquid",D13="Gaseous")),AND(OR(B13="Kg - Kilogram",B13="t - tonne",B13="g - gram"),D13="Solid"))),"OK",IF(AND(OR(B13="Gg - Gigagram",B13="t - tonne",B13="Kg - Kilogram",B13="g - gram"),D13="Solid"),
"",
IF(AND(OR(B13="m³ - cubic meters",B13="L - Liter"),D13="Solid"),
template_label_solid_warning,
""))))))))))))</f>
        <v/>
      </c>
      <c r="H13" s="199" t="n"/>
      <c r="J13" s="1032">
        <f>template_label_4_in_cell_d9_it_is_displayed_the_state_of_matter_for_the_fuel_selected</f>
        <v/>
      </c>
      <c r="O13" s="385" t="n"/>
      <c r="P13" s="19" t="n"/>
      <c r="Q13" s="383" t="n"/>
      <c r="S13" s="385" t="n"/>
      <c r="T13" s="19" t="n"/>
      <c r="U13" s="383" t="n"/>
      <c r="W13" s="385" t="n"/>
      <c r="X13" s="19" t="n"/>
      <c r="Y13" s="383" t="n"/>
      <c r="AA13" s="385" t="n"/>
      <c r="AB13" s="19" t="n"/>
      <c r="AC13" s="383" t="n"/>
      <c r="AE13" s="385" t="n"/>
      <c r="AF13" s="19" t="n"/>
      <c r="AG13" s="383" t="n"/>
      <c r="AI13" s="385" t="n"/>
      <c r="AJ13" s="19" t="n"/>
      <c r="AK13" s="383" t="n"/>
      <c r="AL13" s="1032" t="n"/>
      <c r="AM13" s="385" t="n"/>
      <c r="AN13" s="19" t="n"/>
      <c r="AO13" s="383" t="n"/>
      <c r="AP13" s="1032" t="n"/>
      <c r="AQ13" s="385" t="n"/>
      <c r="AR13" s="19" t="n"/>
      <c r="AS13" s="383" t="n"/>
      <c r="AU13" s="385" t="n"/>
      <c r="AV13" s="19" t="n"/>
      <c r="AW13" s="383" t="n"/>
      <c r="AY13" s="385" t="n"/>
      <c r="AZ13" s="19" t="n"/>
      <c r="BA13" s="383" t="n"/>
    </row>
    <row r="14">
      <c r="A14" s="327" t="n"/>
      <c r="B14" s="327" t="n"/>
      <c r="C14" s="328" t="n"/>
      <c r="D14" s="1204">
        <f>AF11</f>
        <v/>
      </c>
      <c r="E14" s="1205">
        <f>AF12</f>
        <v/>
      </c>
      <c r="F14" s="1203">
        <f>IF(C14="","-",AE23)</f>
        <v/>
      </c>
      <c r="G14" s="1027">
        <f>IF(AND(B14="",D14="Liquid"),
template_label_liquid_warning,
IF(AND(A14&lt;&gt;"",B14&lt;&gt;"",C14&lt;&gt;"",D14&lt;&gt;"",E14&lt;&gt;"",F14&lt;&gt;"",OR(AND(OR(B14="L - Liter",B14="m³ - cubic meters"),OR(D14="Liquid",D14="Gaseous")),AND(OR(B14="Kg - Kilogram",B14="t - tonne",B14="g - gram"),D14="Solid"))),"OK",
IF(AND(OR(B14="m³ - cubic meters",B14="L - Liter"),D14="Liquid",C14=""),
"",
IF(AND(OR(B14="Gg - Gigagram",B14="t - tonne",B14="Kg - Kilogram",B14="g - gram"),D14="Liquid"),
template_label_liquid_warning,
IF(AND(B14="",D14="Gaseous"),
template_label_gaseous_warning,
IF(AND(A14&lt;&gt;"",B14&lt;&gt;"",C14&lt;&gt;"",D14&lt;&gt;"",E14&lt;&gt;"",F14&lt;&gt;"",OR(AND(OR(B14="L - Liter",B14="m³ - cubic meters"),OR(D14="Liquid",D14="Gaseous")),AND(OR(B14="Kg - Kilogram",B14="t - tonne",B14="g - gram"),D14="Solid"))),"OK",IF(AND(OR(B14="m³ - cubic meters",B14="L - Liter"),D14="Gaseous",C14=""),
"",
IF(AND(OR(B14="Gg - Gigagram",B14="t - tonne",B14="Kg - Kilogram",B14="g - gram"),D14="Gaseous"),
template_label_gaseous_warning,
IF(AND(B14="",D14="Solid"),
template_label_solid_warning,
IF(AND(A14&lt;&gt;"",B14&lt;&gt;"",C14&lt;&gt;"",D14&lt;&gt;"",E14&lt;&gt;"",F14&lt;&gt;"",OR(AND(OR(B14="L - Liter",B14="m³ - cubic meters"),OR(D14="Liquid",D14="Gaseous")),AND(OR(B14="Kg - Kilogram",B14="t - tonne",B14="g - gram"),D14="Solid"))),"OK",IF(AND(OR(B14="Gg - Gigagram",B14="t - tonne",B14="Kg - Kilogram",B14="g - gram"),D14="Solid"),
"",
IF(AND(OR(B14="m³ - cubic meters",B14="L - Liter"),D14="Solid"),
template_label_solid_warning,
""))))))))))))</f>
        <v/>
      </c>
      <c r="H14" s="199" t="n"/>
      <c r="J14" s="1032">
        <f>template_label_5_in_cell_e9_it_is_displayed_the_typical_renewability_state_for_the_fuel_selected</f>
        <v/>
      </c>
      <c r="O14" s="386" t="n"/>
      <c r="Q14" s="383" t="n"/>
      <c r="S14" s="386" t="n"/>
      <c r="U14" s="383" t="n"/>
      <c r="W14" s="386" t="n"/>
      <c r="Y14" s="383" t="n"/>
      <c r="AA14" s="386" t="n"/>
      <c r="AC14" s="383" t="n"/>
      <c r="AE14" s="386" t="n"/>
      <c r="AG14" s="383" t="n"/>
      <c r="AI14" s="386" t="n"/>
      <c r="AK14" s="383" t="n"/>
      <c r="AL14" s="1032" t="n"/>
      <c r="AM14" s="386" t="n"/>
      <c r="AN14" s="1032" t="n"/>
      <c r="AO14" s="383" t="n"/>
      <c r="AP14" s="1032" t="n"/>
      <c r="AQ14" s="386" t="n"/>
      <c r="AS14" s="383" t="n"/>
      <c r="AU14" s="386" t="n"/>
      <c r="AW14" s="383" t="n"/>
      <c r="AY14" s="386" t="n"/>
      <c r="BA14" s="383" t="n"/>
    </row>
    <row r="15" ht="15" customHeight="1" thickBot="1">
      <c r="A15" s="327" t="n"/>
      <c r="B15" s="327" t="n"/>
      <c r="C15" s="328" t="n"/>
      <c r="D15" s="1204">
        <f>AJ11</f>
        <v/>
      </c>
      <c r="E15" s="1205">
        <f>AJ12</f>
        <v/>
      </c>
      <c r="F15" s="1203">
        <f>IF(C15="","-",AI23)</f>
        <v/>
      </c>
      <c r="G15" s="1027">
        <f>IF(AND(B15="",D15="Liquid"),
template_label_liquid_warning,
IF(AND(A15&lt;&gt;"",B15&lt;&gt;"",C15&lt;&gt;"",D15&lt;&gt;"",E15&lt;&gt;"",F15&lt;&gt;"",OR(AND(OR(B15="L - Liter",B15="m³ - cubic meters"),OR(D15="Liquid",D15="Gaseous")),AND(OR(B15="Kg - Kilogram",B15="t - tonne",B15="g - gram"),D15="Solid"))),"OK",
IF(AND(OR(B15="m³ - cubic meters",B15="L - Liter"),D15="Liquid",C15=""),
"",
IF(AND(OR(B15="Gg - Gigagram",B15="t - tonne",B15="Kg - Kilogram",B15="g - gram"),D15="Liquid"),
template_label_liquid_warning,
IF(AND(B15="",D15="Gaseous"),
template_label_gaseous_warning,
IF(AND(A15&lt;&gt;"",B15&lt;&gt;"",C15&lt;&gt;"",D15&lt;&gt;"",E15&lt;&gt;"",F15&lt;&gt;"",OR(AND(OR(B15="L - Liter",B15="m³ - cubic meters"),OR(D15="Liquid",D15="Gaseous")),AND(OR(B15="Kg - Kilogram",B15="t - tonne",B15="g - gram"),D15="Solid"))),"OK",IF(AND(OR(B15="m³ - cubic meters",B15="L - Liter"),D15="Gaseous",C15=""),
"",
IF(AND(OR(B15="Gg - Gigagram",B15="t - tonne",B15="Kg - Kilogram",B15="g - gram"),D15="Gaseous"),
template_label_gaseous_warning,
IF(AND(B15="",D15="Solid"),
template_label_solid_warning,
IF(AND(A15&lt;&gt;"",B15&lt;&gt;"",C15&lt;&gt;"",D15&lt;&gt;"",E15&lt;&gt;"",F15&lt;&gt;"",OR(AND(OR(B15="L - Liter",B15="m³ - cubic meters"),OR(D15="Liquid",D15="Gaseous")),AND(OR(B15="Kg - Kilogram",B15="t - tonne",B15="g - gram"),D15="Solid"))),"OK",IF(AND(OR(B15="Gg - Gigagram",B15="t - tonne",B15="Kg - Kilogram",B15="g - gram"),D15="Solid"),
"",
IF(AND(OR(B15="m³ - cubic meters",B15="L - Liter"),D15="Solid"),
template_label_solid_warning,
""))))))))))))</f>
        <v/>
      </c>
      <c r="H15" s="199" t="n"/>
      <c r="J15" s="1032">
        <f>template_label_6_in_cell_f9_is_displayed_the_energy_produced_in_mega_watt_hours_by_the_amount_of_fuel_specified</f>
        <v/>
      </c>
      <c r="O15" s="387" t="n"/>
      <c r="Q15" s="383" t="n"/>
      <c r="S15" s="387" t="n"/>
      <c r="U15" s="383" t="n"/>
      <c r="W15" s="386" t="n"/>
      <c r="Y15" s="383" t="n"/>
      <c r="AA15" s="386" t="n"/>
      <c r="AC15" s="383" t="n"/>
      <c r="AE15" s="386" t="n"/>
      <c r="AG15" s="383" t="n"/>
      <c r="AI15" s="386" t="n"/>
      <c r="AK15" s="383" t="n"/>
      <c r="AL15" s="1032" t="n"/>
      <c r="AM15" s="386" t="n"/>
      <c r="AN15" s="1032" t="n"/>
      <c r="AO15" s="383" t="n"/>
      <c r="AP15" s="1032" t="n"/>
      <c r="AQ15" s="386" t="n"/>
      <c r="AS15" s="383" t="n"/>
      <c r="AU15" s="386" t="n"/>
      <c r="AW15" s="383" t="n"/>
      <c r="AY15" s="386" t="n"/>
      <c r="BA15" s="383" t="n"/>
    </row>
    <row r="16" ht="15" customHeight="1" thickBot="1">
      <c r="A16" s="327" t="n"/>
      <c r="B16" s="327" t="n"/>
      <c r="C16" s="328" t="n"/>
      <c r="D16" s="1204">
        <f>AN11</f>
        <v/>
      </c>
      <c r="E16" s="1205">
        <f>AN12</f>
        <v/>
      </c>
      <c r="F16" s="1203">
        <f>IF(C16="","-",AM23)</f>
        <v/>
      </c>
      <c r="G16" s="1027">
        <f>IF(AND(B16="",D16="Liquid"),
template_label_liquid_warning,
IF(AND(A16&lt;&gt;"",B16&lt;&gt;"",C16&lt;&gt;"",D16&lt;&gt;"",E16&lt;&gt;"",F16&lt;&gt;"",OR(AND(OR(B16="L - Liter",B16="m³ - cubic meters"),OR(D16="Liquid",D16="Gaseous")),AND(OR(B16="Kg - Kilogram",B16="t - tonne",B16="g - gram"),D16="Solid"))),"OK",
IF(AND(OR(B16="m³ - cubic meters",B16="L - Liter"),D16="Liquid",C16=""),
"",
IF(AND(OR(B16="Gg - Gigagram",B16="t - tonne",B16="Kg - Kilogram",B16="g - gram"),D16="Liquid"),
template_label_liquid_warning,
IF(AND(B16="",D16="Gaseous"),
template_label_gaseous_warning,
IF(AND(A16&lt;&gt;"",B16&lt;&gt;"",C16&lt;&gt;"",D16&lt;&gt;"",E16&lt;&gt;"",F16&lt;&gt;"",OR(AND(OR(B16="L - Liter",B16="m³ - cubic meters"),OR(D16="Liquid",D16="Gaseous")),AND(OR(B16="Kg - Kilogram",B16="t - tonne",B16="g - gram"),D16="Solid"))),"OK",IF(AND(OR(B16="m³ - cubic meters",B16="L - Liter"),D16="Gaseous",C16=""),
"",
IF(AND(OR(B16="Gg - Gigagram",B16="t - tonne",B16="Kg - Kilogram",B16="g - gram"),D16="Gaseous"),
template_label_gaseous_warning,
IF(AND(B16="",D16="Solid"),
template_label_solid_warning,
IF(AND(A16&lt;&gt;"",B16&lt;&gt;"",C16&lt;&gt;"",D16&lt;&gt;"",E16&lt;&gt;"",F16&lt;&gt;"",OR(AND(OR(B16="L - Liter",B16="m³ - cubic meters"),OR(D16="Liquid",D16="Gaseous")),AND(OR(B16="Kg - Kilogram",B16="t - tonne",B16="g - gram"),D16="Solid"))),"OK",IF(AND(OR(B16="Gg - Gigagram",B16="t - tonne",B16="Kg - Kilogram",B16="g - gram"),D16="Solid"),
"",
IF(AND(OR(B16="m³ - cubic meters",B16="L - Liter"),D16="Solid"),
template_label_solid_warning,
""))))))))))))</f>
        <v/>
      </c>
      <c r="H16" s="199" t="n"/>
      <c r="J16" s="1032">
        <f>template_label_7_in_cell_a28_is_displayed_the_total_energy_in_mega_watt_hours</f>
        <v/>
      </c>
      <c r="O16" s="388" t="inlineStr">
        <is>
          <t>Unit of measurement</t>
        </is>
      </c>
      <c r="P16" s="389">
        <f>B10</f>
        <v/>
      </c>
      <c r="Q16" s="390">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88" t="inlineStr">
        <is>
          <t>Unit of measurement</t>
        </is>
      </c>
      <c r="T16" s="389">
        <f>B11</f>
        <v/>
      </c>
      <c r="U16" s="390">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88" t="inlineStr">
        <is>
          <t>Unit of measurement</t>
        </is>
      </c>
      <c r="X16" s="389">
        <f>B12</f>
        <v/>
      </c>
      <c r="Y16" s="383">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88" t="inlineStr">
        <is>
          <t>Unit of measurement</t>
        </is>
      </c>
      <c r="AB16" s="389">
        <f>B13</f>
        <v/>
      </c>
      <c r="AC16" s="390">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88" t="inlineStr">
        <is>
          <t>Unit of measurement</t>
        </is>
      </c>
      <c r="AF16" s="389">
        <f>B14</f>
        <v/>
      </c>
      <c r="AG16" s="390">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88" t="inlineStr">
        <is>
          <t>Unit of measurement</t>
        </is>
      </c>
      <c r="AJ16" s="389">
        <f>B15</f>
        <v/>
      </c>
      <c r="AK16" s="390">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32" t="n"/>
      <c r="AM16" s="388" t="inlineStr">
        <is>
          <t>Unit of measurement</t>
        </is>
      </c>
      <c r="AN16" s="389">
        <f>B16</f>
        <v/>
      </c>
      <c r="AO16" s="390">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32" t="n"/>
      <c r="AQ16" s="388" t="inlineStr">
        <is>
          <t>Unit of measurement</t>
        </is>
      </c>
      <c r="AR16" s="389">
        <f>B17</f>
        <v/>
      </c>
      <c r="AS16" s="390">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88" t="inlineStr">
        <is>
          <t>Unit of measurement</t>
        </is>
      </c>
      <c r="AV16" s="389">
        <f>B18</f>
        <v/>
      </c>
      <c r="AW16" s="390">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88" t="inlineStr">
        <is>
          <t>Unit of measurement</t>
        </is>
      </c>
      <c r="AZ16" s="389">
        <f>B19</f>
        <v/>
      </c>
      <c r="BA16" s="390">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27" t="n"/>
      <c r="B17" s="327" t="n"/>
      <c r="C17" s="328" t="n"/>
      <c r="D17" s="1204">
        <f>AR11</f>
        <v/>
      </c>
      <c r="E17" s="1205">
        <f>AR12</f>
        <v/>
      </c>
      <c r="F17" s="1203">
        <f>IF(C17="","-",AQ23)</f>
        <v/>
      </c>
      <c r="G17" s="1027">
        <f>IF(AND(B17="",D17="Liquid"),
template_label_liquid_warning,
IF(AND(A17&lt;&gt;"",B17&lt;&gt;"",C17&lt;&gt;"",D17&lt;&gt;"",E17&lt;&gt;"",F17&lt;&gt;"",OR(AND(OR(B17="L - Liter",B17="m³ - cubic meters"),OR(D17="Liquid",D17="Gaseous")),AND(OR(B17="Kg - Kilogram",B17="t - tonne",B17="g - gram"),D17="Solid"))),"OK",
IF(AND(OR(B17="m³ - cubic meters",B17="L - Liter"),D17="Liquid",C17=""),
"",
IF(AND(OR(B17="Gg - Gigagram",B17="t - tonne",B17="Kg - Kilogram",B17="g - gram"),D17="Liquid"),
template_label_liquid_warning,
IF(AND(B17="",D17="Gaseous"),
template_label_gaseous_warning,
IF(AND(A17&lt;&gt;"",B17&lt;&gt;"",C17&lt;&gt;"",D17&lt;&gt;"",E17&lt;&gt;"",F17&lt;&gt;"",OR(AND(OR(B17="L - Liter",B17="m³ - cubic meters"),OR(D17="Liquid",D17="Gaseous")),AND(OR(B17="Kg - Kilogram",B17="t - tonne",B17="g - gram"),D17="Solid"))),"OK",IF(AND(OR(B17="m³ - cubic meters",B17="L - Liter"),D17="Gaseous",C17=""),
"",
IF(AND(OR(B17="Gg - Gigagram",B17="t - tonne",B17="Kg - Kilogram",B17="g - gram"),D17="Gaseous"),
template_label_gaseous_warning,
IF(AND(B17="",D17="Solid"),
template_label_solid_warning,
IF(AND(A17&lt;&gt;"",B17&lt;&gt;"",C17&lt;&gt;"",D17&lt;&gt;"",E17&lt;&gt;"",F17&lt;&gt;"",OR(AND(OR(B17="L - Liter",B17="m³ - cubic meters"),OR(D17="Liquid",D17="Gaseous")),AND(OR(B17="Kg - Kilogram",B17="t - tonne",B17="g - gram"),D17="Solid"))),"OK",IF(AND(OR(B17="Gg - Gigagram",B17="t - tonne",B17="Kg - Kilogram",B17="g - gram"),D17="Solid"),
"",
IF(AND(OR(B17="m³ - cubic meters",B17="L - Liter"),D17="Solid"),
template_label_solid_warning,
""))))))))))))</f>
        <v/>
      </c>
      <c r="H17" s="199" t="n"/>
      <c r="J17" s="1032">
        <f>template_label_8_in_cell_a31_is_displayed_the_total_renewable_energy_in_mega_watt_hours</f>
        <v/>
      </c>
      <c r="O17" s="340" t="inlineStr">
        <is>
          <t>Amount</t>
        </is>
      </c>
      <c r="P17" s="391">
        <f>C10</f>
        <v/>
      </c>
      <c r="Q17" s="383" t="n"/>
      <c r="S17" s="340" t="inlineStr">
        <is>
          <t>Amount</t>
        </is>
      </c>
      <c r="T17" s="391">
        <f>C11</f>
        <v/>
      </c>
      <c r="U17" s="383" t="n"/>
      <c r="W17" s="340" t="inlineStr">
        <is>
          <t>Amount</t>
        </is>
      </c>
      <c r="X17" s="391">
        <f>C12</f>
        <v/>
      </c>
      <c r="Y17" s="383" t="n"/>
      <c r="AA17" s="340" t="inlineStr">
        <is>
          <t>Amount</t>
        </is>
      </c>
      <c r="AB17" s="391">
        <f>C13</f>
        <v/>
      </c>
      <c r="AC17" s="383" t="n"/>
      <c r="AE17" s="340" t="inlineStr">
        <is>
          <t>Amount</t>
        </is>
      </c>
      <c r="AF17" s="391">
        <f>C14</f>
        <v/>
      </c>
      <c r="AG17" s="383" t="n"/>
      <c r="AI17" s="340" t="inlineStr">
        <is>
          <t>Amount</t>
        </is>
      </c>
      <c r="AJ17" s="391">
        <f>C15</f>
        <v/>
      </c>
      <c r="AK17" s="383" t="n"/>
      <c r="AL17" s="1032" t="n"/>
      <c r="AM17" s="340" t="inlineStr">
        <is>
          <t>Amount</t>
        </is>
      </c>
      <c r="AN17" s="391">
        <f>C16</f>
        <v/>
      </c>
      <c r="AO17" s="383" t="n"/>
      <c r="AP17" s="1032" t="n"/>
      <c r="AQ17" s="340" t="inlineStr">
        <is>
          <t>Amount</t>
        </is>
      </c>
      <c r="AR17" s="391">
        <f>C17</f>
        <v/>
      </c>
      <c r="AS17" s="383" t="n"/>
      <c r="AU17" s="340" t="inlineStr">
        <is>
          <t>Amount</t>
        </is>
      </c>
      <c r="AV17" s="391">
        <f>C18</f>
        <v/>
      </c>
      <c r="AW17" s="383" t="n"/>
      <c r="AY17" s="340" t="inlineStr">
        <is>
          <t>Amount</t>
        </is>
      </c>
      <c r="AZ17" s="391">
        <f>C19</f>
        <v/>
      </c>
      <c r="BA17" s="383" t="n"/>
    </row>
    <row r="18">
      <c r="A18" s="327" t="n"/>
      <c r="B18" s="327" t="n"/>
      <c r="C18" s="328" t="n"/>
      <c r="D18" s="1204">
        <f>AV11</f>
        <v/>
      </c>
      <c r="E18" s="1205">
        <f>AV12</f>
        <v/>
      </c>
      <c r="F18" s="1203">
        <f>IF(C18="","-",AU23)</f>
        <v/>
      </c>
      <c r="G18" s="1027">
        <f>IF(AND(B18="",D18="Liquid"),
template_label_liquid_warning,
IF(AND(A18&lt;&gt;"",B18&lt;&gt;"",C18&lt;&gt;"",D18&lt;&gt;"",E18&lt;&gt;"",F18&lt;&gt;"",OR(AND(OR(B18="L - Liter",B18="m³ - cubic meters"),OR(D18="Liquid",D18="Gaseous")),AND(OR(B18="Kg - Kilogram",B18="t - tonne",B18="g - gram"),D18="Solid"))),"OK",
IF(AND(OR(B18="m³ - cubic meters",B18="L - Liter"),D18="Liquid",C18=""),
"",
IF(AND(OR(B18="Gg - Gigagram",B18="t - tonne",B18="Kg - Kilogram",B18="g - gram"),D18="Liquid"),
template_label_liquid_warning,
IF(AND(B18="",D18="Gaseous"),
template_label_gaseous_warning,
IF(AND(A18&lt;&gt;"",B18&lt;&gt;"",C18&lt;&gt;"",D18&lt;&gt;"",E18&lt;&gt;"",F18&lt;&gt;"",OR(AND(OR(B18="L - Liter",B18="m³ - cubic meters"),OR(D18="Liquid",D18="Gaseous")),AND(OR(B18="Kg - Kilogram",B18="t - tonne",B18="g - gram"),D18="Solid"))),"OK",IF(AND(OR(B18="m³ - cubic meters",B18="L - Liter"),D18="Gaseous",C18=""),
"",
IF(AND(OR(B18="Gg - Gigagram",B18="t - tonne",B18="Kg - Kilogram",B18="g - gram"),D18="Gaseous"),
template_label_gaseous_warning,
IF(AND(B18="",D18="Solid"),
template_label_solid_warning,
IF(AND(A18&lt;&gt;"",B18&lt;&gt;"",C18&lt;&gt;"",D18&lt;&gt;"",E18&lt;&gt;"",F18&lt;&gt;"",OR(AND(OR(B18="L - Liter",B18="m³ - cubic meters"),OR(D18="Liquid",D18="Gaseous")),AND(OR(B18="Kg - Kilogram",B18="t - tonne",B18="g - gram"),D18="Solid"))),"OK",IF(AND(OR(B18="Gg - Gigagram",B18="t - tonne",B18="Kg - Kilogram",B18="g - gram"),D18="Solid"),
"",
IF(AND(OR(B18="m³ - cubic meters",B18="L - Liter"),D18="Solid"),
template_label_solid_warning,
""))))))))))))</f>
        <v/>
      </c>
      <c r="H18" s="199" t="n"/>
      <c r="J18" s="1032">
        <f>template_label_9_in_cell_b31_is_displayed_the_total_nonrenewable_energy_in_mega_watt_hours</f>
        <v/>
      </c>
      <c r="K18" s="343" t="n"/>
      <c r="L18" s="343" t="n"/>
      <c r="M18" s="343" t="n"/>
      <c r="O18" s="386">
        <f>IFERROR(VLOOKUP(P10, 'Fuel Conversion Parameters'!$A:$C, 3, FALSE), "")</f>
        <v/>
      </c>
      <c r="P18" s="394">
        <f>IF(P16="g - gram",P17*0.000000001,
IF(P16="Kg - Kilogram",P17*0.000001,
IF(P16="t - tonne",P17*0.001,
IF(P16="Gg - Gigagram",P17*1,
IF(P16="m³ - cubic meters",P17*1000,
IF(P16="L - Liter",P17*1,
""))))))</f>
        <v/>
      </c>
      <c r="Q18" s="383" t="n"/>
      <c r="S18" s="386">
        <f>IFERROR(VLOOKUP(T10, 'Fuel Conversion Parameters'!$A:$C, 3, FALSE), "")</f>
        <v/>
      </c>
      <c r="T18" s="394">
        <f>IF(T16="g - gram",T17*0.000000001,
IF(T16="Kg - Kilogram",T17*0.000001,
IF(T16="t - tonne",T17*0.001,
IF(T16="Gg - Gigagram",T17*1,
IF(T16="m³ - cubic meters",T17*1000,
IF(T16="L - Liter",T17*1,
""))))))</f>
        <v/>
      </c>
      <c r="U18" s="383" t="n"/>
      <c r="W18" s="386">
        <f>IFERROR(VLOOKUP(X10, 'Fuel Conversion Parameters'!$A:$C, 3, FALSE), "")</f>
        <v/>
      </c>
      <c r="X18" s="394">
        <f>IF(X16="g - gram",X17*0.000000001,
IF(X16="Kg - Kilogram",X17*0.000001,
IF(X16="t - tonne",X17*0.001,
IF(X16="Gg - Gigagram",X17*1,
IF(X16="m³ - cubic meters",X17*1000,
IF(X16="L - Liter",X17*1,
""))))))</f>
        <v/>
      </c>
      <c r="Y18" s="383" t="n"/>
      <c r="AA18" s="386">
        <f>IFERROR(VLOOKUP(AB10, 'Fuel Conversion Parameters'!$A:$C, 3, FALSE), "")</f>
        <v/>
      </c>
      <c r="AB18" s="394">
        <f>IF(AB16="g - gram",AB17*0.000000001,
IF(AB16="Kg - Kilogram",AB17*0.000001,
IF(AB16="t - tonne",AB17*0.001,
IF(AB16="Gg - Gigagram",AB17*1,
IF(AB16="m³ - cubic meters",AB17*1000,
IF(AB16="L - Liter",AB17*1,
""))))))</f>
        <v/>
      </c>
      <c r="AC18" s="383" t="n"/>
      <c r="AE18" s="386">
        <f>IFERROR(VLOOKUP(AF10, 'Fuel Conversion Parameters'!$A:$C, 3, FALSE), "")</f>
        <v/>
      </c>
      <c r="AF18" s="394">
        <f>IF(AF16="g - gram",AF17*0.000000001,
IF(AF16="Kg - Kilogram",AF17*0.000001,
IF(AF16="t - tonne",AF17*0.001,
IF(AF16="Gg - Gigagram",AF17*1,
IF(AF16="m³ - cubic meters",AF17*1000,
IF(AF16="L - Liter",AF17*1,
""))))))</f>
        <v/>
      </c>
      <c r="AG18" s="383" t="n"/>
      <c r="AI18" s="386">
        <f>IFERROR(VLOOKUP(AJ10, 'Fuel Conversion Parameters'!$A:$C, 3, FALSE), "")</f>
        <v/>
      </c>
      <c r="AJ18" s="394">
        <f>IF(AJ16="g - gram",AJ17*0.000000001,
IF(AJ16="Kg - Kilogram",AJ17*0.000001,
IF(AJ16="t - tonne",AJ17*0.001,
IF(AJ16="Gg - Gigagram",AJ17*1,
IF(AJ16="m³ - cubic meters",AJ17*1000,
IF(AJ16="L - Liter",AJ17*1,
""))))))</f>
        <v/>
      </c>
      <c r="AK18" s="383" t="n"/>
      <c r="AL18" s="1032" t="n"/>
      <c r="AM18" s="386">
        <f>IFERROR(VLOOKUP(AN10, 'Fuel Conversion Parameters'!$A:$C, 3, FALSE), "")</f>
        <v/>
      </c>
      <c r="AN18" s="394">
        <f>IF(AN16="g - gram",AN17*0.000000001,
IF(AN16="Kg - Kilogram",AN17*0.000001,
IF(AN16="t - tonne",AN17*0.001,
IF(AN16="Gg - Gigagram",AN17*1,
IF(AN16="m³ - cubic meters",AN17*1000,
IF(AN16="L - Liter",AN17*1,
""))))))</f>
        <v/>
      </c>
      <c r="AO18" s="383" t="n"/>
      <c r="AP18" s="1032" t="n"/>
      <c r="AQ18" s="397">
        <f>IFERROR(VLOOKUP(AR10, 'Fuel Conversion Parameters'!$A:$C, 3, FALSE), "")</f>
        <v/>
      </c>
      <c r="AR18" s="394">
        <f>IF(AR16="g - gram",AR17*0.000000001,
IF(AR16="Kg - Kilogram",AR17*0.000001,
IF(AR16="t - tonne",AR17*0.001,
IF(AR16="Gg - Gigagram",AR17*1,
IF(AR16="m³ - cubic meters",AR17*1000,
IF(AR16="L - Liter",AR17*1,
""))))))</f>
        <v/>
      </c>
      <c r="AS18" s="383" t="n"/>
      <c r="AU18" s="386">
        <f>IFERROR(VLOOKUP(AV10, 'Fuel Conversion Parameters'!$A:$C, 3, FALSE), "")</f>
        <v/>
      </c>
      <c r="AV18" s="394">
        <f>IF(AV16="g - gram",AV17*0.000000001,
IF(AV16="Kg - Kilogram",AV17*0.000001,
IF(AV16="t - tonne",AV17*0.001,
IF(AV16="Gg - Gigagram",AV17*1,
IF(AV16="m³ - cubic meters",AV17*1000,
IF(AV16="L - Liter",AV17*1,
""))))))</f>
        <v/>
      </c>
      <c r="AW18" s="383" t="n"/>
      <c r="AY18" s="386">
        <f>IFERROR(VLOOKUP(AZ10, 'Fuel Conversion Parameters'!$A:$C, 3, FALSE), "")</f>
        <v/>
      </c>
      <c r="AZ18" s="394">
        <f>IF(AZ16="g - gram",AZ17*0.000000001,
IF(AZ16="Kg - Kilogram",AZ17*0.000001,
IF(AZ16="t - tonne",AZ17*0.001,
IF(AZ16="Gg - Gigagram",AZ17*1,
IF(AZ16="m³ - cubic meters",AZ17*1000,
IF(AZ16="L - Liter",AZ17*1,
""))))))</f>
        <v/>
      </c>
      <c r="BA18" s="383" t="n"/>
    </row>
    <row r="19" ht="15" customHeight="1" thickBot="1">
      <c r="A19" s="398" t="n"/>
      <c r="B19" s="398" t="n"/>
      <c r="C19" s="399" t="n"/>
      <c r="D19" s="1206">
        <f>AZ11</f>
        <v/>
      </c>
      <c r="E19" s="1207">
        <f>AZ12</f>
        <v/>
      </c>
      <c r="F19" s="1208">
        <f>IF(C19="","-",AY23)</f>
        <v/>
      </c>
      <c r="G19" s="1029">
        <f>IF(AND(B19="",D19="Liquid"),
template_label_liquid_warning,
IF(AND(A19&lt;&gt;"",B19&lt;&gt;"",C19&lt;&gt;"",D19&lt;&gt;"",E19&lt;&gt;"",F19&lt;&gt;"",OR(AND(OR(B19="L - Liter",B19="m³ - cubic meters"),OR(D19="Liquid",D19="Gaseous")),AND(OR(B19="Kg - Kilogram",B19="t - tonne",B19="g - gram"),D19="Solid"))),"OK",
IF(AND(OR(B19="m³ - cubic meters",B19="L - Liter"),D19="Liquid",C19=""),
"",
IF(AND(OR(B19="Gg - Gigagram",B19="t - tonne",B19="Kg - Kilogram",B19="g - gram"),D19="Liquid"),
template_label_liquid_warning,
IF(AND(B19="",D19="Gaseous"),
template_label_gaseous_warning,
IF(AND(A19&lt;&gt;"",B19&lt;&gt;"",C19&lt;&gt;"",D19&lt;&gt;"",E19&lt;&gt;"",F19&lt;&gt;"",OR(AND(OR(B19="L - Liter",B19="m³ - cubic meters"),OR(D19="Liquid",D19="Gaseous")),AND(OR(B19="Kg - Kilogram",B19="t - tonne",B19="g - gram"),D19="Solid"))),"OK",IF(AND(OR(B19="m³ - cubic meters",B19="L - Liter"),D19="Gaseous",C19=""),
"",
IF(AND(OR(B19="Gg - Gigagram",B19="t - tonne",B19="Kg - Kilogram",B19="g - gram"),D19="Gaseous"),
template_label_gaseous_warning,
IF(AND(B19="",D19="Solid"),
template_label_solid_warning,
IF(AND(A19&lt;&gt;"",B19&lt;&gt;"",C19&lt;&gt;"",D19&lt;&gt;"",E19&lt;&gt;"",F19&lt;&gt;"",OR(AND(OR(B19="L - Liter",B19="m³ - cubic meters"),OR(D19="Liquid",D19="Gaseous")),AND(OR(B19="Kg - Kilogram",B19="t - tonne",B19="g - gram"),D19="Solid"))),"OK",IF(AND(OR(B19="Gg - Gigagram",B19="t - tonne",B19="Kg - Kilogram",B19="g - gram"),D19="Solid"),
"",
IF(AND(OR(B19="m³ - cubic meters",B19="L - Liter"),D19="Solid"),
template_label_solid_warning,
""))))))))))))</f>
        <v/>
      </c>
      <c r="H19" s="1125" t="n"/>
      <c r="J19" s="355">
        <f>template_label_10_further_notes_can_be_found_below</f>
        <v/>
      </c>
      <c r="O19" s="386">
        <f>IFERROR(
    IF(AND(P11="Solid"),P18,
        IF(AND(P11="Liquid"),P18*_xlfn.XLOOKUP(P10,'Fuel Conversion Parameters'!$A$2:$A$51,'Fuel Conversion Parameters'!$D$2:$D$51)*10^(-6),
            IF(AND(P11="Gaseous"),P18*_xlfn.XLOOKUP(P10,'Fuel Conversion Parameters'!$A$2:$A$51,'Fuel Conversion Parameters'!$E$2:$E$51)*10^(-3)*10^(-6),"")
        )
    ),
    ""
)</f>
        <v/>
      </c>
      <c r="P19" s="18" t="n"/>
      <c r="Q19" s="383" t="n"/>
      <c r="S19" s="386">
        <f>IFERROR(
    IF(AND(T11="Solid"),T18,
        IF(AND(T11="Liquid"),T18*_xlfn.XLOOKUP(T10,'Fuel Conversion Parameters'!$A$2:$A$61,'Fuel Conversion Parameters'!$D$2:$D$61)*10^(-6),
            IF(AND(T11="Gaseous"),T18*_xlfn.XLOOKUP(T10,'Fuel Conversion Parameters'!$A$2:$A$61,'Fuel Conversion Parameters'!$E$2:$E$61)*10^(-3)*10^(-6),"")
        )
    ),
    ""
)</f>
        <v/>
      </c>
      <c r="T19" s="18" t="n"/>
      <c r="U19" s="383" t="n"/>
      <c r="W19" s="386">
        <f>IFERROR(
    IF(AND(X11="Solid"),X18,
        IF(AND(X11="Liquid"),X18*_xlfn.XLOOKUP(X10,'Fuel Conversion Parameters'!$A$2:$A$61,'Fuel Conversion Parameters'!$D$2:$D$61)*10^(-6),
            IF(AND(X11="Gaseous"),X18*_xlfn.XLOOKUP(X10,'Fuel Conversion Parameters'!$A$2:$A$61,'Fuel Conversion Parameters'!$E$2:$E$61)*10^(-3)*10^(-6),"")
        )
    ),
    ""
)</f>
        <v/>
      </c>
      <c r="X19" s="18" t="n"/>
      <c r="Y19" s="383" t="n"/>
      <c r="AA19" s="386">
        <f>IFERROR(
    IF(AND(AB11="Solid"),AB18,
        IF(AND(AB11="Liquid"),AB18*_xlfn.XLOOKUP(AB10,'Fuel Conversion Parameters'!$A$2:$A$61,'Fuel Conversion Parameters'!$D$2:$D$61)*10^(-6),
            IF(AND(AB11="Gaseous"),AB18*_xlfn.XLOOKUP(AB10,'Fuel Conversion Parameters'!$A$2:$A$61,'Fuel Conversion Parameters'!$E$2:$E$61)*10^(-3)*10^(-6),"")
        )
    ),
    ""
)</f>
        <v/>
      </c>
      <c r="AB19" s="18" t="n"/>
      <c r="AC19" s="383" t="n"/>
      <c r="AE19" s="386">
        <f>IFERROR(
    IF(AND(AF11="Solid"),AF18,
        IF(AND(AF11="Liquid"),AF18*_xlfn.XLOOKUP(AF10,'Fuel Conversion Parameters'!$A$2:$A$61,'Fuel Conversion Parameters'!$D$2:$D$61)*10^(-6),
            IF(AND(AF11="Gaseous"),AF18*_xlfn.XLOOKUP(AF10,'Fuel Conversion Parameters'!$A$2:$A$61,'Fuel Conversion Parameters'!$E$2:$E$61)*10^(-3)*10^(-6),"")
        )
    ),
    ""
)</f>
        <v/>
      </c>
      <c r="AF19" s="18" t="n"/>
      <c r="AG19" s="383" t="n"/>
      <c r="AI19" s="386">
        <f>IFERROR(
    IF(AND(AJ11="Solid"),AJ18,
        IF(AND(AJ11="Liquid"),AJ18*_xlfn.XLOOKUP(AJ10,'Fuel Conversion Parameters'!$A$2:$A$61,'Fuel Conversion Parameters'!$D$2:$D$61)*10^(-6),
            IF(AND(AJ11="Gaseous"),AJ18*_xlfn.XLOOKUP(AJ10,'Fuel Conversion Parameters'!$A$2:$A$61,'Fuel Conversion Parameters'!$E$2:$E$61)*10^(-3)*10^(-6),"")
        )
    ),
    ""
)</f>
        <v/>
      </c>
      <c r="AJ19" s="18" t="n"/>
      <c r="AK19" s="383" t="n"/>
      <c r="AL19" s="1032" t="n"/>
      <c r="AM19" s="397">
        <f>IFERROR(
    IF(AND(AN11="Solid"),AN18,
        IF(AND(AN11="Liquid"),AN18*_xlfn.XLOOKUP(AN10,'Fuel Conversion Parameters'!$A$2:$A$61,'Fuel Conversion Parameters'!$D$2:$D$61)*10^(-6),
            IF(AND(AN11="Gaseous"),AN18*_xlfn.XLOOKUP(AN10,'Fuel Conversion Parameters'!$A$2:$A$61,'Fuel Conversion Parameters'!$E$2:$E$61)*10^(-3)*10^(-6),"")
        )
    ),
    ""
)</f>
        <v/>
      </c>
      <c r="AN19" s="18" t="n"/>
      <c r="AO19" s="383" t="n"/>
      <c r="AP19" s="1032" t="n"/>
      <c r="AQ19" s="397">
        <f>IFERROR(
    IF(AND(AR11="Solid"),AR18,
        IF(AND(AR11="Liquid"),AR18*_xlfn.XLOOKUP(AR10,'Fuel Conversion Parameters'!$A$2:$A$61,'Fuel Conversion Parameters'!$D$2:$D$61)*10^(-6),
            IF(AND(AR11="Gaseous"),AR18*_xlfn.XLOOKUP(AR10,'Fuel Conversion Parameters'!$A$2:$A$61,'Fuel Conversion Parameters'!$E$2:$E$61)*10^(-3)*10^(-6),"")
        )
    ),
    ""
)</f>
        <v/>
      </c>
      <c r="AR19" s="18" t="n"/>
      <c r="AS19" s="383" t="n"/>
      <c r="AU19" s="386">
        <f>IFERROR(
    IF(AND(AV11="Solid"),AV18,
        IF(AND(AV11="Liquid"),AV18*_xlfn.XLOOKUP(AV10,'Fuel Conversion Parameters'!$A$2:$A$61,'Fuel Conversion Parameters'!$D$2:$D$61)*10^(-6),
            IF(AND(AV11="Gaseous"),AV18*_xlfn.XLOOKUP(AV10,'Fuel Conversion Parameters'!$A$2:$A$61,'Fuel Conversion Parameters'!$E$2:$E$61)*10^(-3)*10^(-6),"")
        )
    ),
    ""
)</f>
        <v/>
      </c>
      <c r="AV19" s="18" t="n"/>
      <c r="AW19" s="383" t="n"/>
      <c r="AY19" s="386">
        <f>IFERROR(
    IF(AND(AZ11="Solid"),AZ18,
        IF(AND(AZ11="Liquid"),AZ18*_xlfn.XLOOKUP(AZ10,'Fuel Conversion Parameters'!$A$2:$A$61,'Fuel Conversion Parameters'!$D$2:$D$61)*10^(-6),
            IF(AND(AZ11="Gaseous"),AZ18*_xlfn.XLOOKUP(AZ10,'Fuel Conversion Parameters'!$A$2:$A$61,'Fuel Conversion Parameters'!$E$2:$E$61)*10^(-3)*10^(-6),"")
        )
    ),
    ""
)</f>
        <v/>
      </c>
      <c r="AZ19" s="18" t="n"/>
      <c r="BA19" s="383" t="n"/>
    </row>
    <row r="20">
      <c r="A20" s="1032" t="n"/>
      <c r="B20" s="1032" t="n"/>
      <c r="O20" s="395">
        <f>IFERROR(IF(OR(O19="", O18=""), "", O19*O18), "")</f>
        <v/>
      </c>
      <c r="Q20" s="383" t="n"/>
      <c r="S20" s="395">
        <f>IFERROR(IF(OR(S19="", S18=""), "", S19*S18), "")</f>
        <v/>
      </c>
      <c r="U20" s="383" t="n"/>
      <c r="W20" s="395">
        <f>IFERROR(IF(OR(W19="", W18=""), "", W19*W18), "")</f>
        <v/>
      </c>
      <c r="Y20" s="383" t="n"/>
      <c r="AA20" s="395">
        <f>IFERROR(IF(OR(AA19="", AA18=""), "", AA19*AA18), "")</f>
        <v/>
      </c>
      <c r="AC20" s="383" t="n"/>
      <c r="AE20" s="395">
        <f>IFERROR(IF(OR(AE19="", AE18=""), "", AE19*AE18), "")</f>
        <v/>
      </c>
      <c r="AG20" s="383" t="n"/>
      <c r="AI20" s="395">
        <f>IFERROR(IF(OR(AI19="", AI18=""), "", AI19*AI18), "")</f>
        <v/>
      </c>
      <c r="AK20" s="383" t="n"/>
      <c r="AL20" s="1032" t="n"/>
      <c r="AM20" s="395">
        <f>IFERROR(IF(OR(AM19="", AM18=""), "", AM19*AM18), "")</f>
        <v/>
      </c>
      <c r="AN20" s="1032" t="n"/>
      <c r="AO20" s="383" t="n"/>
      <c r="AP20" s="1032" t="n"/>
      <c r="AQ20" s="395">
        <f>IFERROR(IF(OR(AQ19="", AQ18=""), "", AQ19*AQ18), "")</f>
        <v/>
      </c>
      <c r="AS20" s="383" t="n"/>
      <c r="AU20" s="395">
        <f>IFERROR(IF(OR(AU19="", AU18=""), "", AU19*AU18), "")</f>
        <v/>
      </c>
      <c r="AW20" s="383" t="n"/>
      <c r="AY20" s="395">
        <f>IFERROR(IF(OR(AY19="", AY18=""), "", AY19*AY18), "")</f>
        <v/>
      </c>
      <c r="BA20" s="383" t="n"/>
    </row>
    <row r="21" ht="15" customHeight="1" thickBot="1">
      <c r="A21" s="1032" t="n"/>
      <c r="B21" s="1032" t="n"/>
      <c r="I21" s="343" t="n"/>
      <c r="J21" s="343" t="n"/>
      <c r="K21" s="343" t="n"/>
      <c r="L21" s="343" t="n"/>
      <c r="M21" s="343" t="n"/>
      <c r="O21" s="386">
        <f>IFERROR(O20, "")</f>
        <v/>
      </c>
      <c r="Q21" s="383" t="n"/>
      <c r="S21" s="386">
        <f>IFERROR(S20, "")</f>
        <v/>
      </c>
      <c r="U21" s="383" t="n"/>
      <c r="W21" s="396">
        <f>IFERROR(W20, "")</f>
        <v/>
      </c>
      <c r="Y21" s="383" t="n"/>
      <c r="AA21" s="386">
        <f>IFERROR(AA20, "")</f>
        <v/>
      </c>
      <c r="AC21" s="383" t="n"/>
      <c r="AE21" s="386">
        <f>IFERROR(AE20, "")</f>
        <v/>
      </c>
      <c r="AG21" s="383" t="n"/>
      <c r="AI21" s="386">
        <f>IFERROR(AI20, "")</f>
        <v/>
      </c>
      <c r="AK21" s="383" t="n"/>
      <c r="AL21" s="1032" t="n"/>
      <c r="AM21" s="397">
        <f>IFERROR(AM20, "")</f>
        <v/>
      </c>
      <c r="AN21" s="1032" t="n"/>
      <c r="AO21" s="383" t="n"/>
      <c r="AP21" s="1032" t="n"/>
      <c r="AQ21" s="397">
        <f>IFERROR(AQ20, "")</f>
        <v/>
      </c>
      <c r="AS21" s="383" t="n"/>
      <c r="AU21" s="386">
        <f>IFERROR(AU20, "")</f>
        <v/>
      </c>
      <c r="AW21" s="383" t="n"/>
      <c r="AY21" s="386">
        <f>IFERROR(AY20, "")</f>
        <v/>
      </c>
      <c r="BA21" s="383" t="n"/>
    </row>
    <row r="22" ht="15" customHeight="1" thickBot="1">
      <c r="A22" s="1032" t="n"/>
      <c r="B22" s="1032" t="n"/>
      <c r="O22" s="340" t="inlineStr">
        <is>
          <t>Energy [MWh]</t>
        </is>
      </c>
      <c r="P22" s="1032">
        <f>IFERROR(IF(AND(P17&lt;&gt;0,O23=0),"ERROR",""),"")</f>
        <v/>
      </c>
      <c r="Q22" s="383" t="n"/>
      <c r="S22" s="340" t="inlineStr">
        <is>
          <t>Energy [MWh]</t>
        </is>
      </c>
      <c r="T22" s="1032">
        <f>IFERROR(IF(AND(T17&lt;&gt;0,S23=0),"ERROR",""),"")</f>
        <v/>
      </c>
      <c r="U22" s="383" t="n"/>
      <c r="W22" s="340" t="inlineStr">
        <is>
          <t>Energy [MWh]</t>
        </is>
      </c>
      <c r="X22" s="1032">
        <f>IFERROR(IF(AND(X17&lt;&gt;0,W23=0),"ERROR",""),"")</f>
        <v/>
      </c>
      <c r="Y22" s="383" t="n"/>
      <c r="AA22" s="340" t="inlineStr">
        <is>
          <t>Energy [MWh]</t>
        </is>
      </c>
      <c r="AB22" s="1032">
        <f>IFERROR(IF(AND(AB17&lt;&gt;0,AA23=0),"ERROR",""),"")</f>
        <v/>
      </c>
      <c r="AC22" s="383" t="n"/>
      <c r="AE22" s="340" t="inlineStr">
        <is>
          <t>Energy [MWh]</t>
        </is>
      </c>
      <c r="AF22" s="1032">
        <f>IFERROR(IF(AND(AF17&lt;&gt;0,AE23=0),"ERROR",""),"")</f>
        <v/>
      </c>
      <c r="AG22" s="383" t="n"/>
      <c r="AI22" s="340" t="inlineStr">
        <is>
          <t>Energy [MWh]</t>
        </is>
      </c>
      <c r="AJ22" s="1032">
        <f>IFERROR(IF(AND(AJ17&lt;&gt;0,AI23=0),"ERROR",""),"")</f>
        <v/>
      </c>
      <c r="AK22" s="383" t="n"/>
      <c r="AL22" s="1032" t="n"/>
      <c r="AM22" s="340" t="inlineStr">
        <is>
          <t>Energy [MWh]</t>
        </is>
      </c>
      <c r="AN22" s="1032">
        <f>IFERROR(IF(AND(AN17&lt;&gt;0,AM23=0),"ERROR",""),"")</f>
        <v/>
      </c>
      <c r="AO22" s="383" t="n"/>
      <c r="AP22" s="1032" t="n"/>
      <c r="AQ22" s="340" t="inlineStr">
        <is>
          <t>Energy [MWh]</t>
        </is>
      </c>
      <c r="AR22" s="1032">
        <f>IFERROR(IF(AND(AR17&lt;&gt;0,AQ23=0),"ERROR",""),"")</f>
        <v/>
      </c>
      <c r="AS22" s="383" t="n"/>
      <c r="AU22" s="340" t="inlineStr">
        <is>
          <t>Energy [MWh]</t>
        </is>
      </c>
      <c r="AV22" s="1032">
        <f>IFERROR(IF(AND(AV17&lt;&gt;0,AU23=0),"ERROR",""),"")</f>
        <v/>
      </c>
      <c r="AW22" s="383" t="n"/>
      <c r="AY22" s="340" t="inlineStr">
        <is>
          <t>Energy [MWh]</t>
        </is>
      </c>
      <c r="AZ22" s="1032">
        <f>IFERROR(IF(AND(AZ17&lt;&gt;0,AY23=0),"ERROR",""),"")</f>
        <v/>
      </c>
      <c r="BA22" s="383" t="n"/>
    </row>
    <row r="23">
      <c r="A23" s="1209">
        <f>template_label_transfer_the_total_results_to_the_b3_fuel_energy_consumption_reporting_cell</f>
        <v/>
      </c>
      <c r="B23" s="14" t="n"/>
      <c r="C23" s="1171" t="n"/>
      <c r="D23" s="1210" t="b">
        <v>0</v>
      </c>
      <c r="E23" s="1211" t="n"/>
      <c r="F23" s="1212" t="n"/>
      <c r="O23" s="393">
        <f>IF(OR(
   O21="",
   P17="",
   Q16="Liquid fuel: please change unit of measurement, select one among m³ and L",
   Q16="Gaseous fuel: please change unit of measurement, select one among m³ and L",
   Q16="Solid fuel: please change unit of measurement, select one among Gg, t, Kg and g"
),
"-",
IFERROR(O21*277.778, "")
)</f>
        <v/>
      </c>
      <c r="P23" s="335" t="n"/>
      <c r="Q23" s="392" t="n"/>
      <c r="S23" s="393">
        <f>IF(OR(
   S21="",
   T17="",
   U16="Liquid fuel: please change unit of measurement, select one among m³ and L",
   U16="Gaseous fuel: please change unit of measurement, select one among m³ and L",
   U16="Solid fuel: please change unit of measurement, select one among Gg, t, Kg and g"
),
"-",
IFERROR(S21*277.778, "")
)</f>
        <v/>
      </c>
      <c r="T23" s="335" t="n"/>
      <c r="U23" s="392" t="n"/>
      <c r="W23" s="393">
        <f>IF(OR(
   W21="",
   X17="",
   Y16="Liquid fuel: please change unit of measurement, select one among m³ and L",
   Y16="Gaseous fuel: please change unit of measurement, select one among m³ and L",
   Y16="Solid fuel: please change unit of measurement, select one among Gg, t, Kg and g"
),
"-",
IFERROR(W21*277.778, "")
)</f>
        <v/>
      </c>
      <c r="X23" s="335" t="n"/>
      <c r="Y23" s="392" t="n"/>
      <c r="AA23" s="393">
        <f>IF(OR(
   AA21="",
   AB17="",
   AC16="Liquid fuel: please change unit of measurement, select one among m³ and L",
   AC16="Gaseous fuel: please change unit of measurement, select one among m³ and L",
   AC16="Solid fuel: please change unit of measurement, select one among Gg, t, Kg and g"
),
"-",
IFERROR(AA21*277.778, "")
)</f>
        <v/>
      </c>
      <c r="AB23" s="335" t="n"/>
      <c r="AC23" s="392" t="n"/>
      <c r="AE23" s="393">
        <f>IF(OR(
   AE21="",
   AF17="",
   AG16="Liquid fuel: please change unit of measurement, select one among m³ and L",
   AG16="Gaseous fuel: please change unit of measurement, select one among m³ and L",
   AG16="Solid fuel: please change unit of measurement, select one among Gg, t, Kg and g"
),
"-",
IFERROR(AE21*277.778, "")
)</f>
        <v/>
      </c>
      <c r="AF23" s="335" t="n"/>
      <c r="AG23" s="392" t="n"/>
      <c r="AI23" s="393">
        <f>IF(OR(
   AI21="",
   AJ17="",
   AK16="Liquid fuel: please change unit of measurement, select one among m³ and L",
   AK16="Gaseous fuel: please change unit of measurement, select one among m³ and L",
   AK16="Solid fuel: please change unit of measurement, select one among Gg, t, Kg and g"
),
"-",
IFERROR(AI21*277.778, "")
)</f>
        <v/>
      </c>
      <c r="AJ23" s="335" t="n"/>
      <c r="AK23" s="392" t="n"/>
      <c r="AL23" s="1032" t="n"/>
      <c r="AM23" s="393">
        <f>IF(OR(
   AM21="",
   AN17="",
   AO16="Liquid fuel: please change unit of measurement, select one among m³ and L",
   AO16="Gaseous fuel: please change unit of measurement, select one among m³ and L",
   AO16="Solid fuel: please change unit of measurement, select one among Gg, t, Kg and g"
),
"-",
IFERROR(AM21*277.778, "")
)</f>
        <v/>
      </c>
      <c r="AN23" s="335" t="n"/>
      <c r="AO23" s="392" t="n"/>
      <c r="AP23" s="1032" t="n"/>
      <c r="AQ23" s="393">
        <f>IF(OR(
   AQ21="",
   AR17="",
   AS16="Liquid fuel: please change unit of measurement, select one among m³ and L",
   AS16="Gaseous fuel: please change unit of measurement, select one among m³ and L",
   AS16="Solid fuel: please change unit of measurement, select one among Gg, t, Kg and g"
),
"-",
IFERROR(AQ21*277.778, "")
)</f>
        <v/>
      </c>
      <c r="AR23" s="335" t="n"/>
      <c r="AS23" s="392" t="n"/>
      <c r="AU23" s="393">
        <f>IF(OR(
   AU21="",
   AV17="",
   AW16="Liquid fuel: please change unit of measurement, select one among m³ and L",
   AW16="Gaseous fuel: please change unit of measurement, select one among m³ and L",
   AW16="Solid fuel: please change unit of measurement, select one among Gg, t, Kg and g"
),
"-",
IFERROR(AU21*277.778, "")
)</f>
        <v/>
      </c>
      <c r="AV23" s="335" t="n"/>
      <c r="AW23" s="392" t="n"/>
      <c r="AY23" s="393">
        <f>IF(OR(
   AY21="",
   AZ17="",
   BA16="Liquid fuel: please change unit of measurement, select one among m³ and L",
   BA16="Gaseous fuel: please change unit of measurement, select one among m³ and L",
   BA16="Solid fuel: please change unit of measurement, select one among Gg, t, Kg and g"
),
"-",
IFERROR(AY21*277.778, "")
)</f>
        <v/>
      </c>
      <c r="AZ23" s="335" t="n"/>
      <c r="BA23" s="392" t="n"/>
    </row>
    <row r="24" ht="15" customHeight="1" thickBot="1">
      <c r="A24" s="1129" t="n"/>
      <c r="B24" s="12" t="n"/>
      <c r="C24" s="1213" t="n"/>
      <c r="D24" s="1214" t="n"/>
      <c r="E24" s="1175" t="n"/>
      <c r="F24" s="1215" t="n"/>
      <c r="AL24" s="1032" t="n"/>
      <c r="AN24" s="1032" t="n"/>
      <c r="AO24" s="1032" t="n"/>
      <c r="AP24" s="1032" t="n"/>
    </row>
    <row r="25">
      <c r="B25" s="1032" t="n"/>
      <c r="AL25" s="1032" t="n"/>
      <c r="AN25" s="1032" t="n"/>
      <c r="AO25" s="1032" t="n"/>
      <c r="AP25" s="1032" t="n"/>
    </row>
    <row r="26">
      <c r="A26" s="1032" t="n"/>
      <c r="B26" s="1032" t="n"/>
      <c r="M26" s="1032">
        <f>IF(P24="m³ - cubic meters",M25*1000,
IF(P24="L - Liter",M25*1,
""))</f>
        <v/>
      </c>
      <c r="Q26" s="1032">
        <f>IF(T24="m³ - cubic meters",Q25*1000,
IF(T24="L - Liter",Q25*1,
""))</f>
        <v/>
      </c>
      <c r="U26" s="1032">
        <f>IF(X24="m³ - cubic meters",U25*1000,
IF(X24="L - Liter",U25*1,
""))</f>
        <v/>
      </c>
      <c r="Y26" s="1032">
        <f>IF(AB24="m³ - cubic meters",Y25*1000,
IF(AB24="L - Liter",Y25*1,
""))</f>
        <v/>
      </c>
      <c r="AC26" s="1032">
        <f>IF(AF24="m³ - cubic meters",AC25*1000,
IF(AF24="L - Liter",AC25*1,
""))</f>
        <v/>
      </c>
      <c r="AG26" s="1032">
        <f>IF(AJ24="m³ - cubic meters",AG25*1000,
IF(AJ24="L - Liter",AG25*1,
""))</f>
        <v/>
      </c>
      <c r="AK26" s="1032">
        <f>IF(AN24="m³ - cubic meters",AK25*1000,
IF(AN24="L - Liter",AK25*1,
""))</f>
        <v/>
      </c>
      <c r="AL26" s="1032" t="n"/>
      <c r="AN26" s="1032" t="n"/>
      <c r="AO26" s="1032">
        <f>IF(AR24="m³ - cubic meters",AO25*1000,
IF(AR24="L - Liter",AO25*1,
""))</f>
        <v/>
      </c>
      <c r="AP26" s="1032" t="n"/>
      <c r="AS26" s="1032">
        <f>IF(AV24="m³ - cubic meters",AS25*1000,
IF(AV24="L - Liter",AS25*1,
""))</f>
        <v/>
      </c>
    </row>
    <row r="27" ht="15" customHeight="1" thickBot="1">
      <c r="B27" s="1032" t="n"/>
      <c r="AL27" s="1032" t="n"/>
      <c r="AN27" s="1032" t="n"/>
      <c r="AO27" s="1032" t="n"/>
      <c r="AP27" s="1032" t="n"/>
    </row>
    <row r="28" ht="15" customHeight="1" thickBot="1">
      <c r="A28" s="340">
        <f>template_label_total_energy</f>
        <v/>
      </c>
      <c r="B28" s="1126" t="n"/>
      <c r="AL28" s="1032" t="n"/>
      <c r="AN28" s="1032" t="n"/>
      <c r="AO28" s="1032" t="n"/>
      <c r="AP28" s="1032" t="n"/>
    </row>
    <row r="29" ht="15" customHeight="1" thickBot="1">
      <c r="A29" s="1216">
        <f t="array" ref="A29">_xlfn.IFS(AND(A32="-",B32="-"),"-",AND(A32="-",B32&lt;&gt;"-"),B32,AND(A32&lt;&gt;"-",B32="-"),A32,AND(A32&lt;&gt;"-",B32&lt;&gt;"-"),A32+B32)</f>
        <v/>
      </c>
      <c r="B29" s="1126" t="n"/>
      <c r="AL29" s="1032" t="n"/>
      <c r="AN29" s="1032" t="n"/>
      <c r="AO29" s="1032" t="n"/>
      <c r="AP29" s="1032" t="n"/>
    </row>
    <row r="30" ht="15" customHeight="1" thickBot="1">
      <c r="A30" s="1032" t="n"/>
      <c r="B30" s="1032" t="n"/>
      <c r="AL30" s="1032" t="n"/>
      <c r="AN30" s="1032" t="n"/>
      <c r="AO30" s="1032" t="n"/>
    </row>
    <row r="31" ht="15" customHeight="1" thickBot="1">
      <c r="A31" s="340">
        <f>template_label_total_renewable_energy</f>
        <v/>
      </c>
      <c r="B31" s="336">
        <f>template_label_total_nonrenewable_energy</f>
        <v/>
      </c>
      <c r="AN31" s="1032" t="n"/>
      <c r="AO31" s="1032" t="n"/>
      <c r="AP31" s="1032" t="n"/>
    </row>
    <row r="32" ht="15" customHeight="1" thickBot="1">
      <c r="A32" s="1217">
        <f t="array" ref="A32">_xlfn.IFS(AND(H9=template_label_complete, COUNTIF(E10:E19, "Renewable") = 0), "-",
AND(H9=template_label_complete, COUNTIF(E10:E19, "Renewable") &gt; 0), SUMIF(E10:E19,"Renewable",F10:F19),
H9=template_label_incomplete, "-",
H9="-", "-")</f>
        <v/>
      </c>
      <c r="B32" s="1217">
        <f t="array" ref="B32">_xlfn.IFS(AND(H9=template_label_complete, COUNTIF(E10:E19, "Non-renewable") = 0), "-",
AND(H9=template_label_complete, COUNTIF(E10:E19, "Non-renewable") &gt; 0), SUMIF(E10:E19,"Non-renewable",F10:F19),
H9=template_label_incomplete, "-",
H9="-", "-")</f>
        <v/>
      </c>
      <c r="R32" s="330" t="n"/>
      <c r="AL32" s="1032" t="n"/>
      <c r="AN32" s="1032" t="n"/>
      <c r="AO32" s="1032" t="n"/>
      <c r="AP32" s="1032" t="n"/>
    </row>
    <row r="33">
      <c r="A33" s="1218" t="n"/>
      <c r="B33" s="1032" t="n"/>
      <c r="AL33" s="1032" t="n"/>
      <c r="AN33" s="1032" t="n"/>
      <c r="AO33" s="1032" t="n"/>
      <c r="AP33" s="1032" t="n"/>
    </row>
    <row r="34">
      <c r="A34" s="1032" t="n"/>
      <c r="B34" s="1032" t="n"/>
      <c r="AL34" s="1032" t="n"/>
      <c r="AN34" s="1032" t="n"/>
      <c r="AO34" s="1032" t="n"/>
      <c r="AP34" s="1032" t="n"/>
    </row>
    <row r="35">
      <c r="A35" s="1032" t="n"/>
      <c r="B35" s="1032" t="n"/>
      <c r="AL35" s="1032" t="n"/>
      <c r="AN35" s="1032" t="n"/>
      <c r="AO35" s="1032" t="n"/>
      <c r="AP35" s="1032" t="n"/>
    </row>
    <row r="36">
      <c r="A36" s="330">
        <f>template_label_further_notes</f>
        <v/>
      </c>
      <c r="B36" s="1032" t="n"/>
      <c r="AL36" s="1032" t="n"/>
      <c r="AN36" s="1032" t="n"/>
      <c r="AO36" s="1032" t="n"/>
      <c r="AP36" s="1032" t="n"/>
    </row>
    <row r="37" ht="257.4" customHeight="1">
      <c r="A37" s="878">
        <f>template_label_the_converter_offers_the_possibility_of_calculating_simultaneously_up_to_10_different_types_of_fuel</f>
        <v/>
      </c>
      <c r="AL37" s="1032" t="n"/>
      <c r="AN37" s="1032" t="n"/>
      <c r="AO37" s="1032" t="n"/>
      <c r="AP37" s="1032" t="n"/>
    </row>
    <row r="38">
      <c r="A38" s="1032" t="n"/>
      <c r="B38" s="1032" t="n"/>
      <c r="AL38" s="1032" t="n"/>
      <c r="AN38" s="1032" t="n"/>
      <c r="AO38" s="1032" t="n"/>
      <c r="AP38" s="1032" t="n"/>
    </row>
    <row r="39">
      <c r="A39" s="1032">
        <f>template_label_energy_consumption_per_hour_in_mwh_for_solid_fuels</f>
        <v/>
      </c>
      <c r="AL39" s="1032" t="n"/>
      <c r="AN39" s="1032" t="n"/>
      <c r="AO39" s="1032" t="n"/>
      <c r="AP39" s="1032" t="n"/>
    </row>
    <row r="40" ht="18" customHeight="1">
      <c r="A40" s="1033">
        <f>template_label_energy_solid_fuels</f>
        <v/>
      </c>
      <c r="AL40" s="1032" t="n"/>
      <c r="AN40" s="1032" t="n"/>
      <c r="AO40" s="1032" t="n"/>
      <c r="AP40" s="1032" t="n"/>
    </row>
    <row r="41">
      <c r="A41" s="1032" t="n"/>
      <c r="AL41" s="1032" t="n"/>
      <c r="AN41" s="1032" t="n"/>
      <c r="AO41" s="1032" t="n"/>
      <c r="AP41" s="1032" t="n"/>
    </row>
    <row r="42">
      <c r="A42" s="1032">
        <f>template_label_energy_consumption_per_hour_in_mwh_for_liquid_fuels</f>
        <v/>
      </c>
      <c r="AL42" s="1032" t="n"/>
      <c r="AN42" s="1032" t="n"/>
      <c r="AO42" s="1032" t="n"/>
      <c r="AP42" s="1032" t="n"/>
    </row>
    <row r="43" ht="18" customHeight="1">
      <c r="A43" s="1033">
        <f>template_label_mass_liquid_fuels</f>
        <v/>
      </c>
      <c r="AL43" s="1032" t="n"/>
      <c r="AN43" s="1032" t="n"/>
      <c r="AO43" s="1032" t="n"/>
      <c r="AP43" s="1032" t="n"/>
    </row>
    <row r="44" ht="18" customHeight="1">
      <c r="A44" s="1033">
        <f>template_label_energy_liquid_fuels</f>
        <v/>
      </c>
      <c r="AL44" s="1032" t="n"/>
      <c r="AN44" s="1032" t="n"/>
      <c r="AO44" s="1032" t="n"/>
      <c r="AP44" s="1032" t="n"/>
    </row>
    <row r="45">
      <c r="A45" s="1032" t="n"/>
      <c r="AL45" s="1032" t="n"/>
      <c r="AN45" s="1032" t="n"/>
      <c r="AO45" s="1032" t="n"/>
      <c r="AP45" s="1032" t="n"/>
    </row>
    <row r="46">
      <c r="A46" s="1032">
        <f>template_label_energy_consumption_per_hour_in_mwh_for_gaseous_fuels</f>
        <v/>
      </c>
      <c r="AL46" s="1032" t="n"/>
      <c r="AN46" s="1032" t="n"/>
      <c r="AO46" s="1032" t="n"/>
      <c r="AP46" s="1032" t="n"/>
    </row>
    <row r="47" ht="18" customHeight="1">
      <c r="A47" s="1033">
        <f>template_label_mass_gaseous_fuels</f>
        <v/>
      </c>
      <c r="C47" s="350" t="n"/>
      <c r="AL47" s="1032" t="n"/>
      <c r="AN47" s="1032" t="n"/>
      <c r="AO47" s="1032" t="n"/>
      <c r="AP47" s="1032" t="n"/>
    </row>
    <row r="48" ht="18" customHeight="1">
      <c r="A48" s="1033">
        <f>template_label_energy_gaseous_fuels</f>
        <v/>
      </c>
      <c r="AL48" s="1032" t="n"/>
      <c r="AN48" s="1032" t="n"/>
      <c r="AO48" s="1032" t="n"/>
      <c r="AP48" s="1032" t="n"/>
    </row>
    <row r="49" customFormat="1" s="1032"/>
    <row r="50" customFormat="1" s="1032"/>
    <row r="51" customFormat="1" s="1032"/>
    <row r="52" customFormat="1" s="1032"/>
    <row r="53" customFormat="1" s="1032"/>
    <row r="54" customFormat="1" s="1032"/>
    <row r="55" customFormat="1" s="1032"/>
    <row r="56" customFormat="1" s="1032"/>
    <row r="57" customFormat="1" s="1032"/>
    <row r="58" customFormat="1" s="1032"/>
    <row r="59" customFormat="1" s="1032"/>
    <row r="60" customFormat="1" s="1032"/>
    <row r="61" customFormat="1" s="1032"/>
    <row r="62" customFormat="1" s="1032"/>
    <row r="63" customFormat="1" s="1032"/>
    <row r="64" customFormat="1" s="1032"/>
    <row r="65" customFormat="1" s="1032"/>
    <row r="66" customFormat="1" s="1032"/>
    <row r="67" customFormat="1" s="1032"/>
    <row r="68" customFormat="1" s="1032"/>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row r="139" customFormat="1" s="1032"/>
    <row r="140" customFormat="1" s="1032"/>
  </sheetData>
  <mergeCells count="30">
    <mergeCell ref="A48:B48"/>
    <mergeCell ref="B7:F7"/>
    <mergeCell ref="G12:H12"/>
    <mergeCell ref="G11:H11"/>
    <mergeCell ref="A45:B45"/>
    <mergeCell ref="G17:H17"/>
    <mergeCell ref="D23:F24"/>
    <mergeCell ref="A41:B41"/>
    <mergeCell ref="G10:H10"/>
    <mergeCell ref="A46:B46"/>
    <mergeCell ref="A37:B37"/>
    <mergeCell ref="G19:H19"/>
    <mergeCell ref="G13:H13"/>
    <mergeCell ref="G18:H18"/>
    <mergeCell ref="A3:K3"/>
    <mergeCell ref="A23:C24"/>
    <mergeCell ref="G15:H15"/>
    <mergeCell ref="A47:B47"/>
    <mergeCell ref="A42:B42"/>
    <mergeCell ref="G14:H14"/>
    <mergeCell ref="A5:K5"/>
    <mergeCell ref="A4:K4"/>
    <mergeCell ref="A29:B29"/>
    <mergeCell ref="B6:F6"/>
    <mergeCell ref="A43:B43"/>
    <mergeCell ref="G16:H16"/>
    <mergeCell ref="A28:B28"/>
    <mergeCell ref="A44:B44"/>
    <mergeCell ref="A40:B40"/>
    <mergeCell ref="A39:B39"/>
  </mergeCells>
  <conditionalFormatting sqref="A6">
    <cfRule type="expression" priority="581" dxfId="32">
      <formula>OR($P$11="Solid", $P$11="Gas")</formula>
    </cfRule>
  </conditionalFormatting>
  <conditionalFormatting sqref="D10">
    <cfRule type="expression" priority="13" dxfId="34">
      <formula>$D$10="MISSING VALUE"</formula>
    </cfRule>
  </conditionalFormatting>
  <conditionalFormatting sqref="D11">
    <cfRule type="expression" priority="14" dxfId="34">
      <formula>$D$11="MISSING VALUE"</formula>
    </cfRule>
  </conditionalFormatting>
  <conditionalFormatting sqref="D12">
    <cfRule type="expression" priority="15" dxfId="34">
      <formula>$D$12="MISSING VALUE"</formula>
    </cfRule>
  </conditionalFormatting>
  <conditionalFormatting sqref="D13">
    <cfRule type="expression" priority="16" dxfId="34">
      <formula>$D$13="MISSING VALUE"</formula>
    </cfRule>
  </conditionalFormatting>
  <conditionalFormatting sqref="D14">
    <cfRule type="expression" priority="17" dxfId="34">
      <formula>$D$14="MISSING VALUE"</formula>
    </cfRule>
  </conditionalFormatting>
  <conditionalFormatting sqref="D15">
    <cfRule type="expression" priority="18" dxfId="34">
      <formula>$D$15="MISSING VALUE"</formula>
    </cfRule>
  </conditionalFormatting>
  <conditionalFormatting sqref="D16">
    <cfRule type="expression" priority="19" dxfId="34">
      <formula>$D$16="MISSING VALUE"</formula>
    </cfRule>
  </conditionalFormatting>
  <conditionalFormatting sqref="D17">
    <cfRule type="expression" priority="20" dxfId="34">
      <formula>$D$17="MISSING VALUE"</formula>
    </cfRule>
  </conditionalFormatting>
  <conditionalFormatting sqref="D18">
    <cfRule type="expression" priority="21" dxfId="34">
      <formula>$D$18="MISSING VALUE"</formula>
    </cfRule>
  </conditionalFormatting>
  <conditionalFormatting sqref="D19">
    <cfRule type="expression" priority="23" dxfId="34">
      <formula>$D$19="MISSING VALUE"</formula>
    </cfRule>
  </conditionalFormatting>
  <conditionalFormatting sqref="E10">
    <cfRule type="expression" priority="5" dxfId="34">
      <formula>$E$10="MISSING VALUE"</formula>
    </cfRule>
  </conditionalFormatting>
  <conditionalFormatting sqref="E11">
    <cfRule type="expression" priority="6" dxfId="34">
      <formula>$E$11="MISSING VALUE"</formula>
    </cfRule>
  </conditionalFormatting>
  <conditionalFormatting sqref="E12">
    <cfRule type="expression" priority="7" dxfId="34">
      <formula>$E$12="MISSING VALUE"</formula>
    </cfRule>
  </conditionalFormatting>
  <conditionalFormatting sqref="E13">
    <cfRule type="expression" priority="8" dxfId="34">
      <formula>$E$13="MISSING VALUE"</formula>
    </cfRule>
  </conditionalFormatting>
  <conditionalFormatting sqref="E14">
    <cfRule type="expression" priority="9" dxfId="34">
      <formula>$E$14="MISSING VALUE"</formula>
    </cfRule>
  </conditionalFormatting>
  <conditionalFormatting sqref="E15">
    <cfRule type="expression" priority="10" dxfId="34">
      <formula>$E$15="MISSING VALUE"</formula>
    </cfRule>
  </conditionalFormatting>
  <conditionalFormatting sqref="E16">
    <cfRule type="expression" priority="11" dxfId="34">
      <formula>$E$16="MISSING VALUE"</formula>
    </cfRule>
  </conditionalFormatting>
  <conditionalFormatting sqref="E17">
    <cfRule type="expression" priority="12" dxfId="34">
      <formula>$E$17="MISSING VALUE"</formula>
    </cfRule>
  </conditionalFormatting>
  <conditionalFormatting sqref="E18">
    <cfRule type="expression" priority="4" dxfId="34">
      <formula>$E$18="MISSING VALUE"</formula>
    </cfRule>
  </conditionalFormatting>
  <conditionalFormatting sqref="E19">
    <cfRule type="expression" priority="22" dxfId="34">
      <formula>$E$19="MISSING VALUE"</formula>
    </cfRule>
  </conditionalFormatting>
  <conditionalFormatting sqref="G10:G19">
    <cfRule type="expression" priority="1" dxfId="0">
      <formula>$G10=template_label_ok</formula>
    </cfRule>
    <cfRule type="expression" priority="25" dxfId="62">
      <formula>$G10=template_label_solid_warning</formula>
    </cfRule>
    <cfRule type="expression" priority="28" dxfId="62">
      <formula>$G10=template_label_gaseous_warning</formula>
    </cfRule>
    <cfRule type="expression" priority="29" dxfId="62">
      <formula>$G10=template_label_liquid_warning</formula>
    </cfRule>
  </conditionalFormatting>
  <conditionalFormatting sqref="H9">
    <cfRule type="expression" priority="2" dxfId="0">
      <formula>$H$9=template_label_complete</formula>
    </cfRule>
    <cfRule type="expression" priority="3" dxfId="1">
      <formula>$H$9=template_label_incomplete</formula>
    </cfRule>
  </conditionalFormatting>
  <conditionalFormatting sqref="P11">
    <cfRule type="expression" priority="48" dxfId="34">
      <formula>$P$11="MISSING VALUE"</formula>
    </cfRule>
  </conditionalFormatting>
  <conditionalFormatting sqref="P12">
    <cfRule type="expression" priority="158" dxfId="34">
      <formula>$P$12="MISSING VALUE"</formula>
    </cfRule>
  </conditionalFormatting>
  <conditionalFormatting sqref="Q16 U16 Y16 AC16 AG16 AK16 AO16 AS16 AW16 BA16">
    <cfRule type="expression" priority="127" dxfId="1">
      <formula>Q$16="Solid fuel: please change unit of measurement, select one among Gg, t, Kg and g"</formula>
    </cfRule>
    <cfRule type="expression" priority="128" dxfId="27">
      <formula>Q$16="Solid fuel: please select one unit of measurement among Gg, t, Kg and g"</formula>
    </cfRule>
    <cfRule type="expression" priority="129" dxfId="1">
      <formula>Q$16="Gaseous fuel: please change unit of measurement, select one among m³ and L"</formula>
    </cfRule>
    <cfRule type="expression" priority="131" dxfId="27">
      <formula>Q$16="Gaseous fuel: please select one unit of measurement among m³ and L"</formula>
    </cfRule>
    <cfRule type="expression" priority="132" dxfId="27">
      <formula>Q$16="Liquid fuel: please select one unit of measurement among m³ and L"</formula>
    </cfRule>
    <cfRule type="expression" priority="130" dxfId="1">
      <formula>Q$16="Liquid fuel: please change unit of measurement, select one among m³ and L"</formula>
    </cfRule>
  </conditionalFormatting>
  <conditionalFormatting sqref="T11">
    <cfRule type="expression" priority="133" dxfId="34">
      <formula>$T$11="MISSING VALUE"</formula>
    </cfRule>
  </conditionalFormatting>
  <conditionalFormatting sqref="T12">
    <cfRule type="expression" priority="152" dxfId="34">
      <formula>$T$12="MISSING VALUE"</formula>
    </cfRule>
  </conditionalFormatting>
  <conditionalFormatting sqref="X11">
    <cfRule type="expression" priority="45" dxfId="34">
      <formula>$T$11="MISSING VALUE"</formula>
    </cfRule>
  </conditionalFormatting>
  <conditionalFormatting sqref="X12">
    <cfRule type="expression" priority="44" dxfId="34">
      <formula>$T$12="MISSING VALUE"</formula>
    </cfRule>
  </conditionalFormatting>
  <conditionalFormatting sqref="AB11">
    <cfRule type="expression" priority="43" dxfId="34">
      <formula>$T$11="MISSING VALUE"</formula>
    </cfRule>
  </conditionalFormatting>
  <conditionalFormatting sqref="AB12">
    <cfRule type="expression" priority="42" dxfId="34">
      <formula>$T$12="MISSING VALUE"</formula>
    </cfRule>
  </conditionalFormatting>
  <conditionalFormatting sqref="AF11">
    <cfRule type="expression" priority="41" dxfId="34">
      <formula>$T$11="MISSING VALUE"</formula>
    </cfRule>
  </conditionalFormatting>
  <conditionalFormatting sqref="AF12">
    <cfRule type="expression" priority="40" dxfId="34">
      <formula>$T$12="MISSING VALUE"</formula>
    </cfRule>
  </conditionalFormatting>
  <conditionalFormatting sqref="AJ11">
    <cfRule type="expression" priority="39" dxfId="34">
      <formula>$T$11="MISSING VALUE"</formula>
    </cfRule>
  </conditionalFormatting>
  <conditionalFormatting sqref="AJ12">
    <cfRule type="expression" priority="38" dxfId="34">
      <formula>$T$12="MISSING VALUE"</formula>
    </cfRule>
  </conditionalFormatting>
  <conditionalFormatting sqref="AN11">
    <cfRule type="expression" priority="37" dxfId="34">
      <formula>$T$11="MISSING VALUE"</formula>
    </cfRule>
  </conditionalFormatting>
  <conditionalFormatting sqref="AN12">
    <cfRule type="expression" priority="36" dxfId="34">
      <formula>$T$12="MISSING VALUE"</formula>
    </cfRule>
  </conditionalFormatting>
  <conditionalFormatting sqref="AR11">
    <cfRule type="expression" priority="35" dxfId="34">
      <formula>$T$11="MISSING VALUE"</formula>
    </cfRule>
  </conditionalFormatting>
  <conditionalFormatting sqref="AR12">
    <cfRule type="expression" priority="34" dxfId="34">
      <formula>$T$12="MISSING VALUE"</formula>
    </cfRule>
  </conditionalFormatting>
  <conditionalFormatting sqref="AV11">
    <cfRule type="expression" priority="33" dxfId="34">
      <formula>$T$11="MISSING VALUE"</formula>
    </cfRule>
  </conditionalFormatting>
  <conditionalFormatting sqref="AV12">
    <cfRule type="expression" priority="32" dxfId="34">
      <formula>$T$12="MISSING VALUE"</formula>
    </cfRule>
  </conditionalFormatting>
  <conditionalFormatting sqref="AZ11">
    <cfRule type="expression" priority="31" dxfId="34">
      <formula>$T$11="MISSING VALUE"</formula>
    </cfRule>
  </conditionalFormatting>
  <conditionalFormatting sqref="AZ12">
    <cfRule type="expression" priority="30" dxfId="34">
      <formula>$T$12="MISSING VALUE"</formula>
    </cfRule>
  </conditionalFormatting>
  <dataValidations count="6">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J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codeName="Sheet11">
    <outlinePr summaryBelow="1" summaryRight="1"/>
    <pageSetUpPr/>
  </sheetPr>
  <dimension ref="A1:AY108"/>
  <sheetViews>
    <sheetView zoomScaleNormal="100" workbookViewId="0">
      <selection activeCell="B11" sqref="B1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57" t="inlineStr">
        <is>
          <t>Fuels</t>
        </is>
      </c>
      <c r="B1" s="158" t="inlineStr">
        <is>
          <t>State of matter</t>
        </is>
      </c>
      <c r="C1" s="159" t="inlineStr">
        <is>
          <t>Typical NCV [TJ/Gg]</t>
        </is>
      </c>
      <c r="D1" s="160" t="inlineStr">
        <is>
          <t>Typical Density [kg/L]</t>
        </is>
      </c>
      <c r="E1" s="161" t="inlineStr">
        <is>
          <t>Typical Density [kg/m³]</t>
        </is>
      </c>
      <c r="F1" s="195"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72" t="inlineStr">
        <is>
          <t>From → To</t>
        </is>
      </c>
      <c r="AN1" s="173" t="inlineStr">
        <is>
          <t>g</t>
        </is>
      </c>
      <c r="AO1" s="173" t="inlineStr">
        <is>
          <t>dag</t>
        </is>
      </c>
      <c r="AP1" s="173" t="inlineStr">
        <is>
          <t>hg</t>
        </is>
      </c>
      <c r="AQ1" s="173" t="inlineStr">
        <is>
          <t>Kg</t>
        </is>
      </c>
      <c r="AR1" s="173" t="inlineStr">
        <is>
          <t>t</t>
        </is>
      </c>
      <c r="AS1" s="173" t="inlineStr">
        <is>
          <t>Mg</t>
        </is>
      </c>
      <c r="AT1" s="173" t="inlineStr">
        <is>
          <t>Gg</t>
        </is>
      </c>
      <c r="AU1" s="173" t="inlineStr">
        <is>
          <t>Tg</t>
        </is>
      </c>
      <c r="AW1" s="159" t="inlineStr">
        <is>
          <t>State of matter</t>
        </is>
      </c>
      <c r="AX1" s="195" t="inlineStr">
        <is>
          <t>Typical renewability state</t>
        </is>
      </c>
      <c r="AY1" s="271" t="inlineStr">
        <is>
          <t>Source</t>
        </is>
      </c>
    </row>
    <row r="2" ht="15" customHeight="1" thickBot="1">
      <c r="A2" s="319" t="inlineStr">
        <is>
          <t>Anthracite</t>
        </is>
      </c>
      <c r="B2" s="162" t="inlineStr">
        <is>
          <t>Solid</t>
        </is>
      </c>
      <c r="C2" s="163" t="n">
        <v>26.7</v>
      </c>
      <c r="D2" s="263" t="n"/>
      <c r="E2" s="264" t="n"/>
      <c r="F2" s="200" t="inlineStr">
        <is>
          <t>Non-renewable</t>
        </is>
      </c>
      <c r="G2" s="198" t="inlineStr">
        <is>
          <t>Gg - Gigagram</t>
        </is>
      </c>
      <c r="H2" s="54" t="inlineStr">
        <is>
          <t>m³ - cubic meters</t>
        </is>
      </c>
      <c r="I2" s="3" t="inlineStr">
        <is>
          <t>TJ - Terajoule</t>
        </is>
      </c>
      <c r="J2" s="1" t="inlineStr">
        <is>
          <t>Gg - Gigagram</t>
        </is>
      </c>
      <c r="K2" s="27" t="inlineStr">
        <is>
          <t>g/L</t>
        </is>
      </c>
      <c r="L2" s="1219" t="n">
        <v>1</v>
      </c>
      <c r="M2" s="1220" t="n">
        <v>0.001</v>
      </c>
      <c r="N2" s="1220" t="n">
        <v>1e-06</v>
      </c>
      <c r="O2" s="1220" t="n">
        <v>1e-09</v>
      </c>
      <c r="P2" s="1220" t="n">
        <v>1000</v>
      </c>
      <c r="Q2" s="1220" t="n">
        <v>1</v>
      </c>
      <c r="R2" s="1220" t="n">
        <v>0.001</v>
      </c>
      <c r="S2" s="1221" t="n">
        <v>1e-06</v>
      </c>
      <c r="U2" s="27" t="inlineStr">
        <is>
          <t>J/g</t>
        </is>
      </c>
      <c r="V2" s="1222" t="n">
        <v>1</v>
      </c>
      <c r="W2" s="1223" t="n">
        <v>1000</v>
      </c>
      <c r="X2" s="1223" t="n">
        <v>1000000</v>
      </c>
      <c r="Y2" s="1223" t="n">
        <v>1000000000</v>
      </c>
      <c r="Z2" s="1223" t="n">
        <v>0.001</v>
      </c>
      <c r="AA2" s="1223" t="n">
        <v>1</v>
      </c>
      <c r="AB2" s="1223" t="n">
        <v>1000</v>
      </c>
      <c r="AC2" s="1223" t="n">
        <v>1000000</v>
      </c>
      <c r="AD2" s="1223" t="n">
        <v>1e-12</v>
      </c>
      <c r="AE2" s="1223" t="n">
        <v>1e-09</v>
      </c>
      <c r="AF2" s="1223" t="n">
        <v>1e-06</v>
      </c>
      <c r="AG2" s="1223" t="n">
        <v>0.001</v>
      </c>
      <c r="AH2" s="1224" t="n">
        <v>2.78e-13</v>
      </c>
      <c r="AI2" s="1224" t="n">
        <v>2.78e-10</v>
      </c>
      <c r="AJ2" s="1224" t="n">
        <v>2.78e-07</v>
      </c>
      <c r="AK2" s="1225" t="n">
        <v>0.000278</v>
      </c>
      <c r="AM2" s="174" t="inlineStr">
        <is>
          <t>g</t>
        </is>
      </c>
      <c r="AN2" s="1226" t="n">
        <v>1</v>
      </c>
      <c r="AO2" s="1226" t="n">
        <v>0.1</v>
      </c>
      <c r="AP2" s="1227" t="n">
        <v>0.01</v>
      </c>
      <c r="AQ2" s="1227" t="n">
        <v>0.001</v>
      </c>
      <c r="AR2" s="1227" t="n">
        <v>1e-06</v>
      </c>
      <c r="AS2" s="1227" t="n">
        <v>1e-06</v>
      </c>
      <c r="AT2" s="1227" t="n">
        <v>1e-09</v>
      </c>
      <c r="AU2" s="1228" t="n">
        <v>1e-12</v>
      </c>
      <c r="AW2" s="3" t="inlineStr">
        <is>
          <t>Solid</t>
        </is>
      </c>
      <c r="AX2" s="3" t="inlineStr">
        <is>
          <t>Renewable</t>
        </is>
      </c>
      <c r="AY2" s="272" t="n"/>
    </row>
    <row r="3" ht="15" customHeight="1" thickBot="1">
      <c r="A3" s="320" t="inlineStr">
        <is>
          <t>Aviation gasoline</t>
        </is>
      </c>
      <c r="B3" s="162" t="inlineStr">
        <is>
          <t>Liquid</t>
        </is>
      </c>
      <c r="C3" s="673" t="n">
        <v>44.3</v>
      </c>
      <c r="D3" s="132" t="n">
        <v>0.71</v>
      </c>
      <c r="E3" s="265" t="n"/>
      <c r="F3" s="201" t="inlineStr">
        <is>
          <t>Non-renewable</t>
        </is>
      </c>
      <c r="G3" s="199" t="inlineStr">
        <is>
          <t>t - tonne</t>
        </is>
      </c>
      <c r="H3" s="7" t="inlineStr">
        <is>
          <t>L - Liter</t>
        </is>
      </c>
      <c r="I3" s="1" t="inlineStr">
        <is>
          <t>MWh - Megawatt hours</t>
        </is>
      </c>
      <c r="J3" s="1" t="inlineStr">
        <is>
          <t>t - tonne</t>
        </is>
      </c>
      <c r="K3" s="31" t="inlineStr">
        <is>
          <t>Kg/L</t>
        </is>
      </c>
      <c r="L3" s="1229" t="n">
        <v>1000</v>
      </c>
      <c r="M3" s="1230" t="n">
        <v>1</v>
      </c>
      <c r="N3" s="1230" t="n">
        <v>0.001</v>
      </c>
      <c r="O3" s="1230" t="n">
        <v>1e-06</v>
      </c>
      <c r="P3" s="1230" t="n">
        <v>1000000</v>
      </c>
      <c r="Q3" s="1230" t="n">
        <v>1000</v>
      </c>
      <c r="R3" s="1230" t="n">
        <v>1</v>
      </c>
      <c r="S3" s="1231" t="n">
        <v>0.001</v>
      </c>
      <c r="U3" s="31" t="inlineStr">
        <is>
          <t>J/Kg</t>
        </is>
      </c>
      <c r="V3" s="1232" t="n">
        <v>0.001</v>
      </c>
      <c r="W3" s="1233" t="n">
        <v>1</v>
      </c>
      <c r="X3" s="1233" t="n">
        <v>1000</v>
      </c>
      <c r="Y3" s="1233" t="n">
        <v>1000000</v>
      </c>
      <c r="Z3" s="1233" t="n">
        <v>1e-06</v>
      </c>
      <c r="AA3" s="1233" t="n">
        <v>0.001</v>
      </c>
      <c r="AB3" s="1233" t="n">
        <v>1</v>
      </c>
      <c r="AC3" s="1233" t="n">
        <v>1000</v>
      </c>
      <c r="AD3" s="1233" t="n">
        <v>1e-15</v>
      </c>
      <c r="AE3" s="1233" t="n">
        <v>1e-12</v>
      </c>
      <c r="AF3" s="1233" t="n">
        <v>1e-09</v>
      </c>
      <c r="AG3" s="1233" t="n">
        <v>1e-06</v>
      </c>
      <c r="AH3" s="1234" t="n">
        <v>2.78e-16</v>
      </c>
      <c r="AI3" s="1234" t="n">
        <v>2.78e-10</v>
      </c>
      <c r="AJ3" s="1234" t="n">
        <v>2.78e-07</v>
      </c>
      <c r="AK3" s="1235" t="n">
        <v>0.000278</v>
      </c>
      <c r="AM3" s="174" t="inlineStr">
        <is>
          <t>dag</t>
        </is>
      </c>
      <c r="AN3" s="1236" t="n">
        <v>10</v>
      </c>
      <c r="AO3" s="1236" t="n">
        <v>1</v>
      </c>
      <c r="AP3" s="1237" t="n">
        <v>0.1</v>
      </c>
      <c r="AQ3" s="1237" t="n">
        <v>0.01</v>
      </c>
      <c r="AR3" s="1237" t="n">
        <v>1e-05</v>
      </c>
      <c r="AS3" s="1237" t="n">
        <v>1e-05</v>
      </c>
      <c r="AT3" s="1237" t="n">
        <v>1e-08</v>
      </c>
      <c r="AU3" s="1238" t="n">
        <v>9.999999999999999e-12</v>
      </c>
      <c r="AW3" s="1" t="inlineStr">
        <is>
          <t>Liquid</t>
        </is>
      </c>
      <c r="AX3" s="1" t="inlineStr">
        <is>
          <t>Non-renewable</t>
        </is>
      </c>
      <c r="AY3" s="272" t="n"/>
    </row>
    <row r="4" ht="15" customHeight="1" thickBot="1">
      <c r="A4" s="320" t="inlineStr">
        <is>
          <t>Biodiesel</t>
        </is>
      </c>
      <c r="B4" s="162" t="inlineStr">
        <is>
          <t>Liquid</t>
        </is>
      </c>
      <c r="C4" s="673" t="n">
        <v>27</v>
      </c>
      <c r="D4" s="132" t="n">
        <v>0.85</v>
      </c>
      <c r="E4" s="265" t="n"/>
      <c r="F4" s="201" t="inlineStr">
        <is>
          <t>Renewable</t>
        </is>
      </c>
      <c r="G4" s="199" t="inlineStr">
        <is>
          <t>Kg - Kilogram</t>
        </is>
      </c>
      <c r="J4" s="1" t="inlineStr">
        <is>
          <t>Kg - Kilogram</t>
        </is>
      </c>
      <c r="K4" s="31" t="inlineStr">
        <is>
          <t>t/L</t>
        </is>
      </c>
      <c r="L4" s="1229" t="n">
        <v>1000000</v>
      </c>
      <c r="M4" s="1230" t="n">
        <v>1000</v>
      </c>
      <c r="N4" s="1230" t="n">
        <v>1</v>
      </c>
      <c r="O4" s="1230" t="n">
        <v>0.001</v>
      </c>
      <c r="P4" s="1230" t="n">
        <v>1000000000</v>
      </c>
      <c r="Q4" s="1230" t="n">
        <v>1000000</v>
      </c>
      <c r="R4" s="1230" t="n">
        <v>1000</v>
      </c>
      <c r="S4" s="1231" t="n">
        <v>1</v>
      </c>
      <c r="U4" s="31" t="inlineStr">
        <is>
          <t>J/t</t>
        </is>
      </c>
      <c r="V4" s="1232" t="n">
        <v>1e-06</v>
      </c>
      <c r="W4" s="1233" t="n">
        <v>0.001</v>
      </c>
      <c r="X4" s="1233" t="n">
        <v>1</v>
      </c>
      <c r="Y4" s="1233" t="n">
        <v>1000</v>
      </c>
      <c r="Z4" s="1233" t="n">
        <v>1e-09</v>
      </c>
      <c r="AA4" s="1233" t="n">
        <v>1e-06</v>
      </c>
      <c r="AB4" s="1233" t="n">
        <v>1</v>
      </c>
      <c r="AC4" s="1233" t="n">
        <v>1000</v>
      </c>
      <c r="AD4" s="1233" t="n">
        <v>1e-18</v>
      </c>
      <c r="AE4" s="1233" t="n">
        <v>1e-15</v>
      </c>
      <c r="AF4" s="1233" t="n">
        <v>1e-12</v>
      </c>
      <c r="AG4" s="1233" t="n">
        <v>1e-09</v>
      </c>
      <c r="AH4" s="1234" t="n">
        <v>2.78e-19</v>
      </c>
      <c r="AI4" s="1234" t="n">
        <v>2.78e-13</v>
      </c>
      <c r="AJ4" s="1234" t="n">
        <v>2.78e-10</v>
      </c>
      <c r="AK4" s="1235" t="n">
        <v>2.78e-07</v>
      </c>
      <c r="AM4" s="174" t="inlineStr">
        <is>
          <t>hg</t>
        </is>
      </c>
      <c r="AN4" s="1236" t="n">
        <v>100</v>
      </c>
      <c r="AO4" s="1236" t="n">
        <v>10</v>
      </c>
      <c r="AP4" s="1237" t="n">
        <v>1</v>
      </c>
      <c r="AQ4" s="1237" t="n">
        <v>0.1</v>
      </c>
      <c r="AR4" s="1237" t="n">
        <v>0.0001</v>
      </c>
      <c r="AS4" s="1237" t="n">
        <v>0.0001</v>
      </c>
      <c r="AT4" s="1237" t="n">
        <v>1e-07</v>
      </c>
      <c r="AU4" s="1238" t="n">
        <v>1e-10</v>
      </c>
      <c r="AW4" s="1" t="inlineStr">
        <is>
          <t>Gaseous</t>
        </is>
      </c>
      <c r="AX4" s="1" t="n"/>
      <c r="AY4" s="272" t="n"/>
    </row>
    <row r="5" ht="15" customHeight="1" thickBot="1">
      <c r="A5" s="320" t="inlineStr">
        <is>
          <t>Biogasoline</t>
        </is>
      </c>
      <c r="B5" s="162" t="inlineStr">
        <is>
          <t>Liquid</t>
        </is>
      </c>
      <c r="C5" s="673" t="n">
        <v>27</v>
      </c>
      <c r="D5" s="194" t="n">
        <v>0.75</v>
      </c>
      <c r="E5" s="266" t="n"/>
      <c r="F5" s="201" t="inlineStr">
        <is>
          <t>Renewable</t>
        </is>
      </c>
      <c r="G5" s="199" t="inlineStr">
        <is>
          <t>g - gram</t>
        </is>
      </c>
      <c r="J5" s="1" t="inlineStr">
        <is>
          <t>g - gram</t>
        </is>
      </c>
      <c r="K5" s="31" t="inlineStr">
        <is>
          <t>Gg/L</t>
        </is>
      </c>
      <c r="L5" s="1229" t="n">
        <v>1000000000</v>
      </c>
      <c r="M5" s="1230" t="n">
        <v>1000000</v>
      </c>
      <c r="N5" s="1230" t="n">
        <v>1000</v>
      </c>
      <c r="O5" s="1230" t="n">
        <v>1</v>
      </c>
      <c r="P5" s="1230" t="n">
        <v>1000000000000</v>
      </c>
      <c r="Q5" s="1230" t="n">
        <v>1000000000</v>
      </c>
      <c r="R5" s="1230" t="n">
        <v>1000000</v>
      </c>
      <c r="S5" s="1231" t="n">
        <v>1000</v>
      </c>
      <c r="U5" s="31" t="inlineStr">
        <is>
          <t>J/Gg</t>
        </is>
      </c>
      <c r="V5" s="1232" t="n">
        <v>1e-09</v>
      </c>
      <c r="W5" s="1233" t="n">
        <v>1e-06</v>
      </c>
      <c r="X5" s="1233" t="n">
        <v>0.001</v>
      </c>
      <c r="Y5" s="1233" t="n">
        <v>1</v>
      </c>
      <c r="Z5" s="1233" t="n">
        <v>1e-12</v>
      </c>
      <c r="AA5" s="1233" t="n">
        <v>1e-06</v>
      </c>
      <c r="AB5" s="1233" t="n">
        <v>0.001</v>
      </c>
      <c r="AC5" s="1233" t="n">
        <v>1</v>
      </c>
      <c r="AD5" s="1233" t="n">
        <v>9.999999999999999e-22</v>
      </c>
      <c r="AE5" s="1233" t="n">
        <v>1e-18</v>
      </c>
      <c r="AF5" s="1233" t="n">
        <v>1e-15</v>
      </c>
      <c r="AG5" s="1233" t="n">
        <v>1e-12</v>
      </c>
      <c r="AH5" s="1234" t="n">
        <v>2.78e-22</v>
      </c>
      <c r="AI5" s="1234" t="n">
        <v>2.78e-16</v>
      </c>
      <c r="AJ5" s="1234" t="n">
        <v>2.78e-13</v>
      </c>
      <c r="AK5" s="1235" t="n">
        <v>2.78e-10</v>
      </c>
      <c r="AM5" s="174" t="inlineStr">
        <is>
          <t>Kg</t>
        </is>
      </c>
      <c r="AN5" s="1236" t="n">
        <v>1000</v>
      </c>
      <c r="AO5" s="1236" t="n">
        <v>100</v>
      </c>
      <c r="AP5" s="1237" t="n">
        <v>10</v>
      </c>
      <c r="AQ5" s="1237" t="n">
        <v>1</v>
      </c>
      <c r="AR5" s="1237" t="n">
        <v>0.001</v>
      </c>
      <c r="AS5" s="1237" t="n">
        <v>0.001</v>
      </c>
      <c r="AT5" s="1237" t="n">
        <v>1e-06</v>
      </c>
      <c r="AU5" s="1238" t="n">
        <v>1e-09</v>
      </c>
      <c r="AW5" s="1" t="n"/>
      <c r="AX5" s="51" t="n"/>
      <c r="AY5" s="273" t="inlineStr">
        <is>
          <t>a.</t>
        </is>
      </c>
    </row>
    <row r="6" ht="15" customHeight="1" thickBot="1">
      <c r="A6" s="320" t="inlineStr">
        <is>
          <t>Bitumen</t>
        </is>
      </c>
      <c r="B6" s="162" t="inlineStr">
        <is>
          <t>Liquid</t>
        </is>
      </c>
      <c r="C6" s="673" t="n">
        <v>40.2</v>
      </c>
      <c r="D6" s="194" t="n">
        <v>1.035</v>
      </c>
      <c r="E6" s="265" t="n"/>
      <c r="F6" s="201" t="inlineStr">
        <is>
          <t>Non-renewable</t>
        </is>
      </c>
      <c r="J6" s="1" t="inlineStr">
        <is>
          <t>m³ - cubic meters</t>
        </is>
      </c>
      <c r="K6" s="31" t="inlineStr">
        <is>
          <t>g/m³</t>
        </is>
      </c>
      <c r="L6" s="1229" t="n">
        <v>0.001</v>
      </c>
      <c r="M6" s="1230" t="n">
        <v>1e-06</v>
      </c>
      <c r="N6" s="1230" t="n">
        <v>1e-09</v>
      </c>
      <c r="O6" s="1230" t="n">
        <v>1e-12</v>
      </c>
      <c r="P6" s="1230" t="n">
        <v>1</v>
      </c>
      <c r="Q6" s="1230" t="n">
        <v>0.001</v>
      </c>
      <c r="R6" s="1230" t="n">
        <v>1e-06</v>
      </c>
      <c r="S6" s="1231" t="n">
        <v>1e-09</v>
      </c>
      <c r="U6" s="31" t="inlineStr">
        <is>
          <t>KJ/g</t>
        </is>
      </c>
      <c r="V6" s="1232" t="n">
        <v>1000</v>
      </c>
      <c r="W6" s="1233" t="n">
        <v>1000000</v>
      </c>
      <c r="X6" s="1233" t="n">
        <v>1000000000</v>
      </c>
      <c r="Y6" s="1233" t="n">
        <v>1000000000000</v>
      </c>
      <c r="Z6" s="1233" t="n">
        <v>1</v>
      </c>
      <c r="AA6" s="1233" t="n">
        <v>1000</v>
      </c>
      <c r="AB6" s="1233" t="n">
        <v>1000000</v>
      </c>
      <c r="AC6" s="1233" t="n">
        <v>1000000000</v>
      </c>
      <c r="AD6" s="1233" t="n">
        <v>1e-09</v>
      </c>
      <c r="AE6" s="1233" t="n">
        <v>1e-06</v>
      </c>
      <c r="AF6" s="1233" t="n">
        <v>0.001</v>
      </c>
      <c r="AG6" s="1233" t="n">
        <v>1</v>
      </c>
      <c r="AH6" s="1234" t="n">
        <v>2.78e-10</v>
      </c>
      <c r="AI6" s="1234" t="n">
        <v>2.78e-07</v>
      </c>
      <c r="AJ6" s="1234" t="n">
        <v>0.000278</v>
      </c>
      <c r="AK6" s="1235" t="n">
        <v>0.278</v>
      </c>
      <c r="AM6" s="174" t="inlineStr">
        <is>
          <t>t</t>
        </is>
      </c>
      <c r="AN6" s="1236" t="n">
        <v>1000000</v>
      </c>
      <c r="AO6" s="1236" t="n">
        <v>100000</v>
      </c>
      <c r="AP6" s="1237" t="n">
        <v>10000</v>
      </c>
      <c r="AQ6" s="1237" t="n">
        <v>1000</v>
      </c>
      <c r="AR6" s="1237" t="n">
        <v>1</v>
      </c>
      <c r="AS6" s="1237" t="n">
        <v>1</v>
      </c>
      <c r="AT6" s="1237" t="n">
        <v>0.001</v>
      </c>
      <c r="AU6" s="1238" t="n">
        <v>1e-06</v>
      </c>
      <c r="AY6" s="273" t="inlineStr">
        <is>
          <t>b.</t>
        </is>
      </c>
    </row>
    <row r="7" ht="15" customHeight="1" thickBot="1">
      <c r="A7" s="320" t="inlineStr">
        <is>
          <t>Blast furnace gas</t>
        </is>
      </c>
      <c r="B7" s="162" t="inlineStr">
        <is>
          <t>Gaseous</t>
        </is>
      </c>
      <c r="C7" s="673" t="n">
        <v>2.47</v>
      </c>
      <c r="D7" s="267" t="n"/>
      <c r="E7" s="196" t="n">
        <v>1.25</v>
      </c>
      <c r="F7" s="201" t="inlineStr">
        <is>
          <t>Non-renewable</t>
        </is>
      </c>
      <c r="J7" s="1" t="inlineStr">
        <is>
          <t>L - Liter</t>
        </is>
      </c>
      <c r="K7" s="31" t="inlineStr">
        <is>
          <t>Kg/m³</t>
        </is>
      </c>
      <c r="L7" s="1229" t="n">
        <v>1</v>
      </c>
      <c r="M7" s="1230" t="n">
        <v>0.001</v>
      </c>
      <c r="N7" s="1230" t="n">
        <v>1e-06</v>
      </c>
      <c r="O7" s="1230" t="n">
        <v>1e-09</v>
      </c>
      <c r="P7" s="1230" t="n">
        <v>1000</v>
      </c>
      <c r="Q7" s="1230" t="n">
        <v>1</v>
      </c>
      <c r="R7" s="1230" t="n">
        <v>0.001</v>
      </c>
      <c r="S7" s="1231" t="n">
        <v>1e-06</v>
      </c>
      <c r="U7" s="31" t="inlineStr">
        <is>
          <t>KJ/Kg</t>
        </is>
      </c>
      <c r="V7" s="1232" t="n">
        <v>1</v>
      </c>
      <c r="W7" s="1233" t="n">
        <v>1000</v>
      </c>
      <c r="X7" s="1233" t="n">
        <v>1000000</v>
      </c>
      <c r="Y7" s="1233" t="n">
        <v>1000000000</v>
      </c>
      <c r="Z7" s="1233" t="n">
        <v>0.001</v>
      </c>
      <c r="AA7" s="1233" t="n">
        <v>1</v>
      </c>
      <c r="AB7" s="1233" t="n">
        <v>1000</v>
      </c>
      <c r="AC7" s="1233" t="n">
        <v>1000000</v>
      </c>
      <c r="AD7" s="1233" t="n">
        <v>1e-12</v>
      </c>
      <c r="AE7" s="1233" t="n">
        <v>1e-09</v>
      </c>
      <c r="AF7" s="1233" t="n">
        <v>1e-06</v>
      </c>
      <c r="AG7" s="1233" t="n">
        <v>0.001</v>
      </c>
      <c r="AH7" s="1234" t="n">
        <v>2.78e-13</v>
      </c>
      <c r="AI7" s="1234" t="n">
        <v>2.78e-10</v>
      </c>
      <c r="AJ7" s="1234" t="n">
        <v>2.78e-07</v>
      </c>
      <c r="AK7" s="1235" t="n">
        <v>0.000278</v>
      </c>
      <c r="AM7" s="174" t="inlineStr">
        <is>
          <t>Mg</t>
        </is>
      </c>
      <c r="AN7" s="1236" t="n">
        <v>1000000</v>
      </c>
      <c r="AO7" s="1236" t="n">
        <v>100000</v>
      </c>
      <c r="AP7" s="1237" t="n">
        <v>10000</v>
      </c>
      <c r="AQ7" s="1237" t="n">
        <v>1000</v>
      </c>
      <c r="AR7" s="1237" t="n">
        <v>1</v>
      </c>
      <c r="AS7" s="1237" t="n">
        <v>1</v>
      </c>
      <c r="AT7" s="1237" t="n">
        <v>0.001</v>
      </c>
      <c r="AU7" s="1238" t="n">
        <v>1e-06</v>
      </c>
      <c r="AY7" s="273" t="inlineStr">
        <is>
          <t>c.</t>
        </is>
      </c>
    </row>
    <row r="8" ht="15" customHeight="1" thickBot="1">
      <c r="A8" s="320" t="inlineStr">
        <is>
          <t>Brown coal briquettes</t>
        </is>
      </c>
      <c r="B8" s="162" t="inlineStr">
        <is>
          <t>Solid</t>
        </is>
      </c>
      <c r="C8" s="673" t="n">
        <v>20.7</v>
      </c>
      <c r="D8" s="267" t="n"/>
      <c r="E8" s="265" t="n"/>
      <c r="F8" s="201" t="inlineStr">
        <is>
          <t>Non-renewable</t>
        </is>
      </c>
      <c r="K8" s="31" t="inlineStr">
        <is>
          <t>t/m³</t>
        </is>
      </c>
      <c r="L8" s="1229" t="n">
        <v>1000</v>
      </c>
      <c r="M8" s="1230" t="n">
        <v>1</v>
      </c>
      <c r="N8" s="1230" t="n">
        <v>0.001</v>
      </c>
      <c r="O8" s="1230" t="n">
        <v>0.001</v>
      </c>
      <c r="P8" s="1230" t="n">
        <v>1000000</v>
      </c>
      <c r="Q8" s="1230" t="n">
        <v>1000</v>
      </c>
      <c r="R8" s="1230" t="n">
        <v>1</v>
      </c>
      <c r="S8" s="1231" t="n">
        <v>0.001</v>
      </c>
      <c r="U8" s="31" t="inlineStr">
        <is>
          <t>KJ/t</t>
        </is>
      </c>
      <c r="V8" s="1232" t="n">
        <v>0.001</v>
      </c>
      <c r="W8" s="1233" t="n">
        <v>1</v>
      </c>
      <c r="X8" s="1233" t="n">
        <v>1000</v>
      </c>
      <c r="Y8" s="1233" t="n">
        <v>1000000</v>
      </c>
      <c r="Z8" s="1233" t="n">
        <v>1e-06</v>
      </c>
      <c r="AA8" s="1233" t="n">
        <v>0.001</v>
      </c>
      <c r="AB8" s="1233" t="n">
        <v>1</v>
      </c>
      <c r="AC8" s="1233" t="n">
        <v>1000</v>
      </c>
      <c r="AD8" s="1233" t="n">
        <v>1e-15</v>
      </c>
      <c r="AE8" s="1233" t="n">
        <v>1e-12</v>
      </c>
      <c r="AF8" s="1233" t="n">
        <v>1e-09</v>
      </c>
      <c r="AG8" s="1233" t="n">
        <v>1e-06</v>
      </c>
      <c r="AH8" s="1234" t="n">
        <v>2.78e-16</v>
      </c>
      <c r="AI8" s="1234" t="n">
        <v>2.78e-10</v>
      </c>
      <c r="AJ8" s="1234" t="n">
        <v>2.78e-07</v>
      </c>
      <c r="AK8" s="1235" t="n">
        <v>0.000278</v>
      </c>
      <c r="AM8" s="174" t="inlineStr">
        <is>
          <t>Gg</t>
        </is>
      </c>
      <c r="AN8" s="1236" t="n">
        <v>1000000000</v>
      </c>
      <c r="AO8" s="1236" t="n">
        <v>100000000</v>
      </c>
      <c r="AP8" s="1237" t="n">
        <v>10000000</v>
      </c>
      <c r="AQ8" s="1237" t="n">
        <v>1000000</v>
      </c>
      <c r="AR8" s="1237" t="n">
        <v>1000</v>
      </c>
      <c r="AS8" s="1237" t="n">
        <v>1000</v>
      </c>
      <c r="AT8" s="1237" t="n">
        <v>1</v>
      </c>
      <c r="AU8" s="1238" t="n">
        <v>0.001</v>
      </c>
      <c r="AY8" s="274" t="n"/>
    </row>
    <row r="9" ht="15" customHeight="1" thickBot="1">
      <c r="A9" s="320" t="inlineStr">
        <is>
          <t>Butane and isomers</t>
        </is>
      </c>
      <c r="B9" s="162" t="inlineStr">
        <is>
          <t>Gaseous</t>
        </is>
      </c>
      <c r="C9" s="194" t="n">
        <v>45.57</v>
      </c>
      <c r="D9" s="267" t="n"/>
      <c r="E9" s="166" t="n">
        <v>2.5</v>
      </c>
      <c r="F9" s="201" t="inlineStr">
        <is>
          <t>Non-renewable</t>
        </is>
      </c>
      <c r="K9" s="31" t="inlineStr">
        <is>
          <t>Gg/m³</t>
        </is>
      </c>
      <c r="L9" s="1239" t="n">
        <v>1000000</v>
      </c>
      <c r="M9" s="1240" t="n">
        <v>1000</v>
      </c>
      <c r="N9" s="1240" t="n">
        <v>1</v>
      </c>
      <c r="O9" s="1240" t="n">
        <v>0.001</v>
      </c>
      <c r="P9" s="1240" t="n">
        <v>1000000000</v>
      </c>
      <c r="Q9" s="1240" t="n">
        <v>1000000</v>
      </c>
      <c r="R9" s="1240" t="n">
        <v>1000</v>
      </c>
      <c r="S9" s="1241" t="n">
        <v>1</v>
      </c>
      <c r="U9" s="31" t="inlineStr">
        <is>
          <t>KJ/Gg</t>
        </is>
      </c>
      <c r="V9" s="1232" t="n">
        <v>1e-06</v>
      </c>
      <c r="W9" s="1233" t="n">
        <v>0.001</v>
      </c>
      <c r="X9" s="1233" t="n">
        <v>1</v>
      </c>
      <c r="Y9" s="1233" t="n">
        <v>1000</v>
      </c>
      <c r="Z9" s="1233" t="n">
        <v>1e-09</v>
      </c>
      <c r="AA9" s="1233" t="n">
        <v>1e-06</v>
      </c>
      <c r="AB9" s="1233" t="n">
        <v>1</v>
      </c>
      <c r="AC9" s="1233" t="n">
        <v>1000</v>
      </c>
      <c r="AD9" s="1233" t="n">
        <v>1e-18</v>
      </c>
      <c r="AE9" s="1233" t="n">
        <v>1e-15</v>
      </c>
      <c r="AF9" s="1233" t="n">
        <v>1e-12</v>
      </c>
      <c r="AG9" s="1233" t="n">
        <v>1e-09</v>
      </c>
      <c r="AH9" s="1234" t="n">
        <v>2.78e-19</v>
      </c>
      <c r="AI9" s="1234" t="n">
        <v>2.78e-13</v>
      </c>
      <c r="AJ9" s="1234" t="n">
        <v>2.78e-10</v>
      </c>
      <c r="AK9" s="1235" t="n">
        <v>2.78e-07</v>
      </c>
      <c r="AM9" s="174" t="inlineStr">
        <is>
          <t>Tg</t>
        </is>
      </c>
      <c r="AN9" s="1242" t="n">
        <v>1000000000000</v>
      </c>
      <c r="AO9" s="1242" t="n">
        <v>100000000000</v>
      </c>
      <c r="AP9" s="1243" t="n">
        <v>10000000000</v>
      </c>
      <c r="AQ9" s="1243" t="n">
        <v>1000000000</v>
      </c>
      <c r="AR9" s="1243" t="n">
        <v>1000000</v>
      </c>
      <c r="AS9" s="1243" t="n">
        <v>1000000</v>
      </c>
      <c r="AT9" s="1243" t="n">
        <v>1000</v>
      </c>
      <c r="AU9" s="1244" t="n">
        <v>1</v>
      </c>
      <c r="AY9" s="273" t="inlineStr">
        <is>
          <t>d.</t>
        </is>
      </c>
    </row>
    <row r="10" ht="15" customHeight="1" thickBot="1">
      <c r="A10" s="320" t="inlineStr">
        <is>
          <t>Coke oven coke &amp; lignite coke</t>
        </is>
      </c>
      <c r="B10" s="162" t="inlineStr">
        <is>
          <t>Solid</t>
        </is>
      </c>
      <c r="C10" s="673" t="n">
        <v>28.2</v>
      </c>
      <c r="D10" s="267" t="n"/>
      <c r="E10" s="265" t="n"/>
      <c r="F10" s="201" t="inlineStr">
        <is>
          <t>Non-renewable</t>
        </is>
      </c>
      <c r="U10" s="31" t="inlineStr">
        <is>
          <t>TJ/t</t>
        </is>
      </c>
      <c r="V10" s="1232" t="n">
        <v>1000000</v>
      </c>
      <c r="W10" s="1233" t="n">
        <v>1000000000</v>
      </c>
      <c r="X10" s="1233" t="n">
        <v>1000000000000</v>
      </c>
      <c r="Y10" s="1233" t="n">
        <v>1000000000000000</v>
      </c>
      <c r="Z10" s="1233" t="n">
        <v>1000</v>
      </c>
      <c r="AA10" s="1233" t="n">
        <v>1000000</v>
      </c>
      <c r="AB10" s="1233" t="n">
        <v>1000000000</v>
      </c>
      <c r="AC10" s="1233" t="n">
        <v>1000000000000</v>
      </c>
      <c r="AD10" s="1233" t="n">
        <v>1e-06</v>
      </c>
      <c r="AE10" s="1233" t="n">
        <v>0.001</v>
      </c>
      <c r="AF10" s="1233" t="n">
        <v>1</v>
      </c>
      <c r="AG10" s="1233" t="n">
        <v>1000</v>
      </c>
      <c r="AH10" s="1234" t="n">
        <v>2.778e-07</v>
      </c>
      <c r="AI10" s="1234" t="n">
        <v>0.0002777778</v>
      </c>
      <c r="AJ10" s="1234" t="n">
        <v>0.2777777778</v>
      </c>
      <c r="AK10" s="1235" t="n">
        <v>277.7777778</v>
      </c>
      <c r="AY10" s="274" t="n"/>
    </row>
    <row r="11" ht="15" customHeight="1" thickBot="1">
      <c r="A11" s="320" t="inlineStr">
        <is>
          <t>Coke oven gas</t>
        </is>
      </c>
      <c r="B11" s="162" t="inlineStr">
        <is>
          <t>Gaseous</t>
        </is>
      </c>
      <c r="C11" s="673" t="n">
        <v>38.7</v>
      </c>
      <c r="D11" s="267" t="n"/>
      <c r="E11" s="196" t="n">
        <v>0.475</v>
      </c>
      <c r="F11" s="201" t="inlineStr">
        <is>
          <t>Non-renewable</t>
        </is>
      </c>
      <c r="U11" s="31" t="inlineStr">
        <is>
          <t>TJ/Gg</t>
        </is>
      </c>
      <c r="V11" s="1232" t="n">
        <v>1000</v>
      </c>
      <c r="W11" s="1233" t="n">
        <v>1000000</v>
      </c>
      <c r="X11" s="1233" t="n">
        <v>1000000000</v>
      </c>
      <c r="Y11" s="1233" t="n">
        <v>1000000000000</v>
      </c>
      <c r="Z11" s="1233" t="n">
        <v>1</v>
      </c>
      <c r="AA11" s="1233" t="n">
        <v>1000</v>
      </c>
      <c r="AB11" s="1233" t="n">
        <v>1000000</v>
      </c>
      <c r="AC11" s="1233" t="n">
        <v>1000000000</v>
      </c>
      <c r="AD11" s="1233" t="n">
        <v>1e-09</v>
      </c>
      <c r="AE11" s="1233" t="n">
        <v>1e-06</v>
      </c>
      <c r="AF11" s="1233" t="n">
        <v>0.001</v>
      </c>
      <c r="AG11" s="1233" t="n">
        <v>1</v>
      </c>
      <c r="AH11" s="1234" t="n">
        <v>2.78e-10</v>
      </c>
      <c r="AI11" s="1234" t="n">
        <v>2.778e-07</v>
      </c>
      <c r="AJ11" s="1234" t="n">
        <v>0.0002777778</v>
      </c>
      <c r="AK11" s="1235" t="n">
        <v>0.2777777778</v>
      </c>
      <c r="AY11" s="273" t="inlineStr">
        <is>
          <t>e.</t>
        </is>
      </c>
    </row>
    <row r="12" ht="15" customHeight="1" thickBot="1">
      <c r="A12" s="320" t="inlineStr">
        <is>
          <t>Coking coal</t>
        </is>
      </c>
      <c r="B12" s="162" t="inlineStr">
        <is>
          <t>Solid</t>
        </is>
      </c>
      <c r="C12" s="673" t="n">
        <v>28.2</v>
      </c>
      <c r="D12" s="267" t="n"/>
      <c r="E12" s="265" t="n"/>
      <c r="F12" s="201" t="inlineStr">
        <is>
          <t>Non-renewable</t>
        </is>
      </c>
      <c r="U12" s="25" t="inlineStr">
        <is>
          <t>MWh/g</t>
        </is>
      </c>
      <c r="V12" s="1245" t="n">
        <v>3600000000000</v>
      </c>
      <c r="W12" s="1234" t="n">
        <v>3600000000000000</v>
      </c>
      <c r="X12" s="1234" t="n">
        <v>3.6e+18</v>
      </c>
      <c r="Y12" s="1234" t="n">
        <v>3.6e+21</v>
      </c>
      <c r="Z12" s="1234" t="n">
        <v>3600000000</v>
      </c>
      <c r="AA12" s="1234" t="n">
        <v>3600000000000</v>
      </c>
      <c r="AB12" s="1234" t="n">
        <v>3600000000000000</v>
      </c>
      <c r="AC12" s="1234" t="n">
        <v>3.6e+18</v>
      </c>
      <c r="AD12" s="1234" t="n">
        <v>3.6</v>
      </c>
      <c r="AE12" s="1234" t="n">
        <v>3600</v>
      </c>
      <c r="AF12" s="1234" t="n">
        <v>3600000</v>
      </c>
      <c r="AG12" s="1234" t="n">
        <v>3600000000</v>
      </c>
      <c r="AH12" s="1234" t="n">
        <v>1</v>
      </c>
      <c r="AI12" s="1234" t="n">
        <v>1000</v>
      </c>
      <c r="AJ12" s="1234" t="n">
        <v>1000000</v>
      </c>
      <c r="AK12" s="1235" t="n">
        <v>1000000000</v>
      </c>
      <c r="AY12" s="272" t="n"/>
    </row>
    <row r="13" ht="15" customHeight="1" thickBot="1">
      <c r="A13" s="320" t="inlineStr">
        <is>
          <t>Crude oil and distillates</t>
        </is>
      </c>
      <c r="B13" s="162" t="inlineStr">
        <is>
          <t>Liquid</t>
        </is>
      </c>
      <c r="C13" s="673" t="n">
        <v>42.3</v>
      </c>
      <c r="D13" s="132" t="n">
        <v>0.8</v>
      </c>
      <c r="E13" s="265" t="n"/>
      <c r="F13" s="201" t="inlineStr">
        <is>
          <t>Non-renewable</t>
        </is>
      </c>
      <c r="U13" s="25" t="inlineStr">
        <is>
          <t>MWh/Kg</t>
        </is>
      </c>
      <c r="V13" s="1245" t="n">
        <v>3600000000</v>
      </c>
      <c r="W13" s="1234" t="n">
        <v>3600000000000</v>
      </c>
      <c r="X13" s="1234" t="n">
        <v>3600000000000000</v>
      </c>
      <c r="Y13" s="1234" t="n">
        <v>3.6e+18</v>
      </c>
      <c r="Z13" s="1234" t="n">
        <v>3600000</v>
      </c>
      <c r="AA13" s="1234" t="n">
        <v>3600000000</v>
      </c>
      <c r="AB13" s="1234" t="n">
        <v>3600000000000</v>
      </c>
      <c r="AC13" s="1234" t="n">
        <v>3600000000000000</v>
      </c>
      <c r="AD13" s="1234" t="n">
        <v>0.0036</v>
      </c>
      <c r="AE13" s="1234" t="n">
        <v>3.6</v>
      </c>
      <c r="AF13" s="1234" t="n">
        <v>3600</v>
      </c>
      <c r="AG13" s="1234" t="n">
        <v>3600000</v>
      </c>
      <c r="AH13" s="1234" t="n">
        <v>0.001</v>
      </c>
      <c r="AI13" s="1234" t="n">
        <v>1</v>
      </c>
      <c r="AJ13" s="1234" t="n">
        <v>1000</v>
      </c>
      <c r="AK13" s="1235" t="n">
        <v>1000000</v>
      </c>
      <c r="AY13" s="272" t="n"/>
    </row>
    <row r="14">
      <c r="A14" s="320" t="inlineStr">
        <is>
          <t>Ethane</t>
        </is>
      </c>
      <c r="B14" s="162" t="inlineStr">
        <is>
          <t>Gaseous</t>
        </is>
      </c>
      <c r="C14" s="673" t="n">
        <v>46.4</v>
      </c>
      <c r="D14" s="165" t="n"/>
      <c r="E14" s="166" t="n">
        <v>1.3</v>
      </c>
      <c r="F14" s="201" t="inlineStr">
        <is>
          <t>Non-renewable</t>
        </is>
      </c>
      <c r="AY14" s="272" t="n"/>
    </row>
    <row r="15">
      <c r="A15" s="320" t="inlineStr">
        <is>
          <t>Gas coke</t>
        </is>
      </c>
      <c r="B15" s="162" t="inlineStr">
        <is>
          <t>Gaseous</t>
        </is>
      </c>
      <c r="C15" s="673" t="n">
        <v>28.2</v>
      </c>
      <c r="D15" s="165" t="n"/>
      <c r="E15" s="196" t="n">
        <v>0.54</v>
      </c>
      <c r="F15" s="201" t="inlineStr">
        <is>
          <t>Non-renewable</t>
        </is>
      </c>
      <c r="AY15" s="273" t="inlineStr">
        <is>
          <t>f.</t>
        </is>
      </c>
    </row>
    <row r="16">
      <c r="A16" s="320" t="inlineStr">
        <is>
          <t>Gas/Diesel oil</t>
        </is>
      </c>
      <c r="B16" s="162" t="inlineStr">
        <is>
          <t>Liquid</t>
        </is>
      </c>
      <c r="C16" s="673" t="n">
        <v>43</v>
      </c>
      <c r="D16" s="167" t="n">
        <v>0.84</v>
      </c>
      <c r="E16" s="268" t="n"/>
      <c r="F16" s="201" t="inlineStr">
        <is>
          <t>Non-renewable</t>
        </is>
      </c>
      <c r="AY16" s="274" t="n"/>
    </row>
    <row r="17">
      <c r="A17" s="320" t="inlineStr">
        <is>
          <t>Jet gasoline</t>
        </is>
      </c>
      <c r="B17" s="162" t="inlineStr">
        <is>
          <t>Liquid</t>
        </is>
      </c>
      <c r="C17" s="673" t="n">
        <v>44.3</v>
      </c>
      <c r="D17" s="194" t="n">
        <v>0.8100000000000001</v>
      </c>
      <c r="E17" s="265" t="n"/>
      <c r="F17" s="201" t="inlineStr">
        <is>
          <t>Non-renewable</t>
        </is>
      </c>
      <c r="AY17" s="273" t="inlineStr">
        <is>
          <t>g.</t>
        </is>
      </c>
    </row>
    <row r="18">
      <c r="A18" s="320" t="inlineStr">
        <is>
          <t>Jet kerosene</t>
        </is>
      </c>
      <c r="B18" s="162" t="inlineStr">
        <is>
          <t>Liquid</t>
        </is>
      </c>
      <c r="C18" s="673" t="n">
        <v>44.1</v>
      </c>
      <c r="D18" s="132" t="n">
        <v>0.79</v>
      </c>
      <c r="E18" s="265" t="n"/>
      <c r="F18" s="201" t="inlineStr">
        <is>
          <t>Non-renewable</t>
        </is>
      </c>
      <c r="AY18" s="272" t="n"/>
    </row>
    <row r="19">
      <c r="A19" s="320" t="inlineStr">
        <is>
          <t>Kerosene</t>
        </is>
      </c>
      <c r="B19" s="162" t="inlineStr">
        <is>
          <t>Liquid</t>
        </is>
      </c>
      <c r="C19" s="673" t="n">
        <v>43.8</v>
      </c>
      <c r="D19" s="132" t="n">
        <v>0.8</v>
      </c>
      <c r="E19" s="265" t="n"/>
      <c r="F19" s="201" t="inlineStr">
        <is>
          <t>Non-renewable</t>
        </is>
      </c>
      <c r="AY19" s="272" t="n"/>
    </row>
    <row r="20">
      <c r="A20" s="320" t="inlineStr">
        <is>
          <t>Landfill gas</t>
        </is>
      </c>
      <c r="B20" s="162" t="inlineStr">
        <is>
          <t>Gaseous</t>
        </is>
      </c>
      <c r="C20" s="673" t="n">
        <v>50.4</v>
      </c>
      <c r="D20" s="267" t="n"/>
      <c r="E20" s="166" t="n">
        <v>0.9</v>
      </c>
      <c r="F20" s="201" t="inlineStr">
        <is>
          <t>Renewable</t>
        </is>
      </c>
      <c r="AY20" s="272" t="n"/>
    </row>
    <row r="21">
      <c r="A21" s="320" t="inlineStr">
        <is>
          <t>Lignite</t>
        </is>
      </c>
      <c r="B21" s="162" t="inlineStr">
        <is>
          <t>Solid</t>
        </is>
      </c>
      <c r="C21" s="673" t="n">
        <v>11.9</v>
      </c>
      <c r="D21" s="267" t="n"/>
      <c r="E21" s="265" t="n"/>
      <c r="F21" s="201" t="inlineStr">
        <is>
          <t>Non-renewable</t>
        </is>
      </c>
      <c r="AY21" s="272" t="n"/>
    </row>
    <row r="22">
      <c r="A22" s="320" t="inlineStr">
        <is>
          <t>Liquefied Petroleum Gases (LPG)</t>
        </is>
      </c>
      <c r="B22" s="162" t="inlineStr">
        <is>
          <t>Liquid</t>
        </is>
      </c>
      <c r="C22" s="673" t="n">
        <v>47.3</v>
      </c>
      <c r="D22" s="132" t="n">
        <v>0.54</v>
      </c>
      <c r="E22" s="265" t="n"/>
      <c r="F22" s="201" t="inlineStr">
        <is>
          <t>Non-renewable</t>
        </is>
      </c>
      <c r="AY22" s="272" t="n"/>
    </row>
    <row r="23">
      <c r="A23" s="320" t="inlineStr">
        <is>
          <t>Lubricants</t>
        </is>
      </c>
      <c r="B23" s="162" t="inlineStr">
        <is>
          <t>Liquid</t>
        </is>
      </c>
      <c r="C23" s="673" t="n">
        <v>40.2</v>
      </c>
      <c r="D23" s="132" t="n">
        <v>1</v>
      </c>
      <c r="E23" s="265" t="n"/>
      <c r="F23" s="201" t="inlineStr">
        <is>
          <t>Non-renewable</t>
        </is>
      </c>
      <c r="AY23" s="272" t="n"/>
    </row>
    <row r="24">
      <c r="A24" s="320" t="inlineStr">
        <is>
          <t>Methane</t>
        </is>
      </c>
      <c r="B24" s="162" t="inlineStr">
        <is>
          <t>Gaseous</t>
        </is>
      </c>
      <c r="C24" s="194" t="n">
        <v>50</v>
      </c>
      <c r="D24" s="267" t="n"/>
      <c r="E24" s="166" t="n">
        <v>0.67</v>
      </c>
      <c r="F24" s="201" t="inlineStr">
        <is>
          <t>Non-renewable</t>
        </is>
      </c>
      <c r="AY24" s="273" t="inlineStr">
        <is>
          <t>h.</t>
        </is>
      </c>
    </row>
    <row r="25">
      <c r="A25" s="320" t="inlineStr">
        <is>
          <t>Motor gasoline/Petrol</t>
        </is>
      </c>
      <c r="B25" s="162" t="inlineStr">
        <is>
          <t>Liquid</t>
        </is>
      </c>
      <c r="C25" s="673" t="n">
        <v>44.3</v>
      </c>
      <c r="D25" s="132" t="n">
        <v>0.74</v>
      </c>
      <c r="E25" s="265" t="n"/>
      <c r="F25" s="201" t="inlineStr">
        <is>
          <t>Non-renewable</t>
        </is>
      </c>
      <c r="AY25" s="272" t="n"/>
    </row>
    <row r="26">
      <c r="A26" s="320" t="inlineStr">
        <is>
          <t>Municipal wastes (biomass fraction)</t>
        </is>
      </c>
      <c r="B26" s="162" t="inlineStr">
        <is>
          <t>Solid</t>
        </is>
      </c>
      <c r="C26" s="673" t="n">
        <v>11.6</v>
      </c>
      <c r="D26" s="267" t="n"/>
      <c r="E26" s="265" t="n"/>
      <c r="F26" s="201" t="inlineStr">
        <is>
          <t>Renewable</t>
        </is>
      </c>
      <c r="AY26" s="272" t="n"/>
    </row>
    <row r="27">
      <c r="A27" s="321" t="inlineStr">
        <is>
          <t>Municipal wastes (non-biomass fraction)</t>
        </is>
      </c>
      <c r="B27" s="162" t="inlineStr">
        <is>
          <t>Solid</t>
        </is>
      </c>
      <c r="C27" s="673" t="n">
        <v>10</v>
      </c>
      <c r="D27" s="267" t="n"/>
      <c r="E27" s="265" t="n"/>
      <c r="F27" s="201" t="inlineStr">
        <is>
          <t>Non-renewable</t>
        </is>
      </c>
      <c r="AY27" s="272" t="n"/>
    </row>
    <row r="28">
      <c r="A28" s="320" t="inlineStr">
        <is>
          <t>Naphtha</t>
        </is>
      </c>
      <c r="B28" s="162" t="inlineStr">
        <is>
          <t>Liquid</t>
        </is>
      </c>
      <c r="C28" s="673" t="n">
        <v>44.5</v>
      </c>
      <c r="D28" s="132" t="n">
        <v>0.77</v>
      </c>
      <c r="E28" s="265" t="n"/>
      <c r="F28" s="201" t="inlineStr">
        <is>
          <t>Non-renewable</t>
        </is>
      </c>
      <c r="AY28" s="272" t="n"/>
    </row>
    <row r="29">
      <c r="A29" s="320" t="inlineStr">
        <is>
          <t>Natural gas</t>
        </is>
      </c>
      <c r="B29" s="162" t="inlineStr">
        <is>
          <t>Gaseous</t>
        </is>
      </c>
      <c r="C29" s="673" t="n">
        <v>48</v>
      </c>
      <c r="D29" s="267" t="n"/>
      <c r="E29" s="166" t="n">
        <v>0.7</v>
      </c>
      <c r="F29" s="201" t="inlineStr">
        <is>
          <t>Non-renewable</t>
        </is>
      </c>
      <c r="AY29" s="272" t="n"/>
    </row>
    <row r="30">
      <c r="A30" s="320" t="inlineStr">
        <is>
          <t>Natural gas liquids (NGL)</t>
        </is>
      </c>
      <c r="B30" s="162" t="inlineStr">
        <is>
          <t>Liquid</t>
        </is>
      </c>
      <c r="C30" s="673" t="n">
        <v>44.2</v>
      </c>
      <c r="D30" s="132" t="n">
        <v>0.47</v>
      </c>
      <c r="E30" s="265" t="n"/>
      <c r="F30" s="201" t="inlineStr">
        <is>
          <t>Non-renewable</t>
        </is>
      </c>
      <c r="AY30" s="272" t="n"/>
    </row>
    <row r="31">
      <c r="A31" s="320" t="inlineStr">
        <is>
          <t>Oil shale and tar sands</t>
        </is>
      </c>
      <c r="B31" s="162" t="inlineStr">
        <is>
          <t>Liquid</t>
        </is>
      </c>
      <c r="C31" s="673" t="n">
        <v>8.9</v>
      </c>
      <c r="D31" s="194" t="n">
        <v>0.95</v>
      </c>
      <c r="E31" s="265" t="n"/>
      <c r="F31" s="201" t="inlineStr">
        <is>
          <t>Non-renewable</t>
        </is>
      </c>
      <c r="AY31" s="273" t="inlineStr">
        <is>
          <t>i.</t>
        </is>
      </c>
    </row>
    <row r="32">
      <c r="A32" s="320" t="inlineStr">
        <is>
          <t>Orimulsion</t>
        </is>
      </c>
      <c r="B32" s="162" t="inlineStr">
        <is>
          <t>Liquid</t>
        </is>
      </c>
      <c r="C32" s="673" t="n">
        <v>27.5</v>
      </c>
      <c r="D32" s="194" t="n">
        <v>1.13</v>
      </c>
      <c r="E32" s="265" t="n"/>
      <c r="F32" s="201" t="inlineStr">
        <is>
          <t>Non-renewable</t>
        </is>
      </c>
      <c r="AY32" s="273" t="inlineStr">
        <is>
          <t>j.</t>
        </is>
      </c>
    </row>
    <row r="33">
      <c r="A33" s="320" t="inlineStr">
        <is>
          <t>Oxygen steel furnace gas</t>
        </is>
      </c>
      <c r="B33" s="162" t="inlineStr">
        <is>
          <t>Gaseous</t>
        </is>
      </c>
      <c r="C33" s="673" t="n">
        <v>7.06</v>
      </c>
      <c r="D33" s="267" t="n"/>
      <c r="E33" s="196" t="n">
        <v>1.33</v>
      </c>
      <c r="F33" s="201" t="inlineStr">
        <is>
          <t>Non-renewable</t>
        </is>
      </c>
      <c r="AY33" s="273" t="inlineStr">
        <is>
          <t>k.</t>
        </is>
      </c>
    </row>
    <row r="34">
      <c r="A34" s="320" t="inlineStr">
        <is>
          <t>Paraffin waxes</t>
        </is>
      </c>
      <c r="B34" s="162" t="inlineStr">
        <is>
          <t>Solid</t>
        </is>
      </c>
      <c r="C34" s="673" t="n">
        <v>40.2</v>
      </c>
      <c r="D34" s="267" t="n"/>
      <c r="E34" s="265" t="n"/>
      <c r="F34" s="201" t="inlineStr">
        <is>
          <t>Non-renewable</t>
        </is>
      </c>
      <c r="AY34" s="272" t="n"/>
    </row>
    <row r="35">
      <c r="A35" s="320" t="inlineStr">
        <is>
          <t>Patent fuel</t>
        </is>
      </c>
      <c r="B35" s="162" t="inlineStr">
        <is>
          <t>Solid</t>
        </is>
      </c>
      <c r="C35" s="673" t="n">
        <v>20.7</v>
      </c>
      <c r="D35" s="267" t="n"/>
      <c r="E35" s="265" t="n"/>
      <c r="F35" s="201" t="inlineStr">
        <is>
          <t>Non-renewable</t>
        </is>
      </c>
      <c r="AY35" s="272" t="n"/>
    </row>
    <row r="36">
      <c r="A36" s="320" t="inlineStr">
        <is>
          <t>Peat</t>
        </is>
      </c>
      <c r="B36" s="162" t="inlineStr">
        <is>
          <t>Solid</t>
        </is>
      </c>
      <c r="C36" s="673" t="n">
        <v>9.76</v>
      </c>
      <c r="D36" s="267" t="n"/>
      <c r="E36" s="265" t="n"/>
      <c r="F36" s="201" t="inlineStr">
        <is>
          <t>Non-renewable</t>
        </is>
      </c>
      <c r="AY36" s="272" t="n"/>
    </row>
    <row r="37">
      <c r="A37" s="320" t="inlineStr">
        <is>
          <t>Petroleum coke</t>
        </is>
      </c>
      <c r="B37" s="162" t="inlineStr">
        <is>
          <t>Solid</t>
        </is>
      </c>
      <c r="C37" s="673" t="n">
        <v>32.5</v>
      </c>
      <c r="D37" s="267" t="n"/>
      <c r="E37" s="265" t="n"/>
      <c r="F37" s="201" t="inlineStr">
        <is>
          <t>Non-renewable</t>
        </is>
      </c>
      <c r="AY37" s="272" t="n"/>
    </row>
    <row r="38">
      <c r="A38" s="320" t="inlineStr">
        <is>
          <t>Propane</t>
        </is>
      </c>
      <c r="B38" s="162" t="inlineStr">
        <is>
          <t>Gaseous</t>
        </is>
      </c>
      <c r="C38" s="194" t="n">
        <v>46.32</v>
      </c>
      <c r="D38" s="267" t="n"/>
      <c r="E38" s="166" t="n">
        <v>1.9</v>
      </c>
      <c r="F38" s="201" t="inlineStr">
        <is>
          <t>Non-renewable</t>
        </is>
      </c>
      <c r="AY38" s="273" t="inlineStr">
        <is>
          <t>l.</t>
        </is>
      </c>
    </row>
    <row r="39">
      <c r="A39" s="320" t="inlineStr">
        <is>
          <t>Refinery feedstocks</t>
        </is>
      </c>
      <c r="B39" s="162" t="inlineStr">
        <is>
          <t>Liquid</t>
        </is>
      </c>
      <c r="C39" s="673" t="n">
        <v>43</v>
      </c>
      <c r="D39" s="194" t="n">
        <v>0.825</v>
      </c>
      <c r="E39" s="265" t="n"/>
      <c r="F39" s="201" t="inlineStr">
        <is>
          <t>Non-renewable</t>
        </is>
      </c>
      <c r="AY39" s="273" t="inlineStr">
        <is>
          <t>m.</t>
        </is>
      </c>
    </row>
    <row r="40">
      <c r="A40" s="320" t="inlineStr">
        <is>
          <t>Refinery Gas</t>
        </is>
      </c>
      <c r="B40" s="162" t="inlineStr">
        <is>
          <t>Gaseous</t>
        </is>
      </c>
      <c r="C40" s="673" t="n">
        <v>49.5</v>
      </c>
      <c r="D40" s="267" t="n"/>
      <c r="E40" s="196" t="n">
        <v>0.88</v>
      </c>
      <c r="F40" s="201" t="inlineStr">
        <is>
          <t>Non-renewable</t>
        </is>
      </c>
      <c r="AY40" s="273" t="inlineStr">
        <is>
          <t>n.</t>
        </is>
      </c>
    </row>
    <row r="41">
      <c r="A41" s="320" t="inlineStr">
        <is>
          <t>Residual fuel oil</t>
        </is>
      </c>
      <c r="B41" s="162" t="inlineStr">
        <is>
          <t>Liquid</t>
        </is>
      </c>
      <c r="C41" s="673" t="n">
        <v>40.4</v>
      </c>
      <c r="D41" s="132" t="n">
        <v>0.9399999999999999</v>
      </c>
      <c r="E41" s="265" t="n"/>
      <c r="F41" s="201" t="inlineStr">
        <is>
          <t>Non-renewable</t>
        </is>
      </c>
      <c r="AY41" s="272" t="n"/>
    </row>
    <row r="42">
      <c r="A42" s="320" t="inlineStr">
        <is>
          <t>Shale oil (liquid)</t>
        </is>
      </c>
      <c r="B42" s="162" t="inlineStr">
        <is>
          <t>Liquid</t>
        </is>
      </c>
      <c r="C42" s="673" t="n">
        <v>38.1</v>
      </c>
      <c r="D42" s="132" t="n">
        <v>1</v>
      </c>
      <c r="E42" s="265" t="n"/>
      <c r="F42" s="201" t="inlineStr">
        <is>
          <t>Non-renewable</t>
        </is>
      </c>
      <c r="AY42" s="272" t="n"/>
    </row>
    <row r="43">
      <c r="A43" s="320" t="inlineStr">
        <is>
          <t>Sludge gas</t>
        </is>
      </c>
      <c r="B43" s="162" t="inlineStr">
        <is>
          <t>Gaseous</t>
        </is>
      </c>
      <c r="C43" s="673" t="n">
        <v>50.4</v>
      </c>
      <c r="D43" s="267" t="n"/>
      <c r="E43" s="166" t="n">
        <v>0.67</v>
      </c>
      <c r="F43" s="201" t="inlineStr">
        <is>
          <t>Renewable</t>
        </is>
      </c>
      <c r="AY43" s="272" t="n"/>
    </row>
    <row r="44">
      <c r="A44" s="320" t="inlineStr">
        <is>
          <t>Sub-bituminous coal</t>
        </is>
      </c>
      <c r="B44" s="162" t="inlineStr">
        <is>
          <t>Solid</t>
        </is>
      </c>
      <c r="C44" s="673" t="n">
        <v>18.9</v>
      </c>
      <c r="D44" s="267" t="n"/>
      <c r="E44" s="265" t="n"/>
      <c r="F44" s="201" t="inlineStr">
        <is>
          <t>Non-renewable</t>
        </is>
      </c>
      <c r="AY44" s="272" t="n"/>
    </row>
    <row r="45">
      <c r="A45" s="320" t="inlineStr">
        <is>
          <t>Sulphite lyes (black liquor)</t>
        </is>
      </c>
      <c r="B45" s="162" t="inlineStr">
        <is>
          <t>Liquid</t>
        </is>
      </c>
      <c r="C45" s="673" t="n">
        <v>11.8</v>
      </c>
      <c r="D45" s="194" t="n">
        <v>1.2</v>
      </c>
      <c r="E45" s="265" t="n"/>
      <c r="F45" s="201" t="inlineStr">
        <is>
          <t>Renewable</t>
        </is>
      </c>
      <c r="AY45" s="273" t="inlineStr">
        <is>
          <t>o.</t>
        </is>
      </c>
    </row>
    <row r="46">
      <c r="A46" s="320" t="inlineStr">
        <is>
          <t>Turpentine</t>
        </is>
      </c>
      <c r="B46" s="162" t="inlineStr">
        <is>
          <t>Liquid</t>
        </is>
      </c>
      <c r="C46" s="194" t="n">
        <v>44.4</v>
      </c>
      <c r="D46" s="132" t="n">
        <v>0.87</v>
      </c>
      <c r="E46" s="265" t="n"/>
      <c r="F46" s="201" t="inlineStr">
        <is>
          <t>Renewable</t>
        </is>
      </c>
      <c r="AY46" s="273" t="inlineStr">
        <is>
          <t>p.</t>
        </is>
      </c>
    </row>
    <row r="47">
      <c r="A47" s="320" t="inlineStr">
        <is>
          <t>Vegetable oils</t>
        </is>
      </c>
      <c r="B47" s="162" t="inlineStr">
        <is>
          <t>Liquid</t>
        </is>
      </c>
      <c r="C47" s="194" t="n">
        <v>37.8</v>
      </c>
      <c r="D47" s="132" t="n">
        <v>0.9</v>
      </c>
      <c r="E47" s="265" t="n"/>
      <c r="F47" s="201" t="inlineStr">
        <is>
          <t>Non-renewable</t>
        </is>
      </c>
      <c r="AY47" s="273" t="inlineStr">
        <is>
          <t>q.</t>
        </is>
      </c>
    </row>
    <row r="48">
      <c r="A48" s="320" t="inlineStr">
        <is>
          <t>Waste oils</t>
        </is>
      </c>
      <c r="B48" s="162" t="inlineStr">
        <is>
          <t>Liquid</t>
        </is>
      </c>
      <c r="C48" s="673" t="n">
        <v>40.2</v>
      </c>
      <c r="D48" s="194" t="n">
        <v>0.8</v>
      </c>
      <c r="E48" s="265" t="n"/>
      <c r="F48" s="201" t="inlineStr">
        <is>
          <t>Non-renewable</t>
        </is>
      </c>
      <c r="AY48" s="273" t="inlineStr">
        <is>
          <t>r.</t>
        </is>
      </c>
    </row>
    <row r="49">
      <c r="A49" s="320" t="inlineStr">
        <is>
          <t>Waste water treatment biogas</t>
        </is>
      </c>
      <c r="B49" s="162" t="inlineStr">
        <is>
          <t>Gaseous</t>
        </is>
      </c>
      <c r="C49" s="194" t="n">
        <v>35</v>
      </c>
      <c r="D49" s="267" t="n"/>
      <c r="E49" s="166" t="n">
        <v>0.9</v>
      </c>
      <c r="F49" s="201" t="inlineStr">
        <is>
          <t>Renewable</t>
        </is>
      </c>
      <c r="AY49" s="273" t="inlineStr">
        <is>
          <t>s.</t>
        </is>
      </c>
    </row>
    <row r="50">
      <c r="A50" s="320" t="inlineStr">
        <is>
          <t>White Spirit &amp; SBP</t>
        </is>
      </c>
      <c r="B50" s="162" t="inlineStr">
        <is>
          <t>Liquid</t>
        </is>
      </c>
      <c r="C50" s="673" t="n">
        <v>40.2</v>
      </c>
      <c r="D50" s="194" t="n">
        <v>0.75</v>
      </c>
      <c r="E50" s="265" t="n"/>
      <c r="F50" s="201" t="inlineStr">
        <is>
          <t>Non-renewable</t>
        </is>
      </c>
      <c r="AY50" s="273" t="inlineStr">
        <is>
          <t>t.</t>
        </is>
      </c>
    </row>
    <row r="51">
      <c r="A51" s="322" t="inlineStr">
        <is>
          <t>Wood/Wood waste</t>
        </is>
      </c>
      <c r="B51" s="162" t="inlineStr">
        <is>
          <t>Solid</t>
        </is>
      </c>
      <c r="C51" s="168" t="n">
        <v>15.6</v>
      </c>
      <c r="D51" s="269" t="n"/>
      <c r="E51" s="270" t="n"/>
      <c r="F51" s="201" t="inlineStr">
        <is>
          <t>Renewable</t>
        </is>
      </c>
      <c r="AY51" s="272" t="n"/>
    </row>
    <row r="52">
      <c r="A52" s="169" t="inlineStr">
        <is>
          <t>Other 1</t>
        </is>
      </c>
      <c r="B52" s="170" t="n"/>
      <c r="C52" s="170" t="n"/>
      <c r="D52" s="170" t="n"/>
      <c r="E52" s="197" t="n"/>
      <c r="F52" s="170" t="n"/>
      <c r="AY52" s="272" t="n"/>
    </row>
    <row r="53">
      <c r="A53" s="169" t="inlineStr">
        <is>
          <t>Other 2</t>
        </is>
      </c>
      <c r="B53" s="170" t="n"/>
      <c r="C53" s="170" t="n"/>
      <c r="D53" s="170" t="n"/>
      <c r="E53" s="197" t="n"/>
      <c r="F53" s="170" t="n"/>
      <c r="AY53" s="272" t="n"/>
    </row>
    <row r="54">
      <c r="A54" s="169" t="inlineStr">
        <is>
          <t>Other 3</t>
        </is>
      </c>
      <c r="B54" s="170" t="n"/>
      <c r="C54" s="170" t="n"/>
      <c r="D54" s="170" t="n"/>
      <c r="E54" s="197" t="n"/>
      <c r="F54" s="170" t="n"/>
      <c r="AY54" s="272" t="n"/>
    </row>
    <row r="55">
      <c r="A55" s="169" t="inlineStr">
        <is>
          <t>Other 4</t>
        </is>
      </c>
      <c r="B55" s="170" t="n"/>
      <c r="C55" s="170" t="n"/>
      <c r="D55" s="170" t="n"/>
      <c r="E55" s="197" t="n"/>
      <c r="F55" s="170" t="n"/>
      <c r="AY55" s="272" t="n"/>
    </row>
    <row r="56">
      <c r="A56" s="169" t="inlineStr">
        <is>
          <t>Other 5</t>
        </is>
      </c>
      <c r="B56" s="170" t="n"/>
      <c r="C56" s="170" t="n"/>
      <c r="D56" s="170" t="n"/>
      <c r="E56" s="197" t="n"/>
      <c r="F56" s="170" t="n"/>
      <c r="AY56" s="272" t="n"/>
    </row>
    <row r="57">
      <c r="A57" s="169" t="inlineStr">
        <is>
          <t>Other 6</t>
        </is>
      </c>
      <c r="B57" s="170" t="n"/>
      <c r="C57" s="170" t="n"/>
      <c r="D57" s="170" t="n"/>
      <c r="E57" s="197" t="n"/>
      <c r="F57" s="170" t="n"/>
      <c r="AY57" s="272" t="n"/>
    </row>
    <row r="58">
      <c r="A58" s="169" t="inlineStr">
        <is>
          <t>Other 7</t>
        </is>
      </c>
      <c r="B58" s="170" t="n"/>
      <c r="C58" s="170" t="n"/>
      <c r="D58" s="170" t="n"/>
      <c r="E58" s="197" t="n"/>
      <c r="F58" s="170" t="n"/>
      <c r="AY58" s="272" t="n"/>
    </row>
    <row r="59">
      <c r="A59" s="169" t="inlineStr">
        <is>
          <t>Other 8</t>
        </is>
      </c>
      <c r="B59" s="170" t="n"/>
      <c r="C59" s="170" t="n"/>
      <c r="D59" s="170" t="n"/>
      <c r="E59" s="197" t="n"/>
      <c r="F59" s="170" t="n"/>
      <c r="AY59" s="272" t="n"/>
    </row>
    <row r="60">
      <c r="A60" s="169" t="inlineStr">
        <is>
          <t>Other 9</t>
        </is>
      </c>
      <c r="B60" s="170" t="n"/>
      <c r="C60" s="170" t="n"/>
      <c r="D60" s="170" t="n"/>
      <c r="E60" s="197" t="n"/>
      <c r="F60" s="170" t="n"/>
      <c r="AY60" s="272" t="n"/>
    </row>
    <row r="61" ht="15" customHeight="1" thickBot="1">
      <c r="A61" s="202" t="inlineStr">
        <is>
          <t>Other 10</t>
        </is>
      </c>
      <c r="B61" s="170" t="n"/>
      <c r="C61" s="203" t="n"/>
      <c r="D61" s="203" t="n"/>
      <c r="E61" s="204" t="n"/>
      <c r="F61" s="170" t="n"/>
      <c r="AY61" s="272" t="n"/>
    </row>
    <row r="62">
      <c r="A62" s="1246" t="inlineStr">
        <is>
          <t>Main sources (density and NCV values in white cells):</t>
        </is>
      </c>
      <c r="B62" s="1143" t="n"/>
      <c r="C62" s="1143" t="n"/>
      <c r="D62" s="1143" t="n"/>
      <c r="E62" s="1143" t="n"/>
      <c r="F62" s="1143" t="n"/>
      <c r="G62" s="1143" t="n"/>
      <c r="H62" s="1143" t="n"/>
      <c r="I62" s="1143" t="n"/>
      <c r="J62" s="1143" t="n"/>
      <c r="K62" s="1143" t="n"/>
      <c r="L62" s="1143" t="n"/>
      <c r="M62" s="1143" t="n"/>
      <c r="N62" s="1143" t="n"/>
      <c r="O62" s="1143" t="n"/>
      <c r="P62" s="1143" t="n"/>
      <c r="Q62" s="1143" t="n"/>
      <c r="R62" s="1143" t="n"/>
      <c r="S62" s="1143" t="n"/>
      <c r="T62" s="1143" t="n"/>
      <c r="U62" s="1143" t="n"/>
      <c r="V62" s="1143" t="n"/>
      <c r="W62" s="1143" t="n"/>
      <c r="X62" s="1143" t="n"/>
      <c r="Y62" s="1143" t="n"/>
      <c r="Z62" s="1143" t="n"/>
      <c r="AA62" s="1143" t="n"/>
      <c r="AB62" s="1143" t="n"/>
      <c r="AC62" s="1143" t="n"/>
      <c r="AD62" s="1143" t="n"/>
      <c r="AE62" s="1143" t="n"/>
      <c r="AF62" s="1143" t="n"/>
      <c r="AG62" s="1143" t="n"/>
      <c r="AH62" s="1143" t="n"/>
      <c r="AI62" s="1143" t="n"/>
      <c r="AJ62" s="1143" t="n"/>
      <c r="AK62" s="1143" t="n"/>
      <c r="AL62" s="1143" t="n"/>
      <c r="AM62" s="1143" t="n"/>
      <c r="AN62" s="1143" t="n"/>
      <c r="AO62" s="1143" t="n"/>
      <c r="AP62" s="1143" t="n"/>
      <c r="AQ62" s="1143" t="n"/>
      <c r="AR62" s="1143" t="n"/>
      <c r="AS62" s="1143" t="n"/>
      <c r="AT62" s="1143" t="n"/>
      <c r="AU62" s="1143" t="n"/>
      <c r="AV62" s="1143" t="n"/>
      <c r="AW62" s="1143" t="n"/>
      <c r="AX62" s="1143" t="n"/>
      <c r="AY62" s="1247" t="n"/>
    </row>
    <row r="63" ht="43.95" customHeight="1">
      <c r="A63" s="1248"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1249" t="n"/>
    </row>
    <row r="64">
      <c r="A64" s="1250" t="inlineStr">
        <is>
          <t>available at: https://cdn.cdp.net/cdp-production/cms/guidance_docs/pdfs/000/000/477/original/CDP-Conversion-of-fuel-data-to-MWh.pdf?1479755175.</t>
        </is>
      </c>
      <c r="B64" s="508" t="n"/>
      <c r="C64" s="508" t="n"/>
      <c r="D64" s="508" t="n"/>
      <c r="E64" s="508" t="n"/>
      <c r="F64" s="508" t="n"/>
      <c r="G64" s="508" t="n"/>
      <c r="H64" s="508" t="n"/>
      <c r="I64" s="508" t="n"/>
      <c r="J64" s="508" t="n"/>
      <c r="K64" s="508" t="n"/>
      <c r="L64" s="508" t="n"/>
      <c r="M64" s="508" t="n"/>
      <c r="N64" s="508" t="n"/>
      <c r="O64" s="508" t="n"/>
      <c r="P64" s="508" t="n"/>
      <c r="Q64" s="508" t="n"/>
      <c r="R64" s="508" t="n"/>
      <c r="S64" s="508" t="n"/>
      <c r="T64" s="508" t="n"/>
      <c r="U64" s="508" t="n"/>
      <c r="V64" s="508" t="n"/>
      <c r="W64" s="508" t="n"/>
      <c r="X64" s="508" t="n"/>
      <c r="Y64" s="508" t="n"/>
      <c r="Z64" s="508" t="n"/>
      <c r="AA64" s="508" t="n"/>
      <c r="AB64" s="508" t="n"/>
      <c r="AC64" s="508" t="n"/>
      <c r="AD64" s="508" t="n"/>
      <c r="AE64" s="508" t="n"/>
      <c r="AF64" s="508" t="n"/>
      <c r="AG64" s="508" t="n"/>
      <c r="AH64" s="508" t="n"/>
      <c r="AI64" s="508" t="n"/>
      <c r="AJ64" s="508" t="n"/>
      <c r="AK64" s="508" t="n"/>
      <c r="AL64" s="508" t="n"/>
      <c r="AM64" s="508" t="n"/>
      <c r="AN64" s="508" t="n"/>
      <c r="AO64" s="508" t="n"/>
      <c r="AP64" s="508" t="n"/>
      <c r="AQ64" s="508" t="n"/>
      <c r="AR64" s="508" t="n"/>
      <c r="AS64" s="508" t="n"/>
      <c r="AT64" s="508" t="n"/>
      <c r="AU64" s="508" t="n"/>
      <c r="AV64" s="508" t="n"/>
      <c r="AW64" s="508" t="n"/>
      <c r="AX64" s="508" t="n"/>
      <c r="AY64" s="1148" t="n"/>
    </row>
    <row r="65">
      <c r="A65" s="1251" t="inlineStr">
        <is>
          <t>Additional sources (density and NCV values in red cells):</t>
        </is>
      </c>
      <c r="AY65" s="1249" t="n"/>
    </row>
    <row r="66">
      <c r="A66" s="1252" t="inlineStr">
        <is>
          <t>- a. Typical Density of Biogasoline,</t>
        </is>
      </c>
      <c r="B66" s="1115" t="n"/>
      <c r="C66" s="1115" t="n"/>
      <c r="D66" s="1115" t="n"/>
      <c r="E66" s="1115" t="n"/>
      <c r="F66" s="1115" t="n"/>
      <c r="G66" s="1115" t="n"/>
      <c r="H66" s="1115" t="n"/>
      <c r="I66" s="1115" t="n"/>
      <c r="J66" s="1115" t="n"/>
      <c r="K66" s="1115" t="n"/>
      <c r="L66" s="1115" t="n"/>
      <c r="M66" s="1115" t="n"/>
      <c r="N66" s="1115" t="n"/>
      <c r="O66" s="1115" t="n"/>
      <c r="P66" s="1115" t="n"/>
      <c r="Q66" s="1115" t="n"/>
      <c r="R66" s="1115" t="n"/>
      <c r="S66" s="1115" t="n"/>
      <c r="T66" s="1115" t="n"/>
      <c r="U66" s="1115" t="n"/>
      <c r="V66" s="1115" t="n"/>
      <c r="W66" s="1115" t="n"/>
      <c r="X66" s="1115" t="n"/>
      <c r="Y66" s="1115" t="n"/>
      <c r="Z66" s="1115" t="n"/>
      <c r="AA66" s="1115" t="n"/>
      <c r="AB66" s="1115" t="n"/>
      <c r="AC66" s="1115" t="n"/>
      <c r="AD66" s="1115" t="n"/>
      <c r="AE66" s="1115" t="n"/>
      <c r="AF66" s="1115" t="n"/>
      <c r="AG66" s="1115" t="n"/>
      <c r="AH66" s="1115" t="n"/>
      <c r="AI66" s="1115" t="n"/>
      <c r="AJ66" s="1115" t="n"/>
      <c r="AK66" s="1115" t="n"/>
      <c r="AL66" s="1115" t="n"/>
      <c r="AM66" s="1115" t="n"/>
      <c r="AN66" s="1115" t="n"/>
      <c r="AO66" s="1115" t="n"/>
      <c r="AP66" s="1115" t="n"/>
      <c r="AQ66" s="1115" t="n"/>
      <c r="AR66" s="1115" t="n"/>
      <c r="AS66" s="1115" t="n"/>
      <c r="AT66" s="1115" t="n"/>
      <c r="AU66" s="1115" t="n"/>
      <c r="AV66" s="1115" t="n"/>
      <c r="AW66" s="1115" t="n"/>
      <c r="AX66" s="1115" t="n"/>
      <c r="AY66" s="1253" t="n"/>
    </row>
    <row r="67">
      <c r="A67" s="1254" t="inlineStr">
        <is>
          <t>available at: https://www.engineeringtoolbox.com/gasoline-density-specific-heat-dynamic-kinematic-viscosity-thermal-conductivity-vs-temperature-d_2224.html;</t>
        </is>
      </c>
      <c r="B67" s="508" t="n"/>
      <c r="C67" s="508" t="n"/>
      <c r="D67" s="508" t="n"/>
      <c r="E67" s="508" t="n"/>
      <c r="F67" s="508" t="n"/>
      <c r="G67" s="508" t="n"/>
      <c r="H67" s="508" t="n"/>
      <c r="I67" s="508" t="n"/>
      <c r="J67" s="508" t="n"/>
      <c r="K67" s="508" t="n"/>
      <c r="L67" s="508" t="n"/>
      <c r="M67" s="508" t="n"/>
      <c r="N67" s="508" t="n"/>
      <c r="O67" s="508" t="n"/>
      <c r="P67" s="508" t="n"/>
      <c r="Q67" s="508" t="n"/>
      <c r="R67" s="508" t="n"/>
      <c r="S67" s="508" t="n"/>
      <c r="T67" s="508" t="n"/>
      <c r="U67" s="508" t="n"/>
      <c r="V67" s="508" t="n"/>
      <c r="W67" s="508" t="n"/>
      <c r="X67" s="508" t="n"/>
      <c r="Y67" s="508" t="n"/>
      <c r="Z67" s="508" t="n"/>
      <c r="AA67" s="508" t="n"/>
      <c r="AB67" s="508" t="n"/>
      <c r="AC67" s="508" t="n"/>
      <c r="AD67" s="508" t="n"/>
      <c r="AE67" s="508" t="n"/>
      <c r="AF67" s="508" t="n"/>
      <c r="AG67" s="508" t="n"/>
      <c r="AH67" s="508" t="n"/>
      <c r="AI67" s="508" t="n"/>
      <c r="AJ67" s="508" t="n"/>
      <c r="AK67" s="508" t="n"/>
      <c r="AL67" s="508" t="n"/>
      <c r="AM67" s="508" t="n"/>
      <c r="AN67" s="508" t="n"/>
      <c r="AO67" s="508" t="n"/>
      <c r="AP67" s="508" t="n"/>
      <c r="AQ67" s="508" t="n"/>
      <c r="AR67" s="508" t="n"/>
      <c r="AS67" s="508" t="n"/>
      <c r="AT67" s="508" t="n"/>
      <c r="AU67" s="508" t="n"/>
      <c r="AV67" s="508" t="n"/>
      <c r="AW67" s="508" t="n"/>
      <c r="AX67" s="508" t="n"/>
      <c r="AY67" s="1148" t="n"/>
    </row>
    <row r="68">
      <c r="A68" s="1252" t="inlineStr">
        <is>
          <t>- b. Typical Density of Bitumen,</t>
        </is>
      </c>
      <c r="B68" s="1115" t="n"/>
      <c r="C68" s="1115" t="n"/>
      <c r="D68" s="1115" t="n"/>
      <c r="E68" s="1115" t="n"/>
      <c r="F68" s="1115" t="n"/>
      <c r="G68" s="1115" t="n"/>
      <c r="H68" s="1115" t="n"/>
      <c r="I68" s="1115" t="n"/>
      <c r="J68" s="1115" t="n"/>
      <c r="K68" s="1115" t="n"/>
      <c r="L68" s="1115" t="n"/>
      <c r="M68" s="1115" t="n"/>
      <c r="N68" s="1115" t="n"/>
      <c r="O68" s="1115" t="n"/>
      <c r="P68" s="1115" t="n"/>
      <c r="Q68" s="1115" t="n"/>
      <c r="R68" s="1115" t="n"/>
      <c r="S68" s="1115" t="n"/>
      <c r="T68" s="1115" t="n"/>
      <c r="U68" s="1115" t="n"/>
      <c r="V68" s="1115" t="n"/>
      <c r="W68" s="1115" t="n"/>
      <c r="X68" s="1115" t="n"/>
      <c r="Y68" s="1115" t="n"/>
      <c r="Z68" s="1115" t="n"/>
      <c r="AA68" s="1115" t="n"/>
      <c r="AB68" s="1115" t="n"/>
      <c r="AC68" s="1115" t="n"/>
      <c r="AD68" s="1115" t="n"/>
      <c r="AE68" s="1115" t="n"/>
      <c r="AF68" s="1115" t="n"/>
      <c r="AG68" s="1115" t="n"/>
      <c r="AH68" s="1115" t="n"/>
      <c r="AI68" s="1115" t="n"/>
      <c r="AJ68" s="1115" t="n"/>
      <c r="AK68" s="1115" t="n"/>
      <c r="AL68" s="1115" t="n"/>
      <c r="AM68" s="1115" t="n"/>
      <c r="AN68" s="1115" t="n"/>
      <c r="AO68" s="1115" t="n"/>
      <c r="AP68" s="1115" t="n"/>
      <c r="AQ68" s="1115" t="n"/>
      <c r="AR68" s="1115" t="n"/>
      <c r="AS68" s="1115" t="n"/>
      <c r="AT68" s="1115" t="n"/>
      <c r="AU68" s="1115" t="n"/>
      <c r="AV68" s="1115" t="n"/>
      <c r="AW68" s="1115" t="n"/>
      <c r="AX68" s="1115" t="n"/>
      <c r="AY68" s="1253" t="n"/>
    </row>
    <row r="69">
      <c r="A69" s="1254" t="inlineStr">
        <is>
          <t>available at: https://atdmco.com/wiki-density-of-bitumen/;</t>
        </is>
      </c>
      <c r="B69" s="508" t="n"/>
      <c r="C69" s="508" t="n"/>
      <c r="D69" s="508" t="n"/>
      <c r="E69" s="508" t="n"/>
      <c r="F69" s="508" t="n"/>
      <c r="G69" s="508" t="n"/>
      <c r="H69" s="508" t="n"/>
      <c r="I69" s="508" t="n"/>
      <c r="J69" s="508" t="n"/>
      <c r="K69" s="508" t="n"/>
      <c r="L69" s="508" t="n"/>
      <c r="M69" s="508" t="n"/>
      <c r="N69" s="508" t="n"/>
      <c r="O69" s="508" t="n"/>
      <c r="P69" s="508" t="n"/>
      <c r="Q69" s="508" t="n"/>
      <c r="R69" s="508" t="n"/>
      <c r="S69" s="508" t="n"/>
      <c r="T69" s="508" t="n"/>
      <c r="U69" s="508" t="n"/>
      <c r="V69" s="508" t="n"/>
      <c r="W69" s="508" t="n"/>
      <c r="X69" s="508" t="n"/>
      <c r="Y69" s="508" t="n"/>
      <c r="Z69" s="508" t="n"/>
      <c r="AA69" s="508" t="n"/>
      <c r="AB69" s="508" t="n"/>
      <c r="AC69" s="508" t="n"/>
      <c r="AD69" s="508" t="n"/>
      <c r="AE69" s="508" t="n"/>
      <c r="AF69" s="508" t="n"/>
      <c r="AG69" s="508" t="n"/>
      <c r="AH69" s="508" t="n"/>
      <c r="AI69" s="508" t="n"/>
      <c r="AJ69" s="508" t="n"/>
      <c r="AK69" s="508" t="n"/>
      <c r="AL69" s="508" t="n"/>
      <c r="AM69" s="508" t="n"/>
      <c r="AN69" s="508" t="n"/>
      <c r="AO69" s="508" t="n"/>
      <c r="AP69" s="508" t="n"/>
      <c r="AQ69" s="508" t="n"/>
      <c r="AR69" s="508" t="n"/>
      <c r="AS69" s="508" t="n"/>
      <c r="AT69" s="508" t="n"/>
      <c r="AU69" s="508" t="n"/>
      <c r="AV69" s="508" t="n"/>
      <c r="AW69" s="508" t="n"/>
      <c r="AX69" s="508" t="n"/>
      <c r="AY69" s="1148" t="n"/>
    </row>
    <row r="70">
      <c r="A70" s="1252" t="inlineStr">
        <is>
          <t>- c. Typical Density of Blast furnace gas,</t>
        </is>
      </c>
      <c r="B70" s="1115" t="n"/>
      <c r="C70" s="1115" t="n"/>
      <c r="D70" s="1115" t="n"/>
      <c r="E70" s="1115" t="n"/>
      <c r="F70" s="1115" t="n"/>
      <c r="G70" s="1115" t="n"/>
      <c r="H70" s="1115" t="n"/>
      <c r="I70" s="1115" t="n"/>
      <c r="J70" s="1115" t="n"/>
      <c r="K70" s="1115" t="n"/>
      <c r="L70" s="1115" t="n"/>
      <c r="M70" s="1115" t="n"/>
      <c r="N70" s="1115" t="n"/>
      <c r="O70" s="1115" t="n"/>
      <c r="P70" s="1115" t="n"/>
      <c r="Q70" s="1115" t="n"/>
      <c r="R70" s="1115" t="n"/>
      <c r="S70" s="1115" t="n"/>
      <c r="T70" s="1115" t="n"/>
      <c r="U70" s="1115" t="n"/>
      <c r="V70" s="1115" t="n"/>
      <c r="W70" s="1115" t="n"/>
      <c r="X70" s="1115" t="n"/>
      <c r="Y70" s="1115" t="n"/>
      <c r="Z70" s="1115" t="n"/>
      <c r="AA70" s="1115" t="n"/>
      <c r="AB70" s="1115" t="n"/>
      <c r="AC70" s="1115" t="n"/>
      <c r="AD70" s="1115" t="n"/>
      <c r="AE70" s="1115" t="n"/>
      <c r="AF70" s="1115" t="n"/>
      <c r="AG70" s="1115" t="n"/>
      <c r="AH70" s="1115" t="n"/>
      <c r="AI70" s="1115" t="n"/>
      <c r="AJ70" s="1115" t="n"/>
      <c r="AK70" s="1115" t="n"/>
      <c r="AL70" s="1115" t="n"/>
      <c r="AM70" s="1115" t="n"/>
      <c r="AN70" s="1115" t="n"/>
      <c r="AO70" s="1115" t="n"/>
      <c r="AP70" s="1115" t="n"/>
      <c r="AQ70" s="1115" t="n"/>
      <c r="AR70" s="1115" t="n"/>
      <c r="AS70" s="1115" t="n"/>
      <c r="AT70" s="1115" t="n"/>
      <c r="AU70" s="1115" t="n"/>
      <c r="AV70" s="1115" t="n"/>
      <c r="AW70" s="1115" t="n"/>
      <c r="AX70" s="1115" t="n"/>
      <c r="AY70" s="1253" t="n"/>
    </row>
    <row r="71">
      <c r="A71" s="1254" t="inlineStr">
        <is>
          <t>available at: https://engineeringtoolbox.com/gas-density-d_158.html;</t>
        </is>
      </c>
      <c r="B71" s="508" t="n"/>
      <c r="C71" s="508" t="n"/>
      <c r="D71" s="508" t="n"/>
      <c r="E71" s="508" t="n"/>
      <c r="F71" s="508" t="n"/>
      <c r="G71" s="508" t="n"/>
      <c r="H71" s="508" t="n"/>
      <c r="I71" s="508" t="n"/>
      <c r="J71" s="508" t="n"/>
      <c r="K71" s="508" t="n"/>
      <c r="L71" s="508" t="n"/>
      <c r="M71" s="508" t="n"/>
      <c r="N71" s="508" t="n"/>
      <c r="O71" s="508" t="n"/>
      <c r="P71" s="508" t="n"/>
      <c r="Q71" s="508" t="n"/>
      <c r="R71" s="508" t="n"/>
      <c r="S71" s="508" t="n"/>
      <c r="T71" s="508" t="n"/>
      <c r="U71" s="508" t="n"/>
      <c r="V71" s="508" t="n"/>
      <c r="W71" s="508" t="n"/>
      <c r="X71" s="508" t="n"/>
      <c r="Y71" s="508" t="n"/>
      <c r="Z71" s="508" t="n"/>
      <c r="AA71" s="508" t="n"/>
      <c r="AB71" s="508" t="n"/>
      <c r="AC71" s="508" t="n"/>
      <c r="AD71" s="508" t="n"/>
      <c r="AE71" s="508" t="n"/>
      <c r="AF71" s="508" t="n"/>
      <c r="AG71" s="508" t="n"/>
      <c r="AH71" s="508" t="n"/>
      <c r="AI71" s="508" t="n"/>
      <c r="AJ71" s="508" t="n"/>
      <c r="AK71" s="508" t="n"/>
      <c r="AL71" s="508" t="n"/>
      <c r="AM71" s="508" t="n"/>
      <c r="AN71" s="508" t="n"/>
      <c r="AO71" s="508" t="n"/>
      <c r="AP71" s="508" t="n"/>
      <c r="AQ71" s="508" t="n"/>
      <c r="AR71" s="508" t="n"/>
      <c r="AS71" s="508" t="n"/>
      <c r="AT71" s="508" t="n"/>
      <c r="AU71" s="508" t="n"/>
      <c r="AV71" s="508" t="n"/>
      <c r="AW71" s="508" t="n"/>
      <c r="AX71" s="508" t="n"/>
      <c r="AY71" s="1148" t="n"/>
    </row>
    <row r="72">
      <c r="A72" s="1252" t="inlineStr">
        <is>
          <t>- d. Typical Density of Butane and isomers,</t>
        </is>
      </c>
      <c r="B72" s="1115" t="n"/>
      <c r="C72" s="1115" t="n"/>
      <c r="D72" s="1115" t="n"/>
      <c r="E72" s="1115" t="n"/>
      <c r="F72" s="1115" t="n"/>
      <c r="G72" s="1115" t="n"/>
      <c r="H72" s="1115" t="n"/>
      <c r="I72" s="1115" t="n"/>
      <c r="J72" s="1115" t="n"/>
      <c r="K72" s="1115" t="n"/>
      <c r="L72" s="1115" t="n"/>
      <c r="M72" s="1115" t="n"/>
      <c r="N72" s="1115" t="n"/>
      <c r="O72" s="1115" t="n"/>
      <c r="P72" s="1115" t="n"/>
      <c r="Q72" s="1115" t="n"/>
      <c r="R72" s="1115" t="n"/>
      <c r="S72" s="1115" t="n"/>
      <c r="T72" s="1115" t="n"/>
      <c r="U72" s="1115" t="n"/>
      <c r="V72" s="1115" t="n"/>
      <c r="W72" s="1115" t="n"/>
      <c r="X72" s="1115" t="n"/>
      <c r="Y72" s="1115" t="n"/>
      <c r="Z72" s="1115" t="n"/>
      <c r="AA72" s="1115" t="n"/>
      <c r="AB72" s="1115" t="n"/>
      <c r="AC72" s="1115" t="n"/>
      <c r="AD72" s="1115" t="n"/>
      <c r="AE72" s="1115" t="n"/>
      <c r="AF72" s="1115" t="n"/>
      <c r="AG72" s="1115" t="n"/>
      <c r="AH72" s="1115" t="n"/>
      <c r="AI72" s="1115" t="n"/>
      <c r="AJ72" s="1115" t="n"/>
      <c r="AK72" s="1115" t="n"/>
      <c r="AL72" s="1115" t="n"/>
      <c r="AM72" s="1115" t="n"/>
      <c r="AN72" s="1115" t="n"/>
      <c r="AO72" s="1115" t="n"/>
      <c r="AP72" s="1115" t="n"/>
      <c r="AQ72" s="1115" t="n"/>
      <c r="AR72" s="1115" t="n"/>
      <c r="AS72" s="1115" t="n"/>
      <c r="AT72" s="1115" t="n"/>
      <c r="AU72" s="1115" t="n"/>
      <c r="AV72" s="1115" t="n"/>
      <c r="AW72" s="1115" t="n"/>
      <c r="AX72" s="1115" t="n"/>
      <c r="AY72" s="1253" t="n"/>
    </row>
    <row r="73">
      <c r="A73" s="1254" t="inlineStr">
        <is>
          <t>available at: https://www.energuide.be/en/questions-answers/what-is-the-calorific-value-of-gas/9655/;</t>
        </is>
      </c>
      <c r="B73" s="508" t="n"/>
      <c r="C73" s="508" t="n"/>
      <c r="D73" s="508" t="n"/>
      <c r="E73" s="508" t="n"/>
      <c r="F73" s="508" t="n"/>
      <c r="G73" s="508" t="n"/>
      <c r="H73" s="508" t="n"/>
      <c r="I73" s="508" t="n"/>
      <c r="J73" s="508" t="n"/>
      <c r="K73" s="508" t="n"/>
      <c r="L73" s="508" t="n"/>
      <c r="M73" s="508" t="n"/>
      <c r="N73" s="508" t="n"/>
      <c r="O73" s="508" t="n"/>
      <c r="P73" s="508" t="n"/>
      <c r="Q73" s="508" t="n"/>
      <c r="R73" s="508" t="n"/>
      <c r="S73" s="508" t="n"/>
      <c r="T73" s="508" t="n"/>
      <c r="U73" s="508" t="n"/>
      <c r="V73" s="508" t="n"/>
      <c r="W73" s="508" t="n"/>
      <c r="X73" s="508" t="n"/>
      <c r="Y73" s="508" t="n"/>
      <c r="Z73" s="508" t="n"/>
      <c r="AA73" s="508" t="n"/>
      <c r="AB73" s="508" t="n"/>
      <c r="AC73" s="508" t="n"/>
      <c r="AD73" s="508" t="n"/>
      <c r="AE73" s="508" t="n"/>
      <c r="AF73" s="508" t="n"/>
      <c r="AG73" s="508" t="n"/>
      <c r="AH73" s="508" t="n"/>
      <c r="AI73" s="508" t="n"/>
      <c r="AJ73" s="508" t="n"/>
      <c r="AK73" s="508" t="n"/>
      <c r="AL73" s="508" t="n"/>
      <c r="AM73" s="508" t="n"/>
      <c r="AN73" s="508" t="n"/>
      <c r="AO73" s="508" t="n"/>
      <c r="AP73" s="508" t="n"/>
      <c r="AQ73" s="508" t="n"/>
      <c r="AR73" s="508" t="n"/>
      <c r="AS73" s="508" t="n"/>
      <c r="AT73" s="508" t="n"/>
      <c r="AU73" s="508" t="n"/>
      <c r="AV73" s="508" t="n"/>
      <c r="AW73" s="508" t="n"/>
      <c r="AX73" s="508" t="n"/>
      <c r="AY73" s="1148" t="n"/>
    </row>
    <row r="74">
      <c r="A74" s="1252" t="inlineStr">
        <is>
          <t>- e. Typical Density of Coke oven gas,</t>
        </is>
      </c>
      <c r="B74" s="1115" t="n"/>
      <c r="C74" s="1115" t="n"/>
      <c r="D74" s="1115" t="n"/>
      <c r="E74" s="1115" t="n"/>
      <c r="F74" s="1115" t="n"/>
      <c r="G74" s="1115" t="n"/>
      <c r="H74" s="1115" t="n"/>
      <c r="I74" s="1115" t="n"/>
      <c r="J74" s="1115" t="n"/>
      <c r="K74" s="1115" t="n"/>
      <c r="L74" s="1115" t="n"/>
      <c r="M74" s="1115" t="n"/>
      <c r="N74" s="1115" t="n"/>
      <c r="O74" s="1115" t="n"/>
      <c r="P74" s="1115" t="n"/>
      <c r="Q74" s="1115" t="n"/>
      <c r="R74" s="1115" t="n"/>
      <c r="S74" s="1115" t="n"/>
      <c r="T74" s="1115" t="n"/>
      <c r="U74" s="1115" t="n"/>
      <c r="V74" s="1115" t="n"/>
      <c r="W74" s="1115" t="n"/>
      <c r="X74" s="1115" t="n"/>
      <c r="Y74" s="1115" t="n"/>
      <c r="Z74" s="1115" t="n"/>
      <c r="AA74" s="1115" t="n"/>
      <c r="AB74" s="1115" t="n"/>
      <c r="AC74" s="1115" t="n"/>
      <c r="AD74" s="1115" t="n"/>
      <c r="AE74" s="1115" t="n"/>
      <c r="AF74" s="1115" t="n"/>
      <c r="AG74" s="1115" t="n"/>
      <c r="AH74" s="1115" t="n"/>
      <c r="AI74" s="1115" t="n"/>
      <c r="AJ74" s="1115" t="n"/>
      <c r="AK74" s="1115" t="n"/>
      <c r="AL74" s="1115" t="n"/>
      <c r="AM74" s="1115" t="n"/>
      <c r="AN74" s="1115" t="n"/>
      <c r="AO74" s="1115" t="n"/>
      <c r="AP74" s="1115" t="n"/>
      <c r="AQ74" s="1115" t="n"/>
      <c r="AR74" s="1115" t="n"/>
      <c r="AS74" s="1115" t="n"/>
      <c r="AT74" s="1115" t="n"/>
      <c r="AU74" s="1115" t="n"/>
      <c r="AV74" s="1115" t="n"/>
      <c r="AW74" s="1115" t="n"/>
      <c r="AX74" s="1115" t="n"/>
      <c r="AY74" s="1253" t="n"/>
    </row>
    <row r="75">
      <c r="A75" s="1254" t="inlineStr">
        <is>
          <t>available at: http://cyyenergy.com/en/Products/info_itemid_138.html;</t>
        </is>
      </c>
      <c r="B75" s="508" t="n"/>
      <c r="C75" s="508" t="n"/>
      <c r="D75" s="508" t="n"/>
      <c r="E75" s="508" t="n"/>
      <c r="F75" s="508" t="n"/>
      <c r="G75" s="508" t="n"/>
      <c r="H75" s="508" t="n"/>
      <c r="I75" s="508" t="n"/>
      <c r="J75" s="508" t="n"/>
      <c r="K75" s="508" t="n"/>
      <c r="L75" s="508" t="n"/>
      <c r="M75" s="508" t="n"/>
      <c r="N75" s="508" t="n"/>
      <c r="O75" s="508" t="n"/>
      <c r="P75" s="508" t="n"/>
      <c r="Q75" s="508" t="n"/>
      <c r="R75" s="508" t="n"/>
      <c r="S75" s="508" t="n"/>
      <c r="T75" s="508" t="n"/>
      <c r="U75" s="508" t="n"/>
      <c r="V75" s="508" t="n"/>
      <c r="W75" s="508" t="n"/>
      <c r="X75" s="508" t="n"/>
      <c r="Y75" s="508" t="n"/>
      <c r="Z75" s="508" t="n"/>
      <c r="AA75" s="508" t="n"/>
      <c r="AB75" s="508" t="n"/>
      <c r="AC75" s="508" t="n"/>
      <c r="AD75" s="508" t="n"/>
      <c r="AE75" s="508" t="n"/>
      <c r="AF75" s="508" t="n"/>
      <c r="AG75" s="508" t="n"/>
      <c r="AH75" s="508" t="n"/>
      <c r="AI75" s="508" t="n"/>
      <c r="AJ75" s="508" t="n"/>
      <c r="AK75" s="508" t="n"/>
      <c r="AL75" s="508" t="n"/>
      <c r="AM75" s="508" t="n"/>
      <c r="AN75" s="508" t="n"/>
      <c r="AO75" s="508" t="n"/>
      <c r="AP75" s="508" t="n"/>
      <c r="AQ75" s="508" t="n"/>
      <c r="AR75" s="508" t="n"/>
      <c r="AS75" s="508" t="n"/>
      <c r="AT75" s="508" t="n"/>
      <c r="AU75" s="508" t="n"/>
      <c r="AV75" s="508" t="n"/>
      <c r="AW75" s="508" t="n"/>
      <c r="AX75" s="508" t="n"/>
      <c r="AY75" s="1148" t="n"/>
    </row>
    <row r="76">
      <c r="A76" s="1255" t="inlineStr">
        <is>
          <t>- f. Typical Density of Coke gas,</t>
        </is>
      </c>
      <c r="AY76" s="1249" t="n"/>
    </row>
    <row r="77">
      <c r="A77" s="1256" t="inlineStr">
        <is>
          <t>available at: https://op.europa.eu/en/publication-detail/-/publication/eaa047e8-644c-4149-bdcb-9dde79c64a12;</t>
        </is>
      </c>
      <c r="AY77" s="1249" t="n"/>
    </row>
    <row r="78">
      <c r="A78" s="1257" t="inlineStr">
        <is>
          <t xml:space="preserve">                              https://www.bhel.com/sites/default/files/gas-properties-cog-1580716150.pdf;</t>
        </is>
      </c>
      <c r="B78" s="508" t="n"/>
      <c r="C78" s="508" t="n"/>
      <c r="D78" s="508" t="n"/>
      <c r="E78" s="508" t="n"/>
      <c r="F78" s="508" t="n"/>
      <c r="G78" s="508" t="n"/>
      <c r="H78" s="508" t="n"/>
      <c r="I78" s="508" t="n"/>
      <c r="J78" s="508" t="n"/>
      <c r="K78" s="508" t="n"/>
      <c r="L78" s="508" t="n"/>
      <c r="M78" s="508" t="n"/>
      <c r="N78" s="508" t="n"/>
      <c r="O78" s="508" t="n"/>
      <c r="P78" s="508" t="n"/>
      <c r="Q78" s="508" t="n"/>
      <c r="R78" s="508" t="n"/>
      <c r="S78" s="508" t="n"/>
      <c r="T78" s="508" t="n"/>
      <c r="U78" s="508" t="n"/>
      <c r="V78" s="508" t="n"/>
      <c r="W78" s="508" t="n"/>
      <c r="X78" s="508" t="n"/>
      <c r="Y78" s="508" t="n"/>
      <c r="Z78" s="508" t="n"/>
      <c r="AA78" s="508" t="n"/>
      <c r="AB78" s="508" t="n"/>
      <c r="AC78" s="508" t="n"/>
      <c r="AD78" s="508" t="n"/>
      <c r="AE78" s="508" t="n"/>
      <c r="AF78" s="508" t="n"/>
      <c r="AG78" s="508" t="n"/>
      <c r="AH78" s="508" t="n"/>
      <c r="AI78" s="508" t="n"/>
      <c r="AJ78" s="508" t="n"/>
      <c r="AK78" s="508" t="n"/>
      <c r="AL78" s="508" t="n"/>
      <c r="AM78" s="508" t="n"/>
      <c r="AN78" s="508" t="n"/>
      <c r="AO78" s="508" t="n"/>
      <c r="AP78" s="508" t="n"/>
      <c r="AQ78" s="508" t="n"/>
      <c r="AR78" s="508" t="n"/>
      <c r="AS78" s="508" t="n"/>
      <c r="AT78" s="508" t="n"/>
      <c r="AU78" s="508" t="n"/>
      <c r="AV78" s="508" t="n"/>
      <c r="AW78" s="508" t="n"/>
      <c r="AX78" s="508" t="n"/>
      <c r="AY78" s="1148" t="n"/>
    </row>
    <row r="79">
      <c r="A79" s="1258" t="inlineStr">
        <is>
          <t>- g. Typical Density of Jet gasoline,</t>
        </is>
      </c>
      <c r="B79" s="1115" t="n"/>
      <c r="C79" s="1115" t="n"/>
      <c r="D79" s="1115" t="n"/>
      <c r="E79" s="1115" t="n"/>
      <c r="F79" s="1115" t="n"/>
      <c r="G79" s="1115" t="n"/>
      <c r="H79" s="1115" t="n"/>
      <c r="I79" s="1115" t="n"/>
      <c r="J79" s="1115" t="n"/>
      <c r="K79" s="1115" t="n"/>
      <c r="L79" s="1115" t="n"/>
      <c r="M79" s="1115" t="n"/>
      <c r="N79" s="1115" t="n"/>
      <c r="O79" s="1115" t="n"/>
      <c r="P79" s="1115" t="n"/>
      <c r="Q79" s="1115" t="n"/>
      <c r="R79" s="1115" t="n"/>
      <c r="S79" s="1115" t="n"/>
      <c r="T79" s="1115" t="n"/>
      <c r="U79" s="1115" t="n"/>
      <c r="V79" s="1115" t="n"/>
      <c r="W79" s="1115" t="n"/>
      <c r="X79" s="1115" t="n"/>
      <c r="Y79" s="1115" t="n"/>
      <c r="Z79" s="1115" t="n"/>
      <c r="AA79" s="1115" t="n"/>
      <c r="AB79" s="1115" t="n"/>
      <c r="AC79" s="1115" t="n"/>
      <c r="AD79" s="1115" t="n"/>
      <c r="AE79" s="1115" t="n"/>
      <c r="AF79" s="1115" t="n"/>
      <c r="AG79" s="1115" t="n"/>
      <c r="AH79" s="1115" t="n"/>
      <c r="AI79" s="1115" t="n"/>
      <c r="AJ79" s="1115" t="n"/>
      <c r="AK79" s="1115" t="n"/>
      <c r="AL79" s="1115" t="n"/>
      <c r="AM79" s="1115" t="n"/>
      <c r="AN79" s="1115" t="n"/>
      <c r="AO79" s="1115" t="n"/>
      <c r="AP79" s="1115" t="n"/>
      <c r="AQ79" s="1115" t="n"/>
      <c r="AR79" s="1115" t="n"/>
      <c r="AS79" s="1115" t="n"/>
      <c r="AT79" s="1115" t="n"/>
      <c r="AU79" s="1115" t="n"/>
      <c r="AV79" s="1115" t="n"/>
      <c r="AW79" s="1115" t="n"/>
      <c r="AX79" s="1115" t="n"/>
      <c r="AY79" s="1253" t="n"/>
    </row>
    <row r="80">
      <c r="A80" s="1259" t="inlineStr">
        <is>
          <t>available at: https://www.engineeringtoolbox.com/fuels-densities-specific-volumes-d_166.html;</t>
        </is>
      </c>
      <c r="AY80" s="1249" t="n"/>
    </row>
    <row r="81">
      <c r="A81" s="1257" t="inlineStr">
        <is>
          <t xml:space="preserve">                               https://www.exxonmobil.com/en-bd/commercial-fuel/pds/gl-xx-jetfuel-series;</t>
        </is>
      </c>
      <c r="B81" s="508" t="n"/>
      <c r="C81" s="508" t="n"/>
      <c r="D81" s="508" t="n"/>
      <c r="E81" s="508" t="n"/>
      <c r="F81" s="508" t="n"/>
      <c r="G81" s="508" t="n"/>
      <c r="H81" s="508" t="n"/>
      <c r="I81" s="508" t="n"/>
      <c r="J81" s="508" t="n"/>
      <c r="K81" s="508" t="n"/>
      <c r="L81" s="508" t="n"/>
      <c r="M81" s="508" t="n"/>
      <c r="N81" s="508" t="n"/>
      <c r="O81" s="508" t="n"/>
      <c r="P81" s="508" t="n"/>
      <c r="Q81" s="508" t="n"/>
      <c r="R81" s="508" t="n"/>
      <c r="S81" s="508" t="n"/>
      <c r="T81" s="508" t="n"/>
      <c r="U81" s="508" t="n"/>
      <c r="V81" s="508" t="n"/>
      <c r="W81" s="508" t="n"/>
      <c r="X81" s="508" t="n"/>
      <c r="Y81" s="508" t="n"/>
      <c r="Z81" s="508" t="n"/>
      <c r="AA81" s="508" t="n"/>
      <c r="AB81" s="508" t="n"/>
      <c r="AC81" s="508" t="n"/>
      <c r="AD81" s="508" t="n"/>
      <c r="AE81" s="508" t="n"/>
      <c r="AF81" s="508" t="n"/>
      <c r="AG81" s="508" t="n"/>
      <c r="AH81" s="508" t="n"/>
      <c r="AI81" s="508" t="n"/>
      <c r="AJ81" s="508" t="n"/>
      <c r="AK81" s="508" t="n"/>
      <c r="AL81" s="508" t="n"/>
      <c r="AM81" s="508" t="n"/>
      <c r="AN81" s="508" t="n"/>
      <c r="AO81" s="508" t="n"/>
      <c r="AP81" s="508" t="n"/>
      <c r="AQ81" s="508" t="n"/>
      <c r="AR81" s="508" t="n"/>
      <c r="AS81" s="508" t="n"/>
      <c r="AT81" s="508" t="n"/>
      <c r="AU81" s="508" t="n"/>
      <c r="AV81" s="508" t="n"/>
      <c r="AW81" s="508" t="n"/>
      <c r="AX81" s="508" t="n"/>
      <c r="AY81" s="1148" t="n"/>
    </row>
    <row r="82">
      <c r="A82" s="1252" t="inlineStr">
        <is>
          <t>- h. Typical NCV of Methane,</t>
        </is>
      </c>
      <c r="B82" s="1115" t="n"/>
      <c r="C82" s="1115" t="n"/>
      <c r="D82" s="1115" t="n"/>
      <c r="E82" s="1115" t="n"/>
      <c r="F82" s="1115" t="n"/>
      <c r="G82" s="1115" t="n"/>
      <c r="H82" s="1115" t="n"/>
      <c r="I82" s="1115" t="n"/>
      <c r="J82" s="1115" t="n"/>
      <c r="K82" s="1115" t="n"/>
      <c r="L82" s="1115" t="n"/>
      <c r="M82" s="1115" t="n"/>
      <c r="N82" s="1115" t="n"/>
      <c r="O82" s="1115" t="n"/>
      <c r="P82" s="1115" t="n"/>
      <c r="Q82" s="1115" t="n"/>
      <c r="R82" s="1115" t="n"/>
      <c r="S82" s="1115" t="n"/>
      <c r="T82" s="1115" t="n"/>
      <c r="U82" s="1115" t="n"/>
      <c r="V82" s="1115" t="n"/>
      <c r="W82" s="1115" t="n"/>
      <c r="X82" s="1115" t="n"/>
      <c r="Y82" s="1115" t="n"/>
      <c r="Z82" s="1115" t="n"/>
      <c r="AA82" s="1115" t="n"/>
      <c r="AB82" s="1115" t="n"/>
      <c r="AC82" s="1115" t="n"/>
      <c r="AD82" s="1115" t="n"/>
      <c r="AE82" s="1115" t="n"/>
      <c r="AF82" s="1115" t="n"/>
      <c r="AG82" s="1115" t="n"/>
      <c r="AH82" s="1115" t="n"/>
      <c r="AI82" s="1115" t="n"/>
      <c r="AJ82" s="1115" t="n"/>
      <c r="AK82" s="1115" t="n"/>
      <c r="AL82" s="1115" t="n"/>
      <c r="AM82" s="1115" t="n"/>
      <c r="AN82" s="1115" t="n"/>
      <c r="AO82" s="1115" t="n"/>
      <c r="AP82" s="1115" t="n"/>
      <c r="AQ82" s="1115" t="n"/>
      <c r="AR82" s="1115" t="n"/>
      <c r="AS82" s="1115" t="n"/>
      <c r="AT82" s="1115" t="n"/>
      <c r="AU82" s="1115" t="n"/>
      <c r="AV82" s="1115" t="n"/>
      <c r="AW82" s="1115" t="n"/>
      <c r="AX82" s="1115" t="n"/>
      <c r="AY82" s="1253" t="n"/>
    </row>
    <row r="83">
      <c r="A83" s="1254" t="inlineStr">
        <is>
          <t>available at: https://eur-lex.europa.eu/eli/reg_impl/2018/2066/oj/eng#:~:text=Commission%20Implementing%20Regulation%20(EU)%202018,(Text%20with%20EEA%20relevance.);</t>
        </is>
      </c>
      <c r="B83" s="508" t="n"/>
      <c r="C83" s="508" t="n"/>
      <c r="D83" s="508" t="n"/>
      <c r="E83" s="508" t="n"/>
      <c r="F83" s="508" t="n"/>
      <c r="G83" s="508" t="n"/>
      <c r="H83" s="508" t="n"/>
      <c r="I83" s="508" t="n"/>
      <c r="J83" s="508" t="n"/>
      <c r="K83" s="508" t="n"/>
      <c r="L83" s="508" t="n"/>
      <c r="M83" s="508" t="n"/>
      <c r="N83" s="508" t="n"/>
      <c r="O83" s="508" t="n"/>
      <c r="P83" s="508" t="n"/>
      <c r="Q83" s="508" t="n"/>
      <c r="R83" s="508" t="n"/>
      <c r="S83" s="508" t="n"/>
      <c r="T83" s="508" t="n"/>
      <c r="U83" s="508" t="n"/>
      <c r="V83" s="508" t="n"/>
      <c r="W83" s="508" t="n"/>
      <c r="X83" s="508" t="n"/>
      <c r="Y83" s="508" t="n"/>
      <c r="Z83" s="508" t="n"/>
      <c r="AA83" s="508" t="n"/>
      <c r="AB83" s="508" t="n"/>
      <c r="AC83" s="508" t="n"/>
      <c r="AD83" s="508" t="n"/>
      <c r="AE83" s="508" t="n"/>
      <c r="AF83" s="508" t="n"/>
      <c r="AG83" s="508" t="n"/>
      <c r="AH83" s="508" t="n"/>
      <c r="AI83" s="508" t="n"/>
      <c r="AJ83" s="508" t="n"/>
      <c r="AK83" s="508" t="n"/>
      <c r="AL83" s="508" t="n"/>
      <c r="AM83" s="508" t="n"/>
      <c r="AN83" s="508" t="n"/>
      <c r="AO83" s="508" t="n"/>
      <c r="AP83" s="508" t="n"/>
      <c r="AQ83" s="508" t="n"/>
      <c r="AR83" s="508" t="n"/>
      <c r="AS83" s="508" t="n"/>
      <c r="AT83" s="508" t="n"/>
      <c r="AU83" s="508" t="n"/>
      <c r="AV83" s="508" t="n"/>
      <c r="AW83" s="508" t="n"/>
      <c r="AX83" s="508" t="n"/>
      <c r="AY83" s="1148" t="n"/>
    </row>
    <row r="84">
      <c r="A84" s="1090" t="inlineStr">
        <is>
          <t>- i. Typical Density of Oil shale and tar sands;</t>
        </is>
      </c>
      <c r="B84" s="276" t="n"/>
      <c r="C84" s="276" t="n"/>
      <c r="D84" s="276" t="n"/>
      <c r="E84" s="276" t="n"/>
      <c r="F84" s="276" t="n"/>
      <c r="G84" s="276" t="n"/>
      <c r="H84" s="276" t="n"/>
      <c r="I84" s="276" t="n"/>
      <c r="J84" s="276" t="n"/>
      <c r="K84" s="276" t="n"/>
      <c r="L84" s="276" t="n"/>
      <c r="M84" s="276" t="n"/>
      <c r="N84" s="276" t="n"/>
      <c r="O84" s="276" t="n"/>
      <c r="P84" s="276" t="n"/>
      <c r="Q84" s="276" t="n"/>
      <c r="R84" s="276" t="n"/>
      <c r="S84" s="276" t="n"/>
      <c r="T84" s="276" t="n"/>
      <c r="U84" s="276" t="n"/>
      <c r="V84" s="276" t="n"/>
      <c r="W84" s="276" t="n"/>
      <c r="X84" s="276" t="n"/>
      <c r="Y84" s="276" t="n"/>
      <c r="Z84" s="276" t="n"/>
      <c r="AA84" s="276" t="n"/>
      <c r="AB84" s="276" t="n"/>
      <c r="AC84" s="276" t="n"/>
      <c r="AD84" s="276" t="n"/>
      <c r="AE84" s="276" t="n"/>
      <c r="AF84" s="276" t="n"/>
      <c r="AG84" s="276" t="n"/>
      <c r="AH84" s="276" t="n"/>
      <c r="AI84" s="276" t="n"/>
      <c r="AJ84" s="276" t="n"/>
      <c r="AK84" s="276" t="n"/>
      <c r="AL84" s="276" t="n"/>
      <c r="AM84" s="276" t="n"/>
      <c r="AN84" s="276" t="n"/>
      <c r="AO84" s="276" t="n"/>
      <c r="AP84" s="276" t="n"/>
      <c r="AQ84" s="276" t="n"/>
      <c r="AR84" s="276" t="n"/>
      <c r="AS84" s="276" t="n"/>
      <c r="AT84" s="276" t="n"/>
      <c r="AU84" s="276" t="n"/>
      <c r="AV84" s="276" t="n"/>
      <c r="AW84" s="276" t="n"/>
      <c r="AX84" s="276" t="n"/>
      <c r="AY84" s="277" t="n"/>
    </row>
    <row r="85">
      <c r="A85" s="1259" t="inlineStr">
        <is>
          <t>available at: https://osf.io/s2qbt;</t>
        </is>
      </c>
      <c r="AY85" s="1249" t="n"/>
    </row>
    <row r="86">
      <c r="A86" s="1257" t="inlineStr">
        <is>
          <t xml:space="preserve">                               https://www.researchgate.net/figure/Density-and-viscosity-of-shale-oil-in-Lucaogou-Formation-Jimsar-Sag_tbl1_336793871;</t>
        </is>
      </c>
      <c r="B86" s="508" t="n"/>
      <c r="C86" s="508" t="n"/>
      <c r="D86" s="508" t="n"/>
      <c r="E86" s="508" t="n"/>
      <c r="F86" s="508" t="n"/>
      <c r="G86" s="508" t="n"/>
      <c r="H86" s="508" t="n"/>
      <c r="I86" s="508" t="n"/>
      <c r="J86" s="508" t="n"/>
      <c r="K86" s="508" t="n"/>
      <c r="L86" s="508" t="n"/>
      <c r="M86" s="508" t="n"/>
      <c r="N86" s="508" t="n"/>
      <c r="O86" s="508" t="n"/>
      <c r="P86" s="508" t="n"/>
      <c r="Q86" s="508" t="n"/>
      <c r="R86" s="508" t="n"/>
      <c r="S86" s="508" t="n"/>
      <c r="T86" s="508" t="n"/>
      <c r="U86" s="508" t="n"/>
      <c r="V86" s="508" t="n"/>
      <c r="W86" s="508" t="n"/>
      <c r="X86" s="508" t="n"/>
      <c r="Y86" s="508" t="n"/>
      <c r="Z86" s="508" t="n"/>
      <c r="AA86" s="508" t="n"/>
      <c r="AB86" s="508" t="n"/>
      <c r="AC86" s="508" t="n"/>
      <c r="AD86" s="508" t="n"/>
      <c r="AE86" s="508" t="n"/>
      <c r="AF86" s="508" t="n"/>
      <c r="AG86" s="508" t="n"/>
      <c r="AH86" s="508" t="n"/>
      <c r="AI86" s="508" t="n"/>
      <c r="AJ86" s="508" t="n"/>
      <c r="AK86" s="508" t="n"/>
      <c r="AL86" s="508" t="n"/>
      <c r="AM86" s="508" t="n"/>
      <c r="AN86" s="508" t="n"/>
      <c r="AO86" s="508" t="n"/>
      <c r="AP86" s="508" t="n"/>
      <c r="AQ86" s="508" t="n"/>
      <c r="AR86" s="508" t="n"/>
      <c r="AS86" s="508" t="n"/>
      <c r="AT86" s="508" t="n"/>
      <c r="AU86" s="508" t="n"/>
      <c r="AV86" s="508" t="n"/>
      <c r="AW86" s="508" t="n"/>
      <c r="AX86" s="508" t="n"/>
      <c r="AY86" s="1148" t="n"/>
    </row>
    <row r="87">
      <c r="A87" s="1260" t="inlineStr">
        <is>
          <t>- j. Typical  Density of Orimulsion,</t>
        </is>
      </c>
      <c r="B87" s="1115" t="n"/>
      <c r="C87" s="1115" t="n"/>
      <c r="D87" s="1115" t="n"/>
      <c r="E87" s="1115" t="n"/>
      <c r="F87" s="1115" t="n"/>
      <c r="G87" s="1115" t="n"/>
      <c r="H87" s="1115" t="n"/>
      <c r="I87" s="1115" t="n"/>
      <c r="J87" s="1115" t="n"/>
      <c r="K87" s="1115" t="n"/>
      <c r="L87" s="1115" t="n"/>
      <c r="M87" s="1115" t="n"/>
      <c r="N87" s="1115" t="n"/>
      <c r="O87" s="1115" t="n"/>
      <c r="P87" s="1115" t="n"/>
      <c r="Q87" s="1115" t="n"/>
      <c r="R87" s="1115" t="n"/>
      <c r="S87" s="1115" t="n"/>
      <c r="T87" s="1115" t="n"/>
      <c r="U87" s="1115" t="n"/>
      <c r="V87" s="1115" t="n"/>
      <c r="W87" s="1115" t="n"/>
      <c r="X87" s="1115" t="n"/>
      <c r="Y87" s="1115" t="n"/>
      <c r="Z87" s="1115" t="n"/>
      <c r="AA87" s="1115" t="n"/>
      <c r="AB87" s="1115" t="n"/>
      <c r="AC87" s="1115" t="n"/>
      <c r="AD87" s="1115" t="n"/>
      <c r="AE87" s="1115" t="n"/>
      <c r="AF87" s="1115" t="n"/>
      <c r="AG87" s="1115" t="n"/>
      <c r="AH87" s="1115" t="n"/>
      <c r="AI87" s="1115" t="n"/>
      <c r="AJ87" s="1115" t="n"/>
      <c r="AK87" s="1115" t="n"/>
      <c r="AL87" s="1115" t="n"/>
      <c r="AM87" s="1115" t="n"/>
      <c r="AN87" s="1115" t="n"/>
      <c r="AO87" s="1115" t="n"/>
      <c r="AP87" s="1115" t="n"/>
      <c r="AQ87" s="1115" t="n"/>
      <c r="AR87" s="1115" t="n"/>
      <c r="AS87" s="1115" t="n"/>
      <c r="AT87" s="1115" t="n"/>
      <c r="AU87" s="1115" t="n"/>
      <c r="AV87" s="1115" t="n"/>
      <c r="AW87" s="1115" t="n"/>
      <c r="AX87" s="1115" t="n"/>
      <c r="AY87" s="1253" t="n"/>
    </row>
    <row r="88">
      <c r="A88" s="1254" t="inlineStr">
        <is>
          <t>available at: https://archive.epa.gov/emergencies/content/fss/web/pdf/orimuls.pdf;</t>
        </is>
      </c>
      <c r="B88" s="508" t="n"/>
      <c r="C88" s="508" t="n"/>
      <c r="D88" s="508" t="n"/>
      <c r="E88" s="508" t="n"/>
      <c r="F88" s="508" t="n"/>
      <c r="G88" s="508" t="n"/>
      <c r="H88" s="508" t="n"/>
      <c r="I88" s="508" t="n"/>
      <c r="J88" s="508" t="n"/>
      <c r="K88" s="508" t="n"/>
      <c r="L88" s="508" t="n"/>
      <c r="M88" s="508" t="n"/>
      <c r="N88" s="508" t="n"/>
      <c r="O88" s="508" t="n"/>
      <c r="P88" s="508" t="n"/>
      <c r="Q88" s="508" t="n"/>
      <c r="R88" s="508" t="n"/>
      <c r="S88" s="508" t="n"/>
      <c r="T88" s="508" t="n"/>
      <c r="U88" s="508" t="n"/>
      <c r="V88" s="508" t="n"/>
      <c r="W88" s="508" t="n"/>
      <c r="X88" s="508" t="n"/>
      <c r="Y88" s="508" t="n"/>
      <c r="Z88" s="508" t="n"/>
      <c r="AA88" s="508" t="n"/>
      <c r="AB88" s="508" t="n"/>
      <c r="AC88" s="508" t="n"/>
      <c r="AD88" s="508" t="n"/>
      <c r="AE88" s="508" t="n"/>
      <c r="AF88" s="508" t="n"/>
      <c r="AG88" s="508" t="n"/>
      <c r="AH88" s="508" t="n"/>
      <c r="AI88" s="508" t="n"/>
      <c r="AJ88" s="508" t="n"/>
      <c r="AK88" s="508" t="n"/>
      <c r="AL88" s="508" t="n"/>
      <c r="AM88" s="508" t="n"/>
      <c r="AN88" s="508" t="n"/>
      <c r="AO88" s="508" t="n"/>
      <c r="AP88" s="508" t="n"/>
      <c r="AQ88" s="508" t="n"/>
      <c r="AR88" s="508" t="n"/>
      <c r="AS88" s="508" t="n"/>
      <c r="AT88" s="508" t="n"/>
      <c r="AU88" s="508" t="n"/>
      <c r="AV88" s="508" t="n"/>
      <c r="AW88" s="508" t="n"/>
      <c r="AX88" s="508" t="n"/>
      <c r="AY88" s="1148" t="n"/>
    </row>
    <row r="89">
      <c r="A89" s="1252" t="inlineStr">
        <is>
          <t>- k. Typical NCV of Oxygen steel furnace gas,</t>
        </is>
      </c>
      <c r="B89" s="1115" t="n"/>
      <c r="C89" s="1115" t="n"/>
      <c r="D89" s="1115" t="n"/>
      <c r="E89" s="1115" t="n"/>
      <c r="F89" s="1115" t="n"/>
      <c r="G89" s="1115" t="n"/>
      <c r="H89" s="1115" t="n"/>
      <c r="I89" s="1115" t="n"/>
      <c r="J89" s="1115" t="n"/>
      <c r="K89" s="1115" t="n"/>
      <c r="L89" s="1115" t="n"/>
      <c r="M89" s="1115" t="n"/>
      <c r="N89" s="1115" t="n"/>
      <c r="O89" s="1115" t="n"/>
      <c r="P89" s="1115" t="n"/>
      <c r="Q89" s="1115" t="n"/>
      <c r="R89" s="1115" t="n"/>
      <c r="S89" s="1115" t="n"/>
      <c r="T89" s="1115" t="n"/>
      <c r="U89" s="1115" t="n"/>
      <c r="V89" s="1115" t="n"/>
      <c r="W89" s="1115" t="n"/>
      <c r="X89" s="1115" t="n"/>
      <c r="Y89" s="1115" t="n"/>
      <c r="Z89" s="1115" t="n"/>
      <c r="AA89" s="1115" t="n"/>
      <c r="AB89" s="1115" t="n"/>
      <c r="AC89" s="1115" t="n"/>
      <c r="AD89" s="1115" t="n"/>
      <c r="AE89" s="1115" t="n"/>
      <c r="AF89" s="1115" t="n"/>
      <c r="AG89" s="1115" t="n"/>
      <c r="AH89" s="1115" t="n"/>
      <c r="AI89" s="1115" t="n"/>
      <c r="AJ89" s="1115" t="n"/>
      <c r="AK89" s="1115" t="n"/>
      <c r="AL89" s="1115" t="n"/>
      <c r="AM89" s="1115" t="n"/>
      <c r="AN89" s="1115" t="n"/>
      <c r="AO89" s="1115" t="n"/>
      <c r="AP89" s="1115" t="n"/>
      <c r="AQ89" s="1115" t="n"/>
      <c r="AR89" s="1115" t="n"/>
      <c r="AS89" s="1115" t="n"/>
      <c r="AT89" s="1115" t="n"/>
      <c r="AU89" s="1115" t="n"/>
      <c r="AV89" s="1115" t="n"/>
      <c r="AW89" s="1115" t="n"/>
      <c r="AX89" s="1115" t="n"/>
      <c r="AY89" s="1253" t="n"/>
    </row>
    <row r="90">
      <c r="A90" s="1254" t="inlineStr">
        <is>
          <t>available at: https://op.europa.eu/en/publication-detail/-/publication/eaa047e8-644c-4149-bdcb-9dde79c64a12;</t>
        </is>
      </c>
      <c r="B90" s="508" t="n"/>
      <c r="C90" s="508" t="n"/>
      <c r="D90" s="508" t="n"/>
      <c r="E90" s="508" t="n"/>
      <c r="F90" s="508" t="n"/>
      <c r="G90" s="508" t="n"/>
      <c r="H90" s="508" t="n"/>
      <c r="I90" s="508" t="n"/>
      <c r="J90" s="508" t="n"/>
      <c r="K90" s="508" t="n"/>
      <c r="L90" s="508" t="n"/>
      <c r="M90" s="508" t="n"/>
      <c r="N90" s="508" t="n"/>
      <c r="O90" s="508" t="n"/>
      <c r="P90" s="508" t="n"/>
      <c r="Q90" s="508" t="n"/>
      <c r="R90" s="508" t="n"/>
      <c r="S90" s="508" t="n"/>
      <c r="T90" s="508" t="n"/>
      <c r="U90" s="508" t="n"/>
      <c r="V90" s="508" t="n"/>
      <c r="W90" s="508" t="n"/>
      <c r="X90" s="508" t="n"/>
      <c r="Y90" s="508" t="n"/>
      <c r="Z90" s="508" t="n"/>
      <c r="AA90" s="508" t="n"/>
      <c r="AB90" s="508" t="n"/>
      <c r="AC90" s="508" t="n"/>
      <c r="AD90" s="508" t="n"/>
      <c r="AE90" s="508" t="n"/>
      <c r="AF90" s="508" t="n"/>
      <c r="AG90" s="508" t="n"/>
      <c r="AH90" s="508" t="n"/>
      <c r="AI90" s="508" t="n"/>
      <c r="AJ90" s="508" t="n"/>
      <c r="AK90" s="508" t="n"/>
      <c r="AL90" s="508" t="n"/>
      <c r="AM90" s="508" t="n"/>
      <c r="AN90" s="508" t="n"/>
      <c r="AO90" s="508" t="n"/>
      <c r="AP90" s="508" t="n"/>
      <c r="AQ90" s="508" t="n"/>
      <c r="AR90" s="508" t="n"/>
      <c r="AS90" s="508" t="n"/>
      <c r="AT90" s="508" t="n"/>
      <c r="AU90" s="508" t="n"/>
      <c r="AV90" s="508" t="n"/>
      <c r="AW90" s="508" t="n"/>
      <c r="AX90" s="508" t="n"/>
      <c r="AY90" s="1148" t="n"/>
    </row>
    <row r="91">
      <c r="A91" s="1252" t="inlineStr">
        <is>
          <t>- l. Typical density of Propane,</t>
        </is>
      </c>
      <c r="B91" s="1115" t="n"/>
      <c r="C91" s="1115" t="n"/>
      <c r="D91" s="1115" t="n"/>
      <c r="E91" s="1115" t="n"/>
      <c r="F91" s="1115" t="n"/>
      <c r="G91" s="1115" t="n"/>
      <c r="H91" s="1115" t="n"/>
      <c r="I91" s="1115" t="n"/>
      <c r="J91" s="1115" t="n"/>
      <c r="K91" s="1115" t="n"/>
      <c r="L91" s="1115" t="n"/>
      <c r="M91" s="1115" t="n"/>
      <c r="N91" s="1115" t="n"/>
      <c r="O91" s="1115" t="n"/>
      <c r="P91" s="1115" t="n"/>
      <c r="Q91" s="1115" t="n"/>
      <c r="R91" s="1115" t="n"/>
      <c r="S91" s="1115" t="n"/>
      <c r="T91" s="1115" t="n"/>
      <c r="U91" s="1115" t="n"/>
      <c r="V91" s="1115" t="n"/>
      <c r="W91" s="1115" t="n"/>
      <c r="X91" s="1115" t="n"/>
      <c r="Y91" s="1115" t="n"/>
      <c r="Z91" s="1115" t="n"/>
      <c r="AA91" s="1115" t="n"/>
      <c r="AB91" s="1115" t="n"/>
      <c r="AC91" s="1115" t="n"/>
      <c r="AD91" s="1115" t="n"/>
      <c r="AE91" s="1115" t="n"/>
      <c r="AF91" s="1115" t="n"/>
      <c r="AG91" s="1115" t="n"/>
      <c r="AH91" s="1115" t="n"/>
      <c r="AI91" s="1115" t="n"/>
      <c r="AJ91" s="1115" t="n"/>
      <c r="AK91" s="1115" t="n"/>
      <c r="AL91" s="1115" t="n"/>
      <c r="AM91" s="1115" t="n"/>
      <c r="AN91" s="1115" t="n"/>
      <c r="AO91" s="1115" t="n"/>
      <c r="AP91" s="1115" t="n"/>
      <c r="AQ91" s="1115" t="n"/>
      <c r="AR91" s="1115" t="n"/>
      <c r="AS91" s="1115" t="n"/>
      <c r="AT91" s="1115" t="n"/>
      <c r="AU91" s="1115" t="n"/>
      <c r="AV91" s="1115" t="n"/>
      <c r="AW91" s="1115" t="n"/>
      <c r="AX91" s="1115" t="n"/>
      <c r="AY91" s="1253" t="n"/>
    </row>
    <row r="92">
      <c r="A92" s="1254" t="inlineStr">
        <is>
          <t>available at: https://www.engineeringtoolbox.com/propane-C3H8-density-specific-weight-temperature-pressure-d_2033.html?vA=15&amp;degree;</t>
        </is>
      </c>
      <c r="B92" s="508" t="n"/>
      <c r="C92" s="508" t="n"/>
      <c r="D92" s="508" t="n"/>
      <c r="E92" s="508" t="n"/>
      <c r="F92" s="508" t="n"/>
      <c r="G92" s="508" t="n"/>
      <c r="H92" s="508" t="n"/>
      <c r="I92" s="508" t="n"/>
      <c r="J92" s="508" t="n"/>
      <c r="K92" s="508" t="n"/>
      <c r="L92" s="508" t="n"/>
      <c r="M92" s="508" t="n"/>
      <c r="N92" s="508" t="n"/>
      <c r="O92" s="508" t="n"/>
      <c r="P92" s="508" t="n"/>
      <c r="Q92" s="508" t="n"/>
      <c r="R92" s="508" t="n"/>
      <c r="S92" s="508" t="n"/>
      <c r="T92" s="508" t="n"/>
      <c r="U92" s="508" t="n"/>
      <c r="V92" s="508" t="n"/>
      <c r="W92" s="508" t="n"/>
      <c r="X92" s="508" t="n"/>
      <c r="Y92" s="508" t="n"/>
      <c r="Z92" s="508" t="n"/>
      <c r="AA92" s="508" t="n"/>
      <c r="AB92" s="508" t="n"/>
      <c r="AC92" s="508" t="n"/>
      <c r="AD92" s="508" t="n"/>
      <c r="AE92" s="508" t="n"/>
      <c r="AF92" s="508" t="n"/>
      <c r="AG92" s="508" t="n"/>
      <c r="AH92" s="508" t="n"/>
      <c r="AI92" s="508" t="n"/>
      <c r="AJ92" s="508" t="n"/>
      <c r="AK92" s="508" t="n"/>
      <c r="AL92" s="508" t="n"/>
      <c r="AM92" s="508" t="n"/>
      <c r="AN92" s="508" t="n"/>
      <c r="AO92" s="508" t="n"/>
      <c r="AP92" s="508" t="n"/>
      <c r="AQ92" s="508" t="n"/>
      <c r="AR92" s="508" t="n"/>
      <c r="AS92" s="508" t="n"/>
      <c r="AT92" s="508" t="n"/>
      <c r="AU92" s="508" t="n"/>
      <c r="AV92" s="508" t="n"/>
      <c r="AW92" s="508" t="n"/>
      <c r="AX92" s="508" t="n"/>
      <c r="AY92" s="1148" t="n"/>
    </row>
    <row r="93">
      <c r="A93" s="1252" t="inlineStr">
        <is>
          <t>- m. Typical Density of Refinery feedstocks,</t>
        </is>
      </c>
      <c r="B93" s="1115" t="n"/>
      <c r="C93" s="1115" t="n"/>
      <c r="D93" s="1115" t="n"/>
      <c r="E93" s="1115" t="n"/>
      <c r="F93" s="1115" t="n"/>
      <c r="G93" s="1115" t="n"/>
      <c r="H93" s="1115" t="n"/>
      <c r="I93" s="1115" t="n"/>
      <c r="J93" s="1115" t="n"/>
      <c r="K93" s="1115" t="n"/>
      <c r="L93" s="1115" t="n"/>
      <c r="M93" s="1115" t="n"/>
      <c r="N93" s="1115" t="n"/>
      <c r="O93" s="1115" t="n"/>
      <c r="P93" s="1115" t="n"/>
      <c r="Q93" s="1115" t="n"/>
      <c r="R93" s="1115" t="n"/>
      <c r="S93" s="1115" t="n"/>
      <c r="T93" s="1115" t="n"/>
      <c r="U93" s="1115" t="n"/>
      <c r="V93" s="1115" t="n"/>
      <c r="W93" s="1115" t="n"/>
      <c r="X93" s="1115" t="n"/>
      <c r="Y93" s="1115" t="n"/>
      <c r="Z93" s="1115" t="n"/>
      <c r="AA93" s="1115" t="n"/>
      <c r="AB93" s="1115" t="n"/>
      <c r="AC93" s="1115" t="n"/>
      <c r="AD93" s="1115" t="n"/>
      <c r="AE93" s="1115" t="n"/>
      <c r="AF93" s="1115" t="n"/>
      <c r="AG93" s="1115" t="n"/>
      <c r="AH93" s="1115" t="n"/>
      <c r="AI93" s="1115" t="n"/>
      <c r="AJ93" s="1115" t="n"/>
      <c r="AK93" s="1115" t="n"/>
      <c r="AL93" s="1115" t="n"/>
      <c r="AM93" s="1115" t="n"/>
      <c r="AN93" s="1115" t="n"/>
      <c r="AO93" s="1115" t="n"/>
      <c r="AP93" s="1115" t="n"/>
      <c r="AQ93" s="1115" t="n"/>
      <c r="AR93" s="1115" t="n"/>
      <c r="AS93" s="1115" t="n"/>
      <c r="AT93" s="1115" t="n"/>
      <c r="AU93" s="1115" t="n"/>
      <c r="AV93" s="1115" t="n"/>
      <c r="AW93" s="1115" t="n"/>
      <c r="AX93" s="1115" t="n"/>
      <c r="AY93" s="1253" t="n"/>
    </row>
    <row r="94">
      <c r="A94" s="1254" t="inlineStr">
        <is>
          <t>available at: https://eippcb.jrc.ec.europa.eu/sites/default/files/2020-03/superseded_ref_bref-0203.pdf;</t>
        </is>
      </c>
      <c r="B94" s="508" t="n"/>
      <c r="C94" s="508" t="n"/>
      <c r="D94" s="508" t="n"/>
      <c r="E94" s="508" t="n"/>
      <c r="F94" s="508" t="n"/>
      <c r="G94" s="508" t="n"/>
      <c r="H94" s="508" t="n"/>
      <c r="I94" s="508" t="n"/>
      <c r="J94" s="508" t="n"/>
      <c r="K94" s="508" t="n"/>
      <c r="L94" s="508" t="n"/>
      <c r="M94" s="508" t="n"/>
      <c r="N94" s="508" t="n"/>
      <c r="O94" s="508" t="n"/>
      <c r="P94" s="508" t="n"/>
      <c r="Q94" s="508" t="n"/>
      <c r="R94" s="508" t="n"/>
      <c r="S94" s="508" t="n"/>
      <c r="T94" s="508" t="n"/>
      <c r="U94" s="508" t="n"/>
      <c r="V94" s="508" t="n"/>
      <c r="W94" s="508" t="n"/>
      <c r="X94" s="508" t="n"/>
      <c r="Y94" s="508" t="n"/>
      <c r="Z94" s="508" t="n"/>
      <c r="AA94" s="508" t="n"/>
      <c r="AB94" s="508" t="n"/>
      <c r="AC94" s="508" t="n"/>
      <c r="AD94" s="508" t="n"/>
      <c r="AE94" s="508" t="n"/>
      <c r="AF94" s="508" t="n"/>
      <c r="AG94" s="508" t="n"/>
      <c r="AH94" s="508" t="n"/>
      <c r="AI94" s="508" t="n"/>
      <c r="AJ94" s="508" t="n"/>
      <c r="AK94" s="508" t="n"/>
      <c r="AL94" s="508" t="n"/>
      <c r="AM94" s="508" t="n"/>
      <c r="AN94" s="508" t="n"/>
      <c r="AO94" s="508" t="n"/>
      <c r="AP94" s="508" t="n"/>
      <c r="AQ94" s="508" t="n"/>
      <c r="AR94" s="508" t="n"/>
      <c r="AS94" s="508" t="n"/>
      <c r="AT94" s="508" t="n"/>
      <c r="AU94" s="508" t="n"/>
      <c r="AV94" s="508" t="n"/>
      <c r="AW94" s="508" t="n"/>
      <c r="AX94" s="508" t="n"/>
      <c r="AY94" s="1148" t="n"/>
    </row>
    <row r="95">
      <c r="A95" s="1252" t="inlineStr">
        <is>
          <t>- n.  Typical Density of Refinery gas,</t>
        </is>
      </c>
      <c r="B95" s="1115" t="n"/>
      <c r="C95" s="1115" t="n"/>
      <c r="D95" s="1115" t="n"/>
      <c r="E95" s="1115" t="n"/>
      <c r="F95" s="1115" t="n"/>
      <c r="G95" s="1115" t="n"/>
      <c r="H95" s="1115" t="n"/>
      <c r="I95" s="1115" t="n"/>
      <c r="J95" s="1115" t="n"/>
      <c r="K95" s="1115" t="n"/>
      <c r="L95" s="1115" t="n"/>
      <c r="M95" s="1115" t="n"/>
      <c r="N95" s="1115" t="n"/>
      <c r="O95" s="1115" t="n"/>
      <c r="P95" s="1115" t="n"/>
      <c r="Q95" s="1115" t="n"/>
      <c r="R95" s="1115" t="n"/>
      <c r="S95" s="1115" t="n"/>
      <c r="T95" s="1115" t="n"/>
      <c r="U95" s="1115" t="n"/>
      <c r="V95" s="1115" t="n"/>
      <c r="W95" s="1115" t="n"/>
      <c r="X95" s="1115" t="n"/>
      <c r="Y95" s="1115" t="n"/>
      <c r="Z95" s="1115" t="n"/>
      <c r="AA95" s="1115" t="n"/>
      <c r="AB95" s="1115" t="n"/>
      <c r="AC95" s="1115" t="n"/>
      <c r="AD95" s="1115" t="n"/>
      <c r="AE95" s="1115" t="n"/>
      <c r="AF95" s="1115" t="n"/>
      <c r="AG95" s="1115" t="n"/>
      <c r="AH95" s="1115" t="n"/>
      <c r="AI95" s="1115" t="n"/>
      <c r="AJ95" s="1115" t="n"/>
      <c r="AK95" s="1115" t="n"/>
      <c r="AL95" s="1115" t="n"/>
      <c r="AM95" s="1115" t="n"/>
      <c r="AN95" s="1115" t="n"/>
      <c r="AO95" s="1115" t="n"/>
      <c r="AP95" s="1115" t="n"/>
      <c r="AQ95" s="1115" t="n"/>
      <c r="AR95" s="1115" t="n"/>
      <c r="AS95" s="1115" t="n"/>
      <c r="AT95" s="1115" t="n"/>
      <c r="AU95" s="1115" t="n"/>
      <c r="AV95" s="1115" t="n"/>
      <c r="AW95" s="1115" t="n"/>
      <c r="AX95" s="1115" t="n"/>
      <c r="AY95" s="1253" t="n"/>
    </row>
    <row r="96">
      <c r="A96" s="1254" t="inlineStr">
        <is>
          <t>available at: http://www.ipcc-nggip.iges.or.jp/efdb/find_ef_ft.php;</t>
        </is>
      </c>
      <c r="B96" s="508" t="n"/>
      <c r="C96" s="508" t="n"/>
      <c r="D96" s="508" t="n"/>
      <c r="E96" s="508" t="n"/>
      <c r="F96" s="508" t="n"/>
      <c r="G96" s="508" t="n"/>
      <c r="H96" s="508" t="n"/>
      <c r="I96" s="508" t="n"/>
      <c r="J96" s="508" t="n"/>
      <c r="K96" s="508" t="n"/>
      <c r="L96" s="508" t="n"/>
      <c r="M96" s="508" t="n"/>
      <c r="N96" s="508" t="n"/>
      <c r="O96" s="508" t="n"/>
      <c r="P96" s="508" t="n"/>
      <c r="Q96" s="508" t="n"/>
      <c r="R96" s="508" t="n"/>
      <c r="S96" s="508" t="n"/>
      <c r="T96" s="508" t="n"/>
      <c r="U96" s="508" t="n"/>
      <c r="V96" s="508" t="n"/>
      <c r="W96" s="508" t="n"/>
      <c r="X96" s="508" t="n"/>
      <c r="Y96" s="508" t="n"/>
      <c r="Z96" s="508" t="n"/>
      <c r="AA96" s="508" t="n"/>
      <c r="AB96" s="508" t="n"/>
      <c r="AC96" s="508" t="n"/>
      <c r="AD96" s="508" t="n"/>
      <c r="AE96" s="508" t="n"/>
      <c r="AF96" s="508" t="n"/>
      <c r="AG96" s="508" t="n"/>
      <c r="AH96" s="508" t="n"/>
      <c r="AI96" s="508" t="n"/>
      <c r="AJ96" s="508" t="n"/>
      <c r="AK96" s="508" t="n"/>
      <c r="AL96" s="508" t="n"/>
      <c r="AM96" s="508" t="n"/>
      <c r="AN96" s="508" t="n"/>
      <c r="AO96" s="508" t="n"/>
      <c r="AP96" s="508" t="n"/>
      <c r="AQ96" s="508" t="n"/>
      <c r="AR96" s="508" t="n"/>
      <c r="AS96" s="508" t="n"/>
      <c r="AT96" s="508" t="n"/>
      <c r="AU96" s="508" t="n"/>
      <c r="AV96" s="508" t="n"/>
      <c r="AW96" s="508" t="n"/>
      <c r="AX96" s="508" t="n"/>
      <c r="AY96" s="1148" t="n"/>
    </row>
    <row r="97">
      <c r="A97" s="1252" t="inlineStr">
        <is>
          <t>- o. Typical Density of Sulphite lyes (black liquor),</t>
        </is>
      </c>
      <c r="B97" s="1115" t="n"/>
      <c r="C97" s="1115" t="n"/>
      <c r="D97" s="1115" t="n"/>
      <c r="E97" s="1115" t="n"/>
      <c r="F97" s="1115" t="n"/>
      <c r="G97" s="1115" t="n"/>
      <c r="H97" s="1115" t="n"/>
      <c r="I97" s="1115" t="n"/>
      <c r="J97" s="1115" t="n"/>
      <c r="K97" s="1115" t="n"/>
      <c r="L97" s="1115" t="n"/>
      <c r="M97" s="1115" t="n"/>
      <c r="N97" s="1115" t="n"/>
      <c r="O97" s="1115" t="n"/>
      <c r="P97" s="1115" t="n"/>
      <c r="Q97" s="1115" t="n"/>
      <c r="R97" s="1115" t="n"/>
      <c r="S97" s="1115" t="n"/>
      <c r="T97" s="1115" t="n"/>
      <c r="U97" s="1115" t="n"/>
      <c r="V97" s="1115" t="n"/>
      <c r="W97" s="1115" t="n"/>
      <c r="X97" s="1115" t="n"/>
      <c r="Y97" s="1115" t="n"/>
      <c r="Z97" s="1115" t="n"/>
      <c r="AA97" s="1115" t="n"/>
      <c r="AB97" s="1115" t="n"/>
      <c r="AC97" s="1115" t="n"/>
      <c r="AD97" s="1115" t="n"/>
      <c r="AE97" s="1115" t="n"/>
      <c r="AF97" s="1115" t="n"/>
      <c r="AG97" s="1115" t="n"/>
      <c r="AH97" s="1115" t="n"/>
      <c r="AI97" s="1115" t="n"/>
      <c r="AJ97" s="1115" t="n"/>
      <c r="AK97" s="1115" t="n"/>
      <c r="AL97" s="1115" t="n"/>
      <c r="AM97" s="1115" t="n"/>
      <c r="AN97" s="1115" t="n"/>
      <c r="AO97" s="1115" t="n"/>
      <c r="AP97" s="1115" t="n"/>
      <c r="AQ97" s="1115" t="n"/>
      <c r="AR97" s="1115" t="n"/>
      <c r="AS97" s="1115" t="n"/>
      <c r="AT97" s="1115" t="n"/>
      <c r="AU97" s="1115" t="n"/>
      <c r="AV97" s="1115" t="n"/>
      <c r="AW97" s="1115" t="n"/>
      <c r="AX97" s="1115" t="n"/>
      <c r="AY97" s="1253" t="n"/>
    </row>
    <row r="98">
      <c r="A98" s="1254" t="inlineStr">
        <is>
          <t>available at: https://captainslog.gr/wp-content/uploads/2020/12/Sulphite-Lye-Cafn.pdf;</t>
        </is>
      </c>
      <c r="B98" s="508" t="n"/>
      <c r="C98" s="508" t="n"/>
      <c r="D98" s="508" t="n"/>
      <c r="E98" s="508" t="n"/>
      <c r="F98" s="508" t="n"/>
      <c r="G98" s="508" t="n"/>
      <c r="H98" s="508" t="n"/>
      <c r="I98" s="508" t="n"/>
      <c r="J98" s="508" t="n"/>
      <c r="K98" s="508" t="n"/>
      <c r="L98" s="508" t="n"/>
      <c r="M98" s="508" t="n"/>
      <c r="N98" s="508" t="n"/>
      <c r="O98" s="508" t="n"/>
      <c r="P98" s="508" t="n"/>
      <c r="Q98" s="508" t="n"/>
      <c r="R98" s="508" t="n"/>
      <c r="S98" s="508" t="n"/>
      <c r="T98" s="508" t="n"/>
      <c r="U98" s="508" t="n"/>
      <c r="V98" s="508" t="n"/>
      <c r="W98" s="508" t="n"/>
      <c r="X98" s="508" t="n"/>
      <c r="Y98" s="508" t="n"/>
      <c r="Z98" s="508" t="n"/>
      <c r="AA98" s="508" t="n"/>
      <c r="AB98" s="508" t="n"/>
      <c r="AC98" s="508" t="n"/>
      <c r="AD98" s="508" t="n"/>
      <c r="AE98" s="508" t="n"/>
      <c r="AF98" s="508" t="n"/>
      <c r="AG98" s="508" t="n"/>
      <c r="AH98" s="508" t="n"/>
      <c r="AI98" s="508" t="n"/>
      <c r="AJ98" s="508" t="n"/>
      <c r="AK98" s="508" t="n"/>
      <c r="AL98" s="508" t="n"/>
      <c r="AM98" s="508" t="n"/>
      <c r="AN98" s="508" t="n"/>
      <c r="AO98" s="508" t="n"/>
      <c r="AP98" s="508" t="n"/>
      <c r="AQ98" s="508" t="n"/>
      <c r="AR98" s="508" t="n"/>
      <c r="AS98" s="508" t="n"/>
      <c r="AT98" s="508" t="n"/>
      <c r="AU98" s="508" t="n"/>
      <c r="AV98" s="508" t="n"/>
      <c r="AW98" s="508" t="n"/>
      <c r="AX98" s="508" t="n"/>
      <c r="AY98" s="1148" t="n"/>
    </row>
    <row r="99">
      <c r="A99" s="1252" t="inlineStr">
        <is>
          <t>- p. Typical NCV of Turpentine,</t>
        </is>
      </c>
      <c r="B99" s="1115" t="n"/>
      <c r="C99" s="1115" t="n"/>
      <c r="D99" s="1115" t="n"/>
      <c r="E99" s="1115" t="n"/>
      <c r="F99" s="1115" t="n"/>
      <c r="G99" s="1115" t="n"/>
      <c r="H99" s="1115" t="n"/>
      <c r="I99" s="1115" t="n"/>
      <c r="J99" s="1115" t="n"/>
      <c r="K99" s="1115" t="n"/>
      <c r="L99" s="1115" t="n"/>
      <c r="M99" s="1115" t="n"/>
      <c r="N99" s="1115" t="n"/>
      <c r="O99" s="1115" t="n"/>
      <c r="P99" s="1115" t="n"/>
      <c r="Q99" s="1115" t="n"/>
      <c r="R99" s="1115" t="n"/>
      <c r="S99" s="1115" t="n"/>
      <c r="T99" s="1115" t="n"/>
      <c r="U99" s="1115" t="n"/>
      <c r="V99" s="1115" t="n"/>
      <c r="W99" s="1115" t="n"/>
      <c r="X99" s="1115" t="n"/>
      <c r="Y99" s="1115" t="n"/>
      <c r="Z99" s="1115" t="n"/>
      <c r="AA99" s="1115" t="n"/>
      <c r="AB99" s="1115" t="n"/>
      <c r="AC99" s="1115" t="n"/>
      <c r="AD99" s="1115" t="n"/>
      <c r="AE99" s="1115" t="n"/>
      <c r="AF99" s="1115" t="n"/>
      <c r="AG99" s="1115" t="n"/>
      <c r="AH99" s="1115" t="n"/>
      <c r="AI99" s="1115" t="n"/>
      <c r="AJ99" s="1115" t="n"/>
      <c r="AK99" s="1115" t="n"/>
      <c r="AL99" s="1115" t="n"/>
      <c r="AM99" s="1115" t="n"/>
      <c r="AN99" s="1115" t="n"/>
      <c r="AO99" s="1115" t="n"/>
      <c r="AP99" s="1115" t="n"/>
      <c r="AQ99" s="1115" t="n"/>
      <c r="AR99" s="1115" t="n"/>
      <c r="AS99" s="1115" t="n"/>
      <c r="AT99" s="1115" t="n"/>
      <c r="AU99" s="1115" t="n"/>
      <c r="AV99" s="1115" t="n"/>
      <c r="AW99" s="1115" t="n"/>
      <c r="AX99" s="1115" t="n"/>
      <c r="AY99" s="1253" t="n"/>
    </row>
    <row r="100">
      <c r="A100" s="1254" t="inlineStr">
        <is>
          <t>available at: https://iopscience.iop.org/article/10.1088/1757-899X/912/4/042075;</t>
        </is>
      </c>
      <c r="B100" s="508" t="n"/>
      <c r="C100" s="508" t="n"/>
      <c r="D100" s="508" t="n"/>
      <c r="E100" s="508" t="n"/>
      <c r="F100" s="508" t="n"/>
      <c r="G100" s="508" t="n"/>
      <c r="H100" s="508" t="n"/>
      <c r="I100" s="508" t="n"/>
      <c r="J100" s="508" t="n"/>
      <c r="K100" s="508" t="n"/>
      <c r="L100" s="508" t="n"/>
      <c r="M100" s="508" t="n"/>
      <c r="N100" s="508" t="n"/>
      <c r="O100" s="508" t="n"/>
      <c r="P100" s="508" t="n"/>
      <c r="Q100" s="508" t="n"/>
      <c r="R100" s="508" t="n"/>
      <c r="S100" s="508" t="n"/>
      <c r="T100" s="508" t="n"/>
      <c r="U100" s="508" t="n"/>
      <c r="V100" s="508" t="n"/>
      <c r="W100" s="508" t="n"/>
      <c r="X100" s="508" t="n"/>
      <c r="Y100" s="508" t="n"/>
      <c r="Z100" s="508" t="n"/>
      <c r="AA100" s="508" t="n"/>
      <c r="AB100" s="508" t="n"/>
      <c r="AC100" s="508" t="n"/>
      <c r="AD100" s="508" t="n"/>
      <c r="AE100" s="508" t="n"/>
      <c r="AF100" s="508" t="n"/>
      <c r="AG100" s="508" t="n"/>
      <c r="AH100" s="508" t="n"/>
      <c r="AI100" s="508" t="n"/>
      <c r="AJ100" s="508" t="n"/>
      <c r="AK100" s="508" t="n"/>
      <c r="AL100" s="508" t="n"/>
      <c r="AM100" s="508" t="n"/>
      <c r="AN100" s="508" t="n"/>
      <c r="AO100" s="508" t="n"/>
      <c r="AP100" s="508" t="n"/>
      <c r="AQ100" s="508" t="n"/>
      <c r="AR100" s="508" t="n"/>
      <c r="AS100" s="508" t="n"/>
      <c r="AT100" s="508" t="n"/>
      <c r="AU100" s="508" t="n"/>
      <c r="AV100" s="508" t="n"/>
      <c r="AW100" s="508" t="n"/>
      <c r="AX100" s="508" t="n"/>
      <c r="AY100" s="1148" t="n"/>
    </row>
    <row r="101">
      <c r="A101" s="1252" t="inlineStr">
        <is>
          <t>- q. Typical NCV of Vegetable oils,</t>
        </is>
      </c>
      <c r="B101" s="1115" t="n"/>
      <c r="C101" s="1115" t="n"/>
      <c r="D101" s="1115" t="n"/>
      <c r="E101" s="1115" t="n"/>
      <c r="F101" s="1115" t="n"/>
      <c r="G101" s="1115" t="n"/>
      <c r="H101" s="1115" t="n"/>
      <c r="I101" s="1115" t="n"/>
      <c r="J101" s="1115" t="n"/>
      <c r="K101" s="1115" t="n"/>
      <c r="L101" s="1115" t="n"/>
      <c r="M101" s="1115" t="n"/>
      <c r="N101" s="1115" t="n"/>
      <c r="O101" s="1115" t="n"/>
      <c r="P101" s="1115" t="n"/>
      <c r="Q101" s="1115" t="n"/>
      <c r="R101" s="1115" t="n"/>
      <c r="S101" s="1115" t="n"/>
      <c r="T101" s="1115" t="n"/>
      <c r="U101" s="1115" t="n"/>
      <c r="V101" s="1115" t="n"/>
      <c r="W101" s="1115" t="n"/>
      <c r="X101" s="1115" t="n"/>
      <c r="Y101" s="1115" t="n"/>
      <c r="Z101" s="1115" t="n"/>
      <c r="AA101" s="1115" t="n"/>
      <c r="AB101" s="1115" t="n"/>
      <c r="AC101" s="1115" t="n"/>
      <c r="AD101" s="1115" t="n"/>
      <c r="AE101" s="1115" t="n"/>
      <c r="AF101" s="1115" t="n"/>
      <c r="AG101" s="1115" t="n"/>
      <c r="AH101" s="1115" t="n"/>
      <c r="AI101" s="1115" t="n"/>
      <c r="AJ101" s="1115" t="n"/>
      <c r="AK101" s="1115" t="n"/>
      <c r="AL101" s="1115" t="n"/>
      <c r="AM101" s="1115" t="n"/>
      <c r="AN101" s="1115" t="n"/>
      <c r="AO101" s="1115" t="n"/>
      <c r="AP101" s="1115" t="n"/>
      <c r="AQ101" s="1115" t="n"/>
      <c r="AR101" s="1115" t="n"/>
      <c r="AS101" s="1115" t="n"/>
      <c r="AT101" s="1115" t="n"/>
      <c r="AU101" s="1115" t="n"/>
      <c r="AV101" s="1115" t="n"/>
      <c r="AW101" s="1115" t="n"/>
      <c r="AX101" s="1115" t="n"/>
      <c r="AY101" s="1253" t="n"/>
    </row>
    <row r="102">
      <c r="A102" s="1254" t="inlineStr">
        <is>
          <t>available at: https://www.engineeringtoolbox.com/fuels-higher-calorific-values-d_169.html;</t>
        </is>
      </c>
      <c r="B102" s="508" t="n"/>
      <c r="C102" s="508" t="n"/>
      <c r="D102" s="508" t="n"/>
      <c r="E102" s="508" t="n"/>
      <c r="F102" s="508" t="n"/>
      <c r="G102" s="508" t="n"/>
      <c r="H102" s="508" t="n"/>
      <c r="I102" s="508" t="n"/>
      <c r="J102" s="508" t="n"/>
      <c r="K102" s="508" t="n"/>
      <c r="L102" s="508" t="n"/>
      <c r="M102" s="508" t="n"/>
      <c r="N102" s="508" t="n"/>
      <c r="O102" s="508" t="n"/>
      <c r="P102" s="508" t="n"/>
      <c r="Q102" s="508" t="n"/>
      <c r="R102" s="508" t="n"/>
      <c r="S102" s="508" t="n"/>
      <c r="T102" s="508" t="n"/>
      <c r="U102" s="508" t="n"/>
      <c r="V102" s="508" t="n"/>
      <c r="W102" s="508" t="n"/>
      <c r="X102" s="508" t="n"/>
      <c r="Y102" s="508" t="n"/>
      <c r="Z102" s="508" t="n"/>
      <c r="AA102" s="508" t="n"/>
      <c r="AB102" s="508" t="n"/>
      <c r="AC102" s="508" t="n"/>
      <c r="AD102" s="508" t="n"/>
      <c r="AE102" s="508" t="n"/>
      <c r="AF102" s="508" t="n"/>
      <c r="AG102" s="508" t="n"/>
      <c r="AH102" s="508" t="n"/>
      <c r="AI102" s="508" t="n"/>
      <c r="AJ102" s="508" t="n"/>
      <c r="AK102" s="508" t="n"/>
      <c r="AL102" s="508" t="n"/>
      <c r="AM102" s="508" t="n"/>
      <c r="AN102" s="508" t="n"/>
      <c r="AO102" s="508" t="n"/>
      <c r="AP102" s="508" t="n"/>
      <c r="AQ102" s="508" t="n"/>
      <c r="AR102" s="508" t="n"/>
      <c r="AS102" s="508" t="n"/>
      <c r="AT102" s="508" t="n"/>
      <c r="AU102" s="508" t="n"/>
      <c r="AV102" s="508" t="n"/>
      <c r="AW102" s="508" t="n"/>
      <c r="AX102" s="508" t="n"/>
      <c r="AY102" s="1148" t="n"/>
    </row>
    <row r="103">
      <c r="A103" s="1252" t="inlineStr">
        <is>
          <t>- r. Typical Density pf Waste oils,</t>
        </is>
      </c>
      <c r="B103" s="1115" t="n"/>
      <c r="C103" s="1115" t="n"/>
      <c r="D103" s="1115" t="n"/>
      <c r="E103" s="1115" t="n"/>
      <c r="F103" s="1115" t="n"/>
      <c r="G103" s="1115" t="n"/>
      <c r="H103" s="1115" t="n"/>
      <c r="I103" s="1115" t="n"/>
      <c r="J103" s="1115" t="n"/>
      <c r="K103" s="1115" t="n"/>
      <c r="L103" s="1115" t="n"/>
      <c r="M103" s="1115" t="n"/>
      <c r="N103" s="1115" t="n"/>
      <c r="O103" s="1115" t="n"/>
      <c r="P103" s="1115" t="n"/>
      <c r="Q103" s="1115" t="n"/>
      <c r="R103" s="1115" t="n"/>
      <c r="S103" s="1115" t="n"/>
      <c r="T103" s="1115" t="n"/>
      <c r="U103" s="1115" t="n"/>
      <c r="V103" s="1115" t="n"/>
      <c r="W103" s="1115" t="n"/>
      <c r="X103" s="1115" t="n"/>
      <c r="Y103" s="1115" t="n"/>
      <c r="Z103" s="1115" t="n"/>
      <c r="AA103" s="1115" t="n"/>
      <c r="AB103" s="1115" t="n"/>
      <c r="AC103" s="1115" t="n"/>
      <c r="AD103" s="1115" t="n"/>
      <c r="AE103" s="1115" t="n"/>
      <c r="AF103" s="1115" t="n"/>
      <c r="AG103" s="1115" t="n"/>
      <c r="AH103" s="1115" t="n"/>
      <c r="AI103" s="1115" t="n"/>
      <c r="AJ103" s="1115" t="n"/>
      <c r="AK103" s="1115" t="n"/>
      <c r="AL103" s="1115" t="n"/>
      <c r="AM103" s="1115" t="n"/>
      <c r="AN103" s="1115" t="n"/>
      <c r="AO103" s="1115" t="n"/>
      <c r="AP103" s="1115" t="n"/>
      <c r="AQ103" s="1115" t="n"/>
      <c r="AR103" s="1115" t="n"/>
      <c r="AS103" s="1115" t="n"/>
      <c r="AT103" s="1115" t="n"/>
      <c r="AU103" s="1115" t="n"/>
      <c r="AV103" s="1115" t="n"/>
      <c r="AW103" s="1115" t="n"/>
      <c r="AX103" s="1115" t="n"/>
      <c r="AY103" s="1253" t="n"/>
    </row>
    <row r="104">
      <c r="A104" s="1254" t="inlineStr">
        <is>
          <t>available at: https://ehs.cranesville.com/msds.pdfs/MSDS(U003).pdf;</t>
        </is>
      </c>
      <c r="B104" s="508" t="n"/>
      <c r="C104" s="508" t="n"/>
      <c r="D104" s="508" t="n"/>
      <c r="E104" s="508" t="n"/>
      <c r="F104" s="508" t="n"/>
      <c r="G104" s="508" t="n"/>
      <c r="H104" s="508" t="n"/>
      <c r="I104" s="508" t="n"/>
      <c r="J104" s="508" t="n"/>
      <c r="K104" s="508" t="n"/>
      <c r="L104" s="508" t="n"/>
      <c r="M104" s="508" t="n"/>
      <c r="N104" s="508" t="n"/>
      <c r="O104" s="508" t="n"/>
      <c r="P104" s="508" t="n"/>
      <c r="Q104" s="508" t="n"/>
      <c r="R104" s="508" t="n"/>
      <c r="S104" s="508" t="n"/>
      <c r="T104" s="508" t="n"/>
      <c r="U104" s="508" t="n"/>
      <c r="V104" s="508" t="n"/>
      <c r="W104" s="508" t="n"/>
      <c r="X104" s="508" t="n"/>
      <c r="Y104" s="508" t="n"/>
      <c r="Z104" s="508" t="n"/>
      <c r="AA104" s="508" t="n"/>
      <c r="AB104" s="508" t="n"/>
      <c r="AC104" s="508" t="n"/>
      <c r="AD104" s="508" t="n"/>
      <c r="AE104" s="508" t="n"/>
      <c r="AF104" s="508" t="n"/>
      <c r="AG104" s="508" t="n"/>
      <c r="AH104" s="508" t="n"/>
      <c r="AI104" s="508" t="n"/>
      <c r="AJ104" s="508" t="n"/>
      <c r="AK104" s="508" t="n"/>
      <c r="AL104" s="508" t="n"/>
      <c r="AM104" s="508" t="n"/>
      <c r="AN104" s="508" t="n"/>
      <c r="AO104" s="508" t="n"/>
      <c r="AP104" s="508" t="n"/>
      <c r="AQ104" s="508" t="n"/>
      <c r="AR104" s="508" t="n"/>
      <c r="AS104" s="508" t="n"/>
      <c r="AT104" s="508" t="n"/>
      <c r="AU104" s="508" t="n"/>
      <c r="AV104" s="508" t="n"/>
      <c r="AW104" s="508" t="n"/>
      <c r="AX104" s="508" t="n"/>
      <c r="AY104" s="1148" t="n"/>
    </row>
    <row r="105">
      <c r="A105" s="1252" t="inlineStr">
        <is>
          <t>- s. Typical NCV of Waste water treatment biogas,</t>
        </is>
      </c>
      <c r="B105" s="1115" t="n"/>
      <c r="C105" s="1115" t="n"/>
      <c r="D105" s="1115" t="n"/>
      <c r="E105" s="1115" t="n"/>
      <c r="F105" s="1115" t="n"/>
      <c r="G105" s="1115" t="n"/>
      <c r="H105" s="1115" t="n"/>
      <c r="I105" s="1115" t="n"/>
      <c r="J105" s="1115" t="n"/>
      <c r="K105" s="1115" t="n"/>
      <c r="L105" s="1115" t="n"/>
      <c r="M105" s="1115" t="n"/>
      <c r="N105" s="1115" t="n"/>
      <c r="O105" s="1115" t="n"/>
      <c r="P105" s="1115" t="n"/>
      <c r="Q105" s="1115" t="n"/>
      <c r="R105" s="1115" t="n"/>
      <c r="S105" s="1115" t="n"/>
      <c r="T105" s="1115" t="n"/>
      <c r="U105" s="1115" t="n"/>
      <c r="V105" s="1115" t="n"/>
      <c r="W105" s="1115" t="n"/>
      <c r="X105" s="1115" t="n"/>
      <c r="Y105" s="1115" t="n"/>
      <c r="Z105" s="1115" t="n"/>
      <c r="AA105" s="1115" t="n"/>
      <c r="AB105" s="1115" t="n"/>
      <c r="AC105" s="1115" t="n"/>
      <c r="AD105" s="1115" t="n"/>
      <c r="AE105" s="1115" t="n"/>
      <c r="AF105" s="1115" t="n"/>
      <c r="AG105" s="1115" t="n"/>
      <c r="AH105" s="1115" t="n"/>
      <c r="AI105" s="1115" t="n"/>
      <c r="AJ105" s="1115" t="n"/>
      <c r="AK105" s="1115" t="n"/>
      <c r="AL105" s="1115" t="n"/>
      <c r="AM105" s="1115" t="n"/>
      <c r="AN105" s="1115" t="n"/>
      <c r="AO105" s="1115" t="n"/>
      <c r="AP105" s="1115" t="n"/>
      <c r="AQ105" s="1115" t="n"/>
      <c r="AR105" s="1115" t="n"/>
      <c r="AS105" s="1115" t="n"/>
      <c r="AT105" s="1115" t="n"/>
      <c r="AU105" s="1115" t="n"/>
      <c r="AV105" s="1115" t="n"/>
      <c r="AW105" s="1115" t="n"/>
      <c r="AX105" s="1115" t="n"/>
      <c r="AY105" s="1253" t="n"/>
    </row>
    <row r="106">
      <c r="A106" s="1254" t="inlineStr">
        <is>
          <t>available at: https://www.mdpi.com/2673-5628/5/1/6;</t>
        </is>
      </c>
      <c r="B106" s="508" t="n"/>
      <c r="C106" s="508" t="n"/>
      <c r="D106" s="508" t="n"/>
      <c r="E106" s="508" t="n"/>
      <c r="F106" s="508" t="n"/>
      <c r="G106" s="508" t="n"/>
      <c r="H106" s="508" t="n"/>
      <c r="I106" s="508" t="n"/>
      <c r="J106" s="508" t="n"/>
      <c r="K106" s="508" t="n"/>
      <c r="L106" s="508" t="n"/>
      <c r="M106" s="508" t="n"/>
      <c r="N106" s="508" t="n"/>
      <c r="O106" s="508" t="n"/>
      <c r="P106" s="508" t="n"/>
      <c r="Q106" s="508" t="n"/>
      <c r="R106" s="508" t="n"/>
      <c r="S106" s="508" t="n"/>
      <c r="T106" s="508" t="n"/>
      <c r="U106" s="508" t="n"/>
      <c r="V106" s="508" t="n"/>
      <c r="W106" s="508" t="n"/>
      <c r="X106" s="508" t="n"/>
      <c r="Y106" s="508" t="n"/>
      <c r="Z106" s="508" t="n"/>
      <c r="AA106" s="508" t="n"/>
      <c r="AB106" s="508" t="n"/>
      <c r="AC106" s="508" t="n"/>
      <c r="AD106" s="508" t="n"/>
      <c r="AE106" s="508" t="n"/>
      <c r="AF106" s="508" t="n"/>
      <c r="AG106" s="508" t="n"/>
      <c r="AH106" s="508" t="n"/>
      <c r="AI106" s="508" t="n"/>
      <c r="AJ106" s="508" t="n"/>
      <c r="AK106" s="508" t="n"/>
      <c r="AL106" s="508" t="n"/>
      <c r="AM106" s="508" t="n"/>
      <c r="AN106" s="508" t="n"/>
      <c r="AO106" s="508" t="n"/>
      <c r="AP106" s="508" t="n"/>
      <c r="AQ106" s="508" t="n"/>
      <c r="AR106" s="508" t="n"/>
      <c r="AS106" s="508" t="n"/>
      <c r="AT106" s="508" t="n"/>
      <c r="AU106" s="508" t="n"/>
      <c r="AV106" s="508" t="n"/>
      <c r="AW106" s="508" t="n"/>
      <c r="AX106" s="508" t="n"/>
      <c r="AY106" s="1148" t="n"/>
    </row>
    <row r="107">
      <c r="A107" s="1261" t="inlineStr">
        <is>
          <t>- t. Typical Density of White Spirit &amp; SBP,</t>
        </is>
      </c>
      <c r="AY107" s="1249" t="n"/>
    </row>
    <row r="108" ht="15" customHeight="1" thickBot="1">
      <c r="A108" s="1262"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13" t="n"/>
    </row>
  </sheetData>
  <mergeCells count="46">
    <mergeCell ref="A73:AY73"/>
    <mergeCell ref="A107:AY107"/>
    <mergeCell ref="A82:AY82"/>
    <mergeCell ref="A98:AY98"/>
    <mergeCell ref="A94:AY94"/>
    <mergeCell ref="A103:AY103"/>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74:AY74"/>
    <mergeCell ref="A105:AY105"/>
    <mergeCell ref="A101:AY101"/>
    <mergeCell ref="A86:AY86"/>
    <mergeCell ref="A104:AY104"/>
    <mergeCell ref="A95:AY95"/>
    <mergeCell ref="A71:AY71"/>
    <mergeCell ref="A85:AY85"/>
    <mergeCell ref="A76:AY76"/>
    <mergeCell ref="A106:AY106"/>
    <mergeCell ref="A97:AY97"/>
    <mergeCell ref="A62:AY62"/>
    <mergeCell ref="A100:AY100"/>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32">
      <formula>OR($B$8="Liquid", $B$8="Gas")</formula>
    </cfRule>
  </conditionalFormatting>
  <conditionalFormatting sqref="B52:F61">
    <cfRule type="expression" priority="1" dxfId="32">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5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autoPageBreaks="0"/>
  </sheetPr>
  <dimension ref="A1:G68"/>
  <sheetViews>
    <sheetView zoomScaleNormal="100" workbookViewId="0">
      <selection activeCell="G6" sqref="G6"/>
    </sheetView>
  </sheetViews>
  <sheetFormatPr baseColWidth="8" defaultColWidth="8.88671875" defaultRowHeight="14.4"/>
  <cols>
    <col width="19.44140625" bestFit="1" customWidth="1" min="2" max="2"/>
    <col width="10.5546875" customWidth="1" min="3" max="3"/>
    <col width="43" customWidth="1" min="4" max="4"/>
    <col width="8.6640625" customWidth="1" style="1032" min="5" max="6"/>
    <col width="115.6640625" customWidth="1" style="1032" min="7" max="7"/>
    <col width="8.6640625" customWidth="1" style="1032" min="8" max="37"/>
  </cols>
  <sheetData>
    <row r="1" ht="15.6" customFormat="1" customHeight="1" s="1032" thickBot="1" thickTop="1">
      <c r="A1" s="1263">
        <f>template_label_unit_of_measurement_converter</f>
        <v/>
      </c>
      <c r="B1" s="1264" t="n"/>
      <c r="C1" s="1265" t="n"/>
    </row>
    <row r="2" ht="15" customFormat="1" customHeight="1" s="1032" thickTop="1">
      <c r="A2" s="18" t="n"/>
      <c r="B2" s="18" t="n"/>
      <c r="C2" s="18" t="n"/>
    </row>
    <row r="3" ht="15" customHeight="1" thickBot="1">
      <c r="A3" s="1032" t="n"/>
      <c r="B3" s="1032" t="n"/>
      <c r="C3" s="1032" t="n"/>
      <c r="D3" s="1032" t="n"/>
    </row>
    <row r="4" ht="15" customHeight="1" thickBot="1">
      <c r="A4" s="1099">
        <f>template_label_unit_of_measurement_of_mass_converter</f>
        <v/>
      </c>
      <c r="B4" s="1120" t="n"/>
      <c r="C4" s="1120" t="n"/>
      <c r="D4" s="1120" t="n"/>
      <c r="E4" s="50" t="n"/>
      <c r="G4" s="353">
        <f>template_label_usage_of_unit_of_measurement_converter</f>
        <v/>
      </c>
    </row>
    <row r="5" ht="15" customHeight="1" thickBot="1">
      <c r="A5" s="43">
        <f>template_label_from_capital_case</f>
        <v/>
      </c>
      <c r="B5" s="156" t="n"/>
      <c r="C5" s="44">
        <f>template_label_to</f>
        <v/>
      </c>
      <c r="D5" s="156" t="n"/>
      <c r="G5" s="330">
        <f>template_label_steps_to_follow_for_the_mass_table</f>
        <v/>
      </c>
    </row>
    <row r="6" ht="15" customHeight="1" thickBot="1">
      <c r="A6" s="1032" t="n"/>
      <c r="B6" s="171" t="n"/>
      <c r="C6" s="1032" t="n"/>
      <c r="D6" s="1266">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352">
        <f>template_label_1_in_the_cell_b5_of_the_table_related_to_the_unit_of_measurement_of_mass_converter</f>
        <v/>
      </c>
    </row>
    <row r="7" ht="15" customFormat="1" customHeight="1" s="1032" thickBot="1">
      <c r="G7" s="352">
        <f>template_label_2_then_in_the_cell_b6_the_amount_of_mass_can_be_inserted</f>
        <v/>
      </c>
    </row>
    <row r="8" ht="15" customFormat="1" customHeight="1" s="1032" thickBot="1">
      <c r="A8" s="1267">
        <f>template_label_unit_of_measurement_of_volume_converter</f>
        <v/>
      </c>
      <c r="B8" s="1120" t="n"/>
      <c r="C8" s="1120" t="n"/>
      <c r="D8" s="1126" t="n"/>
      <c r="G8" s="352">
        <f>template_label_3_finally_in_the_cell_d5_there_should_be_the_unit_of_measurement_of_interest</f>
        <v/>
      </c>
    </row>
    <row r="9" ht="15" customFormat="1" customHeight="1" s="1032" thickBot="1">
      <c r="A9" s="43">
        <f>template_label_from_capital_case</f>
        <v/>
      </c>
      <c r="B9" s="156" t="n"/>
      <c r="C9" s="44">
        <f>template_label_to</f>
        <v/>
      </c>
      <c r="D9" s="156" t="n"/>
      <c r="G9" s="352">
        <f>template_label_4_the_outcome_of_the_conversion_will_be_displayed_in_the_cell_d6</f>
        <v/>
      </c>
    </row>
    <row r="10" ht="15" customFormat="1" customHeight="1" s="1032" thickBot="1">
      <c r="B10" s="171" t="n"/>
      <c r="D10" s="22">
        <f>IF(OR(B9="",B10="",D9=""),"-", IF(AND(B9="m³ - cubic meters",D9="L - Liter"),B10*1000,
IF(AND(B9="m³ - cubic meters",D9="m³ - cubic meters"),B10*1,
IF(AND(B9="L - Liter",D9="m³ - cubic meters"),B10*0.001,
IF(AND(B9="L - Liter",D9="L - Liter"),B10*1,
"")))))</f>
        <v/>
      </c>
      <c r="G10" s="1032">
        <f>template_label_the_steps_to_follow_for_the_other_tables</f>
        <v/>
      </c>
    </row>
    <row r="11" ht="15" customFormat="1" customHeight="1" s="1032" thickBot="1">
      <c r="B11" s="23" t="n"/>
      <c r="D11" s="23" t="n"/>
      <c r="G11" s="1032">
        <f>template_label_below_are_specified_all_the_units_of_measurement_conversions_of_each_table</f>
        <v/>
      </c>
    </row>
    <row r="12" ht="15" customFormat="1" customHeight="1" s="1032" thickBot="1">
      <c r="A12" s="1267">
        <f>template_label_unit_of_measurement_of_energy_consumption_per_hour</f>
        <v/>
      </c>
      <c r="B12" s="1120" t="n"/>
      <c r="C12" s="1120" t="n"/>
      <c r="D12" s="1126" t="n"/>
      <c r="G12" s="330">
        <f>template_label_unit_of_measurement_of_mass_converter_list</f>
        <v/>
      </c>
    </row>
    <row r="13" ht="15" customFormat="1" customHeight="1" s="1032" thickBot="1">
      <c r="A13" s="43">
        <f>template_label_from_capital_case</f>
        <v/>
      </c>
      <c r="B13" s="156" t="n"/>
      <c r="C13" s="44">
        <f>template_label_to</f>
        <v/>
      </c>
      <c r="D13" s="156" t="n"/>
      <c r="G13" s="352" t="inlineStr">
        <is>
          <t>Gg – Gigagram</t>
        </is>
      </c>
    </row>
    <row r="14" ht="15" customFormat="1" customHeight="1" s="1032" thickBot="1">
      <c r="B14" s="171" t="n"/>
      <c r="D14" s="1266">
        <f>IF(OR(B13="",B14="",D13=""),"-",
IF(AND(B13="MWh - Megawatt hours",D13="MWh - Megawatt hours"),B14*1,
IF(AND(B13="TJ - Terajoule",D13="TJ - Terajoule"),B14*1,
IF(AND(B13="TJ - Terajoule",D13="MWh - Megawatt hours"),B14*277.778,
IF(AND(B13="MWh - Megawatt hours",D13="MWh - Megawatt hours"),B14/277.778,
"")))))</f>
        <v/>
      </c>
      <c r="G14" s="352" t="inlineStr">
        <is>
          <t>t – tonne</t>
        </is>
      </c>
    </row>
    <row r="15" ht="15" customFormat="1" customHeight="1" s="1032" thickBot="1">
      <c r="G15" s="352" t="inlineStr">
        <is>
          <t>Kg – Kilogram</t>
        </is>
      </c>
    </row>
    <row r="16" ht="15" customFormat="1" customHeight="1" s="1032" thickBot="1">
      <c r="A16" s="1267">
        <f>template_label_unit_of_measurement_of_density_converter</f>
        <v/>
      </c>
      <c r="B16" s="1120" t="n"/>
      <c r="C16" s="1120" t="n"/>
      <c r="D16" s="1126" t="n"/>
      <c r="G16" s="352" t="inlineStr">
        <is>
          <t>g – gram</t>
        </is>
      </c>
    </row>
    <row r="17" ht="15" customFormat="1" customHeight="1" s="1032" thickBot="1">
      <c r="A17" s="43">
        <f>template_label_from_capital_case</f>
        <v/>
      </c>
      <c r="B17" s="156" t="n"/>
      <c r="C17" s="44">
        <f>template_label_to</f>
        <v/>
      </c>
      <c r="D17" s="156" t="n"/>
      <c r="G17" s="330">
        <f>template_label_unit_of_measurement_of_volume_converter_list</f>
        <v/>
      </c>
    </row>
    <row r="18" ht="15" customFormat="1" customHeight="1" s="1032" thickBot="1">
      <c r="B18" s="171" t="n"/>
      <c r="D18" s="1266">
        <f>IF(OR(B17="",B16="",D17=""), "-", B18 * INDEX('Fuel Conversion Parameters'!L2:S9, MATCH(B17, 'Fuel Conversion Parameters'!K2:K9, 0), MATCH(D17, 'Fuel Conversion Parameters'!L1:S1, 0)))</f>
        <v/>
      </c>
      <c r="G18" s="352" t="inlineStr">
        <is>
          <t>m³ – cubic meters</t>
        </is>
      </c>
    </row>
    <row r="19" ht="15" customFormat="1" customHeight="1" s="1032" thickBot="1">
      <c r="G19" s="352" t="inlineStr">
        <is>
          <t>L – Liter</t>
        </is>
      </c>
    </row>
    <row r="20" ht="15" customFormat="1" customHeight="1" s="1032" thickBot="1">
      <c r="A20" s="1267">
        <f>template_label_unit_of_measurement_of_ncv_converter</f>
        <v/>
      </c>
      <c r="B20" s="1120" t="n"/>
      <c r="C20" s="1120" t="n"/>
      <c r="D20" s="1126" t="n"/>
      <c r="G20" s="330">
        <f>template_label_unit_of_measurement_of_energy_converter_list</f>
        <v/>
      </c>
    </row>
    <row r="21" ht="15" customFormat="1" customHeight="1" s="1032" thickBot="1">
      <c r="A21" s="43">
        <f>template_label_from_capital_case</f>
        <v/>
      </c>
      <c r="B21" s="156" t="n"/>
      <c r="C21" s="44">
        <f>template_label_to</f>
        <v/>
      </c>
      <c r="D21" s="156" t="n"/>
      <c r="G21" s="352" t="inlineStr">
        <is>
          <t>TJ – Terajoule</t>
        </is>
      </c>
    </row>
    <row r="22" ht="15" customFormat="1" customHeight="1" s="1032" thickBot="1">
      <c r="B22" s="171" t="n"/>
      <c r="D22" s="1268">
        <f>IF(OR(B21="",B22="",D21=""), "-", B22 * INDEX('Fuel Conversion Parameters'!V2:AK13, MATCH(B21, 'Fuel Conversion Parameters'!U2:U13, 0), MATCH(D21, 'Fuel Conversion Parameters'!V1:AK1, 0)))</f>
        <v/>
      </c>
      <c r="G22" s="352" t="inlineStr">
        <is>
          <t>MWh – Megawatt hours</t>
        </is>
      </c>
    </row>
    <row r="23" customFormat="1" s="1032">
      <c r="G23" s="330">
        <f>template_label_unit_of_measurement_of_density_converter_list</f>
        <v/>
      </c>
    </row>
    <row r="24" customFormat="1" s="1032">
      <c r="G24" s="352" t="inlineStr">
        <is>
          <t>g/L</t>
        </is>
      </c>
    </row>
    <row r="25" customFormat="1" s="1032">
      <c r="G25" s="352" t="inlineStr">
        <is>
          <t>Kg/L</t>
        </is>
      </c>
    </row>
    <row r="26" customFormat="1" s="1032">
      <c r="G26" s="352" t="inlineStr">
        <is>
          <t>t/L</t>
        </is>
      </c>
    </row>
    <row r="27" customFormat="1" s="1032">
      <c r="G27" s="352" t="inlineStr">
        <is>
          <t>Gg/L</t>
        </is>
      </c>
    </row>
    <row r="28" customFormat="1" s="1032">
      <c r="G28" s="352" t="inlineStr">
        <is>
          <t>g/m³</t>
        </is>
      </c>
    </row>
    <row r="29" customFormat="1" s="1032">
      <c r="G29" s="352" t="inlineStr">
        <is>
          <t>Kg/m³</t>
        </is>
      </c>
    </row>
    <row r="30" customFormat="1" s="1032">
      <c r="G30" s="352" t="inlineStr">
        <is>
          <t>t/m³</t>
        </is>
      </c>
    </row>
    <row r="31" customFormat="1" s="1032">
      <c r="G31" s="352" t="inlineStr">
        <is>
          <t>Gg/m³</t>
        </is>
      </c>
    </row>
    <row r="32" customFormat="1" s="1032">
      <c r="G32" s="330">
        <f>template_label_unit_of_measurement_of_ncv_converter_list</f>
        <v/>
      </c>
    </row>
    <row r="33" customFormat="1" s="1032">
      <c r="G33" s="352" t="inlineStr">
        <is>
          <t>J/g</t>
        </is>
      </c>
    </row>
    <row r="34" customFormat="1" s="1032">
      <c r="G34" s="352" t="inlineStr">
        <is>
          <t>J/Kg</t>
        </is>
      </c>
    </row>
    <row r="35" customFormat="1" s="1032">
      <c r="G35" s="352" t="inlineStr">
        <is>
          <t>J/t</t>
        </is>
      </c>
    </row>
    <row r="36" customFormat="1" s="1032">
      <c r="G36" s="352" t="inlineStr">
        <is>
          <t>J/Gg</t>
        </is>
      </c>
    </row>
    <row r="37" customFormat="1" s="1032">
      <c r="G37" s="352" t="inlineStr">
        <is>
          <t>KJ/g</t>
        </is>
      </c>
    </row>
    <row r="38" customFormat="1" s="1032">
      <c r="G38" s="352" t="inlineStr">
        <is>
          <t>KJ/Kg</t>
        </is>
      </c>
    </row>
    <row r="39" customFormat="1" s="1032">
      <c r="G39" s="352" t="inlineStr">
        <is>
          <t>KJ/t</t>
        </is>
      </c>
    </row>
    <row r="40" customFormat="1" s="1032">
      <c r="G40" s="352" t="inlineStr">
        <is>
          <t>KJ/Gg</t>
        </is>
      </c>
    </row>
    <row r="41" customFormat="1" s="1032">
      <c r="G41" s="352" t="inlineStr">
        <is>
          <t>TJ/g</t>
        </is>
      </c>
    </row>
    <row r="42" customFormat="1" s="1032">
      <c r="G42" s="352" t="inlineStr">
        <is>
          <t>TJ/Kg</t>
        </is>
      </c>
    </row>
    <row r="43" customFormat="1" s="1032">
      <c r="G43" s="352" t="inlineStr">
        <is>
          <t>TJ/t</t>
        </is>
      </c>
    </row>
    <row r="44" customFormat="1" s="1032">
      <c r="G44" s="352" t="inlineStr">
        <is>
          <t>TJ/Gg</t>
        </is>
      </c>
    </row>
    <row r="45" customFormat="1" s="1032">
      <c r="G45" s="352" t="inlineStr">
        <is>
          <t>MWh/g</t>
        </is>
      </c>
    </row>
    <row r="46" customFormat="1" s="1032">
      <c r="G46" s="352" t="inlineStr">
        <is>
          <t>MWh/Kg</t>
        </is>
      </c>
    </row>
    <row r="47" customFormat="1" s="1032">
      <c r="G47" s="352" t="inlineStr">
        <is>
          <t>MWh/t</t>
        </is>
      </c>
    </row>
    <row r="48" customFormat="1" s="1032">
      <c r="G48" s="352" t="inlineStr">
        <is>
          <t>MWh/Gg</t>
        </is>
      </c>
    </row>
    <row r="49" customFormat="1" s="1032"/>
    <row r="50" customFormat="1" s="1032">
      <c r="G50" s="351" t="n"/>
    </row>
    <row r="51" customFormat="1" s="1032"/>
    <row r="52" customFormat="1" s="1032">
      <c r="G52" s="351" t="n"/>
    </row>
    <row r="53" customFormat="1" s="1032"/>
    <row r="54" customFormat="1" s="1032">
      <c r="G54" s="351" t="n"/>
    </row>
    <row r="55" customFormat="1" s="1032"/>
    <row r="56" customFormat="1" s="1032">
      <c r="G56" s="351" t="n"/>
    </row>
    <row r="57" customFormat="1" s="1032"/>
    <row r="58" customFormat="1" s="1032">
      <c r="G58" s="351" t="n"/>
    </row>
    <row r="59" customFormat="1" s="1032"/>
    <row r="60" customFormat="1" s="1032">
      <c r="G60" s="351" t="n"/>
    </row>
    <row r="61" customFormat="1" s="1032"/>
    <row r="62" customFormat="1" s="1032">
      <c r="G62" s="351" t="n"/>
    </row>
    <row r="63" customFormat="1" s="1032"/>
    <row r="64" customFormat="1" s="1032">
      <c r="G64" s="351" t="n"/>
    </row>
    <row r="65" customFormat="1" s="1032"/>
    <row r="66" customFormat="1" s="1032">
      <c r="G66" s="351" t="n"/>
    </row>
    <row r="67" customFormat="1" s="1032"/>
    <row r="68" customFormat="1" s="1032">
      <c r="G68" s="351" t="n"/>
    </row>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codeName="Sheet12">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032" min="1" max="1"/>
    <col width="8.88671875" customWidth="1" style="1032" min="2" max="16384"/>
  </cols>
  <sheetData>
    <row r="1">
      <c r="A1" s="224" t="inlineStr">
        <is>
          <t>MIT License</t>
        </is>
      </c>
    </row>
    <row r="2">
      <c r="A2" s="503" t="n"/>
    </row>
    <row r="3">
      <c r="A3" s="503" t="inlineStr">
        <is>
          <t>Copyright (c) 2025 EFRAG</t>
        </is>
      </c>
    </row>
    <row r="4">
      <c r="A4" s="503" t="n"/>
    </row>
    <row r="5">
      <c r="A5" s="503" t="inlineStr">
        <is>
          <t>Permission is hereby granted, free of charge, to any person obtaining a copy</t>
        </is>
      </c>
    </row>
    <row r="6">
      <c r="A6" s="503" t="inlineStr">
        <is>
          <t>of this software and associated documentation files (the "Software"), to deal</t>
        </is>
      </c>
    </row>
    <row r="7">
      <c r="A7" s="503" t="inlineStr">
        <is>
          <t>in the Software without restriction, including without limitation the rights</t>
        </is>
      </c>
    </row>
    <row r="8">
      <c r="A8" s="503" t="inlineStr">
        <is>
          <t>to use, copy, modify, merge, publish, distribute, sublicense, and/or sell</t>
        </is>
      </c>
    </row>
    <row r="9">
      <c r="A9" s="503" t="inlineStr">
        <is>
          <t>copies of the Software, and to permit persons to whom the Software is</t>
        </is>
      </c>
    </row>
    <row r="10">
      <c r="A10" s="503" t="inlineStr">
        <is>
          <t>furnished to do so, subject to the following conditions:</t>
        </is>
      </c>
    </row>
    <row r="11">
      <c r="A11" s="503" t="n"/>
    </row>
    <row r="12">
      <c r="A12" s="503" t="inlineStr">
        <is>
          <t>The above copyright notice and this permission notice shall be included in all</t>
        </is>
      </c>
    </row>
    <row r="13">
      <c r="A13" s="503" t="inlineStr">
        <is>
          <t>copies or substantial portions of the Software.</t>
        </is>
      </c>
    </row>
    <row r="14">
      <c r="A14" s="503" t="n"/>
    </row>
    <row r="15">
      <c r="A15" s="503" t="inlineStr">
        <is>
          <t>THE SOFTWARE IS PROVIDED "AS IS", WITHOUT WARRANTY OF ANY KIND, EXPRESS OR</t>
        </is>
      </c>
    </row>
    <row r="16">
      <c r="A16" s="503" t="inlineStr">
        <is>
          <t>IMPLIED, INCLUDING BUT NOT LIMITED TO THE WARRANTIES OF MERCHANTABILITY,</t>
        </is>
      </c>
    </row>
    <row r="17">
      <c r="A17" s="503" t="inlineStr">
        <is>
          <t>FITNESS FOR A PARTICULAR PURPOSE AND NONINFRINGEMENT. IN NO EVENT SHALL THE</t>
        </is>
      </c>
    </row>
    <row r="18">
      <c r="A18" s="503" t="inlineStr">
        <is>
          <t>AUTHORS OR COPYRIGHT HOLDERS BE LIABLE FOR ANY CLAIM, DAMAGES OR OTHER</t>
        </is>
      </c>
    </row>
    <row r="19">
      <c r="A19" s="503" t="inlineStr">
        <is>
          <t>LIABILITY, WHETHER IN AN ACTION OF CONTRACT, TORT OR OTHERWISE, ARISING FROM,</t>
        </is>
      </c>
    </row>
    <row r="20">
      <c r="A20" s="503" t="inlineStr">
        <is>
          <t>OUT OF OR IN CONNECTION WITH THE SOFTWARE OR THE USE OR OTHER DEALINGS IN THE</t>
        </is>
      </c>
    </row>
    <row r="21" ht="15" customHeight="1" thickBot="1">
      <c r="A21" s="22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C1049"/>
  <sheetViews>
    <sheetView topLeftCell="M1" zoomScaleNormal="100" workbookViewId="0">
      <selection activeCell="T26" sqref="T26"/>
    </sheetView>
  </sheetViews>
  <sheetFormatPr baseColWidth="8" defaultColWidth="8.88671875" defaultRowHeight="14.4"/>
  <cols>
    <col width="150.44140625" bestFit="1" customWidth="1" min="1" max="1"/>
    <col hidden="1" width="150.44140625" customWidth="1" min="2" max="2"/>
    <col width="49.5546875" bestFit="1" customWidth="1" min="3" max="3"/>
    <col width="21.44140625" bestFit="1" customWidth="1" min="4" max="4"/>
    <col width="21.44140625" customWidth="1" min="5" max="5"/>
    <col width="92" bestFit="1" customWidth="1" min="6" max="6"/>
    <col width="49.44140625" bestFit="1" customWidth="1" min="7" max="7"/>
    <col width="44.44140625" customWidth="1" min="8" max="8"/>
    <col width="99.6640625" customWidth="1" min="9" max="9"/>
    <col width="48.44140625" bestFit="1" customWidth="1" min="10" max="10"/>
    <col width="20.44140625" bestFit="1" customWidth="1" min="11" max="11"/>
    <col width="18" bestFit="1" customWidth="1" min="12" max="12"/>
    <col width="30.5546875" bestFit="1" customWidth="1" min="13" max="13"/>
    <col width="26.5546875" bestFit="1" customWidth="1" min="14" max="14"/>
    <col width="10.5546875" customWidth="1" min="15" max="15"/>
    <col width="13.44140625" bestFit="1" customWidth="1" min="16" max="16"/>
    <col width="9.6640625" bestFit="1" customWidth="1" min="18" max="18"/>
    <col width="46.6640625" bestFit="1" customWidth="1" min="19" max="19"/>
    <col width="100.33203125" bestFit="1" customWidth="1" min="20" max="20"/>
    <col width="12.6640625" bestFit="1" customWidth="1" min="21" max="21"/>
    <col width="31.44140625" customWidth="1" min="23" max="23"/>
    <col width="255.44140625" bestFit="1" customWidth="1" min="24" max="24"/>
    <col width="17.44140625" customWidth="1" min="25" max="25"/>
    <col width="28.6640625" customWidth="1" min="26" max="26"/>
    <col width="23.33203125" customWidth="1" min="27" max="27"/>
    <col width="17.6640625" customWidth="1" min="28" max="28"/>
    <col width="43.44140625" bestFit="1" customWidth="1" min="29" max="29"/>
  </cols>
  <sheetData>
    <row r="1" ht="72" customHeight="1">
      <c r="A1" s="280"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454" t="inlineStr">
        <is>
          <t>NACE categories</t>
        </is>
      </c>
      <c r="C1" s="727" t="inlineStr">
        <is>
          <t>Country List</t>
        </is>
      </c>
      <c r="D1" s="727" t="inlineStr">
        <is>
          <t>CountryAxis</t>
        </is>
      </c>
      <c r="E1" s="727" t="inlineStr">
        <is>
          <t>Axis</t>
        </is>
      </c>
      <c r="F1" s="727" t="inlineStr">
        <is>
          <t>List of omitted disclosures (with None)</t>
        </is>
      </c>
      <c r="G1" s="773" t="inlineStr">
        <is>
          <t>Pollutants (Regulation (EU) 2024/1244 of the European Parliament and of the Council of 24 April 2024 on reporting of environmental data from industrial installations, establishing an Industrial Emissions Portal and repealing Regulation (EC) No 166/2006)</t>
        </is>
      </c>
      <c r="H1" s="773" t="inlineStr">
        <is>
          <t>Location biodiversity areas</t>
        </is>
      </c>
      <c r="I1" s="773" t="inlineStr">
        <is>
          <t>Types of  Wastes ((Commission decision of 18 December 2014 
amending Decision 2000/532/EC on the list of waste pursuant to Directive 2008/98/EC of 
the European Parliament and of the Council)</t>
        </is>
      </c>
      <c r="J1" s="727" t="inlineStr">
        <is>
          <t>Undertakings Legal Forms</t>
        </is>
      </c>
      <c r="K1" s="727" t="inlineStr">
        <is>
          <t>Unit of measurement</t>
        </is>
      </c>
      <c r="L1" s="727" t="inlineStr">
        <is>
          <t>Medium of release</t>
        </is>
      </c>
      <c r="M1" s="727" t="inlineStr">
        <is>
          <t>Sustainability ussues addressed</t>
        </is>
      </c>
      <c r="N1" s="727" t="inlineStr">
        <is>
          <t>Hectares or meters squared</t>
        </is>
      </c>
      <c r="O1" s="773" t="inlineStr">
        <is>
          <t>YES or NO</t>
        </is>
      </c>
      <c r="P1" s="727" t="inlineStr">
        <is>
          <t>B2</t>
        </is>
      </c>
      <c r="Q1" s="727" t="inlineStr">
        <is>
          <t>Year</t>
        </is>
      </c>
      <c r="R1" s="727" t="inlineStr">
        <is>
          <t>Month</t>
        </is>
      </c>
      <c r="S1" s="727" t="inlineStr">
        <is>
          <t>Implementation status</t>
        </is>
      </c>
      <c r="T1" s="727" t="inlineStr">
        <is>
          <t xml:space="preserve">List of omitted disclosures </t>
        </is>
      </c>
      <c r="U1" s="727" t="inlineStr">
        <is>
          <t>Month number</t>
        </is>
      </c>
      <c r="V1" s="727" t="inlineStr">
        <is>
          <t>Month</t>
        </is>
      </c>
      <c r="W1" s="281" t="inlineStr">
        <is>
          <t>Unit of measurement (mass only)</t>
        </is>
      </c>
      <c r="X1" s="282" t="inlineStr">
        <is>
          <t>Waste categories (for validation only)</t>
        </is>
      </c>
      <c r="Y1" s="281" t="inlineStr">
        <is>
          <t>List of currencies  (ISO 4217)</t>
        </is>
      </c>
      <c r="Z1" s="283" t="inlineStr">
        <is>
          <t>Employee methodologies</t>
        </is>
      </c>
      <c r="AA1" s="598" t="inlineStr">
        <is>
          <t>Days</t>
        </is>
      </c>
      <c r="AB1" s="598" t="inlineStr">
        <is>
          <t>Identifier (context identifier scheme)</t>
        </is>
      </c>
      <c r="AC1" s="598" t="inlineStr">
        <is>
          <t>List of options for the modules</t>
        </is>
      </c>
    </row>
    <row r="2">
      <c r="A2" t="inlineStr">
        <is>
          <t>NACE All Economic Activities (NACE) / NA [member]</t>
        </is>
      </c>
      <c r="B2" s="284" t="inlineStr">
        <is>
          <t>NACE A - 01 Crop and animal production, hunting and related service activities</t>
        </is>
      </c>
      <c r="C2" s="285" t="inlineStr">
        <is>
          <t>Andorra</t>
        </is>
      </c>
      <c r="D2" t="inlineStr">
        <is>
          <t>country:AD</t>
        </is>
      </c>
      <c r="E2">
        <f>RIGHT(D2,2)</f>
        <v/>
      </c>
      <c r="F2" t="inlineStr">
        <is>
          <t>None</t>
        </is>
      </c>
      <c r="G2" t="inlineStr">
        <is>
          <t>Alachlor</t>
        </is>
      </c>
      <c r="H2" t="inlineStr">
        <is>
          <t>Located in biodiversity sensitive areas</t>
        </is>
      </c>
      <c r="I2" t="inlineStr">
        <is>
          <t>01 - WASTES RESULTING FROM EXPLORATION, MINING, QUARRYING, AND PHYSICAL AND CHEMICAL TREATMENT OF MINERALS</t>
        </is>
      </c>
      <c r="J2" t="inlineStr">
        <is>
          <t>private limited liability undertaking</t>
        </is>
      </c>
      <c r="K2" t="inlineStr">
        <is>
          <t>kilograms (kg)</t>
        </is>
      </c>
      <c r="L2" t="inlineStr">
        <is>
          <t>Water</t>
        </is>
      </c>
      <c r="M2" t="inlineStr">
        <is>
          <t>Climate change</t>
        </is>
      </c>
      <c r="N2" t="inlineStr">
        <is>
          <t>hectares (ha)</t>
        </is>
      </c>
      <c r="O2" t="inlineStr">
        <is>
          <t>YES</t>
        </is>
      </c>
      <c r="P2" t="inlineStr">
        <is>
          <t>Practice</t>
        </is>
      </c>
      <c r="Q2" t="n">
        <v>2000</v>
      </c>
      <c r="R2" t="n">
        <v>1</v>
      </c>
      <c r="S2" t="inlineStr">
        <is>
          <t>Adoption of a transition plan is planned in the future</t>
        </is>
      </c>
      <c r="T2">
        <f>template_label_b1_basis_for_preparation_validation</f>
        <v/>
      </c>
      <c r="U2" s="286" t="n">
        <v>1</v>
      </c>
      <c r="V2" t="inlineStr">
        <is>
          <t>January</t>
        </is>
      </c>
      <c r="W2" t="inlineStr">
        <is>
          <t>kilograms (kg)</t>
        </is>
      </c>
      <c r="X2" s="38" t="inlineStr">
        <is>
          <t>01 WASTES RESULTING FROM EXPLORATION, MINING, DRESSING AND FURTHER TREATMENT OF MINERALS AND QUARRY</t>
        </is>
      </c>
      <c r="Y2" t="inlineStr">
        <is>
          <t>AED</t>
        </is>
      </c>
      <c r="Z2" s="2" t="inlineStr">
        <is>
          <t>At the end of the reporting period</t>
        </is>
      </c>
      <c r="AA2" t="n">
        <v>1</v>
      </c>
      <c r="AB2" t="inlineStr">
        <is>
          <t>LEI</t>
        </is>
      </c>
      <c r="AC2" t="inlineStr">
        <is>
          <t>Option A (Basic Module only)</t>
        </is>
      </c>
    </row>
    <row r="3" ht="28.8" customHeight="1">
      <c r="A3" s="285" t="inlineStr">
        <is>
          <t>NACE A - AGRICULTURE, FORESTRY AND FISHING</t>
        </is>
      </c>
      <c r="B3" s="287" t="inlineStr">
        <is>
          <t>NACE A - 01.1 Growing of non-perennial crops</t>
        </is>
      </c>
      <c r="C3" s="285" t="inlineStr">
        <is>
          <t>United Arab Emirates</t>
        </is>
      </c>
      <c r="D3" t="inlineStr">
        <is>
          <t>country:AE</t>
        </is>
      </c>
      <c r="E3">
        <f>RIGHT(D3,2)</f>
        <v/>
      </c>
      <c r="F3" t="inlineStr">
        <is>
          <t>B1 – Basis for preparation</t>
        </is>
      </c>
      <c r="G3" t="inlineStr">
        <is>
          <t>Aldrin</t>
        </is>
      </c>
      <c r="H3" t="inlineStr">
        <is>
          <t>Located near biodiversity sesnistive areas</t>
        </is>
      </c>
      <c r="I3" t="inlineStr">
        <is>
          <t xml:space="preserve">  01 01 - Wastes from mineral excavation</t>
        </is>
      </c>
      <c r="J3" t="inlineStr">
        <is>
          <t>sole proprietorship</t>
        </is>
      </c>
      <c r="K3" t="inlineStr">
        <is>
          <t>metric tonnes (t)</t>
        </is>
      </c>
      <c r="L3" t="inlineStr">
        <is>
          <t>Air</t>
        </is>
      </c>
      <c r="M3" t="inlineStr">
        <is>
          <t>Pollution</t>
        </is>
      </c>
      <c r="N3" t="inlineStr">
        <is>
          <t>squared meters (m2)</t>
        </is>
      </c>
      <c r="O3" t="inlineStr">
        <is>
          <t>NO</t>
        </is>
      </c>
      <c r="P3" t="inlineStr">
        <is>
          <t>Policy</t>
        </is>
      </c>
      <c r="Q3" t="n">
        <v>2001</v>
      </c>
      <c r="R3" t="n">
        <v>2</v>
      </c>
      <c r="S3" t="inlineStr">
        <is>
          <t>A transition plan has already been adopted</t>
        </is>
      </c>
      <c r="T3" s="38">
        <f>template_label_b2_practices_policies_and_future_initiatives_for_transitioning_towards_a_more_sustainable_economy_validation</f>
        <v/>
      </c>
      <c r="U3" s="286" t="n">
        <v>2</v>
      </c>
      <c r="V3" t="inlineStr">
        <is>
          <t>February</t>
        </is>
      </c>
      <c r="W3" t="inlineStr">
        <is>
          <t>metric tonnes (t)</t>
        </is>
      </c>
      <c r="X3" t="inlineStr">
        <is>
          <t xml:space="preserve">    0101 Wastes from mineral excavation</t>
        </is>
      </c>
      <c r="Y3" t="inlineStr">
        <is>
          <t>AFN</t>
        </is>
      </c>
      <c r="Z3" s="2" t="inlineStr">
        <is>
          <t>As an average across the reporting period</t>
        </is>
      </c>
      <c r="AA3" t="n">
        <v>2</v>
      </c>
      <c r="AB3" t="inlineStr">
        <is>
          <t>DUNS</t>
        </is>
      </c>
      <c r="AC3" t="inlineStr">
        <is>
          <t>Option B (Basic Module and Comprehensive Module)</t>
        </is>
      </c>
    </row>
    <row r="4">
      <c r="A4" s="284" t="inlineStr">
        <is>
          <t>NACE A - 01 Crop and animal production, hunting and related service activities</t>
        </is>
      </c>
      <c r="B4" s="287" t="inlineStr">
        <is>
          <t>NACE A - 01.2 Growing of perennial crops</t>
        </is>
      </c>
      <c r="C4" s="285" t="inlineStr">
        <is>
          <t>Afghanistan</t>
        </is>
      </c>
      <c r="D4" t="inlineStr">
        <is>
          <t>country:AF</t>
        </is>
      </c>
      <c r="E4">
        <f>RIGHT(D4,2)</f>
        <v/>
      </c>
      <c r="F4" t="inlineStr">
        <is>
          <t>B2 – Practices, policies and future initiatives for transitioning towards a more sustainable economy</t>
        </is>
      </c>
      <c r="G4" t="inlineStr">
        <is>
          <t>Ammonia (NH3)</t>
        </is>
      </c>
      <c r="I4" t="inlineStr">
        <is>
          <t xml:space="preserve">    01 01 01 - Non-Hazardous - Wastes from mineral metalliferous excavation</t>
        </is>
      </c>
      <c r="J4" t="inlineStr">
        <is>
          <t>partnership</t>
        </is>
      </c>
      <c r="K4" t="inlineStr">
        <is>
          <t>cubic meters (m3)</t>
        </is>
      </c>
      <c r="L4" t="inlineStr">
        <is>
          <t>Soil</t>
        </is>
      </c>
      <c r="M4" t="inlineStr">
        <is>
          <t>Water and marine resources</t>
        </is>
      </c>
      <c r="P4" t="inlineStr">
        <is>
          <t>Future Initiative</t>
        </is>
      </c>
      <c r="Q4" t="n">
        <v>2002</v>
      </c>
      <c r="R4" t="n">
        <v>3</v>
      </c>
      <c r="T4">
        <f>template_label_b3_energy_and_greenhouse_gas_emissions_validation</f>
        <v/>
      </c>
      <c r="U4" s="286" t="n">
        <v>3</v>
      </c>
      <c r="V4" t="inlineStr">
        <is>
          <t>March</t>
        </is>
      </c>
      <c r="X4" t="inlineStr">
        <is>
          <t xml:space="preserve">    0102 Wastes from mineral dressing</t>
        </is>
      </c>
      <c r="Y4" t="inlineStr">
        <is>
          <t>ALL</t>
        </is>
      </c>
      <c r="AA4" t="n">
        <v>3</v>
      </c>
      <c r="AB4" t="inlineStr">
        <is>
          <t>EU ID</t>
        </is>
      </c>
    </row>
    <row r="5">
      <c r="A5" s="287" t="inlineStr">
        <is>
          <t>NACE A - 01.1 Growing of non-perennial crops</t>
        </is>
      </c>
      <c r="B5" s="287" t="inlineStr">
        <is>
          <t>NACE A - 01.3 Plant propagation</t>
        </is>
      </c>
      <c r="C5" s="285" t="inlineStr">
        <is>
          <t>Antigua and Barbuda</t>
        </is>
      </c>
      <c r="D5" t="inlineStr">
        <is>
          <t>country:AG</t>
        </is>
      </c>
      <c r="E5">
        <f>RIGHT(D5,2)</f>
        <v/>
      </c>
      <c r="F5" t="inlineStr">
        <is>
          <t>B3 – Energy and greenhouse gas emissions</t>
        </is>
      </c>
      <c r="G5" t="inlineStr">
        <is>
          <t>Anthracene</t>
        </is>
      </c>
      <c r="I5" t="inlineStr">
        <is>
          <t xml:space="preserve">    01 01 02 - Non-Hazardous - Wastes from mineral non-metalliferous excavation</t>
        </is>
      </c>
      <c r="J5" t="inlineStr">
        <is>
          <t>cooperative</t>
        </is>
      </c>
      <c r="M5" t="inlineStr">
        <is>
          <t>Biodiversity and ecosystems</t>
        </is>
      </c>
      <c r="Q5" t="n">
        <v>2003</v>
      </c>
      <c r="R5" t="n">
        <v>4</v>
      </c>
      <c r="T5" s="38">
        <f>template_label_b4_pollution_of_air_water_and_soil_validation</f>
        <v/>
      </c>
      <c r="U5" s="286" t="n">
        <v>4</v>
      </c>
      <c r="V5" t="inlineStr">
        <is>
          <t>April</t>
        </is>
      </c>
      <c r="X5" t="inlineStr">
        <is>
          <t xml:space="preserve">    0103 Wastes from further physical and chemical processing of metalliferous minerals</t>
        </is>
      </c>
      <c r="Y5" t="inlineStr">
        <is>
          <t>AMD</t>
        </is>
      </c>
      <c r="AA5" t="n">
        <v>4</v>
      </c>
      <c r="AB5" t="inlineStr">
        <is>
          <t>PermID</t>
        </is>
      </c>
    </row>
    <row r="6">
      <c r="A6" s="288" t="inlineStr">
        <is>
          <t>NACE A - 01.11 Growing of cereals, other than rice, leguminous crops and oil seeds</t>
        </is>
      </c>
      <c r="B6" s="287" t="inlineStr">
        <is>
          <t>NACE A - 01.4 Animal production</t>
        </is>
      </c>
      <c r="C6" s="285" t="inlineStr">
        <is>
          <t>Anguilla</t>
        </is>
      </c>
      <c r="D6" t="inlineStr">
        <is>
          <t>country:AI</t>
        </is>
      </c>
      <c r="E6">
        <f>RIGHT(D6,2)</f>
        <v/>
      </c>
      <c r="F6" t="inlineStr">
        <is>
          <t>B4 – Pollution of air, water and soil</t>
        </is>
      </c>
      <c r="G6" t="inlineStr">
        <is>
          <t>Arsenic and compounds (As)</t>
        </is>
      </c>
      <c r="I6" t="inlineStr">
        <is>
          <t xml:space="preserve">  01 03 - Wastes from physical and chemical processing of metalliferous minerals</t>
        </is>
      </c>
      <c r="J6" t="inlineStr">
        <is>
          <t>other (please specify the legal form in the row below)</t>
        </is>
      </c>
      <c r="M6" t="inlineStr">
        <is>
          <t>Circular economy</t>
        </is>
      </c>
      <c r="Q6" t="n">
        <v>2004</v>
      </c>
      <c r="R6" t="n">
        <v>5</v>
      </c>
      <c r="T6" s="38">
        <f>template_label_b5_biodiversity_validation</f>
        <v/>
      </c>
      <c r="U6" s="286" t="n">
        <v>5</v>
      </c>
      <c r="V6" t="inlineStr">
        <is>
          <t>May</t>
        </is>
      </c>
      <c r="X6" t="inlineStr">
        <is>
          <t xml:space="preserve">    0104 Wastes from further physical and chemical processing on non-metalliferous minerals</t>
        </is>
      </c>
      <c r="Y6" t="inlineStr">
        <is>
          <t>ANG</t>
        </is>
      </c>
      <c r="AA6" t="n">
        <v>5</v>
      </c>
    </row>
    <row r="7">
      <c r="A7" s="288" t="inlineStr">
        <is>
          <t>NACE A - 01.12 Growing of rice</t>
        </is>
      </c>
      <c r="B7" s="287" t="inlineStr">
        <is>
          <t>NACE A - 01.5 Mixed farming</t>
        </is>
      </c>
      <c r="C7" s="285" t="inlineStr">
        <is>
          <t>Albania</t>
        </is>
      </c>
      <c r="D7" t="inlineStr">
        <is>
          <t>country:AL</t>
        </is>
      </c>
      <c r="E7">
        <f>RIGHT(D7,2)</f>
        <v/>
      </c>
      <c r="F7" t="inlineStr">
        <is>
          <t>B5 – Biodiversity</t>
        </is>
      </c>
      <c r="G7" t="inlineStr">
        <is>
          <t>Asbestos</t>
        </is>
      </c>
      <c r="I7" t="inlineStr">
        <is>
          <t xml:space="preserve">    01 03 04 - Hazardous - Acid-generating tailings from processing of sulphide ore</t>
        </is>
      </c>
      <c r="M7" t="inlineStr">
        <is>
          <t>Own workforce</t>
        </is>
      </c>
      <c r="Q7" t="n">
        <v>2005</v>
      </c>
      <c r="R7" t="n">
        <v>6</v>
      </c>
      <c r="T7" s="38">
        <f>template_label_b6_water_validation</f>
        <v/>
      </c>
      <c r="U7" s="286" t="n">
        <v>6</v>
      </c>
      <c r="V7" t="inlineStr">
        <is>
          <t>June</t>
        </is>
      </c>
      <c r="X7" t="inlineStr">
        <is>
          <t xml:space="preserve">    0105 Drilling muds and other drilling wastes</t>
        </is>
      </c>
      <c r="Y7" t="inlineStr">
        <is>
          <t>AOA</t>
        </is>
      </c>
      <c r="AA7" t="n">
        <v>6</v>
      </c>
    </row>
    <row r="8">
      <c r="A8" s="288" t="inlineStr">
        <is>
          <t>NACE A - 01.13 Growing of vegetables and melons, roots and tubers</t>
        </is>
      </c>
      <c r="B8" s="287" t="inlineStr">
        <is>
          <t>NACE A - 01.6 Support activities to agriculture and post-harvest crop activities</t>
        </is>
      </c>
      <c r="C8" s="285" t="inlineStr">
        <is>
          <t>Armenia</t>
        </is>
      </c>
      <c r="D8" t="inlineStr">
        <is>
          <t>country:AM</t>
        </is>
      </c>
      <c r="E8">
        <f>RIGHT(D8,2)</f>
        <v/>
      </c>
      <c r="F8" t="inlineStr">
        <is>
          <t>B6 – Water</t>
        </is>
      </c>
      <c r="G8" t="inlineStr">
        <is>
          <t>Atrazine</t>
        </is>
      </c>
      <c r="I8" t="inlineStr">
        <is>
          <t xml:space="preserve">    01 03 05 - Hazardous - Other tailings containing hazardous substances</t>
        </is>
      </c>
      <c r="M8" t="inlineStr">
        <is>
          <t>Workers in the value chain</t>
        </is>
      </c>
      <c r="Q8" t="n">
        <v>2006</v>
      </c>
      <c r="R8" t="n">
        <v>7</v>
      </c>
      <c r="T8" s="38">
        <f>template_label_b7_resource_use_circular_economy_and_waste_management_validation</f>
        <v/>
      </c>
      <c r="U8" s="286" t="n">
        <v>7</v>
      </c>
      <c r="V8" t="inlineStr">
        <is>
          <t>July</t>
        </is>
      </c>
      <c r="X8" t="inlineStr">
        <is>
          <t>02 WASTES FROM AGRICULTURAL, HORTICULTURAL, HUNTING, FISHING AND AQUACULTURAL PRIMARY PRODUCTION, FOOD PREPARATION AND PROCESSING</t>
        </is>
      </c>
      <c r="Y8" t="inlineStr">
        <is>
          <t>ARS</t>
        </is>
      </c>
      <c r="AA8" t="n">
        <v>7</v>
      </c>
    </row>
    <row r="9">
      <c r="A9" s="288" t="inlineStr">
        <is>
          <t>NACE A - 01.14 Growing of sugar cane</t>
        </is>
      </c>
      <c r="B9" s="287" t="inlineStr">
        <is>
          <t>NACE A - 01.7 Hunting, trapping and related service activities</t>
        </is>
      </c>
      <c r="C9" s="285" t="inlineStr">
        <is>
          <t>Netherlands Antilles (before 2010-12-15)</t>
        </is>
      </c>
      <c r="D9" t="inlineStr">
        <is>
          <t>country:AN</t>
        </is>
      </c>
      <c r="E9">
        <f>RIGHT(D9,2)</f>
        <v/>
      </c>
      <c r="F9" t="inlineStr">
        <is>
          <t>B7 – Resource use, circular economy and waste management</t>
        </is>
      </c>
      <c r="G9" t="inlineStr">
        <is>
          <t>Benzene</t>
        </is>
      </c>
      <c r="I9" t="inlineStr">
        <is>
          <t xml:space="preserve">    01 03 06 - Non-Hazardous - Tailings other than those mentioned in 01 03 04 and 01 03 05</t>
        </is>
      </c>
      <c r="M9" t="inlineStr">
        <is>
          <t>Affected communities</t>
        </is>
      </c>
      <c r="Q9" t="n">
        <v>2007</v>
      </c>
      <c r="R9" t="n">
        <v>8</v>
      </c>
      <c r="T9">
        <f>template_label_b8_workforce_general_characteristics_validation</f>
        <v/>
      </c>
      <c r="U9" s="286" t="n">
        <v>8</v>
      </c>
      <c r="V9" t="inlineStr">
        <is>
          <t>August</t>
        </is>
      </c>
      <c r="X9" t="inlineStr">
        <is>
          <t xml:space="preserve">    0201 Primary production wastes</t>
        </is>
      </c>
      <c r="Y9" t="inlineStr">
        <is>
          <t>AUD</t>
        </is>
      </c>
      <c r="AA9" t="n">
        <v>8</v>
      </c>
    </row>
    <row r="10">
      <c r="A10" s="288" t="inlineStr">
        <is>
          <t>NACE A - 01.15 Growing of tobacco</t>
        </is>
      </c>
      <c r="B10" s="284" t="inlineStr">
        <is>
          <t>NACE A - 02 Forestry and logging</t>
        </is>
      </c>
      <c r="C10" s="285" t="inlineStr">
        <is>
          <t>Angola</t>
        </is>
      </c>
      <c r="D10" t="inlineStr">
        <is>
          <t>country:AO</t>
        </is>
      </c>
      <c r="E10">
        <f>RIGHT(D10,2)</f>
        <v/>
      </c>
      <c r="F10" t="inlineStr">
        <is>
          <t>B8 – Workforce – General characteristics</t>
        </is>
      </c>
      <c r="G10" t="inlineStr">
        <is>
          <t>Benzo(g,h,i)perylene</t>
        </is>
      </c>
      <c r="I10" t="inlineStr">
        <is>
          <t xml:space="preserve">    01 03 07 - Hazardous - Other wastes containing hazardous substances from physical and chemical processing of metalliferous minerals</t>
        </is>
      </c>
      <c r="M10" t="inlineStr">
        <is>
          <t>Consumers and end-users</t>
        </is>
      </c>
      <c r="Q10" t="n">
        <v>2008</v>
      </c>
      <c r="R10" t="n">
        <v>9</v>
      </c>
      <c r="T10" s="38">
        <f>template_label_b9_workforce_health_and_safety_validation</f>
        <v/>
      </c>
      <c r="U10" s="286" t="n">
        <v>9</v>
      </c>
      <c r="V10" t="inlineStr">
        <is>
          <t>September</t>
        </is>
      </c>
      <c r="X10" t="inlineStr">
        <is>
          <t xml:space="preserve">    0202 Wastes from the preparation and processing of meat, fish and other foods of animal origin</t>
        </is>
      </c>
      <c r="Y10" t="inlineStr">
        <is>
          <t>AWG</t>
        </is>
      </c>
      <c r="AA10" t="n">
        <v>9</v>
      </c>
    </row>
    <row r="11">
      <c r="A11" s="288" t="inlineStr">
        <is>
          <t>NACE A - 01.16 Growing of fibre crops</t>
        </is>
      </c>
      <c r="B11" s="287" t="inlineStr">
        <is>
          <t>NACE A - 02.1 Silviculture and other forestry activities</t>
        </is>
      </c>
      <c r="C11" s="285" t="inlineStr">
        <is>
          <t>Antarctica</t>
        </is>
      </c>
      <c r="D11" t="inlineStr">
        <is>
          <t>country:AQ</t>
        </is>
      </c>
      <c r="E11">
        <f>RIGHT(D11,2)</f>
        <v/>
      </c>
      <c r="F11" t="inlineStr">
        <is>
          <t>B9 – Workforce – Health and safety</t>
        </is>
      </c>
      <c r="G11" t="inlineStr">
        <is>
          <t>Brominated diphenylethers (PBDE)</t>
        </is>
      </c>
      <c r="I11" t="inlineStr">
        <is>
          <t xml:space="preserve">    01 03 08 - Non-Hazardous - Dusty and powdery wastes other than those mentioned in 01 03 07</t>
        </is>
      </c>
      <c r="M11" t="inlineStr">
        <is>
          <t>Business conduct</t>
        </is>
      </c>
      <c r="Q11" t="n">
        <v>2009</v>
      </c>
      <c r="R11" t="n">
        <v>10</v>
      </c>
      <c r="T11" s="38">
        <f>template_label_b10_workforce_remuneration_collective_bargaining_and_training_validation</f>
        <v/>
      </c>
      <c r="U11" s="286" t="n">
        <v>10</v>
      </c>
      <c r="V11" t="inlineStr">
        <is>
          <t>October</t>
        </is>
      </c>
      <c r="X11" t="inlineStr">
        <is>
          <t xml:space="preserve">    0203 Wastes from fruit, vegetables, cereals, edible oils, cocoa, coffee and tobacco preparation and processing; tobacco processing; conserve production</t>
        </is>
      </c>
      <c r="Y11" t="inlineStr">
        <is>
          <t>AZN</t>
        </is>
      </c>
      <c r="AA11" t="n">
        <v>10</v>
      </c>
    </row>
    <row r="12">
      <c r="A12" s="288" t="inlineStr">
        <is>
          <t>NACE A - 01.19 Growing of other non-perennial crops</t>
        </is>
      </c>
      <c r="B12" s="287" t="inlineStr">
        <is>
          <t>NACE A - 02.2 Logging</t>
        </is>
      </c>
      <c r="C12" s="285" t="inlineStr">
        <is>
          <t>Argentina</t>
        </is>
      </c>
      <c r="D12" t="inlineStr">
        <is>
          <t>country:AR</t>
        </is>
      </c>
      <c r="E12">
        <f>RIGHT(D12,2)</f>
        <v/>
      </c>
      <c r="F12" t="inlineStr">
        <is>
          <t>B10 – Workforce – Remuneration, collective bargaining and training</t>
        </is>
      </c>
      <c r="G12" t="inlineStr">
        <is>
          <t>Cadmium and compounds (Cd)</t>
        </is>
      </c>
      <c r="I12" t="inlineStr">
        <is>
          <t xml:space="preserve">    01 03 09 - Non-Hazardous - Red mud from alumina production other than the wastes mentioned in 01 03 10</t>
        </is>
      </c>
      <c r="M12" t="inlineStr">
        <is>
          <t>Other</t>
        </is>
      </c>
      <c r="Q12" t="n">
        <v>2010</v>
      </c>
      <c r="R12" t="n">
        <v>11</v>
      </c>
      <c r="T12" s="38">
        <f>template_label_b11_convictions_and_fines_for_corruption_and_bribery_validation</f>
        <v/>
      </c>
      <c r="U12" s="286" t="n">
        <v>11</v>
      </c>
      <c r="V12" t="inlineStr">
        <is>
          <t>November</t>
        </is>
      </c>
      <c r="X12" t="inlineStr">
        <is>
          <t xml:space="preserve">    0204 Wastes from sugar processing</t>
        </is>
      </c>
      <c r="Y12" t="inlineStr">
        <is>
          <t>BAM</t>
        </is>
      </c>
      <c r="AA12" t="n">
        <v>11</v>
      </c>
    </row>
    <row r="13">
      <c r="A13" s="287" t="inlineStr">
        <is>
          <t>NACE A - 01.2 Growing of perennial crops</t>
        </is>
      </c>
      <c r="B13" s="287" t="inlineStr">
        <is>
          <t>NACE A - 02.3 Gathering of wild growing non-wood products</t>
        </is>
      </c>
      <c r="C13" s="285" t="inlineStr">
        <is>
          <t>American Samoa</t>
        </is>
      </c>
      <c r="D13" t="inlineStr">
        <is>
          <t>country:AS</t>
        </is>
      </c>
      <c r="E13">
        <f>RIGHT(D13,2)</f>
        <v/>
      </c>
      <c r="F13" t="inlineStr">
        <is>
          <t>B11 – Convictions and fines for corruption and bribery</t>
        </is>
      </c>
      <c r="G13" t="inlineStr">
        <is>
          <t>Carbon dioxide (CO2)</t>
        </is>
      </c>
      <c r="I13" t="inlineStr">
        <is>
          <t xml:space="preserve">    01 03 10 - Hazardous - Red mud from alumina production containing hazardous substances other than the wastes mentioned in 01 03 07</t>
        </is>
      </c>
      <c r="Q13" t="n">
        <v>2011</v>
      </c>
      <c r="R13" t="n">
        <v>12</v>
      </c>
      <c r="T13" s="38">
        <f>template_label_c1_strategy_business_model_and_sustainability_related_initiatives_validation</f>
        <v/>
      </c>
      <c r="U13" s="286" t="n">
        <v>12</v>
      </c>
      <c r="V13" t="inlineStr">
        <is>
          <t>December</t>
        </is>
      </c>
      <c r="X13" t="inlineStr">
        <is>
          <t xml:space="preserve">    0205 Wastes from the dairy products industry</t>
        </is>
      </c>
      <c r="Y13" t="inlineStr">
        <is>
          <t>BBD</t>
        </is>
      </c>
      <c r="AA13" t="n">
        <v>12</v>
      </c>
    </row>
    <row r="14">
      <c r="A14" s="288" t="inlineStr">
        <is>
          <t>NACE A - 01.21 Growing of grapes</t>
        </is>
      </c>
      <c r="B14" s="287" t="inlineStr">
        <is>
          <t>NACE A - 02.4 Support services to forestry</t>
        </is>
      </c>
      <c r="C14" s="285" t="inlineStr">
        <is>
          <t>Austria</t>
        </is>
      </c>
      <c r="D14" t="inlineStr">
        <is>
          <t>country:AT</t>
        </is>
      </c>
      <c r="E14">
        <f>RIGHT(D14,2)</f>
        <v/>
      </c>
      <c r="F14" t="inlineStr">
        <is>
          <t>C1 – Strategy: Business Model and Sustainability – Related Initiatives</t>
        </is>
      </c>
      <c r="G14" t="inlineStr">
        <is>
          <t>Carbon monoxide (CO)</t>
        </is>
      </c>
      <c r="I14" t="inlineStr">
        <is>
          <t xml:space="preserve">    01 03 99 - Non-Hazardous - Wastes not otherwise specified</t>
        </is>
      </c>
      <c r="Q14" t="n">
        <v>2012</v>
      </c>
      <c r="T14" s="38">
        <f>template_label_c2_description_of_practices_policies_and_future_initiatives_for_transitioning_towards_a_more_sustainable_economy_validation</f>
        <v/>
      </c>
      <c r="X14" t="inlineStr">
        <is>
          <t xml:space="preserve">    0206 Wastes from the baking and confectionery industry</t>
        </is>
      </c>
      <c r="Y14" t="inlineStr">
        <is>
          <t>BDT</t>
        </is>
      </c>
      <c r="AA14" t="n">
        <v>13</v>
      </c>
    </row>
    <row r="15">
      <c r="A15" s="288" t="inlineStr">
        <is>
          <t>NACE A - 01.22 Growing of tropical and subtropical fruits</t>
        </is>
      </c>
      <c r="B15" s="284" t="inlineStr">
        <is>
          <t>NACE A - 03 Fishing and aquaculture</t>
        </is>
      </c>
      <c r="C15" s="285" t="inlineStr">
        <is>
          <t>Australia</t>
        </is>
      </c>
      <c r="D15" t="inlineStr">
        <is>
          <t>country:AU</t>
        </is>
      </c>
      <c r="E15">
        <f>RIGHT(D15,2)</f>
        <v/>
      </c>
      <c r="F15" t="inlineStr">
        <is>
          <t>C2 – Description of practices, policies and future initiatives for transitioning towards a more sustainable economy</t>
        </is>
      </c>
      <c r="G15" t="inlineStr">
        <is>
          <t>Chlordane</t>
        </is>
      </c>
      <c r="I15" t="inlineStr">
        <is>
          <t xml:space="preserve">  01 04 - Wastes from physical and chemical processing of non-metalliferous minerals</t>
        </is>
      </c>
      <c r="Q15" t="n">
        <v>2013</v>
      </c>
      <c r="T15">
        <f>template_label_c3_ghg_reduction_targets_and_climate_transition_validation</f>
        <v/>
      </c>
      <c r="X15" t="inlineStr">
        <is>
          <t xml:space="preserve">    0207 Wastes from the production of alcoholic and non-alcoholic beverages (except coffee, tea and cocoa)</t>
        </is>
      </c>
      <c r="Y15" t="inlineStr">
        <is>
          <t>BGN</t>
        </is>
      </c>
      <c r="AA15" t="n">
        <v>14</v>
      </c>
    </row>
    <row r="16">
      <c r="A16" s="288" t="inlineStr">
        <is>
          <t>NACE A - 01.23 Growing of citrus fruits</t>
        </is>
      </c>
      <c r="B16" s="287" t="inlineStr">
        <is>
          <t>NACE A - 03.1 Fishing</t>
        </is>
      </c>
      <c r="C16" s="285" t="inlineStr">
        <is>
          <t>Aruba</t>
        </is>
      </c>
      <c r="D16" t="inlineStr">
        <is>
          <t>country:AW</t>
        </is>
      </c>
      <c r="E16">
        <f>RIGHT(D16,2)</f>
        <v/>
      </c>
      <c r="F16" t="inlineStr">
        <is>
          <t>C3 – GHG reduction targets and climate transition</t>
        </is>
      </c>
      <c r="G16" t="inlineStr">
        <is>
          <t>Chlordecone</t>
        </is>
      </c>
      <c r="I16" t="inlineStr">
        <is>
          <t xml:space="preserve">    01 04 07 - Hazardous - Wastes containing hazardous substances from physical and chemical processing of non-metalliferous minerals</t>
        </is>
      </c>
      <c r="Q16" t="n">
        <v>2014</v>
      </c>
      <c r="T16" s="38">
        <f>template_label_c4_climate_risks_validation</f>
        <v/>
      </c>
      <c r="X16" t="inlineStr">
        <is>
          <t>03 WASTES FROM WOOD PROCESSING AND THE PRODUCTION OF PAPER, CARDBOARD, PULP, PANELS AND FURNITURE</t>
        </is>
      </c>
      <c r="Y16" t="inlineStr">
        <is>
          <t>BHD</t>
        </is>
      </c>
      <c r="AA16" t="n">
        <v>15</v>
      </c>
    </row>
    <row r="17">
      <c r="A17" s="288" t="inlineStr">
        <is>
          <t>NACE A - 01.24 Growing of pome fruits and stone fruits</t>
        </is>
      </c>
      <c r="B17" s="287" t="inlineStr">
        <is>
          <t>NACE A - 03.2 Aquaculture</t>
        </is>
      </c>
      <c r="C17" s="285" t="inlineStr">
        <is>
          <t>Åland Islands</t>
        </is>
      </c>
      <c r="D17" t="inlineStr">
        <is>
          <t>country:AX</t>
        </is>
      </c>
      <c r="E17">
        <f>RIGHT(D17,2)</f>
        <v/>
      </c>
      <c r="F17" t="inlineStr">
        <is>
          <t>C4 – Climate risks</t>
        </is>
      </c>
      <c r="G17" t="inlineStr">
        <is>
          <t>Chlorfenvinphos</t>
        </is>
      </c>
      <c r="I17" t="inlineStr">
        <is>
          <t xml:space="preserve">    01 04 08 - Non-Hazardous - Waste gravel and crushed rocks other than those mentioned in 01 04 07</t>
        </is>
      </c>
      <c r="Q17" t="n">
        <v>2015</v>
      </c>
      <c r="T17" s="38">
        <f>template_label_c5_additional_general_workforce_characteristics_validation</f>
        <v/>
      </c>
      <c r="X17" t="inlineStr">
        <is>
          <t xml:space="preserve">    0301 Wastes from wood processing and the production of panels and furniture</t>
        </is>
      </c>
      <c r="Y17" t="inlineStr">
        <is>
          <t>BIF</t>
        </is>
      </c>
      <c r="AA17" t="n">
        <v>16</v>
      </c>
    </row>
    <row r="18">
      <c r="A18" s="288" t="inlineStr">
        <is>
          <t>NACE A - 01.25 Growing of other tree and bush fruits and nuts</t>
        </is>
      </c>
      <c r="B18" s="287" t="inlineStr">
        <is>
          <t>NACE A - 03.3 Support activities for fishing and aquaculture</t>
        </is>
      </c>
      <c r="C18" s="285" t="inlineStr">
        <is>
          <t>Azerbaijan</t>
        </is>
      </c>
      <c r="D18" t="inlineStr">
        <is>
          <t>country:AZ</t>
        </is>
      </c>
      <c r="E18">
        <f>RIGHT(D18,2)</f>
        <v/>
      </c>
      <c r="F18" t="inlineStr">
        <is>
          <t>C5 – Additional (general) workforce characteristics</t>
        </is>
      </c>
      <c r="G18" t="inlineStr">
        <is>
          <t>Chlorides (total Cl)</t>
        </is>
      </c>
      <c r="I18" t="inlineStr">
        <is>
          <t xml:space="preserve">    01 04 09 - Non-Hazardous - Waste sand and clays</t>
        </is>
      </c>
      <c r="Q18" t="n">
        <v>2016</v>
      </c>
      <c r="T18" s="38">
        <f>template_label_c6_additional_own_workforce_information_human_rights_policies_and_processes_validation</f>
        <v/>
      </c>
      <c r="X18" t="inlineStr">
        <is>
          <t xml:space="preserve">    0302 Wood preservation wastes</t>
        </is>
      </c>
      <c r="Y18" t="inlineStr">
        <is>
          <t>BMD</t>
        </is>
      </c>
      <c r="AA18" t="n">
        <v>17</v>
      </c>
    </row>
    <row r="19">
      <c r="A19" s="288" t="inlineStr">
        <is>
          <t>NACE A - 01.26 Growing of oleaginous fruits</t>
        </is>
      </c>
      <c r="B19" s="285" t="inlineStr">
        <is>
          <t>NACE A - AGRICULTURE, FORESTRY AND FISHING</t>
        </is>
      </c>
      <c r="C19" s="285" t="inlineStr">
        <is>
          <t>Bosnia and Herzegovina</t>
        </is>
      </c>
      <c r="D19" t="inlineStr">
        <is>
          <t>country:BA</t>
        </is>
      </c>
      <c r="E19">
        <f>RIGHT(D19,2)</f>
        <v/>
      </c>
      <c r="F19" t="inlineStr">
        <is>
          <t>C6 – Additional own workforce information - Human rights policies and processes</t>
        </is>
      </c>
      <c r="G19" t="inlineStr">
        <is>
          <t>Chlorine and inorganic compounds (HCl)</t>
        </is>
      </c>
      <c r="I19" t="inlineStr">
        <is>
          <t xml:space="preserve">    01 04 10 - Non-Hazardous - Dusty and powdery wastes other than those mentioned in 01 04 07</t>
        </is>
      </c>
      <c r="Q19" t="n">
        <v>2017</v>
      </c>
      <c r="T19" s="38">
        <f>template_label_c7_severe_negative_human_rights_incidents_validation</f>
        <v/>
      </c>
      <c r="X19" t="inlineStr">
        <is>
          <t xml:space="preserve">    0303 Wastes from pulp, paper and cardboard production and processing</t>
        </is>
      </c>
      <c r="Y19" t="inlineStr">
        <is>
          <t>BND</t>
        </is>
      </c>
      <c r="AA19" t="n">
        <v>18</v>
      </c>
    </row>
    <row r="20">
      <c r="A20" s="288" t="inlineStr">
        <is>
          <t>NACE A - 01.27 Growing of beverage crops</t>
        </is>
      </c>
      <c r="B20" s="284" t="inlineStr">
        <is>
          <t>NACE B - 05 Mining of coal and lignite</t>
        </is>
      </c>
      <c r="C20" s="285" t="inlineStr">
        <is>
          <t>Barbados</t>
        </is>
      </c>
      <c r="D20" t="inlineStr">
        <is>
          <t>country:BB</t>
        </is>
      </c>
      <c r="E20">
        <f>RIGHT(D20,2)</f>
        <v/>
      </c>
      <c r="F20" t="inlineStr">
        <is>
          <t>C7 – Severe negative human rights incidents</t>
        </is>
      </c>
      <c r="G20" t="inlineStr">
        <is>
          <t>Chloro-alkanes, C10-C13</t>
        </is>
      </c>
      <c r="I20" t="inlineStr">
        <is>
          <t xml:space="preserve">    01 04 11 - Non-Hazardous - Wastes from potash and rock salt processing other than those mentioned in 01 04 07</t>
        </is>
      </c>
      <c r="Q20" t="n">
        <v>2018</v>
      </c>
      <c r="T20">
        <f>template_label_c8_revenues_from_certain_sectors_and_exclusion_from_eu_reference_benchmarks_validation</f>
        <v/>
      </c>
      <c r="X20" t="inlineStr">
        <is>
          <t>04 WASTES FROM THE LEATHER, FUR AND TEXTILE INDUSTRIES</t>
        </is>
      </c>
      <c r="Y20" t="inlineStr">
        <is>
          <t>BOB</t>
        </is>
      </c>
      <c r="AA20" t="n">
        <v>19</v>
      </c>
    </row>
    <row r="21">
      <c r="A21" s="288" t="inlineStr">
        <is>
          <t>NACE A - 01.28 Growing of spices, aromatic, drug and pharmaceutical crops</t>
        </is>
      </c>
      <c r="B21" s="287" t="inlineStr">
        <is>
          <t>NACE B - 05.1 Mining of hard coal</t>
        </is>
      </c>
      <c r="C21" s="285" t="inlineStr">
        <is>
          <t>Bangladesh</t>
        </is>
      </c>
      <c r="D21" t="inlineStr">
        <is>
          <t>country:BD</t>
        </is>
      </c>
      <c r="E21">
        <f>RIGHT(D21,2)</f>
        <v/>
      </c>
      <c r="F21" t="inlineStr">
        <is>
          <t>C8 – Revenues from certain sectors and exclusion from EU reference benchmarks</t>
        </is>
      </c>
      <c r="G21" t="inlineStr">
        <is>
          <t>Chlorofluorocarbons (CFCs)</t>
        </is>
      </c>
      <c r="I21" t="inlineStr">
        <is>
          <t xml:space="preserve">    01 04 12 - Non-Hazardous - Tailings and other wastes from washing and cleaning of minerals other than those mentioned in 01 04 07 and 01 04 11</t>
        </is>
      </c>
      <c r="Q21" t="n">
        <v>2019</v>
      </c>
      <c r="T21">
        <f>template_label_c9_gender_diversity_ratio_in_the_governance_body_validation</f>
        <v/>
      </c>
      <c r="X21" t="inlineStr">
        <is>
          <t xml:space="preserve">    0401 Wastes from the leather and fur industry</t>
        </is>
      </c>
      <c r="Y21" t="inlineStr">
        <is>
          <t>BOV</t>
        </is>
      </c>
      <c r="AA21" t="n">
        <v>20</v>
      </c>
    </row>
    <row r="22">
      <c r="A22" s="288" t="inlineStr">
        <is>
          <t>NACE A - 01.29 Growing of other perennial crops</t>
        </is>
      </c>
      <c r="B22" s="287" t="inlineStr">
        <is>
          <t>NACE B - 05.2 Mining of lignite</t>
        </is>
      </c>
      <c r="C22" s="285" t="inlineStr">
        <is>
          <t>Belgium</t>
        </is>
      </c>
      <c r="D22" t="inlineStr">
        <is>
          <t>country:BE</t>
        </is>
      </c>
      <c r="E22">
        <f>RIGHT(D22,2)</f>
        <v/>
      </c>
      <c r="F22" t="inlineStr">
        <is>
          <t>C9 – Gender diversity ratio in the governance body</t>
        </is>
      </c>
      <c r="G22" t="inlineStr">
        <is>
          <t>Chlorpyrifos</t>
        </is>
      </c>
      <c r="I22" t="inlineStr">
        <is>
          <t xml:space="preserve">    01 04 13 - Non-Hazardous - Wastes from stone cutting and sawing other than those mentioned in 01 04 07</t>
        </is>
      </c>
      <c r="Q22" t="n">
        <v>2020</v>
      </c>
      <c r="X22" t="inlineStr">
        <is>
          <t xml:space="preserve">    0402 Wastes from the textile industry</t>
        </is>
      </c>
      <c r="Y22" t="inlineStr">
        <is>
          <t>BRL</t>
        </is>
      </c>
      <c r="AA22" t="n">
        <v>21</v>
      </c>
    </row>
    <row r="23">
      <c r="A23" s="287" t="inlineStr">
        <is>
          <t>NACE A - 01.3 Plant propagation</t>
        </is>
      </c>
      <c r="B23" s="284" t="inlineStr">
        <is>
          <t>NACE B - 06 Extraction of crude petroleum and natural gas</t>
        </is>
      </c>
      <c r="C23" s="285" t="inlineStr">
        <is>
          <t>Burkina Faso</t>
        </is>
      </c>
      <c r="D23" t="inlineStr">
        <is>
          <t>country:BF</t>
        </is>
      </c>
      <c r="E23">
        <f>RIGHT(D23,2)</f>
        <v/>
      </c>
      <c r="F23" s="88" t="n"/>
      <c r="G23" t="inlineStr">
        <is>
          <t>Chromium and compounds (Cr)</t>
        </is>
      </c>
      <c r="I23" t="inlineStr">
        <is>
          <t xml:space="preserve">    01 04 99 - Non-Hazardous - Wastes not otherwise specified</t>
        </is>
      </c>
      <c r="Q23" t="n">
        <v>2021</v>
      </c>
      <c r="X23" t="inlineStr">
        <is>
          <t>05 WASTES FROM PETROLEUM REFINING, NATURAL GAS PURIFICATION AND PYROLYTIC TREATMENT OF COAL</t>
        </is>
      </c>
      <c r="Y23" t="inlineStr">
        <is>
          <t>BSD</t>
        </is>
      </c>
      <c r="AA23" t="n">
        <v>22</v>
      </c>
    </row>
    <row r="24">
      <c r="A24" s="288" t="inlineStr">
        <is>
          <t>NACE A - 01.30 Plant propagation</t>
        </is>
      </c>
      <c r="B24" s="287" t="inlineStr">
        <is>
          <t>NACE B - 06.1 Extraction of crude petroleum</t>
        </is>
      </c>
      <c r="C24" s="285" t="inlineStr">
        <is>
          <t>Bulgaria</t>
        </is>
      </c>
      <c r="D24" t="inlineStr">
        <is>
          <t>country:BG</t>
        </is>
      </c>
      <c r="E24">
        <f>RIGHT(D24,2)</f>
        <v/>
      </c>
      <c r="F24" s="360" t="n"/>
      <c r="G24" t="inlineStr">
        <is>
          <t>Copper and compounds (Cu)</t>
        </is>
      </c>
      <c r="I24" t="inlineStr">
        <is>
          <t xml:space="preserve">  01 05 - Drilling muds and other drilling wastes</t>
        </is>
      </c>
      <c r="Q24" t="n">
        <v>2022</v>
      </c>
      <c r="X24" t="inlineStr">
        <is>
          <t xml:space="preserve">    0501 Oily sludges and solid wastes</t>
        </is>
      </c>
      <c r="Y24" t="inlineStr">
        <is>
          <t>BTN</t>
        </is>
      </c>
      <c r="AA24" t="n">
        <v>23</v>
      </c>
    </row>
    <row r="25">
      <c r="A25" s="287" t="inlineStr">
        <is>
          <t>NACE A - 01.4 Animal production</t>
        </is>
      </c>
      <c r="B25" s="287" t="inlineStr">
        <is>
          <t>NACE B - 06.2 Extraction of natural gas</t>
        </is>
      </c>
      <c r="C25" s="285" t="inlineStr">
        <is>
          <t>Bahrain</t>
        </is>
      </c>
      <c r="D25" t="inlineStr">
        <is>
          <t>country:BH</t>
        </is>
      </c>
      <c r="E25">
        <f>RIGHT(D25,2)</f>
        <v/>
      </c>
      <c r="F25" s="360" t="n"/>
      <c r="G25" t="inlineStr">
        <is>
          <t>Cyanides (total CN)</t>
        </is>
      </c>
      <c r="I25" t="inlineStr">
        <is>
          <t xml:space="preserve">    01 05 04 - Non-Hazardous - Freshwater drilling muds and wastes</t>
        </is>
      </c>
      <c r="Q25" t="n">
        <v>2023</v>
      </c>
      <c r="X25" t="inlineStr">
        <is>
          <t xml:space="preserve">    0502 Non oily sludges and solid wastes</t>
        </is>
      </c>
      <c r="Y25" t="inlineStr">
        <is>
          <t>BWP</t>
        </is>
      </c>
      <c r="AA25" t="n">
        <v>24</v>
      </c>
    </row>
    <row r="26">
      <c r="A26" s="288" t="inlineStr">
        <is>
          <t>NACE A - 01.41 Raising of dairy cattle</t>
        </is>
      </c>
      <c r="B26" s="284" t="inlineStr">
        <is>
          <t>NACE B - 07 Mining of metal ores</t>
        </is>
      </c>
      <c r="C26" s="285" t="inlineStr">
        <is>
          <t>Burundi</t>
        </is>
      </c>
      <c r="D26" t="inlineStr">
        <is>
          <t>country:BI</t>
        </is>
      </c>
      <c r="E26">
        <f>RIGHT(D26,2)</f>
        <v/>
      </c>
      <c r="F26" s="360" t="n"/>
      <c r="G26" t="inlineStr">
        <is>
          <t>DDT</t>
        </is>
      </c>
      <c r="I26" t="inlineStr">
        <is>
          <t xml:space="preserve">    01 05 05 - Hazardous - Oil-containing drilling muds and wastes</t>
        </is>
      </c>
      <c r="Q26" t="n">
        <v>2024</v>
      </c>
      <c r="X26" t="inlineStr">
        <is>
          <t xml:space="preserve">    0504 Spent filter clays</t>
        </is>
      </c>
      <c r="Y26" t="inlineStr">
        <is>
          <t>BZD</t>
        </is>
      </c>
      <c r="AA26" t="n">
        <v>25</v>
      </c>
    </row>
    <row r="27">
      <c r="A27" s="288" t="inlineStr">
        <is>
          <t>NACE A - 01.42 Raising of other cattle and buffaloes</t>
        </is>
      </c>
      <c r="B27" s="287" t="inlineStr">
        <is>
          <t>NACE B - 07.1 Mining of iron ores</t>
        </is>
      </c>
      <c r="C27" s="285" t="inlineStr">
        <is>
          <t>Benin</t>
        </is>
      </c>
      <c r="D27" t="inlineStr">
        <is>
          <t>country:BJ</t>
        </is>
      </c>
      <c r="E27">
        <f>RIGHT(D27,2)</f>
        <v/>
      </c>
      <c r="F27" s="360" t="n"/>
      <c r="G27" t="inlineStr">
        <is>
          <t>Di-(2-ethyl hexyl) phthalate (DEHP)</t>
        </is>
      </c>
      <c r="I27" t="inlineStr">
        <is>
          <t xml:space="preserve">    01 05 06 - Hazardous - Drilling muds and other drilling wastes containing hazardous substances</t>
        </is>
      </c>
      <c r="Q27" t="n">
        <v>2025</v>
      </c>
      <c r="X27" t="inlineStr">
        <is>
          <t xml:space="preserve">    0505 Oil desulphurisation wastes</t>
        </is>
      </c>
      <c r="Y27" t="inlineStr">
        <is>
          <t>CAD</t>
        </is>
      </c>
      <c r="AA27" t="n">
        <v>26</v>
      </c>
    </row>
    <row r="28">
      <c r="A28" s="288" t="inlineStr">
        <is>
          <t>NACE A - 01.43 Raising of horses and other equines</t>
        </is>
      </c>
      <c r="B28" s="287" t="inlineStr">
        <is>
          <t>NACE B - 07.2 Mining of non-ferrous metal ores</t>
        </is>
      </c>
      <c r="C28" s="285" t="inlineStr">
        <is>
          <t>Saint Barthélemy</t>
        </is>
      </c>
      <c r="D28" t="inlineStr">
        <is>
          <t>country:BL</t>
        </is>
      </c>
      <c r="E28">
        <f>RIGHT(D28,2)</f>
        <v/>
      </c>
      <c r="F28" s="360" t="n"/>
      <c r="G28" t="inlineStr">
        <is>
          <t>1,2-dichloroethane (EDC)</t>
        </is>
      </c>
      <c r="I28" t="inlineStr">
        <is>
          <t xml:space="preserve">    01 05 07 - Non-Hazardous - Barite-containing drilling muds and wastes other than those mentioned in 01 05 05 and 01 05 06</t>
        </is>
      </c>
      <c r="Q28" t="n">
        <v>2026</v>
      </c>
      <c r="X28" t="inlineStr">
        <is>
          <t xml:space="preserve">    0506 Wastes from the pyrolytic treatment of coal</t>
        </is>
      </c>
      <c r="Y28" t="inlineStr">
        <is>
          <t>CDF</t>
        </is>
      </c>
      <c r="AA28" t="n">
        <v>27</v>
      </c>
    </row>
    <row r="29">
      <c r="A29" s="288" t="inlineStr">
        <is>
          <t>NACE A - 01.44 Raising of camels and camelids</t>
        </is>
      </c>
      <c r="B29" s="284" t="inlineStr">
        <is>
          <t>NACE B - 08 Other mining and quarrying</t>
        </is>
      </c>
      <c r="C29" s="285" t="inlineStr">
        <is>
          <t>Bermuda</t>
        </is>
      </c>
      <c r="D29" t="inlineStr">
        <is>
          <t>country:BM</t>
        </is>
      </c>
      <c r="E29">
        <f>RIGHT(D29,2)</f>
        <v/>
      </c>
      <c r="F29" s="360" t="n"/>
      <c r="G29" t="inlineStr">
        <is>
          <t>Dichloromethane (DCM)</t>
        </is>
      </c>
      <c r="I29" t="inlineStr">
        <is>
          <t xml:space="preserve">    01 05 08 - Non-Hazardous - Chloride-containing drilling muds and wastes other than those mentioned in 01 05 05 and 01 05 06</t>
        </is>
      </c>
      <c r="Q29" t="n">
        <v>2027</v>
      </c>
      <c r="X29" t="inlineStr">
        <is>
          <t xml:space="preserve">    0507 Wastes from natural gas purification</t>
        </is>
      </c>
      <c r="Y29" t="inlineStr">
        <is>
          <t>CHE</t>
        </is>
      </c>
      <c r="AA29" t="n">
        <v>28</v>
      </c>
    </row>
    <row r="30">
      <c r="A30" s="288" t="inlineStr">
        <is>
          <t>NACE A - 01.45 Raising of sheep and goats</t>
        </is>
      </c>
      <c r="B30" s="287" t="inlineStr">
        <is>
          <t>NACE B - 08.1 Quarrying of stone, sand and clay</t>
        </is>
      </c>
      <c r="C30" s="285" t="inlineStr">
        <is>
          <t>Brunei Darussalam</t>
        </is>
      </c>
      <c r="D30" t="inlineStr">
        <is>
          <t>country:BN</t>
        </is>
      </c>
      <c r="E30">
        <f>RIGHT(D30,2)</f>
        <v/>
      </c>
      <c r="F30" s="88" t="n"/>
      <c r="G30" t="inlineStr">
        <is>
          <t>Dicofol</t>
        </is>
      </c>
      <c r="I30" t="inlineStr">
        <is>
          <t xml:space="preserve">    01 05 99 - Non-Hazardous - Wastes not otherwise specified</t>
        </is>
      </c>
      <c r="Q30" t="n">
        <v>2028</v>
      </c>
      <c r="X30" t="inlineStr">
        <is>
          <t xml:space="preserve">    0508 Wastes from oil regeneration</t>
        </is>
      </c>
      <c r="Y30" t="inlineStr">
        <is>
          <t>CHF</t>
        </is>
      </c>
      <c r="AA30" t="n">
        <v>29</v>
      </c>
    </row>
    <row r="31">
      <c r="A31" s="288" t="inlineStr">
        <is>
          <t>NACE A - 01.46 Raising of swine and pigs</t>
        </is>
      </c>
      <c r="B31" s="287" t="inlineStr">
        <is>
          <t>NACE B - 08.9 Mining and quarrying n.e.c.</t>
        </is>
      </c>
      <c r="C31" s="285" t="inlineStr">
        <is>
          <t>Bolivia (Plurinational State of)</t>
        </is>
      </c>
      <c r="D31" t="inlineStr">
        <is>
          <t>country:BO</t>
        </is>
      </c>
      <c r="E31">
        <f>RIGHT(D31,2)</f>
        <v/>
      </c>
      <c r="F31" s="360" t="n"/>
      <c r="G31" t="inlineStr">
        <is>
          <t>Dieldrin</t>
        </is>
      </c>
      <c r="I31" t="inlineStr">
        <is>
          <t>02 - WASTES FROM AGRICULTURE, HORTICULTURE, AQUACULTURE, FORESTRY, HUNTING AND FISHING, FOOD PREPARATION AND PROCESSING</t>
        </is>
      </c>
      <c r="Q31" t="n">
        <v>2029</v>
      </c>
      <c r="X31" t="inlineStr">
        <is>
          <t>06 WASTES FROM INORGANIC CHEMICAL PROCESSES</t>
        </is>
      </c>
      <c r="Y31" t="inlineStr">
        <is>
          <t>CHW</t>
        </is>
      </c>
      <c r="AA31" t="n">
        <v>30</v>
      </c>
    </row>
    <row r="32">
      <c r="A32" s="288" t="inlineStr">
        <is>
          <t>NACE A - 01.47 Raising of poultry</t>
        </is>
      </c>
      <c r="B32" s="284" t="inlineStr">
        <is>
          <t>NACE B - 09 Mining support service activities</t>
        </is>
      </c>
      <c r="C32" s="285" t="inlineStr">
        <is>
          <t>Bonaire, Sint Eustatius and Saba</t>
        </is>
      </c>
      <c r="D32" t="inlineStr">
        <is>
          <t>country:BQ</t>
        </is>
      </c>
      <c r="E32">
        <f>RIGHT(D32,2)</f>
        <v/>
      </c>
      <c r="F32" s="359" t="n"/>
      <c r="G32" t="inlineStr">
        <is>
          <t>Diuron</t>
        </is>
      </c>
      <c r="I32" t="inlineStr">
        <is>
          <t xml:space="preserve">  02 01 - Wastes from agriculture, horticulture, aquaculture, forestry, hunting and fishing</t>
        </is>
      </c>
      <c r="Q32" t="n">
        <v>2030</v>
      </c>
      <c r="X32" t="inlineStr">
        <is>
          <t xml:space="preserve">    0601 Waste acidic solutions</t>
        </is>
      </c>
      <c r="Y32" t="inlineStr">
        <is>
          <t>CLF</t>
        </is>
      </c>
      <c r="AA32" t="n">
        <v>31</v>
      </c>
    </row>
    <row r="33">
      <c r="A33" s="288" t="inlineStr">
        <is>
          <t>NACE A - 01.48 Raising of other animals</t>
        </is>
      </c>
      <c r="B33" s="287" t="inlineStr">
        <is>
          <t>NACE B - 09.1 Support activities for petroleum and natural gas extraction</t>
        </is>
      </c>
      <c r="C33" s="285" t="inlineStr">
        <is>
          <t>Brazil</t>
        </is>
      </c>
      <c r="D33" t="inlineStr">
        <is>
          <t>country:BR</t>
        </is>
      </c>
      <c r="E33">
        <f>RIGHT(D33,2)</f>
        <v/>
      </c>
      <c r="F33" s="359" t="n"/>
      <c r="G33" t="inlineStr">
        <is>
          <t>Endosulphan</t>
        </is>
      </c>
      <c r="I33" t="inlineStr">
        <is>
          <t xml:space="preserve">    02 01 01 - Non-Hazardous - Sludges from washing and cleaning</t>
        </is>
      </c>
      <c r="Q33" t="n">
        <v>2031</v>
      </c>
      <c r="X33" t="inlineStr">
        <is>
          <t xml:space="preserve">    0602 Waste alkaline solutions</t>
        </is>
      </c>
      <c r="Y33" t="inlineStr">
        <is>
          <t>CLP</t>
        </is>
      </c>
    </row>
    <row r="34">
      <c r="A34" s="287" t="inlineStr">
        <is>
          <t>NACE A - 01.5 Mixed farming</t>
        </is>
      </c>
      <c r="B34" s="287" t="inlineStr">
        <is>
          <t>NACE B - 09.9 Support activities for other mining and quarrying</t>
        </is>
      </c>
      <c r="C34" s="285" t="inlineStr">
        <is>
          <t>Bahamas</t>
        </is>
      </c>
      <c r="D34" t="inlineStr">
        <is>
          <t>country:BS</t>
        </is>
      </c>
      <c r="E34">
        <f>RIGHT(D34,2)</f>
        <v/>
      </c>
      <c r="F34" s="359" t="n"/>
      <c r="G34" t="inlineStr">
        <is>
          <t>Endrin</t>
        </is>
      </c>
      <c r="I34" t="inlineStr">
        <is>
          <t xml:space="preserve">    02 01 02 - Non-Hazardous - Animal-tissue waste</t>
        </is>
      </c>
      <c r="Q34" t="n">
        <v>2032</v>
      </c>
      <c r="X34" t="inlineStr">
        <is>
          <t xml:space="preserve">    0603 Waste salts and their solutions</t>
        </is>
      </c>
      <c r="Y34" t="inlineStr">
        <is>
          <t>CNY</t>
        </is>
      </c>
    </row>
    <row r="35">
      <c r="A35" s="288" t="inlineStr">
        <is>
          <t>NACE A - 01.50 Mixed farming</t>
        </is>
      </c>
      <c r="B35" s="285" t="inlineStr">
        <is>
          <t>NACE B - MINING AND QUARRYING</t>
        </is>
      </c>
      <c r="C35" s="285" t="inlineStr">
        <is>
          <t>Bhutan</t>
        </is>
      </c>
      <c r="D35" t="inlineStr">
        <is>
          <t>country:BT</t>
        </is>
      </c>
      <c r="E35">
        <f>RIGHT(D35,2)</f>
        <v/>
      </c>
      <c r="F35" s="360" t="n"/>
      <c r="G35" t="inlineStr">
        <is>
          <t>Ethyl benzene</t>
        </is>
      </c>
      <c r="I35" t="inlineStr">
        <is>
          <t xml:space="preserve">    02 01 03 - Non-Hazardous - Plant-tissue waste</t>
        </is>
      </c>
      <c r="Q35" t="n">
        <v>2033</v>
      </c>
      <c r="X35" t="inlineStr">
        <is>
          <t xml:space="preserve">    0604 Metal-containing wastes</t>
        </is>
      </c>
      <c r="Y35" t="inlineStr">
        <is>
          <t>COP</t>
        </is>
      </c>
    </row>
    <row r="36">
      <c r="A36" s="287" t="inlineStr">
        <is>
          <t>NACE A - 01.6 Support activities to agriculture and post-harvest crop activities</t>
        </is>
      </c>
      <c r="B36" s="284" t="inlineStr">
        <is>
          <t>NACE C - 10 Manufacture of food products</t>
        </is>
      </c>
      <c r="C36" s="285" t="inlineStr">
        <is>
          <t>Burma (before 1989-12-15)</t>
        </is>
      </c>
      <c r="D36" t="inlineStr">
        <is>
          <t>country:BU</t>
        </is>
      </c>
      <c r="E36">
        <f>RIGHT(D36,2)</f>
        <v/>
      </c>
      <c r="F36" s="360" t="n"/>
      <c r="G36" t="inlineStr">
        <is>
          <t>Ethylene oxide</t>
        </is>
      </c>
      <c r="I36" t="inlineStr">
        <is>
          <t xml:space="preserve">    02 01 04 - Non-Hazardous - Waste plastics (except packaging)</t>
        </is>
      </c>
      <c r="Q36" t="n">
        <v>2034</v>
      </c>
      <c r="X36" t="inlineStr">
        <is>
          <t xml:space="preserve">    0605 Sludges from on-site effluent treatment</t>
        </is>
      </c>
      <c r="Y36" t="inlineStr">
        <is>
          <t>COU</t>
        </is>
      </c>
    </row>
    <row r="37">
      <c r="A37" s="288" t="inlineStr">
        <is>
          <t>NACE A - 01.61 Support activities for crop production</t>
        </is>
      </c>
      <c r="B37" s="287" t="inlineStr">
        <is>
          <t>NACE C - 10.1 Processing and preserving of meat and production of meat products</t>
        </is>
      </c>
      <c r="C37" s="285" t="inlineStr">
        <is>
          <t>Bouvet Island</t>
        </is>
      </c>
      <c r="D37" t="inlineStr">
        <is>
          <t>country:BV</t>
        </is>
      </c>
      <c r="E37">
        <f>RIGHT(D37,2)</f>
        <v/>
      </c>
      <c r="F37" s="360" t="n"/>
      <c r="G37" t="inlineStr">
        <is>
          <t>Fluoranthene</t>
        </is>
      </c>
      <c r="I37" t="inlineStr">
        <is>
          <t xml:space="preserve">    02 01 06 - Non-Hazardous - Animal faeces, urine and manure (including spoiled straw), effluent, collected separately and treated off-site</t>
        </is>
      </c>
      <c r="Q37" t="n">
        <v>2035</v>
      </c>
      <c r="X37" t="inlineStr">
        <is>
          <t xml:space="preserve">    0606 Wastes from sulphur chemical processes (production and transformation) and desulphurisation processes</t>
        </is>
      </c>
      <c r="Y37" t="inlineStr">
        <is>
          <t>CRC</t>
        </is>
      </c>
    </row>
    <row r="38">
      <c r="A38" s="288" t="inlineStr">
        <is>
          <t>NACE A - 01.62 Support activities for animal production</t>
        </is>
      </c>
      <c r="B38" s="287" t="inlineStr">
        <is>
          <t>NACE C - 10.2 Processing and preserving of fish, crustaceans and molluscs</t>
        </is>
      </c>
      <c r="C38" s="285" t="inlineStr">
        <is>
          <t>Botswana</t>
        </is>
      </c>
      <c r="D38" t="inlineStr">
        <is>
          <t>country:BW</t>
        </is>
      </c>
      <c r="E38">
        <f>RIGHT(D38,2)</f>
        <v/>
      </c>
      <c r="F38" s="360" t="n"/>
      <c r="G38" t="inlineStr">
        <is>
          <t>Fluorides (total F)</t>
        </is>
      </c>
      <c r="I38" t="inlineStr">
        <is>
          <t xml:space="preserve">    02 01 07 - Non-Hazardous - Wastes from forestry</t>
        </is>
      </c>
      <c r="Q38" t="n">
        <v>2036</v>
      </c>
      <c r="X38" t="inlineStr">
        <is>
          <t xml:space="preserve">    0607 Wastes from halogen chemical processes</t>
        </is>
      </c>
      <c r="Y38" t="inlineStr">
        <is>
          <t>CUC</t>
        </is>
      </c>
    </row>
    <row r="39">
      <c r="A39" s="288" t="inlineStr">
        <is>
          <t>NACE A - 01.63 Post-harvest crop activities and seed processing for propagation</t>
        </is>
      </c>
      <c r="B39" s="287" t="inlineStr">
        <is>
          <t>NACE C - 10.3 Processing and preserving of fruit and vegetables</t>
        </is>
      </c>
      <c r="C39" s="285" t="inlineStr">
        <is>
          <t>Belarus</t>
        </is>
      </c>
      <c r="D39" t="inlineStr">
        <is>
          <t>country:BY</t>
        </is>
      </c>
      <c r="E39">
        <f>RIGHT(D39,2)</f>
        <v/>
      </c>
      <c r="F39" s="360" t="n"/>
      <c r="G39" t="inlineStr">
        <is>
          <t>Fluorine and inorganic compounds (HF)</t>
        </is>
      </c>
      <c r="I39" t="inlineStr">
        <is>
          <t xml:space="preserve">    02 01 08 - Hazardous - Agrochemical waste containing hazardous substances</t>
        </is>
      </c>
      <c r="Q39" t="n">
        <v>2037</v>
      </c>
      <c r="X39" t="inlineStr">
        <is>
          <t xml:space="preserve">    0608 Waste from production of silicon and silicon derivatives</t>
        </is>
      </c>
      <c r="Y39" t="inlineStr">
        <is>
          <t>CUP</t>
        </is>
      </c>
    </row>
    <row r="40">
      <c r="A40" s="287" t="inlineStr">
        <is>
          <t>NACE A - 01.7 Hunting, trapping and related service activities</t>
        </is>
      </c>
      <c r="B40" s="287" t="inlineStr">
        <is>
          <t>NACE C - 10.4 Manufacture of vegetable and animal oils and fats</t>
        </is>
      </c>
      <c r="C40" s="285" t="inlineStr">
        <is>
          <t>Belize</t>
        </is>
      </c>
      <c r="D40" t="inlineStr">
        <is>
          <t>country:BZ</t>
        </is>
      </c>
      <c r="E40">
        <f>RIGHT(D40,2)</f>
        <v/>
      </c>
      <c r="F40" s="360" t="n"/>
      <c r="G40" t="inlineStr">
        <is>
          <t>Halogenated organic compounds (AOX)</t>
        </is>
      </c>
      <c r="I40" t="inlineStr">
        <is>
          <t xml:space="preserve">    02 01 09 - Non-Hazardous - Agrochemical waste other than those mentioned in 02 01 08</t>
        </is>
      </c>
      <c r="Q40" t="n">
        <v>2038</v>
      </c>
      <c r="X40" t="inlineStr">
        <is>
          <t xml:space="preserve">    0609 Wastes from phosphorus chemical processes</t>
        </is>
      </c>
      <c r="Y40" t="inlineStr">
        <is>
          <t>CVE</t>
        </is>
      </c>
    </row>
    <row r="41">
      <c r="A41" s="288" t="inlineStr">
        <is>
          <t>NACE A - 01.70 Hunting, trapping and related service activities</t>
        </is>
      </c>
      <c r="B41" s="287" t="inlineStr">
        <is>
          <t>NACE C - 10.5 Manufacture of dairy products and edible ice</t>
        </is>
      </c>
      <c r="C41" s="285" t="inlineStr">
        <is>
          <t>Canada</t>
        </is>
      </c>
      <c r="D41" t="inlineStr">
        <is>
          <t>country:CA</t>
        </is>
      </c>
      <c r="E41">
        <f>RIGHT(D41,2)</f>
        <v/>
      </c>
      <c r="F41" s="360" t="n"/>
      <c r="G41" t="inlineStr">
        <is>
          <t>Halons</t>
        </is>
      </c>
      <c r="I41" t="inlineStr">
        <is>
          <t xml:space="preserve">    02 01 10 - Non-Hazardous - Waste metal</t>
        </is>
      </c>
      <c r="Q41" t="n">
        <v>2039</v>
      </c>
      <c r="X41" t="inlineStr">
        <is>
          <t xml:space="preserve">    0610 Waste from nitrogen chemical processes and fertiliser manufacture</t>
        </is>
      </c>
      <c r="Y41" t="inlineStr">
        <is>
          <t>CZK</t>
        </is>
      </c>
    </row>
    <row r="42">
      <c r="A42" s="284" t="inlineStr">
        <is>
          <t>NACE A - 02 Forestry and logging</t>
        </is>
      </c>
      <c r="B42" s="287" t="inlineStr">
        <is>
          <t>NACE C - 10.6 Manufacture of grain mill products, starches and starch products</t>
        </is>
      </c>
      <c r="C42" s="285" t="inlineStr">
        <is>
          <t>Cocos (Keeling) Islands</t>
        </is>
      </c>
      <c r="D42" t="inlineStr">
        <is>
          <t>country:CC</t>
        </is>
      </c>
      <c r="E42">
        <f>RIGHT(D42,2)</f>
        <v/>
      </c>
      <c r="F42" s="360" t="n"/>
      <c r="G42" t="inlineStr">
        <is>
          <t>Heptachlor</t>
        </is>
      </c>
      <c r="I42" t="inlineStr">
        <is>
          <t xml:space="preserve">    02 01 99 - Non-Hazardous - Wastes not otherwise specified</t>
        </is>
      </c>
      <c r="Q42" t="n">
        <v>2040</v>
      </c>
      <c r="X42" t="inlineStr">
        <is>
          <t xml:space="preserve">    0611 Waste from the manufacture of inorganic pigments and opacificiers</t>
        </is>
      </c>
      <c r="Y42" t="inlineStr">
        <is>
          <t>DJF</t>
        </is>
      </c>
    </row>
    <row r="43">
      <c r="A43" s="287" t="inlineStr">
        <is>
          <t>NACE A - 02.1 Silviculture and other forestry activities</t>
        </is>
      </c>
      <c r="B43" s="287" t="inlineStr">
        <is>
          <t>NACE C - 10.7 Manufacture of bakery and farinaceous products</t>
        </is>
      </c>
      <c r="C43" s="285" t="inlineStr">
        <is>
          <t>Congo (the Democratic Republic of the)</t>
        </is>
      </c>
      <c r="D43" t="inlineStr">
        <is>
          <t>country:CD</t>
        </is>
      </c>
      <c r="E43">
        <f>RIGHT(D43,2)</f>
        <v/>
      </c>
      <c r="F43" s="360" t="n"/>
      <c r="G43" t="inlineStr">
        <is>
          <t>Hexabromobiphenyl</t>
        </is>
      </c>
      <c r="I43" t="inlineStr">
        <is>
          <t xml:space="preserve">  02 02 - Wastes from the preparation and processing of meat, fish and other foods of animal origin</t>
        </is>
      </c>
      <c r="Q43" t="n">
        <v>2041</v>
      </c>
      <c r="X43" t="inlineStr">
        <is>
          <t xml:space="preserve">    0613 Wastes from other inorganic chemical processes</t>
        </is>
      </c>
      <c r="Y43" t="inlineStr">
        <is>
          <t>DKK</t>
        </is>
      </c>
    </row>
    <row r="44">
      <c r="A44" s="288" t="inlineStr">
        <is>
          <t>NACE A - 02.10 Silviculture and other forestry activities</t>
        </is>
      </c>
      <c r="B44" s="287" t="inlineStr">
        <is>
          <t>NACE C - 10.8 Manufacture of other food products</t>
        </is>
      </c>
      <c r="C44" s="285" t="inlineStr">
        <is>
          <t>Central African Republic</t>
        </is>
      </c>
      <c r="D44" t="inlineStr">
        <is>
          <t>country:CF</t>
        </is>
      </c>
      <c r="E44">
        <f>RIGHT(D44,2)</f>
        <v/>
      </c>
      <c r="F44" s="360" t="n"/>
      <c r="G44" t="inlineStr">
        <is>
          <t>Hexachlorobenzene (HCB)</t>
        </is>
      </c>
      <c r="I44" t="inlineStr">
        <is>
          <t xml:space="preserve">    02 02 01 - Non-Hazardous - Sludges from washing and cleaning</t>
        </is>
      </c>
      <c r="Q44" t="n">
        <v>2042</v>
      </c>
      <c r="X44" t="inlineStr">
        <is>
          <t>07 WASTES FROM ORGANIC CHEMICAL PROCESSES</t>
        </is>
      </c>
      <c r="Y44" t="inlineStr">
        <is>
          <t>DOP</t>
        </is>
      </c>
    </row>
    <row r="45">
      <c r="A45" s="287" t="inlineStr">
        <is>
          <t>NACE A - 02.2 Logging</t>
        </is>
      </c>
      <c r="B45" s="287" t="inlineStr">
        <is>
          <t>NACE C - 10.9 Manufacture of prepared animal feeds</t>
        </is>
      </c>
      <c r="C45" s="285" t="inlineStr">
        <is>
          <t>Congo</t>
        </is>
      </c>
      <c r="D45" t="inlineStr">
        <is>
          <t>country:CG</t>
        </is>
      </c>
      <c r="E45">
        <f>RIGHT(D45,2)</f>
        <v/>
      </c>
      <c r="F45" s="360" t="n"/>
      <c r="G45" t="inlineStr">
        <is>
          <t>Hexachlorobutadiene (HCBD)</t>
        </is>
      </c>
      <c r="I45" t="inlineStr">
        <is>
          <t xml:space="preserve">    02 02 02 - Non-Hazardous - Animal-tissue waste</t>
        </is>
      </c>
      <c r="Q45" t="n">
        <v>2043</v>
      </c>
      <c r="X45" t="inlineStr">
        <is>
          <t xml:space="preserve">    0701 Wastes from the manufacture, formulation, supply and use (MFSU) of basic organic chemicals</t>
        </is>
      </c>
      <c r="Y45" t="inlineStr">
        <is>
          <t>DZD</t>
        </is>
      </c>
    </row>
    <row r="46">
      <c r="A46" s="288" t="inlineStr">
        <is>
          <t>NACE A - 02.20 Logging</t>
        </is>
      </c>
      <c r="B46" s="284" t="inlineStr">
        <is>
          <t>NACE C - 11 Manufacture of beverages</t>
        </is>
      </c>
      <c r="C46" s="285" t="inlineStr">
        <is>
          <t>Switzerland</t>
        </is>
      </c>
      <c r="D46" t="inlineStr">
        <is>
          <t>country:CH</t>
        </is>
      </c>
      <c r="E46">
        <f>RIGHT(D46,2)</f>
        <v/>
      </c>
      <c r="F46" s="360" t="n"/>
      <c r="G46" t="inlineStr">
        <is>
          <t>1,2,3,4,5,6-hexachlorocyclohexane (HCH)</t>
        </is>
      </c>
      <c r="I46" t="inlineStr">
        <is>
          <t xml:space="preserve">    02 02 03 - Non-Hazardous - Materials unsuitable for consumption or processing</t>
        </is>
      </c>
      <c r="Q46" t="n">
        <v>2044</v>
      </c>
      <c r="X46" t="inlineStr">
        <is>
          <t xml:space="preserve">    0702 Wastes from the MFSU of plastics, synthetic rubber and man-made fibres</t>
        </is>
      </c>
      <c r="Y46" t="inlineStr">
        <is>
          <t>EGP</t>
        </is>
      </c>
    </row>
    <row r="47">
      <c r="A47" s="287" t="inlineStr">
        <is>
          <t>NACE A - 02.3 Gathering of wild growing non-wood products</t>
        </is>
      </c>
      <c r="B47" s="287" t="inlineStr">
        <is>
          <t>NACE C - 11.0 Manufacture of beverages</t>
        </is>
      </c>
      <c r="C47" s="285" t="inlineStr">
        <is>
          <t>Côte d'Ivoire</t>
        </is>
      </c>
      <c r="D47" t="inlineStr">
        <is>
          <t>country:CI</t>
        </is>
      </c>
      <c r="E47">
        <f>RIGHT(D47,2)</f>
        <v/>
      </c>
      <c r="F47" s="88" t="n"/>
      <c r="G47" t="inlineStr">
        <is>
          <t>Hydrochlorofluorocarbons (HCFCs)</t>
        </is>
      </c>
      <c r="I47" t="inlineStr">
        <is>
          <t xml:space="preserve">    02 02 04 - Non-Hazardous - Sludges from on-site effluent treatment</t>
        </is>
      </c>
      <c r="Q47" t="n">
        <v>2045</v>
      </c>
      <c r="X47" t="inlineStr">
        <is>
          <t xml:space="preserve">    0703 Wastes from the MFSU of organic dyes and pigments (except waste from the manufacture of inorganic pigments and opacificiers)</t>
        </is>
      </c>
      <c r="Y47" t="inlineStr">
        <is>
          <t>ERN</t>
        </is>
      </c>
    </row>
    <row r="48">
      <c r="A48" s="288" t="inlineStr">
        <is>
          <t>NACE A - 02.30 Gathering of wild growing non-wood products</t>
        </is>
      </c>
      <c r="B48" s="284" t="inlineStr">
        <is>
          <t>NACE C - 12 Manufacture of tobacco products</t>
        </is>
      </c>
      <c r="C48" s="285" t="inlineStr">
        <is>
          <t>Cook Islands</t>
        </is>
      </c>
      <c r="D48" t="inlineStr">
        <is>
          <t>country:CK</t>
        </is>
      </c>
      <c r="E48">
        <f>RIGHT(D48,2)</f>
        <v/>
      </c>
      <c r="F48" s="360" t="n"/>
      <c r="G48" t="inlineStr">
        <is>
          <t>Hydro-fluorocarbons (HFCs)</t>
        </is>
      </c>
      <c r="I48" t="inlineStr">
        <is>
          <t xml:space="preserve">    02 02 99 - Non-Hazardous - Wastes not otherwise specified</t>
        </is>
      </c>
      <c r="Q48" t="n">
        <v>2046</v>
      </c>
      <c r="X48" t="inlineStr">
        <is>
          <t xml:space="preserve">    0704 Wastes from the MFSU of organic pesticides (except agrochemical wastes)</t>
        </is>
      </c>
      <c r="Y48" t="inlineStr">
        <is>
          <t>ETB</t>
        </is>
      </c>
    </row>
    <row r="49">
      <c r="A49" s="287" t="inlineStr">
        <is>
          <t>NACE A - 02.4 Support services to forestry</t>
        </is>
      </c>
      <c r="B49" s="287" t="inlineStr">
        <is>
          <t>NACE C - 12.0 Manufacture of tobacco products</t>
        </is>
      </c>
      <c r="C49" s="285" t="inlineStr">
        <is>
          <t>Chile</t>
        </is>
      </c>
      <c r="D49" t="inlineStr">
        <is>
          <t>country:CL</t>
        </is>
      </c>
      <c r="E49">
        <f>RIGHT(D49,2)</f>
        <v/>
      </c>
      <c r="F49" s="359" t="n"/>
      <c r="G49" t="inlineStr">
        <is>
          <t>Hydrogen cyanide (HCN)</t>
        </is>
      </c>
      <c r="I49" t="inlineStr">
        <is>
          <t xml:space="preserve">  02 03 - Wastes from fruit, vegetables, cereals, edible oils, cocoa, coffee, tea and tobacco preparation and processing; conserve production; yeast and yeast extract production, molasses preparation and fermentation</t>
        </is>
      </c>
      <c r="Q49" t="n">
        <v>2047</v>
      </c>
      <c r="X49" t="inlineStr">
        <is>
          <t xml:space="preserve">    0705 Wastes from the MFSU of pharmaceuticals</t>
        </is>
      </c>
      <c r="Y49" t="inlineStr">
        <is>
          <t>EUR</t>
        </is>
      </c>
    </row>
    <row r="50">
      <c r="A50" s="288" t="inlineStr">
        <is>
          <t>NACE A - 02.40 Support services to forestry</t>
        </is>
      </c>
      <c r="B50" s="284" t="inlineStr">
        <is>
          <t>NACE C - 13 Manufacture of textiles</t>
        </is>
      </c>
      <c r="C50" s="285" t="inlineStr">
        <is>
          <t>Cameroon</t>
        </is>
      </c>
      <c r="D50" t="inlineStr">
        <is>
          <t>country:CM</t>
        </is>
      </c>
      <c r="E50">
        <f>RIGHT(D50,2)</f>
        <v/>
      </c>
      <c r="F50" s="360" t="n"/>
      <c r="G50" t="inlineStr">
        <is>
          <t>Isodrin</t>
        </is>
      </c>
      <c r="I50" t="inlineStr">
        <is>
          <t xml:space="preserve">    02 03 01 - Non-Hazardous - Sludges from washing, cleaning, peeling, centrifuging and separation</t>
        </is>
      </c>
      <c r="Q50" t="n">
        <v>2048</v>
      </c>
      <c r="X50" t="inlineStr">
        <is>
          <t xml:space="preserve">    0706 Wastes from the MFSU of fats, grease, soaps, detergents disinfectants and cosmetics</t>
        </is>
      </c>
      <c r="Y50" t="inlineStr">
        <is>
          <t>FJD</t>
        </is>
      </c>
    </row>
    <row r="51">
      <c r="A51" s="284" t="inlineStr">
        <is>
          <t>NACE A - 03 Fishing and aquaculture</t>
        </is>
      </c>
      <c r="B51" s="287" t="inlineStr">
        <is>
          <t>NACE C - 13.1 Preparation and spinning of textile fibres</t>
        </is>
      </c>
      <c r="C51" s="285" t="inlineStr">
        <is>
          <t>China</t>
        </is>
      </c>
      <c r="D51" t="inlineStr">
        <is>
          <t>country:CN</t>
        </is>
      </c>
      <c r="E51">
        <f>RIGHT(D51,2)</f>
        <v/>
      </c>
      <c r="F51" s="360" t="n"/>
      <c r="G51" t="inlineStr">
        <is>
          <t>Isoproturon</t>
        </is>
      </c>
      <c r="I51" t="inlineStr">
        <is>
          <t xml:space="preserve">    02 03 02 - Non-Hazardous - Wastes from preserving agents</t>
        </is>
      </c>
      <c r="Q51" t="n">
        <v>2049</v>
      </c>
      <c r="X51" t="inlineStr">
        <is>
          <t xml:space="preserve">    0707 Wastes from the MFSU of fine chemicals and chemical products not otherwise specified</t>
        </is>
      </c>
      <c r="Y51" t="inlineStr">
        <is>
          <t>FKP</t>
        </is>
      </c>
    </row>
    <row r="52">
      <c r="A52" s="287" t="inlineStr">
        <is>
          <t>NACE A - 03.1 Fishing</t>
        </is>
      </c>
      <c r="B52" s="287" t="inlineStr">
        <is>
          <t>NACE C - 13.2 Weaving of textiles</t>
        </is>
      </c>
      <c r="C52" s="285" t="inlineStr">
        <is>
          <t>Colombia</t>
        </is>
      </c>
      <c r="D52" t="inlineStr">
        <is>
          <t>country:CO</t>
        </is>
      </c>
      <c r="E52">
        <f>RIGHT(D52,2)</f>
        <v/>
      </c>
      <c r="F52" s="360" t="n"/>
      <c r="G52" t="inlineStr">
        <is>
          <t>Lead and compounds (Pb)</t>
        </is>
      </c>
      <c r="I52" t="inlineStr">
        <is>
          <t xml:space="preserve">    02 03 03 - Non-Hazardous - Wastes from solvent extraction</t>
        </is>
      </c>
      <c r="Q52" t="n">
        <v>2050</v>
      </c>
      <c r="X52" t="inlineStr">
        <is>
          <t>08 WASTES FROM THE MANUFACTURE, FORMULATION, SUPPLY AND USE (MFSU) OF COATINGS (PAINTS, VARNISHES AND VITREOUS ENAMELS), ADHESIVES, SEALANTS AND PRINTING INKS</t>
        </is>
      </c>
      <c r="Y52" t="inlineStr">
        <is>
          <t>GBP</t>
        </is>
      </c>
    </row>
    <row r="53">
      <c r="A53" s="288" t="inlineStr">
        <is>
          <t>NACE A - 03.11 Marine fishing</t>
        </is>
      </c>
      <c r="B53" s="287" t="inlineStr">
        <is>
          <t>NACE C - 13.3 Finishing of textiles</t>
        </is>
      </c>
      <c r="C53" s="285" t="inlineStr">
        <is>
          <t>Costa Rica</t>
        </is>
      </c>
      <c r="D53" t="inlineStr">
        <is>
          <t>country:CR</t>
        </is>
      </c>
      <c r="E53">
        <f>RIGHT(D53,2)</f>
        <v/>
      </c>
      <c r="F53" s="88" t="n"/>
      <c r="G53" t="inlineStr">
        <is>
          <t>Lindane</t>
        </is>
      </c>
      <c r="I53" t="inlineStr">
        <is>
          <t xml:space="preserve">    02 03 04 - Non-Hazardous - Materials unsuitable for consumption or processing</t>
        </is>
      </c>
      <c r="Q53" t="n">
        <v>2051</v>
      </c>
      <c r="X53" t="inlineStr">
        <is>
          <t xml:space="preserve">    0801 Wastes from MFSU and removal of paint and varnish</t>
        </is>
      </c>
      <c r="Y53" t="inlineStr">
        <is>
          <t>GEL</t>
        </is>
      </c>
    </row>
    <row r="54">
      <c r="A54" s="288" t="inlineStr">
        <is>
          <t>NACE A - 03.12 Freshwater fishing</t>
        </is>
      </c>
      <c r="B54" s="287" t="inlineStr">
        <is>
          <t>NACE C - 13.9 Manufacture of other textiles</t>
        </is>
      </c>
      <c r="C54" s="285" t="inlineStr">
        <is>
          <t>Serbia and Montenegro (before 2006-09-26)</t>
        </is>
      </c>
      <c r="D54" t="inlineStr">
        <is>
          <t>country:CS</t>
        </is>
      </c>
      <c r="E54">
        <f>RIGHT(D54,2)</f>
        <v/>
      </c>
      <c r="F54" s="360" t="n"/>
      <c r="G54" t="inlineStr">
        <is>
          <t>Mercury and compounds (Hg)</t>
        </is>
      </c>
      <c r="I54" t="inlineStr">
        <is>
          <t xml:space="preserve">    02 03 05 - Non-Hazardous - Sludges from on-site effluent treatment</t>
        </is>
      </c>
      <c r="Q54" t="n">
        <v>2052</v>
      </c>
      <c r="X54" t="inlineStr">
        <is>
          <t xml:space="preserve">    0802 Wastes from MFSU of other coatings (including ceramic materials)</t>
        </is>
      </c>
      <c r="Y54" t="inlineStr">
        <is>
          <t>GHS</t>
        </is>
      </c>
    </row>
    <row r="55">
      <c r="A55" s="287" t="inlineStr">
        <is>
          <t>NACE A - 03.2 Aquaculture</t>
        </is>
      </c>
      <c r="B55" s="284" t="inlineStr">
        <is>
          <t>NACE C - 14 Manufacture of wearing apparel</t>
        </is>
      </c>
      <c r="C55" s="285" t="inlineStr">
        <is>
          <t>Cuba</t>
        </is>
      </c>
      <c r="D55" t="inlineStr">
        <is>
          <t>country:CU</t>
        </is>
      </c>
      <c r="E55">
        <f>RIGHT(D55,2)</f>
        <v/>
      </c>
      <c r="F55" s="360" t="n"/>
      <c r="G55" t="inlineStr">
        <is>
          <t>Methane (CH4)</t>
        </is>
      </c>
      <c r="I55" t="inlineStr">
        <is>
          <t xml:space="preserve">    02 03 99 - Non-Hazardous - Wastes not otherwise specified</t>
        </is>
      </c>
      <c r="Q55" t="n">
        <v>2053</v>
      </c>
      <c r="X55" t="inlineStr">
        <is>
          <t xml:space="preserve">    0803 Wastes from MFSU of printing inks</t>
        </is>
      </c>
      <c r="Y55" t="inlineStr">
        <is>
          <t>GIP</t>
        </is>
      </c>
    </row>
    <row r="56">
      <c r="A56" s="288" t="inlineStr">
        <is>
          <t>NACE A - 03.21 Marine aquaculture</t>
        </is>
      </c>
      <c r="B56" s="287" t="inlineStr">
        <is>
          <t>NACE C - 14.1 Manufacture of knitted and crocheted apparel</t>
        </is>
      </c>
      <c r="C56" s="285" t="inlineStr">
        <is>
          <t>Cabo Verde</t>
        </is>
      </c>
      <c r="D56" t="inlineStr">
        <is>
          <t>country:CV</t>
        </is>
      </c>
      <c r="E56">
        <f>RIGHT(D56,2)</f>
        <v/>
      </c>
      <c r="F56" s="360" t="n"/>
      <c r="G56" t="inlineStr">
        <is>
          <t>Mirex</t>
        </is>
      </c>
      <c r="I56" t="inlineStr">
        <is>
          <t xml:space="preserve">  02 04 - Wastes from sugar processing</t>
        </is>
      </c>
      <c r="Q56" t="n">
        <v>2054</v>
      </c>
      <c r="X56" t="inlineStr">
        <is>
          <t xml:space="preserve">    0804 Wastes from MFSU of adhesives and sealants (including waterproofing products)</t>
        </is>
      </c>
      <c r="Y56" t="inlineStr">
        <is>
          <t>GMD</t>
        </is>
      </c>
    </row>
    <row r="57">
      <c r="A57" s="288" t="inlineStr">
        <is>
          <t>NACE A - 03.22 Freshwater aquaculture</t>
        </is>
      </c>
      <c r="B57" s="287" t="inlineStr">
        <is>
          <t>NACE C - 14.2 Manufacture of other wearing apparel and accessories</t>
        </is>
      </c>
      <c r="C57" s="285" t="inlineStr">
        <is>
          <t>Curaçao</t>
        </is>
      </c>
      <c r="D57" t="inlineStr">
        <is>
          <t>country:CW</t>
        </is>
      </c>
      <c r="E57">
        <f>RIGHT(D57,2)</f>
        <v/>
      </c>
      <c r="F57" s="360" t="n"/>
      <c r="G57" t="inlineStr">
        <is>
          <t>Naphthalene</t>
        </is>
      </c>
      <c r="I57" t="inlineStr">
        <is>
          <t xml:space="preserve">    02 04 01 - Non-Hazardous - Soil from cleaning and washing beet</t>
        </is>
      </c>
      <c r="Q57" t="n">
        <v>2055</v>
      </c>
      <c r="X57" t="inlineStr">
        <is>
          <t xml:space="preserve">    0805 Wastes not otherwise specified</t>
        </is>
      </c>
      <c r="Y57" t="inlineStr">
        <is>
          <t>GNF</t>
        </is>
      </c>
    </row>
    <row r="58">
      <c r="A58" s="287" t="inlineStr">
        <is>
          <t>NACE A - 03.3 Support activities for fishing and aquaculture</t>
        </is>
      </c>
      <c r="B58" s="284" t="inlineStr">
        <is>
          <t>NACE C - 15 Manufacture of leather and related products of other materials</t>
        </is>
      </c>
      <c r="C58" s="285" t="inlineStr">
        <is>
          <t>Christmas Island</t>
        </is>
      </c>
      <c r="D58" t="inlineStr">
        <is>
          <t>country:CX</t>
        </is>
      </c>
      <c r="E58">
        <f>RIGHT(D58,2)</f>
        <v/>
      </c>
      <c r="F58" s="360" t="n"/>
      <c r="G58" t="inlineStr">
        <is>
          <t>Nickel and compounds (Ni)</t>
        </is>
      </c>
      <c r="I58" t="inlineStr">
        <is>
          <t xml:space="preserve">    02 04 02 - Non-Hazardous - Off-specification calcium carbonate</t>
        </is>
      </c>
      <c r="Q58" t="n">
        <v>2056</v>
      </c>
      <c r="X58" t="inlineStr">
        <is>
          <t>09 WASTES FROM THE PHOTOGRAPHIC INDUSTRY</t>
        </is>
      </c>
      <c r="Y58" t="inlineStr">
        <is>
          <t>GTQ</t>
        </is>
      </c>
    </row>
    <row r="59">
      <c r="A59" s="288" t="inlineStr">
        <is>
          <t>NACE A - 03.30 Support activities for fishing and aquaculture</t>
        </is>
      </c>
      <c r="B59" s="287" t="inlineStr">
        <is>
          <t>NACE C - 15.1 Tanning, dyeing, dressing of leather and fur; manufacture of luggage, handbags, saddlery and harness</t>
        </is>
      </c>
      <c r="C59" s="285" t="inlineStr">
        <is>
          <t>Cyprus</t>
        </is>
      </c>
      <c r="D59" t="inlineStr">
        <is>
          <t>country:CY</t>
        </is>
      </c>
      <c r="E59">
        <f>RIGHT(D59,2)</f>
        <v/>
      </c>
      <c r="F59" s="360" t="n"/>
      <c r="G59" t="inlineStr">
        <is>
          <t>Nitrogen oxides (NOx/NO2)</t>
        </is>
      </c>
      <c r="I59" t="inlineStr">
        <is>
          <t xml:space="preserve">    02 04 03 - Non-Hazardous - Sludges from on-site effluent treatment</t>
        </is>
      </c>
      <c r="Q59" t="n">
        <v>2057</v>
      </c>
      <c r="X59" t="inlineStr">
        <is>
          <t xml:space="preserve">    0901 Wastes from the photographic industry</t>
        </is>
      </c>
      <c r="Y59" t="inlineStr">
        <is>
          <t>GYD</t>
        </is>
      </c>
    </row>
    <row r="60">
      <c r="A60" s="285" t="inlineStr">
        <is>
          <t>NACE B - MINING AND QUARRYING</t>
        </is>
      </c>
      <c r="B60" s="287" t="inlineStr">
        <is>
          <t>NACE C - 15.2 Manufacture of footwear</t>
        </is>
      </c>
      <c r="C60" s="285" t="inlineStr">
        <is>
          <t>Czechia</t>
        </is>
      </c>
      <c r="D60" t="inlineStr">
        <is>
          <t>country:CZ</t>
        </is>
      </c>
      <c r="E60">
        <f>RIGHT(D60,2)</f>
        <v/>
      </c>
      <c r="F60" s="360" t="n"/>
      <c r="G60" t="inlineStr">
        <is>
          <t>Nitrous oxide (N2O)</t>
        </is>
      </c>
      <c r="I60" t="inlineStr">
        <is>
          <t xml:space="preserve">    02 04 99 - Non-Hazardous - Wastes not otherwise specified</t>
        </is>
      </c>
      <c r="Q60" t="n">
        <v>2058</v>
      </c>
      <c r="X60" t="inlineStr">
        <is>
          <t>10 INORGANIC WASTES FROM THERMAL PROCESSES</t>
        </is>
      </c>
      <c r="Y60" t="inlineStr">
        <is>
          <t>HKD</t>
        </is>
      </c>
    </row>
    <row r="61">
      <c r="A61" s="284" t="inlineStr">
        <is>
          <t>NACE B - 05 Mining of coal and lignite</t>
        </is>
      </c>
      <c r="B61" s="288" t="inlineStr">
        <is>
          <t>NACE C - 15.20 Manufacture of footwear</t>
        </is>
      </c>
      <c r="C61" s="285" t="inlineStr">
        <is>
          <t>Germany</t>
        </is>
      </c>
      <c r="D61" t="inlineStr">
        <is>
          <t>country:DE</t>
        </is>
      </c>
      <c r="E61">
        <f>RIGHT(D61,2)</f>
        <v/>
      </c>
      <c r="F61" s="88" t="n"/>
      <c r="G61" t="inlineStr">
        <is>
          <t>Non-methane volatile organic compounds (NMVOC)</t>
        </is>
      </c>
      <c r="I61" t="inlineStr">
        <is>
          <t xml:space="preserve">  02 05 - Wastes from the dairy products industry</t>
        </is>
      </c>
      <c r="Q61" t="n">
        <v>2059</v>
      </c>
      <c r="X61" t="inlineStr">
        <is>
          <t xml:space="preserve">    1001 Wastes from power stations and other combustion plants (except wastes from waste treatment facilities, off-site waste water treatment plants and the water industry)</t>
        </is>
      </c>
      <c r="Y61" t="inlineStr">
        <is>
          <t>HNL</t>
        </is>
      </c>
    </row>
    <row r="62">
      <c r="A62" s="287" t="inlineStr">
        <is>
          <t>NACE B - 05.1 Mining of hard coal</t>
        </is>
      </c>
      <c r="B62" s="284" t="inlineStr">
        <is>
          <t>NACE C - 16 Manufacture of wood and of products of wood and cork, except furniture; manufacture of articles of straw and plaiting materials</t>
        </is>
      </c>
      <c r="C62" s="285" t="inlineStr">
        <is>
          <t>Djibouti</t>
        </is>
      </c>
      <c r="D62" t="inlineStr">
        <is>
          <t>country:DJ</t>
        </is>
      </c>
      <c r="E62">
        <f>RIGHT(D62,2)</f>
        <v/>
      </c>
      <c r="F62" s="360" t="n"/>
      <c r="G62" t="inlineStr">
        <is>
          <t>Nonylphenol and Nonylphenol ethoxylates (NP/NPEs)</t>
        </is>
      </c>
      <c r="I62" t="inlineStr">
        <is>
          <t xml:space="preserve">    02 05 01 - Non-Hazardous - Materials unsuitable for consumption or processing</t>
        </is>
      </c>
      <c r="Q62" t="n">
        <v>2060</v>
      </c>
      <c r="X62" t="inlineStr">
        <is>
          <t xml:space="preserve">    1002 Wastes from the iron and steel industry</t>
        </is>
      </c>
      <c r="Y62" t="inlineStr">
        <is>
          <t>HRK</t>
        </is>
      </c>
    </row>
    <row r="63">
      <c r="A63" s="288" t="inlineStr">
        <is>
          <t>NACE B - 05.10 Mining of hard coal</t>
        </is>
      </c>
      <c r="B63" s="287" t="inlineStr">
        <is>
          <t>NACE C - 16.1 Sawmilling and planing of wood; processing and finishing of wood</t>
        </is>
      </c>
      <c r="C63" s="285" t="inlineStr">
        <is>
          <t>Denmark</t>
        </is>
      </c>
      <c r="D63" t="inlineStr">
        <is>
          <t>country:DK</t>
        </is>
      </c>
      <c r="E63">
        <f>RIGHT(D63,2)</f>
        <v/>
      </c>
      <c r="F63" s="360" t="n"/>
      <c r="G63" t="inlineStr">
        <is>
          <t>Octylphenols and Octylphenol ethoxylates</t>
        </is>
      </c>
      <c r="I63" t="inlineStr">
        <is>
          <t xml:space="preserve">    02 05 02 - Non-Hazardous - Sludges from on-site effluent treatment</t>
        </is>
      </c>
      <c r="Q63" t="n">
        <v>2061</v>
      </c>
      <c r="X63" t="inlineStr">
        <is>
          <t xml:space="preserve">    1003 Wastes from aluminium thermal metallurgy</t>
        </is>
      </c>
      <c r="Y63" t="inlineStr">
        <is>
          <t>HTG</t>
        </is>
      </c>
    </row>
    <row r="64">
      <c r="A64" s="287" t="inlineStr">
        <is>
          <t>NACE B - 05.2 Mining of lignite</t>
        </is>
      </c>
      <c r="B64" s="287" t="inlineStr">
        <is>
          <t>NACE C - 16.2 Manufacture of products of wood, cork, straw and plaiting materials</t>
        </is>
      </c>
      <c r="C64" s="285" t="inlineStr">
        <is>
          <t>Dominica</t>
        </is>
      </c>
      <c r="D64" t="inlineStr">
        <is>
          <t>country:DM</t>
        </is>
      </c>
      <c r="E64">
        <f>RIGHT(D64,2)</f>
        <v/>
      </c>
      <c r="F64" s="360" t="n"/>
      <c r="G64" t="inlineStr">
        <is>
          <t>Organotin compounds (total Sn)</t>
        </is>
      </c>
      <c r="I64" t="inlineStr">
        <is>
          <t xml:space="preserve">    02 05 99 - Non-Hazardous - Wastes not otherwise specified</t>
        </is>
      </c>
      <c r="Q64" t="n">
        <v>2062</v>
      </c>
      <c r="X64" t="inlineStr">
        <is>
          <t xml:space="preserve">    1004 Wastes from lead thermal metallurgy</t>
        </is>
      </c>
      <c r="Y64" t="inlineStr">
        <is>
          <t>HUF</t>
        </is>
      </c>
    </row>
    <row r="65">
      <c r="A65" s="288" t="inlineStr">
        <is>
          <t>NACE B - 05.20 Mining of lignite</t>
        </is>
      </c>
      <c r="B65" s="284" t="inlineStr">
        <is>
          <t>NACE C - 17 Manufacture of paper and paper products</t>
        </is>
      </c>
      <c r="C65" s="285" t="inlineStr">
        <is>
          <t>Dominican Republic</t>
        </is>
      </c>
      <c r="D65" t="inlineStr">
        <is>
          <t>country:DO</t>
        </is>
      </c>
      <c r="E65">
        <f>RIGHT(D65,2)</f>
        <v/>
      </c>
      <c r="F65" s="360" t="n"/>
      <c r="G65" t="inlineStr">
        <is>
          <t>Particulate matter (PM)</t>
        </is>
      </c>
      <c r="I65" t="inlineStr">
        <is>
          <t xml:space="preserve">  02 06 - Wastes from the baking and confectionery industry</t>
        </is>
      </c>
      <c r="Q65" t="n">
        <v>2063</v>
      </c>
      <c r="X65" t="inlineStr">
        <is>
          <t xml:space="preserve">    1005 Wastes from zinc thermal metallurgy</t>
        </is>
      </c>
      <c r="Y65" t="inlineStr">
        <is>
          <t>IDR</t>
        </is>
      </c>
    </row>
    <row r="66">
      <c r="A66" s="284" t="inlineStr">
        <is>
          <t>NACE B - 06 Extraction of crude petroleum and natural gas</t>
        </is>
      </c>
      <c r="B66" s="287" t="inlineStr">
        <is>
          <t>NACE C - 17.1 Manufacture of pulp, paper and paperboard</t>
        </is>
      </c>
      <c r="C66" s="285" t="inlineStr">
        <is>
          <t>Algeria</t>
        </is>
      </c>
      <c r="D66" t="inlineStr">
        <is>
          <t>country:DZ</t>
        </is>
      </c>
      <c r="E66">
        <f>RIGHT(D66,2)</f>
        <v/>
      </c>
      <c r="F66" s="88" t="n"/>
      <c r="G66" t="inlineStr">
        <is>
          <t>PCDD + PCDF (dioxins + furans) (Teq)</t>
        </is>
      </c>
      <c r="I66" t="inlineStr">
        <is>
          <t xml:space="preserve">    02 06 01 - Non-Hazardous - Materials unsuitable for consumption or processing</t>
        </is>
      </c>
      <c r="Q66" t="n">
        <v>2064</v>
      </c>
      <c r="X66" t="inlineStr">
        <is>
          <t xml:space="preserve">    1006 Wastes from copper thermal metallurgy</t>
        </is>
      </c>
      <c r="Y66" t="inlineStr">
        <is>
          <t>ILS</t>
        </is>
      </c>
    </row>
    <row r="67">
      <c r="A67" s="287" t="inlineStr">
        <is>
          <t>NACE B - 06.1 Extraction of crude petroleum</t>
        </is>
      </c>
      <c r="B67" s="287" t="inlineStr">
        <is>
          <t>NACE C - 17.2 Manufacture of articles of paper and paperboard</t>
        </is>
      </c>
      <c r="C67" s="285" t="inlineStr">
        <is>
          <t>Ecuador</t>
        </is>
      </c>
      <c r="D67" t="inlineStr">
        <is>
          <t>country:EC</t>
        </is>
      </c>
      <c r="E67">
        <f>RIGHT(D67,2)</f>
        <v/>
      </c>
      <c r="F67" s="360" t="n"/>
      <c r="G67" t="inlineStr">
        <is>
          <t>Pentachlorobenzene</t>
        </is>
      </c>
      <c r="I67" t="inlineStr">
        <is>
          <t xml:space="preserve">    02 06 02 - Non-Hazardous - Wastes from preserving agents</t>
        </is>
      </c>
      <c r="Q67" t="n">
        <v>2065</v>
      </c>
      <c r="X67" t="inlineStr">
        <is>
          <t xml:space="preserve">    1007 Wastes from silver, gold and platinum thermal metallurgy</t>
        </is>
      </c>
      <c r="Y67" t="inlineStr">
        <is>
          <t>INR</t>
        </is>
      </c>
    </row>
    <row r="68">
      <c r="A68" s="288" t="inlineStr">
        <is>
          <t>NACE B - 06.10 Extraction of crude petroleum</t>
        </is>
      </c>
      <c r="B68" s="284" t="inlineStr">
        <is>
          <t>NACE C - 18 Printing and reproduction of recorded media</t>
        </is>
      </c>
      <c r="C68" s="285" t="inlineStr">
        <is>
          <t>Estonia</t>
        </is>
      </c>
      <c r="D68" t="inlineStr">
        <is>
          <t>country:EE</t>
        </is>
      </c>
      <c r="E68">
        <f>RIGHT(D68,2)</f>
        <v/>
      </c>
      <c r="F68" s="360" t="n"/>
      <c r="G68" t="inlineStr">
        <is>
          <t>Pentachlorophenol (PCP)</t>
        </is>
      </c>
      <c r="I68" t="inlineStr">
        <is>
          <t xml:space="preserve">    02 06 03 - Non-Hazardous - Sludges from on-site effluent treatment</t>
        </is>
      </c>
      <c r="Q68" t="n">
        <v>2066</v>
      </c>
      <c r="X68" t="inlineStr">
        <is>
          <t xml:space="preserve">    1008 Wastes from other non-ferrous thermal metallurgy</t>
        </is>
      </c>
      <c r="Y68" t="inlineStr">
        <is>
          <t>IQD</t>
        </is>
      </c>
    </row>
    <row r="69">
      <c r="A69" s="287" t="inlineStr">
        <is>
          <t>NACE B - 06.2 Extraction of natural gas</t>
        </is>
      </c>
      <c r="B69" s="287" t="inlineStr">
        <is>
          <t>NACE C - 18.1 Printing and service activities related to printing</t>
        </is>
      </c>
      <c r="C69" s="285" t="inlineStr">
        <is>
          <t>Egypt</t>
        </is>
      </c>
      <c r="D69" t="inlineStr">
        <is>
          <t>country:EG</t>
        </is>
      </c>
      <c r="E69">
        <f>RIGHT(D69,2)</f>
        <v/>
      </c>
      <c r="F69" s="359" t="n"/>
      <c r="G69" t="inlineStr">
        <is>
          <t>Perfluorocarbons (PFCs)</t>
        </is>
      </c>
      <c r="I69" t="inlineStr">
        <is>
          <t xml:space="preserve">    02 06 99 - Non-Hazardous - Wastes not otherwise specified</t>
        </is>
      </c>
      <c r="Q69" t="n">
        <v>2067</v>
      </c>
      <c r="X69" t="inlineStr">
        <is>
          <t xml:space="preserve">    1009 Wastes from casting of ferrous pieces</t>
        </is>
      </c>
      <c r="Y69" t="inlineStr">
        <is>
          <t>IRR</t>
        </is>
      </c>
    </row>
    <row r="70">
      <c r="A70" s="288" t="inlineStr">
        <is>
          <t>NACE B - 06.20 Extraction of natural gas</t>
        </is>
      </c>
      <c r="B70" s="287" t="inlineStr">
        <is>
          <t>NACE C - 18.2 Reproduction of recorded media</t>
        </is>
      </c>
      <c r="C70" s="285" t="inlineStr">
        <is>
          <t>Western Sahara*</t>
        </is>
      </c>
      <c r="D70" t="inlineStr">
        <is>
          <t>country:EH</t>
        </is>
      </c>
      <c r="E70">
        <f>RIGHT(D70,2)</f>
        <v/>
      </c>
      <c r="F70" s="359" t="n"/>
      <c r="G70" t="inlineStr">
        <is>
          <t>Perfluorohexane-1-sulfonic acid (PFHxS) and its salts</t>
        </is>
      </c>
      <c r="I70" t="inlineStr">
        <is>
          <t xml:space="preserve">  02 07 - Wastes from the production of alcoholic and non-alcoholic beverages (except coffee, tea and cocoa)</t>
        </is>
      </c>
      <c r="Q70" t="n">
        <v>2068</v>
      </c>
      <c r="X70" t="inlineStr">
        <is>
          <t xml:space="preserve">    1010 Wastes from casting of non-ferrous pieces</t>
        </is>
      </c>
      <c r="Y70" t="inlineStr">
        <is>
          <t>ISK</t>
        </is>
      </c>
    </row>
    <row r="71">
      <c r="A71" s="284" t="inlineStr">
        <is>
          <t>NACE B - 07 Mining of metal ores</t>
        </is>
      </c>
      <c r="B71" s="284" t="inlineStr">
        <is>
          <t>NACE C - 19 Manufacture of coke and refined petroleum products</t>
        </is>
      </c>
      <c r="C71" s="285" t="inlineStr">
        <is>
          <t>Eritrea</t>
        </is>
      </c>
      <c r="D71" t="inlineStr">
        <is>
          <t>country:ER</t>
        </is>
      </c>
      <c r="E71">
        <f>RIGHT(D71,2)</f>
        <v/>
      </c>
      <c r="F71" s="359" t="n"/>
      <c r="G71" t="inlineStr">
        <is>
          <t>Perfluorooctanoic acid (PFOA) and its salts</t>
        </is>
      </c>
      <c r="I71" t="inlineStr">
        <is>
          <t xml:space="preserve">    02 07 01 - Non-Hazardous - Wastes from washing, cleaning and mechanical reduction of raw materials</t>
        </is>
      </c>
      <c r="Q71" t="n">
        <v>2069</v>
      </c>
      <c r="X71" t="inlineStr">
        <is>
          <t xml:space="preserve">    1011 Wastes from manufacture of glass and glass products</t>
        </is>
      </c>
      <c r="Y71" t="inlineStr">
        <is>
          <t>JMD</t>
        </is>
      </c>
    </row>
    <row r="72">
      <c r="A72" s="287" t="inlineStr">
        <is>
          <t>NACE B - 07.1 Mining of iron ores</t>
        </is>
      </c>
      <c r="B72" s="287" t="inlineStr">
        <is>
          <t>NACE C - 19.1 Manufacture of coke oven products</t>
        </is>
      </c>
      <c r="C72" s="285" t="inlineStr">
        <is>
          <t>Spain</t>
        </is>
      </c>
      <c r="D72" t="inlineStr">
        <is>
          <t>country:ES</t>
        </is>
      </c>
      <c r="E72">
        <f>RIGHT(D72,2)</f>
        <v/>
      </c>
      <c r="F72" s="359" t="n"/>
      <c r="G72" t="inlineStr">
        <is>
          <t>Phenols (total C)</t>
        </is>
      </c>
      <c r="I72" t="inlineStr">
        <is>
          <t xml:space="preserve">    02 07 02 - Non-Hazardous - Wastes from spirits distillation</t>
        </is>
      </c>
      <c r="Q72" t="n">
        <v>2070</v>
      </c>
      <c r="X72" t="inlineStr">
        <is>
          <t xml:space="preserve">    1012 Wastes from manufacture of ceramic goods, bricks, tiles and construction products</t>
        </is>
      </c>
      <c r="Y72" t="inlineStr">
        <is>
          <t>JOD</t>
        </is>
      </c>
    </row>
    <row r="73">
      <c r="A73" s="288" t="inlineStr">
        <is>
          <t>NACE B - 07.10 Mining of iron ores</t>
        </is>
      </c>
      <c r="B73" s="287" t="inlineStr">
        <is>
          <t>NACE C - 19.2 Manufacture of refined petroleum products and fossil fuel products</t>
        </is>
      </c>
      <c r="C73" s="285" t="inlineStr">
        <is>
          <t>Ethiopia</t>
        </is>
      </c>
      <c r="D73" t="inlineStr">
        <is>
          <t>country:ET</t>
        </is>
      </c>
      <c r="E73">
        <f>RIGHT(D73,2)</f>
        <v/>
      </c>
      <c r="F73" s="359" t="n"/>
      <c r="G73" t="inlineStr">
        <is>
          <t>Polychlorinated biphenyls (PCBs)</t>
        </is>
      </c>
      <c r="I73" t="inlineStr">
        <is>
          <t xml:space="preserve">    02 07 03 - Non-Hazardous - Wastes from chemical treatment</t>
        </is>
      </c>
      <c r="Q73" t="n">
        <v>2071</v>
      </c>
      <c r="X73" t="inlineStr">
        <is>
          <t xml:space="preserve">    1013 Wastes from manufacture of cement, lime and plaster and articles and products made from them</t>
        </is>
      </c>
      <c r="Y73" t="inlineStr">
        <is>
          <t>JPY</t>
        </is>
      </c>
    </row>
    <row r="74">
      <c r="A74" s="287" t="inlineStr">
        <is>
          <t>NACE B - 07.2 Mining of non-ferrous metal ores</t>
        </is>
      </c>
      <c r="B74" s="284" t="inlineStr">
        <is>
          <t>NACE C - 20 Manufacture of chemicals and chemical products</t>
        </is>
      </c>
      <c r="C74" s="285" t="inlineStr">
        <is>
          <t>Finland</t>
        </is>
      </c>
      <c r="D74" t="inlineStr">
        <is>
          <t>country:FI</t>
        </is>
      </c>
      <c r="E74">
        <f>RIGHT(D74,2)</f>
        <v/>
      </c>
      <c r="F74" s="359" t="n"/>
      <c r="G74" t="inlineStr">
        <is>
          <t>Polycyclic aromatic hydrocarbons (PAHs)</t>
        </is>
      </c>
      <c r="I74" t="inlineStr">
        <is>
          <t xml:space="preserve">    02 07 04 - Non-Hazardous - Materials unsuitable for consumption or processing</t>
        </is>
      </c>
      <c r="Q74" t="n">
        <v>2072</v>
      </c>
      <c r="X74" t="inlineStr">
        <is>
          <t>11 INORGANIC METAL-CONTAINING WASTES FROM METAL TREATMENT AND THE COATING OF METALS, AND NON-FERROUS HYDROMETALLURGY</t>
        </is>
      </c>
      <c r="Y74" t="inlineStr">
        <is>
          <t>KES</t>
        </is>
      </c>
    </row>
    <row r="75">
      <c r="A75" s="288" t="inlineStr">
        <is>
          <t>NACE B - 07.21 Mining of uranium and thorium ores</t>
        </is>
      </c>
      <c r="B75" s="287" t="inlineStr">
        <is>
          <t>NACE C - 20.1 Manufacture of basic chemicals, fertilisers and nitrogen compounds, plastics and synthetic rubber in primary forms</t>
        </is>
      </c>
      <c r="C75" s="285" t="inlineStr">
        <is>
          <t>Fiji</t>
        </is>
      </c>
      <c r="D75" t="inlineStr">
        <is>
          <t>country:FJ</t>
        </is>
      </c>
      <c r="E75">
        <f>RIGHT(D75,2)</f>
        <v/>
      </c>
      <c r="F75" s="360" t="n"/>
      <c r="G75" t="inlineStr">
        <is>
          <t>Simazine</t>
        </is>
      </c>
      <c r="I75" t="inlineStr">
        <is>
          <t xml:space="preserve">    02 07 05 - Non-Hazardous - Sludges from on-site effluent treatment</t>
        </is>
      </c>
      <c r="Q75" t="n">
        <v>2073</v>
      </c>
      <c r="X75" t="inlineStr">
        <is>
          <t xml:space="preserve">    1101 Liquid wastes and sludges from metal treatment and coating of metals, (e.g. galvanic processes, zinc coating processes, pickling processes, etching, phosphatising, alkaline degreasing)</t>
        </is>
      </c>
      <c r="Y75" t="inlineStr">
        <is>
          <t>KGS</t>
        </is>
      </c>
    </row>
    <row r="76">
      <c r="A76" s="288" t="inlineStr">
        <is>
          <t>NACE B - 07.29 Mining of other non-ferrous metal ores</t>
        </is>
      </c>
      <c r="B76" s="287" t="inlineStr">
        <is>
          <t>NACE C - 20.2 Manufacture of pesticides, disinfectants and other agrochemical products</t>
        </is>
      </c>
      <c r="C76" s="285" t="inlineStr">
        <is>
          <t>Falkland Islands (the) [Malvinas]</t>
        </is>
      </c>
      <c r="D76" t="inlineStr">
        <is>
          <t>country:FK</t>
        </is>
      </c>
      <c r="E76">
        <f>RIGHT(D76,2)</f>
        <v/>
      </c>
      <c r="F76" s="360" t="n"/>
      <c r="G76" t="inlineStr">
        <is>
          <t>Sulphur hexafluoride (SF6)</t>
        </is>
      </c>
      <c r="I76" t="inlineStr">
        <is>
          <t xml:space="preserve">    02 07 99 - Non-Hazardous - Wastes not otherwise specified</t>
        </is>
      </c>
      <c r="Q76" t="n">
        <v>2074</v>
      </c>
      <c r="X76" t="inlineStr">
        <is>
          <t xml:space="preserve">    1102 Wastes and sludges from non-ferrous hydrometallurgical processes</t>
        </is>
      </c>
      <c r="Y76" t="inlineStr">
        <is>
          <t>KHR</t>
        </is>
      </c>
    </row>
    <row r="77">
      <c r="A77" s="284" t="inlineStr">
        <is>
          <t>NACE B - 08 Other mining and quarrying</t>
        </is>
      </c>
      <c r="B77" s="287" t="inlineStr">
        <is>
          <t>NACE C - 20.3 Manufacture of paints, varnishes and similar coatings, printing ink and mastics</t>
        </is>
      </c>
      <c r="C77" s="285" t="inlineStr">
        <is>
          <t>Micronesia (Federated States of)</t>
        </is>
      </c>
      <c r="D77" t="inlineStr">
        <is>
          <t>country:FM</t>
        </is>
      </c>
      <c r="E77">
        <f>RIGHT(D77,2)</f>
        <v/>
      </c>
      <c r="F77" s="360" t="n"/>
      <c r="G77" t="inlineStr">
        <is>
          <t>Sulphur oxides (SOx/SO2)</t>
        </is>
      </c>
      <c r="I77" t="inlineStr">
        <is>
          <t>03 - WASTES FROM WOOD PROCESSING AND THE PRODUCTION OF PANELS AND FURNITURE, PULP, PAPER AND CARDBOARD</t>
        </is>
      </c>
      <c r="Q77" t="n">
        <v>2075</v>
      </c>
      <c r="X77" t="inlineStr">
        <is>
          <t xml:space="preserve">    1103 Sludges and solids from tempering processes</t>
        </is>
      </c>
      <c r="Y77" t="inlineStr">
        <is>
          <t>KMF</t>
        </is>
      </c>
    </row>
    <row r="78">
      <c r="A78" s="287" t="inlineStr">
        <is>
          <t>NACE B - 08.1 Quarrying of stone, sand and clay</t>
        </is>
      </c>
      <c r="B78" s="287" t="inlineStr">
        <is>
          <t>NACE C - 20.4 Manufacture of washing, cleaning and polishing preparations</t>
        </is>
      </c>
      <c r="C78" s="285" t="inlineStr">
        <is>
          <t>Faroe Islands</t>
        </is>
      </c>
      <c r="D78" t="inlineStr">
        <is>
          <t>country:FO</t>
        </is>
      </c>
      <c r="E78">
        <f>RIGHT(D78,2)</f>
        <v/>
      </c>
      <c r="F78" s="360" t="n"/>
      <c r="G78" t="inlineStr">
        <is>
          <t>Tetrachloroethylene (PER)</t>
        </is>
      </c>
      <c r="I78" t="inlineStr">
        <is>
          <t xml:space="preserve">  03 01 - Wastes from wood processing and the production of panels and furniture</t>
        </is>
      </c>
      <c r="Q78" t="n">
        <v>2076</v>
      </c>
      <c r="X78" t="inlineStr">
        <is>
          <t xml:space="preserve">    1104 Other inorganic metal-containing wastes not otherwise specified</t>
        </is>
      </c>
      <c r="Y78" t="inlineStr">
        <is>
          <t>KPW</t>
        </is>
      </c>
    </row>
    <row r="79">
      <c r="A79" s="288" t="inlineStr">
        <is>
          <t>NACE B - 08.11 Quarrying of ornamental stone, limestone, gypsum, slate and other stone</t>
        </is>
      </c>
      <c r="B79" s="287" t="inlineStr">
        <is>
          <t>NACE C - 20.5 Manufacture of other chemical products</t>
        </is>
      </c>
      <c r="C79" s="285" t="inlineStr">
        <is>
          <t>France</t>
        </is>
      </c>
      <c r="D79" t="inlineStr">
        <is>
          <t>country:FR</t>
        </is>
      </c>
      <c r="E79">
        <f>RIGHT(D79,2)</f>
        <v/>
      </c>
      <c r="F79" s="360" t="n"/>
      <c r="G79" t="inlineStr">
        <is>
          <t>Tetrachloromethane (TCM)</t>
        </is>
      </c>
      <c r="I79" t="inlineStr">
        <is>
          <t xml:space="preserve">    03 01 01 - Non-Hazardous - Waste bark and cork</t>
        </is>
      </c>
      <c r="Q79" t="n">
        <v>2077</v>
      </c>
      <c r="X79" t="inlineStr">
        <is>
          <t>12 WASTES FROM SHAPING AND SURFACE TREATMENT OF METALS AND PLASTICS</t>
        </is>
      </c>
      <c r="Y79" t="inlineStr">
        <is>
          <t>KRW</t>
        </is>
      </c>
    </row>
    <row r="80">
      <c r="A80" s="288" t="inlineStr">
        <is>
          <t>NACE B - 08.12 Operation of gravel and sand pits and mining of clay and kaolin</t>
        </is>
      </c>
      <c r="B80" s="287" t="inlineStr">
        <is>
          <t>NACE C - 20.6 Manufacture of man-made fibres</t>
        </is>
      </c>
      <c r="C80" s="285" t="inlineStr">
        <is>
          <t>Gabon</t>
        </is>
      </c>
      <c r="D80" t="inlineStr">
        <is>
          <t>country:GA</t>
        </is>
      </c>
      <c r="E80">
        <f>RIGHT(D80,2)</f>
        <v/>
      </c>
      <c r="F80" s="360" t="n"/>
      <c r="G80" t="inlineStr">
        <is>
          <t>1,1,2,2-tetrachloroethane</t>
        </is>
      </c>
      <c r="I80" t="inlineStr">
        <is>
          <t xml:space="preserve">    03 01 04 - Hazardous - Sawdust, shavings, cuttings, wood, particle board and veneer containing hazardous substances</t>
        </is>
      </c>
      <c r="Q80" t="n">
        <v>2078</v>
      </c>
      <c r="X80" t="inlineStr">
        <is>
          <t xml:space="preserve">    1201 Wastes from shaping (including forgoing, welding, pressing, drawing, turning, cutting and filing)</t>
        </is>
      </c>
      <c r="Y80" t="inlineStr">
        <is>
          <t>KWD</t>
        </is>
      </c>
    </row>
    <row r="81">
      <c r="A81" s="287" t="inlineStr">
        <is>
          <t>NACE B - 08.9 Mining and quarrying n.e.c.</t>
        </is>
      </c>
      <c r="B81" s="284" t="inlineStr">
        <is>
          <t>NACE C - 21 Manufacture of basic pharmaceutical products and pharmaceutical preparations</t>
        </is>
      </c>
      <c r="C81" s="285" t="inlineStr">
        <is>
          <t>United Kingdom of Great Britain and Northern Ireland</t>
        </is>
      </c>
      <c r="D81" t="inlineStr">
        <is>
          <t>country:GB</t>
        </is>
      </c>
      <c r="E81">
        <f>RIGHT(D81,2)</f>
        <v/>
      </c>
      <c r="F81" s="359" t="n"/>
      <c r="G81" t="inlineStr">
        <is>
          <t>Toluene</t>
        </is>
      </c>
      <c r="I81" t="inlineStr">
        <is>
          <t xml:space="preserve">    03 01 05 - Non-Hazardous - Sawdust, shavings, cuttings, wood, particle board and veneer other than those mentioned in 03 01 04</t>
        </is>
      </c>
      <c r="Q81" t="n">
        <v>2079</v>
      </c>
      <c r="X81" t="inlineStr">
        <is>
          <t xml:space="preserve">    1202 Wastes from mechanical surface treatment processes (blasting, grinding, honing, lapping, polishing)</t>
        </is>
      </c>
      <c r="Y81" t="inlineStr">
        <is>
          <t>KYD</t>
        </is>
      </c>
    </row>
    <row r="82">
      <c r="A82" s="288" t="inlineStr">
        <is>
          <t>NACE B - 08.91 Mining of chemical and fertiliser minerals</t>
        </is>
      </c>
      <c r="B82" s="287" t="inlineStr">
        <is>
          <t>NACE C - 21.1 Manufacture of basic pharmaceutical products</t>
        </is>
      </c>
      <c r="C82" s="285" t="inlineStr">
        <is>
          <t>Grenada</t>
        </is>
      </c>
      <c r="D82" t="inlineStr">
        <is>
          <t>country:GD</t>
        </is>
      </c>
      <c r="E82">
        <f>RIGHT(D82,2)</f>
        <v/>
      </c>
      <c r="F82" s="359" t="n"/>
      <c r="G82" t="inlineStr">
        <is>
          <t>Total nitrogen</t>
        </is>
      </c>
      <c r="I82" t="inlineStr">
        <is>
          <t xml:space="preserve">    03 01 99 - Non-Hazardous - Wastes not otherwise specified</t>
        </is>
      </c>
      <c r="Q82" t="n">
        <v>2080</v>
      </c>
      <c r="X82" t="inlineStr">
        <is>
          <t xml:space="preserve">    1203 Wastes from water and steam degreasing processes (except inorganic metal-containing wastes from metal treatment and the coating of metals, and non-ferrous hydrometallurgy)</t>
        </is>
      </c>
      <c r="Y82" t="inlineStr">
        <is>
          <t>KZT</t>
        </is>
      </c>
    </row>
    <row r="83">
      <c r="A83" s="288" t="inlineStr">
        <is>
          <t>NACE B - 08.92 Extraction of peat</t>
        </is>
      </c>
      <c r="B83" s="287" t="inlineStr">
        <is>
          <t>NACE C - 21.2 Manufacture of pharmaceutical preparations</t>
        </is>
      </c>
      <c r="C83" s="285" t="inlineStr">
        <is>
          <t>Georgia</t>
        </is>
      </c>
      <c r="D83" t="inlineStr">
        <is>
          <t>country:GE</t>
        </is>
      </c>
      <c r="E83">
        <f>RIGHT(D83,2)</f>
        <v/>
      </c>
      <c r="F83" s="359" t="n"/>
      <c r="G83" t="inlineStr">
        <is>
          <t>Total organic carbon (TOC) (total C or COD/3)</t>
        </is>
      </c>
      <c r="I83" t="inlineStr">
        <is>
          <t xml:space="preserve">  03 02 - Wastes from wood preservation</t>
        </is>
      </c>
      <c r="Q83" t="n">
        <v>2081</v>
      </c>
      <c r="X83" t="inlineStr">
        <is>
          <t>13 OIL WASTES (except edible oils, wastes from petroleum refining, natural gas purification and pyrolytic treatment of coal and wastes from shaping and surface treatment of metals and plastics)</t>
        </is>
      </c>
      <c r="Y83" t="inlineStr">
        <is>
          <t>LAK</t>
        </is>
      </c>
    </row>
    <row r="84">
      <c r="A84" s="288" t="inlineStr">
        <is>
          <t>NACE B - 08.93 Extraction of salt</t>
        </is>
      </c>
      <c r="B84" s="284" t="inlineStr">
        <is>
          <t>NACE C - 22 Manufacture of rubber and plastic products</t>
        </is>
      </c>
      <c r="C84" s="285" t="inlineStr">
        <is>
          <t>French Guiana</t>
        </is>
      </c>
      <c r="D84" t="inlineStr">
        <is>
          <t>country:GF</t>
        </is>
      </c>
      <c r="E84">
        <f>RIGHT(D84,2)</f>
        <v/>
      </c>
      <c r="F84" s="360" t="n"/>
      <c r="G84" t="inlineStr">
        <is>
          <t>Total phosphorus</t>
        </is>
      </c>
      <c r="I84" t="inlineStr">
        <is>
          <t xml:space="preserve">    03 02 01 - Hazardous - Non-halogenated organic wood preservatives</t>
        </is>
      </c>
      <c r="Q84" t="n">
        <v>2082</v>
      </c>
      <c r="X84" t="inlineStr">
        <is>
          <t xml:space="preserve">    1301 Waste hydraulic oils and brake fluids</t>
        </is>
      </c>
      <c r="Y84" t="inlineStr">
        <is>
          <t>LBP</t>
        </is>
      </c>
    </row>
    <row r="85">
      <c r="A85" s="288" t="inlineStr">
        <is>
          <t>NACE B - 08.99 Other mining and quarrying n.e.c.</t>
        </is>
      </c>
      <c r="B85" s="287" t="inlineStr">
        <is>
          <t>NACE C - 22.1 Manufacture of rubber products</t>
        </is>
      </c>
      <c r="C85" s="285" t="inlineStr">
        <is>
          <t>Guernsey</t>
        </is>
      </c>
      <c r="D85" t="inlineStr">
        <is>
          <t>country:GG</t>
        </is>
      </c>
      <c r="E85">
        <f>RIGHT(D85,2)</f>
        <v/>
      </c>
      <c r="F85" s="360" t="n"/>
      <c r="G85" t="inlineStr">
        <is>
          <t>Toxaphene</t>
        </is>
      </c>
      <c r="I85" t="inlineStr">
        <is>
          <t xml:space="preserve">    03 02 02 - Hazardous - Organochlorinated wood preservatives</t>
        </is>
      </c>
      <c r="Q85" t="n">
        <v>2083</v>
      </c>
      <c r="X85" t="inlineStr">
        <is>
          <t xml:space="preserve">    1302 Waste engine, gear and lubricating oils</t>
        </is>
      </c>
      <c r="Y85" t="inlineStr">
        <is>
          <t>LKR</t>
        </is>
      </c>
    </row>
    <row r="86">
      <c r="A86" s="284" t="inlineStr">
        <is>
          <t>NACE B - 09 Mining support service activities</t>
        </is>
      </c>
      <c r="B86" s="287" t="inlineStr">
        <is>
          <t>NACE C - 22.2 Manufacture of plastic products</t>
        </is>
      </c>
      <c r="C86" s="285" t="inlineStr">
        <is>
          <t>Ghana</t>
        </is>
      </c>
      <c r="D86" t="inlineStr">
        <is>
          <t>country:GH</t>
        </is>
      </c>
      <c r="E86">
        <f>RIGHT(D86,2)</f>
        <v/>
      </c>
      <c r="F86" s="88" t="n"/>
      <c r="G86" t="inlineStr">
        <is>
          <t>Tributyltin and compounds</t>
        </is>
      </c>
      <c r="I86" t="inlineStr">
        <is>
          <t xml:space="preserve">    03 02 03 - Hazardous - Organometallic wood preservatives</t>
        </is>
      </c>
      <c r="Q86" t="n">
        <v>2084</v>
      </c>
      <c r="X86" t="inlineStr">
        <is>
          <t xml:space="preserve">    1303 Waste insulating and heat transmission oils and other liquids</t>
        </is>
      </c>
      <c r="Y86" t="inlineStr">
        <is>
          <t>LRD</t>
        </is>
      </c>
    </row>
    <row r="87">
      <c r="A87" s="287" t="inlineStr">
        <is>
          <t>NACE B - 09.1 Support activities for petroleum and natural gas extraction</t>
        </is>
      </c>
      <c r="B87" s="284" t="inlineStr">
        <is>
          <t>NACE C - 23 Manufacture of other non-metallic mineral products</t>
        </is>
      </c>
      <c r="C87" s="285" t="inlineStr">
        <is>
          <t>Gibraltar</t>
        </is>
      </c>
      <c r="D87" t="inlineStr">
        <is>
          <t>country:GI</t>
        </is>
      </c>
      <c r="E87">
        <f>RIGHT(D87,2)</f>
        <v/>
      </c>
      <c r="F87" s="360" t="n"/>
      <c r="G87" t="inlineStr">
        <is>
          <t>Trichlorobenzenes (TCBs) (all isomers)</t>
        </is>
      </c>
      <c r="I87" t="inlineStr">
        <is>
          <t xml:space="preserve">    03 02 04 - Hazardous - Inorganic wood preservatives</t>
        </is>
      </c>
      <c r="Q87" t="n">
        <v>2085</v>
      </c>
      <c r="X87" t="inlineStr">
        <is>
          <t xml:space="preserve">    1304 Bilge oils</t>
        </is>
      </c>
      <c r="Y87" t="inlineStr">
        <is>
          <t>LSL</t>
        </is>
      </c>
    </row>
    <row r="88">
      <c r="A88" s="288" t="inlineStr">
        <is>
          <t>NACE B - 09.10 Support activities for petroleum and natural gas extraction</t>
        </is>
      </c>
      <c r="B88" s="287" t="inlineStr">
        <is>
          <t>NACE C - 23.1 Manufacture of glass and glass products</t>
        </is>
      </c>
      <c r="C88" s="285" t="inlineStr">
        <is>
          <t>Greenland</t>
        </is>
      </c>
      <c r="D88" t="inlineStr">
        <is>
          <t>country:GL</t>
        </is>
      </c>
      <c r="E88">
        <f>RIGHT(D88,2)</f>
        <v/>
      </c>
      <c r="F88" s="360" t="n"/>
      <c r="G88" t="inlineStr">
        <is>
          <t>1,1,1-trichloroethane</t>
        </is>
      </c>
      <c r="I88" t="inlineStr">
        <is>
          <t xml:space="preserve">    03 02 05 - Hazardous - Other wood preservatives containing hazardous substances</t>
        </is>
      </c>
      <c r="Q88" t="n">
        <v>2086</v>
      </c>
      <c r="X88" t="inlineStr">
        <is>
          <t xml:space="preserve">    1305 Oil/water separator contents</t>
        </is>
      </c>
      <c r="Y88" t="inlineStr">
        <is>
          <t>LYD</t>
        </is>
      </c>
    </row>
    <row r="89">
      <c r="A89" s="287" t="inlineStr">
        <is>
          <t>NACE B - 09.9 Support activities for other mining and quarrying</t>
        </is>
      </c>
      <c r="B89" s="287" t="inlineStr">
        <is>
          <t>NACE C - 23.2 Manufacture of refractory products</t>
        </is>
      </c>
      <c r="C89" s="285" t="inlineStr">
        <is>
          <t>Gambia</t>
        </is>
      </c>
      <c r="D89" t="inlineStr">
        <is>
          <t>country:GM</t>
        </is>
      </c>
      <c r="E89">
        <f>RIGHT(D89,2)</f>
        <v/>
      </c>
      <c r="F89" s="360" t="n"/>
      <c r="G89" t="inlineStr">
        <is>
          <t>Trichloroethylene</t>
        </is>
      </c>
      <c r="I89" t="inlineStr">
        <is>
          <t xml:space="preserve">    03 02 99 - Non-Hazardous - Wood preservatives not otherwise specified</t>
        </is>
      </c>
      <c r="Q89" t="n">
        <v>2087</v>
      </c>
      <c r="X89" t="inlineStr">
        <is>
          <t xml:space="preserve">    1306 Oil waste not otherwise specified</t>
        </is>
      </c>
      <c r="Y89" t="inlineStr">
        <is>
          <t>MAD</t>
        </is>
      </c>
    </row>
    <row r="90">
      <c r="A90" s="288" t="inlineStr">
        <is>
          <t>NACE B - 09.90 Support activities for other mining and quarrying</t>
        </is>
      </c>
      <c r="B90" s="287" t="inlineStr">
        <is>
          <t>NACE C - 23.3 Manufacture of clay building materials</t>
        </is>
      </c>
      <c r="C90" s="285" t="inlineStr">
        <is>
          <t>Guinea</t>
        </is>
      </c>
      <c r="D90" t="inlineStr">
        <is>
          <t>country:GN</t>
        </is>
      </c>
      <c r="E90">
        <f>RIGHT(D90,2)</f>
        <v/>
      </c>
      <c r="F90" s="360" t="n"/>
      <c r="G90" t="inlineStr">
        <is>
          <t>Trichloromethane</t>
        </is>
      </c>
      <c r="I90" t="inlineStr">
        <is>
          <t xml:space="preserve">  03 03 - Wastes from pulp, paper and cardboard production and processing</t>
        </is>
      </c>
      <c r="Q90" t="n">
        <v>2088</v>
      </c>
      <c r="X90" t="inlineStr">
        <is>
          <t>14 WASTES FROM ORGANIC SUBSTANCES USED AS SOLVENTS (except WASTES FROM ORGANIC CHEMICAL PROCESSES and WASTES FROM THE MANUFACTURE, FORMULATION, SUPPLY AND USE (MFSU) OF COATINGS (PAINTS, VARNISHES AND VITREOUS ENAMELS), ADHESIVES, SEALANTS AND PRINTING INKS)</t>
        </is>
      </c>
      <c r="Y90" t="inlineStr">
        <is>
          <t>MDL</t>
        </is>
      </c>
    </row>
    <row r="91">
      <c r="A91" s="285" t="inlineStr">
        <is>
          <t>NACE C - MANUFACTURING</t>
        </is>
      </c>
      <c r="B91" s="287" t="inlineStr">
        <is>
          <t>NACE C - 23.4 Manufacture of other porcelain and ceramic products</t>
        </is>
      </c>
      <c r="C91" s="285" t="inlineStr">
        <is>
          <t>Guadeloupe</t>
        </is>
      </c>
      <c r="D91" t="inlineStr">
        <is>
          <t>country:GP</t>
        </is>
      </c>
      <c r="E91">
        <f>RIGHT(D91,2)</f>
        <v/>
      </c>
      <c r="F91" s="360" t="n"/>
      <c r="G91" t="inlineStr">
        <is>
          <t>Trifluralin</t>
        </is>
      </c>
      <c r="I91" t="inlineStr">
        <is>
          <t xml:space="preserve">    03 03 01 - Non-Hazardous - Waste bark and wood</t>
        </is>
      </c>
      <c r="Q91" t="n">
        <v>2089</v>
      </c>
      <c r="X91" t="inlineStr">
        <is>
          <t xml:space="preserve">    1401 Wastes from metal degreasing and machinery maintenance</t>
        </is>
      </c>
      <c r="Y91" t="inlineStr">
        <is>
          <t>MGA</t>
        </is>
      </c>
    </row>
    <row r="92">
      <c r="A92" s="284" t="inlineStr">
        <is>
          <t>NACE C - 10 Manufacture of food products</t>
        </is>
      </c>
      <c r="B92" s="287" t="inlineStr">
        <is>
          <t>NACE C - 23.5 Manufacture of cement, lime and plaster</t>
        </is>
      </c>
      <c r="C92" s="285" t="inlineStr">
        <is>
          <t>Equatorial Guinea</t>
        </is>
      </c>
      <c r="D92" t="inlineStr">
        <is>
          <t>country:GQ</t>
        </is>
      </c>
      <c r="E92">
        <f>RIGHT(D92,2)</f>
        <v/>
      </c>
      <c r="F92" s="360" t="n"/>
      <c r="G92" t="inlineStr">
        <is>
          <t>Triphenyltin and compounds</t>
        </is>
      </c>
      <c r="I92" t="inlineStr">
        <is>
          <t xml:space="preserve">    03 03 02 - Non-Hazardous - Green liquor sludge (from recovery of cooking liquor)</t>
        </is>
      </c>
      <c r="Q92" t="n">
        <v>2090</v>
      </c>
      <c r="X92" t="inlineStr">
        <is>
          <t xml:space="preserve">    1402 Wastes from textile cleaning and degreasing of natural products</t>
        </is>
      </c>
      <c r="Y92" t="inlineStr">
        <is>
          <t>MKD</t>
        </is>
      </c>
    </row>
    <row r="93">
      <c r="A93" s="287" t="inlineStr">
        <is>
          <t>NACE C - 10.1 Processing and preserving of meat and production of meat products</t>
        </is>
      </c>
      <c r="B93" s="287" t="inlineStr">
        <is>
          <t>NACE C - 23.6 Manufacture of articles of concrete, cement and plaster</t>
        </is>
      </c>
      <c r="C93" s="285" t="inlineStr">
        <is>
          <t>Greece</t>
        </is>
      </c>
      <c r="D93" t="inlineStr">
        <is>
          <t>country:GR</t>
        </is>
      </c>
      <c r="E93">
        <f>RIGHT(D93,2)</f>
        <v/>
      </c>
      <c r="F93" s="360" t="n"/>
      <c r="G93" t="inlineStr">
        <is>
          <t>Vinyl chloride</t>
        </is>
      </c>
      <c r="I93" t="inlineStr">
        <is>
          <t xml:space="preserve">    03 03 05 - Non-Hazardous - De-inking sludges from paper recycling</t>
        </is>
      </c>
      <c r="Q93" t="n">
        <v>2091</v>
      </c>
      <c r="X93" t="inlineStr">
        <is>
          <t xml:space="preserve">    1403 Wastes from the electronic industry</t>
        </is>
      </c>
      <c r="Y93" t="inlineStr">
        <is>
          <t>MMK</t>
        </is>
      </c>
    </row>
    <row r="94">
      <c r="A94" s="288" t="inlineStr">
        <is>
          <t>NACE C - 10.11 Processing and preserving of meat, except of poultry meat</t>
        </is>
      </c>
      <c r="B94" s="287" t="inlineStr">
        <is>
          <t>NACE C - 23.7 Cutting, shaping and finishing of stone</t>
        </is>
      </c>
      <c r="C94" s="285" t="inlineStr">
        <is>
          <t>South Georgia and the South Sandwich Islands</t>
        </is>
      </c>
      <c r="D94" t="inlineStr">
        <is>
          <t>country:GS</t>
        </is>
      </c>
      <c r="E94">
        <f>RIGHT(D94,2)</f>
        <v/>
      </c>
      <c r="F94" s="360" t="n"/>
      <c r="G94" t="inlineStr">
        <is>
          <t>Xylenes</t>
        </is>
      </c>
      <c r="I94" t="inlineStr">
        <is>
          <t xml:space="preserve">    03 03 07 - Non-Hazardous - Mechanically separated rejects from pulping of waste paper and cardboard</t>
        </is>
      </c>
      <c r="Q94" t="n">
        <v>2092</v>
      </c>
      <c r="X94" t="inlineStr">
        <is>
          <t xml:space="preserve">    1404 Wastes from coolants, foam/aerosol propellents</t>
        </is>
      </c>
      <c r="Y94" t="inlineStr">
        <is>
          <t>MNT</t>
        </is>
      </c>
    </row>
    <row r="95">
      <c r="A95" s="288" t="inlineStr">
        <is>
          <t>NACE C - 10.12 Processing and preserving of poultry meat</t>
        </is>
      </c>
      <c r="B95" s="287" t="inlineStr">
        <is>
          <t>NACE C - 23.9 Manufacture of abrasive products and non-metallic mineral products n.e.c.</t>
        </is>
      </c>
      <c r="C95" s="285" t="inlineStr">
        <is>
          <t>Guatemala</t>
        </is>
      </c>
      <c r="D95" t="inlineStr">
        <is>
          <t>country:GT</t>
        </is>
      </c>
      <c r="E95">
        <f>RIGHT(D95,2)</f>
        <v/>
      </c>
      <c r="F95" s="88" t="n"/>
      <c r="G95" t="inlineStr">
        <is>
          <t>Zinc and compounds (Zn)</t>
        </is>
      </c>
      <c r="I95" t="inlineStr">
        <is>
          <t xml:space="preserve">    03 03 08 - Non-Hazardous - Wastes from sorting of paper and cardboard destined for recycling</t>
        </is>
      </c>
      <c r="Q95" t="n">
        <v>2093</v>
      </c>
      <c r="X95" t="inlineStr">
        <is>
          <t xml:space="preserve">    1405 Wastes from solvent and coolant recovery (still bottoms)</t>
        </is>
      </c>
      <c r="Y95" t="inlineStr">
        <is>
          <t>MOP</t>
        </is>
      </c>
    </row>
    <row r="96">
      <c r="A96" s="288" t="inlineStr">
        <is>
          <t>NACE C - 10.13 Production of meat and poultry meat products</t>
        </is>
      </c>
      <c r="B96" s="284" t="inlineStr">
        <is>
          <t>NACE C - 24 Manufacture of basic metals</t>
        </is>
      </c>
      <c r="C96" s="285" t="inlineStr">
        <is>
          <t>Guam</t>
        </is>
      </c>
      <c r="D96" t="inlineStr">
        <is>
          <t>country:GU</t>
        </is>
      </c>
      <c r="E96">
        <f>RIGHT(D96,2)</f>
        <v/>
      </c>
      <c r="F96" s="360" t="n"/>
      <c r="I96" t="inlineStr">
        <is>
          <t xml:space="preserve">    03 03 09 - Non-Hazardous - Lime mud waste</t>
        </is>
      </c>
      <c r="Q96" t="n">
        <v>2094</v>
      </c>
      <c r="X96" t="inlineStr">
        <is>
          <t>15 WASTE PACKAGING; ABSORBENTS, WIPING CLOTHS, FILTER MATERIALS AND PROTECTIVE CLOTHING NOT OTHERWISE SPECIFIED</t>
        </is>
      </c>
      <c r="Y96" t="inlineStr">
        <is>
          <t>MRU</t>
        </is>
      </c>
    </row>
    <row r="97">
      <c r="A97" s="287" t="inlineStr">
        <is>
          <t>NACE C - 10.2 Processing and preserving of fish, crustaceans and molluscs</t>
        </is>
      </c>
      <c r="B97" s="287" t="inlineStr">
        <is>
          <t>NACE C - 24.1 Manufacture of basic iron and steel and of ferro-alloys</t>
        </is>
      </c>
      <c r="C97" s="285" t="inlineStr">
        <is>
          <t>Guinea-Bissau</t>
        </is>
      </c>
      <c r="D97" t="inlineStr">
        <is>
          <t>country:GW</t>
        </is>
      </c>
      <c r="E97">
        <f>RIGHT(D97,2)</f>
        <v/>
      </c>
      <c r="F97" s="360" t="n"/>
      <c r="I97" t="inlineStr">
        <is>
          <t xml:space="preserve">    03 03 10 - Non-Hazardous - Fibre rejects, fibre-, filler- and coating-sludges from mechanical separation</t>
        </is>
      </c>
      <c r="Q97" t="n">
        <v>2095</v>
      </c>
      <c r="X97" t="inlineStr">
        <is>
          <t xml:space="preserve">    1501 Packaging</t>
        </is>
      </c>
      <c r="Y97" t="inlineStr">
        <is>
          <t>MUR</t>
        </is>
      </c>
    </row>
    <row r="98">
      <c r="A98" s="288" t="inlineStr">
        <is>
          <t>NACE C - 10.20 Processing and preserving of fish, crustaceans and molluscs</t>
        </is>
      </c>
      <c r="B98" s="287" t="inlineStr">
        <is>
          <t>NACE C - 24.2 Manufacture of tubes, pipes, hollow profiles and related fittings, of steel</t>
        </is>
      </c>
      <c r="C98" s="285" t="inlineStr">
        <is>
          <t>Guyana</t>
        </is>
      </c>
      <c r="D98" t="inlineStr">
        <is>
          <t>country:GY</t>
        </is>
      </c>
      <c r="E98">
        <f>RIGHT(D98,2)</f>
        <v/>
      </c>
      <c r="F98" s="360" t="n"/>
      <c r="I98" t="inlineStr">
        <is>
          <t xml:space="preserve">    03 03 11 - Non-Hazardous - Sludges from on-site effluent treatment other than those mentioned in 03 03 10</t>
        </is>
      </c>
      <c r="Q98" t="n">
        <v>2096</v>
      </c>
      <c r="X98" t="inlineStr">
        <is>
          <t xml:space="preserve">    1502 Absorbents, filter materials, wiping cloths and protective clothing</t>
        </is>
      </c>
      <c r="Y98" t="inlineStr">
        <is>
          <t>MVR</t>
        </is>
      </c>
    </row>
    <row r="99">
      <c r="A99" s="287" t="inlineStr">
        <is>
          <t>NACE C - 10.3 Processing and preserving of fruit and vegetables</t>
        </is>
      </c>
      <c r="B99" s="287" t="inlineStr">
        <is>
          <t>NACE C - 24.3 Manufacture of other products of first processing of steel</t>
        </is>
      </c>
      <c r="C99" s="285" t="inlineStr">
        <is>
          <t>Hong Kong</t>
        </is>
      </c>
      <c r="D99" t="inlineStr">
        <is>
          <t>country:HK</t>
        </is>
      </c>
      <c r="E99">
        <f>RIGHT(D99,2)</f>
        <v/>
      </c>
      <c r="F99" s="88" t="n"/>
      <c r="I99" t="inlineStr">
        <is>
          <t xml:space="preserve">    03 03 99 - Non-Hazardous - Wastes not otherwise specified</t>
        </is>
      </c>
      <c r="Q99" t="n">
        <v>2097</v>
      </c>
      <c r="X99" t="inlineStr">
        <is>
          <t>16 WASTES NOT OTHERWISE SPECIFIED IN THE LIST</t>
        </is>
      </c>
      <c r="Y99" t="inlineStr">
        <is>
          <t>MWK</t>
        </is>
      </c>
    </row>
    <row r="100">
      <c r="A100" s="288" t="inlineStr">
        <is>
          <t>NACE C - 10.31 Processing and preserving of potatoes</t>
        </is>
      </c>
      <c r="B100" s="287" t="inlineStr">
        <is>
          <t>NACE C - 24.4 Manufacture of basic precious and other non-ferrous metals</t>
        </is>
      </c>
      <c r="C100" s="285" t="inlineStr">
        <is>
          <t>Heard Island and McDonald Islands</t>
        </is>
      </c>
      <c r="D100" t="inlineStr">
        <is>
          <t>country:HM</t>
        </is>
      </c>
      <c r="E100">
        <f>RIGHT(D100,2)</f>
        <v/>
      </c>
      <c r="F100" s="360" t="n"/>
      <c r="I100" t="inlineStr">
        <is>
          <t>04 - WASTES FROM THE LEATHER, FUR AND TEXTILE INDUSTRIES</t>
        </is>
      </c>
      <c r="Q100" t="n">
        <v>2098</v>
      </c>
      <c r="X100" t="inlineStr">
        <is>
          <t xml:space="preserve">    1601 End-of-life vehicles and their components</t>
        </is>
      </c>
      <c r="Y100" t="inlineStr">
        <is>
          <t>MXN</t>
        </is>
      </c>
    </row>
    <row r="101">
      <c r="A101" s="288" t="inlineStr">
        <is>
          <t>NACE C - 10.32 Manufacture of fruit and vegetable juice</t>
        </is>
      </c>
      <c r="B101" s="287" t="inlineStr">
        <is>
          <t>NACE C - 24.5 Casting of metals</t>
        </is>
      </c>
      <c r="C101" s="285" t="inlineStr">
        <is>
          <t>Honduras</t>
        </is>
      </c>
      <c r="D101" t="inlineStr">
        <is>
          <t>country:HN</t>
        </is>
      </c>
      <c r="E101">
        <f>RIGHT(D101,2)</f>
        <v/>
      </c>
      <c r="F101" s="360" t="n"/>
      <c r="I101" t="inlineStr">
        <is>
          <t xml:space="preserve">  04 01 - Wastes from the leather and fur industry</t>
        </is>
      </c>
      <c r="Q101" t="n">
        <v>2099</v>
      </c>
      <c r="X101" t="inlineStr">
        <is>
          <t xml:space="preserve">    1602 Discarded equipment and its components</t>
        </is>
      </c>
      <c r="Y101" t="inlineStr">
        <is>
          <t>MXV</t>
        </is>
      </c>
    </row>
    <row r="102">
      <c r="A102" s="288" t="inlineStr">
        <is>
          <t>NACE C - 10.39 Other processing and preserving of fruit and vegetables</t>
        </is>
      </c>
      <c r="B102" s="284" t="inlineStr">
        <is>
          <t>NACE C - 25 Manufacture of fabricated metal products, except machinery and equipment</t>
        </is>
      </c>
      <c r="C102" s="285" t="inlineStr">
        <is>
          <t>Croatia</t>
        </is>
      </c>
      <c r="D102" t="inlineStr">
        <is>
          <t>country:HR</t>
        </is>
      </c>
      <c r="E102">
        <f>RIGHT(D102,2)</f>
        <v/>
      </c>
      <c r="F102" s="360" t="n"/>
      <c r="I102" t="inlineStr">
        <is>
          <t xml:space="preserve">    04 01 01 - Non-Hazardous - Fleshings and lime split wastes</t>
        </is>
      </c>
      <c r="Q102" t="n">
        <v>2100</v>
      </c>
      <c r="X102" t="inlineStr">
        <is>
          <t xml:space="preserve">    1603 Off-specification batches</t>
        </is>
      </c>
      <c r="Y102" t="inlineStr">
        <is>
          <t>MYR</t>
        </is>
      </c>
    </row>
    <row r="103">
      <c r="A103" s="287" t="inlineStr">
        <is>
          <t>NACE C - 10.4 Manufacture of vegetable and animal oils and fats</t>
        </is>
      </c>
      <c r="B103" s="287" t="inlineStr">
        <is>
          <t>NACE C - 25.1 Manufacture of structural metal products</t>
        </is>
      </c>
      <c r="C103" s="285" t="inlineStr">
        <is>
          <t>Haiti</t>
        </is>
      </c>
      <c r="D103" t="inlineStr">
        <is>
          <t>country:HT</t>
        </is>
      </c>
      <c r="E103">
        <f>RIGHT(D103,2)</f>
        <v/>
      </c>
      <c r="F103" s="360" t="n"/>
      <c r="I103" t="inlineStr">
        <is>
          <t xml:space="preserve">    04 01 02 - Non-Hazardous - Liming waste</t>
        </is>
      </c>
      <c r="X103" t="inlineStr">
        <is>
          <t xml:space="preserve">    1604 Waste explosives</t>
        </is>
      </c>
      <c r="Y103" t="inlineStr">
        <is>
          <t>MZN</t>
        </is>
      </c>
    </row>
    <row r="104">
      <c r="A104" s="288" t="inlineStr">
        <is>
          <t>NACE C - 10.41 Manufacture of oils and fats</t>
        </is>
      </c>
      <c r="B104" s="287" t="inlineStr">
        <is>
          <t>NACE C - 25.2 Manufacture of tanks, reservoirs and containers of metal</t>
        </is>
      </c>
      <c r="C104" s="285" t="inlineStr">
        <is>
          <t>Hungary</t>
        </is>
      </c>
      <c r="D104" t="inlineStr">
        <is>
          <t>country:HU</t>
        </is>
      </c>
      <c r="E104">
        <f>RIGHT(D104,2)</f>
        <v/>
      </c>
      <c r="F104" s="360" t="n"/>
      <c r="I104" t="inlineStr">
        <is>
          <t xml:space="preserve">    04 01 03 - Hazardous - Degreasing wastes containing solvents without a liquid phase</t>
        </is>
      </c>
      <c r="X104" t="inlineStr">
        <is>
          <t xml:space="preserve">    1605 Chemicals and gases in containers</t>
        </is>
      </c>
      <c r="Y104" t="inlineStr">
        <is>
          <t>NAD</t>
        </is>
      </c>
    </row>
    <row r="105">
      <c r="A105" s="288" t="inlineStr">
        <is>
          <t>NACE C - 10.42 Manufacture of margarine and similar edible fats</t>
        </is>
      </c>
      <c r="B105" s="287" t="inlineStr">
        <is>
          <t>NACE C - 25.3 Manufacture of weapons and ammunition</t>
        </is>
      </c>
      <c r="C105" s="285" t="inlineStr">
        <is>
          <t>Indonesia</t>
        </is>
      </c>
      <c r="D105" t="inlineStr">
        <is>
          <t>country:ID</t>
        </is>
      </c>
      <c r="E105">
        <f>RIGHT(D105,2)</f>
        <v/>
      </c>
      <c r="F105" s="360" t="n"/>
      <c r="I105" t="inlineStr">
        <is>
          <t xml:space="preserve">    04 01 04 - Non-Hazardous - Tanning liquor containing chromium</t>
        </is>
      </c>
      <c r="X105" t="inlineStr">
        <is>
          <t xml:space="preserve">    1606 Batteries and accumulators</t>
        </is>
      </c>
      <c r="Y105" t="inlineStr">
        <is>
          <t>NGN</t>
        </is>
      </c>
    </row>
    <row r="106">
      <c r="A106" s="287" t="inlineStr">
        <is>
          <t>NACE C - 10.5 Manufacture of dairy products and edible ice</t>
        </is>
      </c>
      <c r="B106" s="287" t="inlineStr">
        <is>
          <t>NACE C - 25.4 Forging and shaping metal and powder metallurgy</t>
        </is>
      </c>
      <c r="C106" s="285" t="inlineStr">
        <is>
          <t>Ireland</t>
        </is>
      </c>
      <c r="D106" t="inlineStr">
        <is>
          <t>country:IE</t>
        </is>
      </c>
      <c r="E106">
        <f>RIGHT(D106,2)</f>
        <v/>
      </c>
      <c r="F106" s="360" t="n"/>
      <c r="I106" t="inlineStr">
        <is>
          <t xml:space="preserve">    04 01 05 - Non-Hazardous - Tanning liquor free of chromium</t>
        </is>
      </c>
      <c r="X106" t="inlineStr">
        <is>
          <t xml:space="preserve">    1607 Wastes from transport and storage tank cleaning (except wastes from petroleum refining, natural gas purification and pyrolytic treatment of coal and wastes from shaping and surface treatment of metals and plastics)</t>
        </is>
      </c>
      <c r="Y106" t="inlineStr">
        <is>
          <t>NIO</t>
        </is>
      </c>
    </row>
    <row r="107">
      <c r="A107" s="288" t="inlineStr">
        <is>
          <t>NACE C - 10.51 Manufacture of dairy products</t>
        </is>
      </c>
      <c r="B107" s="287" t="inlineStr">
        <is>
          <t>NACE C - 25.5 Treatment and coating of metals; machining</t>
        </is>
      </c>
      <c r="C107" s="285" t="inlineStr">
        <is>
          <t>Israel</t>
        </is>
      </c>
      <c r="D107" t="inlineStr">
        <is>
          <t>country:IL</t>
        </is>
      </c>
      <c r="E107">
        <f>RIGHT(D107,2)</f>
        <v/>
      </c>
      <c r="F107" s="88" t="n"/>
      <c r="I107" t="inlineStr">
        <is>
          <t xml:space="preserve">    04 01 06 - Non-Hazardous - Sludges, in particular from on-site effluent treatment containing chromium</t>
        </is>
      </c>
      <c r="X107" t="inlineStr">
        <is>
          <t xml:space="preserve">    1608 Spent catalysts</t>
        </is>
      </c>
      <c r="Y107" t="inlineStr">
        <is>
          <t>NOK</t>
        </is>
      </c>
    </row>
    <row r="108">
      <c r="A108" s="288" t="inlineStr">
        <is>
          <t>NACE C - 10.52 Manufacture of ice cream and other edible ice</t>
        </is>
      </c>
      <c r="B108" s="287" t="inlineStr">
        <is>
          <t>NACE C - 25.6 Manufacture of cutlery, tools and general hardware</t>
        </is>
      </c>
      <c r="C108" s="285" t="inlineStr">
        <is>
          <t>Isle of Man</t>
        </is>
      </c>
      <c r="D108" t="inlineStr">
        <is>
          <t>country:IM</t>
        </is>
      </c>
      <c r="E108">
        <f>RIGHT(D108,2)</f>
        <v/>
      </c>
      <c r="F108" s="360" t="n"/>
      <c r="I108" t="inlineStr">
        <is>
          <t xml:space="preserve">    04 01 07 - Non-Hazardous - Sludges, in particular from on-site effluent treatment free of chromium</t>
        </is>
      </c>
      <c r="X108" t="inlineStr">
        <is>
          <t>17 CONSTRUCTION AND DEMOLITION WASTES (INCLUDING ROAD CONSTRUCTION)</t>
        </is>
      </c>
      <c r="Y108" t="inlineStr">
        <is>
          <t>NPR</t>
        </is>
      </c>
    </row>
    <row r="109">
      <c r="A109" s="287" t="inlineStr">
        <is>
          <t>NACE C - 10.6 Manufacture of grain mill products, starches and starch products</t>
        </is>
      </c>
      <c r="B109" s="287" t="inlineStr">
        <is>
          <t>NACE C - 25.9 Manufacture of other fabricated metal products</t>
        </is>
      </c>
      <c r="C109" s="285" t="inlineStr">
        <is>
          <t>India</t>
        </is>
      </c>
      <c r="D109" t="inlineStr">
        <is>
          <t>country:IN</t>
        </is>
      </c>
      <c r="E109">
        <f>RIGHT(D109,2)</f>
        <v/>
      </c>
      <c r="F109" s="360" t="n"/>
      <c r="I109" t="inlineStr">
        <is>
          <t xml:space="preserve">    04 01 08 - Non-Hazardous - Waste tanned leather (blue sheetings, shavings, cuttings, buffing dust) containing chromium</t>
        </is>
      </c>
      <c r="X109" t="inlineStr">
        <is>
          <t xml:space="preserve">    1701 Concrete, bricks, tiles, ceramics, and gypsum-based materials</t>
        </is>
      </c>
      <c r="Y109" t="inlineStr">
        <is>
          <t>NZD</t>
        </is>
      </c>
    </row>
    <row r="110">
      <c r="A110" s="288" t="inlineStr">
        <is>
          <t>NACE C - 10.61 Manufacture of grain mill products</t>
        </is>
      </c>
      <c r="B110" s="284" t="inlineStr">
        <is>
          <t>NACE C - 26 Manufacture of computer, electronic and optical products</t>
        </is>
      </c>
      <c r="C110" s="285" t="inlineStr">
        <is>
          <t>British Indian Ocean Territory</t>
        </is>
      </c>
      <c r="D110" t="inlineStr">
        <is>
          <t>country:IO</t>
        </is>
      </c>
      <c r="E110">
        <f>RIGHT(D110,2)</f>
        <v/>
      </c>
      <c r="F110" s="88" t="n"/>
      <c r="I110" t="inlineStr">
        <is>
          <t xml:space="preserve">    04 01 09 - Non-Hazardous - Wastes from dressing and finishing</t>
        </is>
      </c>
      <c r="X110" t="inlineStr">
        <is>
          <t xml:space="preserve">    1702 Wood, glass and plastic</t>
        </is>
      </c>
      <c r="Y110" t="inlineStr">
        <is>
          <t>OMR</t>
        </is>
      </c>
    </row>
    <row r="111">
      <c r="A111" s="288" t="inlineStr">
        <is>
          <t>NACE C - 10.62 Manufacture of starches and starch products</t>
        </is>
      </c>
      <c r="B111" s="287" t="inlineStr">
        <is>
          <t>NACE C - 26.1 Manufacture of electronic components and boards</t>
        </is>
      </c>
      <c r="C111" s="285" t="inlineStr">
        <is>
          <t>Iraq</t>
        </is>
      </c>
      <c r="D111" t="inlineStr">
        <is>
          <t>country:IQ</t>
        </is>
      </c>
      <c r="E111">
        <f>RIGHT(D111,2)</f>
        <v/>
      </c>
      <c r="F111" s="360" t="n"/>
      <c r="I111" t="inlineStr">
        <is>
          <t xml:space="preserve">    04 01 99 - Non-Hazardous - Wastes not otherwise specified</t>
        </is>
      </c>
      <c r="X111" t="inlineStr">
        <is>
          <t xml:space="preserve">    1703 Asphalt, tar and tarred products</t>
        </is>
      </c>
      <c r="Y111" t="inlineStr">
        <is>
          <t>PAB</t>
        </is>
      </c>
    </row>
    <row r="112">
      <c r="A112" s="287" t="inlineStr">
        <is>
          <t>NACE C - 10.7 Manufacture of bakery and farinaceous products</t>
        </is>
      </c>
      <c r="B112" s="287" t="inlineStr">
        <is>
          <t>NACE C - 26.2 Manufacture of computers and peripheral equipment</t>
        </is>
      </c>
      <c r="C112" s="285" t="inlineStr">
        <is>
          <t>Iran (Islamic Republic of)</t>
        </is>
      </c>
      <c r="D112" t="inlineStr">
        <is>
          <t>country:IR</t>
        </is>
      </c>
      <c r="E112">
        <f>RIGHT(D112,2)</f>
        <v/>
      </c>
      <c r="F112" s="360" t="n"/>
      <c r="I112" t="inlineStr">
        <is>
          <t xml:space="preserve">  04 02 - Wastes from the textile industry</t>
        </is>
      </c>
      <c r="X112" t="inlineStr">
        <is>
          <t xml:space="preserve">    1704 Metals (including their alloys)</t>
        </is>
      </c>
      <c r="Y112" t="inlineStr">
        <is>
          <t>PEN</t>
        </is>
      </c>
    </row>
    <row r="113">
      <c r="A113" s="288" t="inlineStr">
        <is>
          <t>NACE C - 10.71 Manufacture of bread; manufacture of fresh pastry goods and cakes</t>
        </is>
      </c>
      <c r="B113" s="287" t="inlineStr">
        <is>
          <t>NACE C - 26.3 Manufacture of communication equipment</t>
        </is>
      </c>
      <c r="C113" s="285" t="inlineStr">
        <is>
          <t>Iceland</t>
        </is>
      </c>
      <c r="D113" t="inlineStr">
        <is>
          <t>country:IS</t>
        </is>
      </c>
      <c r="E113">
        <f>RIGHT(D113,2)</f>
        <v/>
      </c>
      <c r="F113" s="360" t="n"/>
      <c r="I113" t="inlineStr">
        <is>
          <t xml:space="preserve">    04 02 09 - Non-Hazardous - Wastes from composite materials (impregnated textile, elastomer, plastomer)</t>
        </is>
      </c>
      <c r="X113" t="inlineStr">
        <is>
          <t xml:space="preserve">    1705 Soil and dredging spoil</t>
        </is>
      </c>
      <c r="Y113" t="inlineStr">
        <is>
          <t>PGK</t>
        </is>
      </c>
    </row>
    <row r="114">
      <c r="A114" s="288" t="inlineStr">
        <is>
          <t>NACE C - 10.72 Manufacture of rusks, biscuits, preserved pastries and cakes</t>
        </is>
      </c>
      <c r="B114" s="287" t="inlineStr">
        <is>
          <t>NACE C - 26.4 Manufacture of consumer electronics</t>
        </is>
      </c>
      <c r="C114" s="285" t="inlineStr">
        <is>
          <t>Italy</t>
        </is>
      </c>
      <c r="D114" t="inlineStr">
        <is>
          <t>country:IT</t>
        </is>
      </c>
      <c r="E114">
        <f>RIGHT(D114,2)</f>
        <v/>
      </c>
      <c r="F114" s="360" t="n"/>
      <c r="I114" t="inlineStr">
        <is>
          <t xml:space="preserve">    04 02 10 - Non-Hazardous - Organic matter from natural products (for example grease, wax)</t>
        </is>
      </c>
      <c r="X114" t="inlineStr">
        <is>
          <t xml:space="preserve">    1706 Insulation materials</t>
        </is>
      </c>
      <c r="Y114" t="inlineStr">
        <is>
          <t>PHP</t>
        </is>
      </c>
    </row>
    <row r="115">
      <c r="A115" s="288" t="inlineStr">
        <is>
          <t>NACE C - 10.73 Manufacture of farinaceous products</t>
        </is>
      </c>
      <c r="B115" s="287" t="inlineStr">
        <is>
          <t>NACE C - 26.5 Manufacture of measuring testing instruments, clocks and watches</t>
        </is>
      </c>
      <c r="C115" s="285" t="inlineStr">
        <is>
          <t>Jersey</t>
        </is>
      </c>
      <c r="D115" t="inlineStr">
        <is>
          <t>country:JE</t>
        </is>
      </c>
      <c r="E115">
        <f>RIGHT(D115,2)</f>
        <v/>
      </c>
      <c r="F115" s="88" t="n"/>
      <c r="I115" t="inlineStr">
        <is>
          <t xml:space="preserve">    04 02 14 - Hazardous - Wastes from finishing containing organic solvents</t>
        </is>
      </c>
      <c r="X115" t="inlineStr">
        <is>
          <t xml:space="preserve">    1707 Mixed construction and demolition waste</t>
        </is>
      </c>
      <c r="Y115" t="inlineStr">
        <is>
          <t>PKR</t>
        </is>
      </c>
    </row>
    <row r="116">
      <c r="A116" s="287" t="inlineStr">
        <is>
          <t>NACE C - 10.8 Manufacture of other food products</t>
        </is>
      </c>
      <c r="B116" s="287" t="inlineStr">
        <is>
          <t>NACE C - 26.6 Manufacture of irradiation, electromedical and electrotherapeutic equipment</t>
        </is>
      </c>
      <c r="C116" s="285" t="inlineStr">
        <is>
          <t>Jamaica</t>
        </is>
      </c>
      <c r="D116" t="inlineStr">
        <is>
          <t>country:JM</t>
        </is>
      </c>
      <c r="E116">
        <f>RIGHT(D116,2)</f>
        <v/>
      </c>
      <c r="F116" s="360" t="n"/>
      <c r="I116" t="inlineStr">
        <is>
          <t xml:space="preserve">    04 02 15 - Non-Hazardous - Wastes from finishing other than those mentioned in 04 02 14</t>
        </is>
      </c>
      <c r="X116" t="inlineStr">
        <is>
          <t>18 WASTES FROM HUMAN OR ANIMAL HEALTH CARE AND/OR RELATED RESEARCH (except kitchen and restaurant wastes not arising from immediate health care)</t>
        </is>
      </c>
      <c r="Y116" t="inlineStr">
        <is>
          <t>PLN</t>
        </is>
      </c>
    </row>
    <row r="117">
      <c r="A117" s="288" t="inlineStr">
        <is>
          <t>NACE C - 10.81 Manufacture of sugar</t>
        </is>
      </c>
      <c r="B117" s="287" t="inlineStr">
        <is>
          <t>NACE C - 26.7 Manufacture of optical instruments, magnetic and optical media and photographic equipment</t>
        </is>
      </c>
      <c r="C117" s="285" t="inlineStr">
        <is>
          <t>Jordan</t>
        </is>
      </c>
      <c r="D117" t="inlineStr">
        <is>
          <t>country:JO</t>
        </is>
      </c>
      <c r="E117">
        <f>RIGHT(D117,2)</f>
        <v/>
      </c>
      <c r="F117" s="360" t="n"/>
      <c r="I117" t="inlineStr">
        <is>
          <t xml:space="preserve">    04 02 16 - Hazardous - Dyestuffs and pigments containing hazardous substances</t>
        </is>
      </c>
      <c r="X117" t="inlineStr">
        <is>
          <t xml:space="preserve">    1801 Wastes from natal care, diagnosis, treatment or prevention of disease in humans</t>
        </is>
      </c>
      <c r="Y117" t="inlineStr">
        <is>
          <t>PYG</t>
        </is>
      </c>
    </row>
    <row r="118">
      <c r="A118" s="288" t="inlineStr">
        <is>
          <t>NACE C - 10.82 Manufacture of cocoa, chocolate and sugar confectionery</t>
        </is>
      </c>
      <c r="B118" s="284" t="inlineStr">
        <is>
          <t>NACE C - 27 Manufacture of electrical equipment</t>
        </is>
      </c>
      <c r="C118" s="285" t="inlineStr">
        <is>
          <t>Japan</t>
        </is>
      </c>
      <c r="D118" t="inlineStr">
        <is>
          <t>country:JP</t>
        </is>
      </c>
      <c r="E118">
        <f>RIGHT(D118,2)</f>
        <v/>
      </c>
      <c r="F118" s="360" t="n"/>
      <c r="I118" t="inlineStr">
        <is>
          <t xml:space="preserve">    04 02 17 - Non-Hazardous - Dyestuffs and pigments other than those mentioned in 04 02 16</t>
        </is>
      </c>
      <c r="X118" t="inlineStr">
        <is>
          <t xml:space="preserve">    1802 Wastes from research, diagnosis, treatment or prevention of disease involving animals</t>
        </is>
      </c>
      <c r="Y118" t="inlineStr">
        <is>
          <t>QAR</t>
        </is>
      </c>
    </row>
    <row r="119">
      <c r="A119" s="288" t="inlineStr">
        <is>
          <t>NACE C - 10.83 Processing of tea and coffee</t>
        </is>
      </c>
      <c r="B119" s="287" t="inlineStr">
        <is>
          <t>NACE C - 27.1 Manufacture of electric motors, generators, transformers and electricity distribution and control apparatus</t>
        </is>
      </c>
      <c r="C119" s="285" t="inlineStr">
        <is>
          <t>Kenya</t>
        </is>
      </c>
      <c r="D119" t="inlineStr">
        <is>
          <t>country:KE</t>
        </is>
      </c>
      <c r="E119">
        <f>RIGHT(D119,2)</f>
        <v/>
      </c>
      <c r="F119" s="88" t="n"/>
      <c r="I119" t="inlineStr">
        <is>
          <t xml:space="preserve">    04 02 19 - Hazardous - Sludges from on-site effluent treatment containing hazardous substances</t>
        </is>
      </c>
      <c r="X119" t="inlineStr">
        <is>
          <t>19 WASTES FROM WASTE TREATMENT FACILITIES, OFF-SITE WASTE WATER TREATMENT PLANTS AND THE WATER INDUSTRY</t>
        </is>
      </c>
      <c r="Y119" t="inlineStr">
        <is>
          <t>RON</t>
        </is>
      </c>
    </row>
    <row r="120">
      <c r="A120" s="288" t="inlineStr">
        <is>
          <t>NACE C - 10.84 Manufacture of condiments and seasonings</t>
        </is>
      </c>
      <c r="B120" s="287" t="inlineStr">
        <is>
          <t>NACE C - 27.2 Manufacture of batteries and accumulators</t>
        </is>
      </c>
      <c r="C120" s="285" t="inlineStr">
        <is>
          <t>Kyrgyzstan</t>
        </is>
      </c>
      <c r="D120" t="inlineStr">
        <is>
          <t>country:KG</t>
        </is>
      </c>
      <c r="E120">
        <f>RIGHT(D120,2)</f>
        <v/>
      </c>
      <c r="F120" s="360" t="n"/>
      <c r="I120" t="inlineStr">
        <is>
          <t xml:space="preserve">    04 02 20 - Non-Hazardous - Sludges from on-site effluent treatment other than those mentioned in 04 02 19</t>
        </is>
      </c>
      <c r="X120" t="inlineStr">
        <is>
          <t xml:space="preserve">    1901 Wastes from incineration or pyrolysis of waste</t>
        </is>
      </c>
      <c r="Y120" t="inlineStr">
        <is>
          <t>RSD</t>
        </is>
      </c>
    </row>
    <row r="121">
      <c r="A121" s="288" t="inlineStr">
        <is>
          <t>NACE C - 10.85 Manufacture of prepared meals and dishes</t>
        </is>
      </c>
      <c r="B121" s="287" t="inlineStr">
        <is>
          <t>NACE C - 27.3 Manufacture of wiring and wiring devices</t>
        </is>
      </c>
      <c r="C121" s="285" t="inlineStr">
        <is>
          <t>Cambodia</t>
        </is>
      </c>
      <c r="D121" t="inlineStr">
        <is>
          <t>country:KH</t>
        </is>
      </c>
      <c r="E121">
        <f>RIGHT(D121,2)</f>
        <v/>
      </c>
      <c r="F121" s="360" t="n"/>
      <c r="I121" t="inlineStr">
        <is>
          <t xml:space="preserve">    04 02 21 - Non-Hazardous - Wastes from unprocessed textile fibres</t>
        </is>
      </c>
      <c r="X121" t="inlineStr">
        <is>
          <t xml:space="preserve">    1902 Wastes from specific physico/chemical treatments of industrial waste, (e.g. dechromatation, decyanidation, neutralisation)</t>
        </is>
      </c>
      <c r="Y121" t="inlineStr">
        <is>
          <t>RUB</t>
        </is>
      </c>
    </row>
    <row r="122">
      <c r="A122" s="288" t="inlineStr">
        <is>
          <t>NACE C - 10.86 Manufacture of homogenised food preparations and dietetic food</t>
        </is>
      </c>
      <c r="B122" s="287" t="inlineStr">
        <is>
          <t>NACE C - 27.4 Manufacture of lighting equipment</t>
        </is>
      </c>
      <c r="C122" s="285" t="inlineStr">
        <is>
          <t>Kiribati</t>
        </is>
      </c>
      <c r="D122" t="inlineStr">
        <is>
          <t>country:KI</t>
        </is>
      </c>
      <c r="E122">
        <f>RIGHT(D122,2)</f>
        <v/>
      </c>
      <c r="F122" s="360" t="n"/>
      <c r="I122" t="inlineStr">
        <is>
          <t xml:space="preserve">    04 02 22 - Non-Hazardous - Wastes from processed textile fibres</t>
        </is>
      </c>
      <c r="X122" t="inlineStr">
        <is>
          <t xml:space="preserve">    1903 Stabilised/solidified wastes</t>
        </is>
      </c>
      <c r="Y122" t="inlineStr">
        <is>
          <t>RWF</t>
        </is>
      </c>
    </row>
    <row r="123">
      <c r="A123" s="288" t="inlineStr">
        <is>
          <t>NACE C - 10.89 Manufacture of other food products n.e.c.</t>
        </is>
      </c>
      <c r="B123" s="287" t="inlineStr">
        <is>
          <t>NACE C - 27.5 Manufacture of domestic appliances</t>
        </is>
      </c>
      <c r="C123" s="285" t="inlineStr">
        <is>
          <t>Comoros</t>
        </is>
      </c>
      <c r="D123" t="inlineStr">
        <is>
          <t>country:KM</t>
        </is>
      </c>
      <c r="E123">
        <f>RIGHT(D123,2)</f>
        <v/>
      </c>
      <c r="F123" s="360" t="n"/>
      <c r="I123" t="inlineStr">
        <is>
          <t xml:space="preserve">    04 02 99 - Non-Hazardous - Wastes not otherwise specified</t>
        </is>
      </c>
      <c r="X123" t="inlineStr">
        <is>
          <t xml:space="preserve">    1904 Vitrified waste and wastes from vitrification</t>
        </is>
      </c>
      <c r="Y123" t="inlineStr">
        <is>
          <t>SAR</t>
        </is>
      </c>
    </row>
    <row r="124">
      <c r="A124" s="287" t="inlineStr">
        <is>
          <t>NACE C - 10.9 Manufacture of prepared animal feeds</t>
        </is>
      </c>
      <c r="B124" s="287" t="inlineStr">
        <is>
          <t>NACE C - 27.9 Manufacture of other electrical equipment</t>
        </is>
      </c>
      <c r="C124" s="285" t="inlineStr">
        <is>
          <t>Saint Kitts and Nevis</t>
        </is>
      </c>
      <c r="D124" t="inlineStr">
        <is>
          <t>country:KN</t>
        </is>
      </c>
      <c r="E124">
        <f>RIGHT(D124,2)</f>
        <v/>
      </c>
      <c r="F124" s="360" t="n"/>
      <c r="I124" t="inlineStr">
        <is>
          <t>05 - WASTES FROM PETROLEUM REFINING, NATURAL GAS PURIFICATION AND PYROLYTIC TREATMENT OF COAL</t>
        </is>
      </c>
      <c r="X124" t="inlineStr">
        <is>
          <t xml:space="preserve">    1905 Wastes from aerobic treatment of solid wastes</t>
        </is>
      </c>
      <c r="Y124" t="inlineStr">
        <is>
          <t>SBD</t>
        </is>
      </c>
    </row>
    <row r="125">
      <c r="A125" s="288" t="inlineStr">
        <is>
          <t>NACE C - 10.91 Manufacture of prepared feeds for farm animals</t>
        </is>
      </c>
      <c r="B125" s="284" t="inlineStr">
        <is>
          <t>NACE C - 28 Manufacture of machinery and equipment n.e.c.</t>
        </is>
      </c>
      <c r="C125" s="285" t="inlineStr">
        <is>
          <t>Korea (the Democratic People's Republic of)</t>
        </is>
      </c>
      <c r="D125" t="inlineStr">
        <is>
          <t>country:KP</t>
        </is>
      </c>
      <c r="E125">
        <f>RIGHT(D125,2)</f>
        <v/>
      </c>
      <c r="F125" s="88" t="n"/>
      <c r="I125" t="inlineStr">
        <is>
          <t xml:space="preserve">  05 01 - Wastes from petroleum refining</t>
        </is>
      </c>
      <c r="X125" t="inlineStr">
        <is>
          <t xml:space="preserve">    1906 Wastes from anaerobic treatment of waste</t>
        </is>
      </c>
      <c r="Y125" t="inlineStr">
        <is>
          <t>SCR</t>
        </is>
      </c>
    </row>
    <row r="126">
      <c r="A126" s="288" t="inlineStr">
        <is>
          <t>NACE C - 10.92 Manufacture of prepared pet foods</t>
        </is>
      </c>
      <c r="B126" s="287" t="inlineStr">
        <is>
          <t>NACE C - 28.1 Manufacture of general-purpose machinery</t>
        </is>
      </c>
      <c r="C126" s="285" t="inlineStr">
        <is>
          <t>Korea (the Republic of)</t>
        </is>
      </c>
      <c r="D126" t="inlineStr">
        <is>
          <t>country:KR</t>
        </is>
      </c>
      <c r="E126">
        <f>RIGHT(D126,2)</f>
        <v/>
      </c>
      <c r="F126" s="360" t="n"/>
      <c r="I126" t="inlineStr">
        <is>
          <t xml:space="preserve">    05 01 02 - Hazardous - Desalter sludges</t>
        </is>
      </c>
      <c r="X126" t="inlineStr">
        <is>
          <t xml:space="preserve">    1907 Landfill leachate</t>
        </is>
      </c>
      <c r="Y126" t="inlineStr">
        <is>
          <t>SDG</t>
        </is>
      </c>
    </row>
    <row r="127">
      <c r="A127" s="284" t="inlineStr">
        <is>
          <t>NACE C - 11 Manufacture of beverages</t>
        </is>
      </c>
      <c r="B127" s="287" t="inlineStr">
        <is>
          <t>NACE C - 28.2 Manufacture of other general-purpose machinery</t>
        </is>
      </c>
      <c r="C127" s="285" t="inlineStr">
        <is>
          <t>Kuwait</t>
        </is>
      </c>
      <c r="D127" t="inlineStr">
        <is>
          <t>country:KW</t>
        </is>
      </c>
      <c r="E127">
        <f>RIGHT(D127,2)</f>
        <v/>
      </c>
      <c r="F127" s="360" t="n"/>
      <c r="I127" t="inlineStr">
        <is>
          <t xml:space="preserve">    05 01 03 - Hazardous - Tank bottom sludges</t>
        </is>
      </c>
      <c r="X127" t="inlineStr">
        <is>
          <t xml:space="preserve">    1908 Wastes from waste water treatment plants not otherwise specified</t>
        </is>
      </c>
      <c r="Y127" t="inlineStr">
        <is>
          <t>SEK</t>
        </is>
      </c>
    </row>
    <row r="128">
      <c r="A128" s="287" t="inlineStr">
        <is>
          <t>NACE C - 11.0 Manufacture of beverages</t>
        </is>
      </c>
      <c r="B128" s="287" t="inlineStr">
        <is>
          <t>NACE C - 28.3 Manufacture of agricultural and forestry machinery</t>
        </is>
      </c>
      <c r="C128" s="285" t="inlineStr">
        <is>
          <t>Cayman Islands</t>
        </is>
      </c>
      <c r="D128" t="inlineStr">
        <is>
          <t>country:KY</t>
        </is>
      </c>
      <c r="E128">
        <f>RIGHT(D128,2)</f>
        <v/>
      </c>
      <c r="F128" s="360" t="n"/>
      <c r="I128" t="inlineStr">
        <is>
          <t xml:space="preserve">    05 01 04 - Hazardous - Acid alkyl sludges</t>
        </is>
      </c>
      <c r="X128" t="inlineStr">
        <is>
          <t xml:space="preserve">    1909 Wastes from the preparation of drinking water or water for industrial use</t>
        </is>
      </c>
      <c r="Y128" t="inlineStr">
        <is>
          <t>SGD</t>
        </is>
      </c>
    </row>
    <row r="129">
      <c r="A129" s="288" t="inlineStr">
        <is>
          <t>NACE C - 11.01 Distilling, rectifying and blending of spirits</t>
        </is>
      </c>
      <c r="B129" s="287" t="inlineStr">
        <is>
          <t>NACE C - 28.4 Manufacture of metal forming machinery and machine tools</t>
        </is>
      </c>
      <c r="C129" s="285" t="inlineStr">
        <is>
          <t>Kazakhstan</t>
        </is>
      </c>
      <c r="D129" t="inlineStr">
        <is>
          <t>country:KZ</t>
        </is>
      </c>
      <c r="E129">
        <f>RIGHT(D129,2)</f>
        <v/>
      </c>
      <c r="F129" s="360" t="n"/>
      <c r="I129" t="inlineStr">
        <is>
          <t xml:space="preserve">    05 01 05 - Hazardous - Oil spills</t>
        </is>
      </c>
      <c r="X129" t="inlineStr">
        <is>
          <t xml:space="preserve">    1910 Wastes from shredding of metal-containing waste</t>
        </is>
      </c>
      <c r="Y129" t="inlineStr">
        <is>
          <t>SHP</t>
        </is>
      </c>
    </row>
    <row r="130">
      <c r="A130" s="288" t="inlineStr">
        <is>
          <t>NACE C - 11.02 Manufacture of wine from grape</t>
        </is>
      </c>
      <c r="B130" s="287" t="inlineStr">
        <is>
          <t>NACE C - 28.9 Manufacture of other special-purpose machinery</t>
        </is>
      </c>
      <c r="C130" s="285" t="inlineStr">
        <is>
          <t>Lao People's Democratic Republic</t>
        </is>
      </c>
      <c r="D130" t="inlineStr">
        <is>
          <t>country:LA</t>
        </is>
      </c>
      <c r="E130">
        <f>RIGHT(D130,2)</f>
        <v/>
      </c>
      <c r="F130" s="360" t="n"/>
      <c r="I130" t="inlineStr">
        <is>
          <t xml:space="preserve">    05 01 06 - Hazardous - Oily sludges from maintenance operations of the plant or equipment</t>
        </is>
      </c>
      <c r="X130" t="inlineStr">
        <is>
          <t>20 MUNICIPAL WASTES AND SIMILAR COMMERCIAL, INDUSTRIAL AND INSTITUTIONAL WASTES INCLUDING SEPARATELY COLLECTED FRACTIONS</t>
        </is>
      </c>
      <c r="Y130" t="inlineStr">
        <is>
          <t>SLL</t>
        </is>
      </c>
    </row>
    <row r="131">
      <c r="A131" s="288" t="inlineStr">
        <is>
          <t>NACE C - 11.03 Manufacture of cider and other fermented fruit beverages</t>
        </is>
      </c>
      <c r="B131" s="284" t="inlineStr">
        <is>
          <t>NACE C - 29 Manufacture of motor vehicles, trailers and semi-trailers</t>
        </is>
      </c>
      <c r="C131" s="285" t="inlineStr">
        <is>
          <t>Lebanon</t>
        </is>
      </c>
      <c r="D131" t="inlineStr">
        <is>
          <t>country:LB</t>
        </is>
      </c>
      <c r="E131">
        <f>RIGHT(D131,2)</f>
        <v/>
      </c>
      <c r="F131" s="88" t="n"/>
      <c r="I131" t="inlineStr">
        <is>
          <t xml:space="preserve">    05 01 07 - Hazardous - Acid tars</t>
        </is>
      </c>
      <c r="X131" t="inlineStr">
        <is>
          <t xml:space="preserve">    2001 Separately collected fractions</t>
        </is>
      </c>
      <c r="Y131" t="inlineStr">
        <is>
          <t>SOS</t>
        </is>
      </c>
    </row>
    <row r="132">
      <c r="A132" s="288" t="inlineStr">
        <is>
          <t>NACE C - 11.04 Manufacture of other non-distilled fermented beverages</t>
        </is>
      </c>
      <c r="B132" s="287" t="inlineStr">
        <is>
          <t>NACE C - 29.1 Manufacture of motor vehicles</t>
        </is>
      </c>
      <c r="C132" s="285" t="inlineStr">
        <is>
          <t>Saint Lucia</t>
        </is>
      </c>
      <c r="D132" t="inlineStr">
        <is>
          <t>country:LC</t>
        </is>
      </c>
      <c r="E132">
        <f>RIGHT(D132,2)</f>
        <v/>
      </c>
      <c r="F132" s="360" t="n"/>
      <c r="I132" t="inlineStr">
        <is>
          <t xml:space="preserve">    05 01 08 - Hazardous - Other tars</t>
        </is>
      </c>
      <c r="X132" t="inlineStr">
        <is>
          <t xml:space="preserve">    2002 Garden and park wastes (including cemetery waste)</t>
        </is>
      </c>
      <c r="Y132" t="inlineStr">
        <is>
          <t>SRD</t>
        </is>
      </c>
    </row>
    <row r="133">
      <c r="A133" s="288" t="inlineStr">
        <is>
          <t>NACE C - 11.05 Manufacture of beer</t>
        </is>
      </c>
      <c r="B133" s="287" t="inlineStr">
        <is>
          <t>NACE C - 29.2 Manufacture of bodies and coachwork for motor vehicles; manufacture of trailers and semi-trailers</t>
        </is>
      </c>
      <c r="C133" s="285" t="inlineStr">
        <is>
          <t>Liechtenstein</t>
        </is>
      </c>
      <c r="D133" t="inlineStr">
        <is>
          <t>country:LI</t>
        </is>
      </c>
      <c r="E133">
        <f>RIGHT(D133,2)</f>
        <v/>
      </c>
      <c r="F133" s="360" t="n"/>
      <c r="I133" t="inlineStr">
        <is>
          <t xml:space="preserve">    05 01 09 - Hazardous - Sludges from on-site effluent treatment containing hazardous substances</t>
        </is>
      </c>
      <c r="X133" t="inlineStr">
        <is>
          <t xml:space="preserve">    2003 Other municipal wastes</t>
        </is>
      </c>
      <c r="Y133" t="inlineStr">
        <is>
          <t>SSP</t>
        </is>
      </c>
    </row>
    <row r="134">
      <c r="A134" s="288" t="inlineStr">
        <is>
          <t>NACE C - 11.06 Manufacture of malt</t>
        </is>
      </c>
      <c r="B134" s="287" t="inlineStr">
        <is>
          <t>NACE C - 29.3 Manufacture of motor vehicle parts and accessories</t>
        </is>
      </c>
      <c r="C134" s="285" t="inlineStr">
        <is>
          <t>Sri Lanka</t>
        </is>
      </c>
      <c r="D134" t="inlineStr">
        <is>
          <t>country:LK</t>
        </is>
      </c>
      <c r="E134">
        <f>RIGHT(D134,2)</f>
        <v/>
      </c>
      <c r="F134" s="360" t="n"/>
      <c r="I134" t="inlineStr">
        <is>
          <t xml:space="preserve">    05 01 10 - Non-Hazardous - Sludges from on-site effluent treatment other than those mentioned in 05 01 09</t>
        </is>
      </c>
      <c r="Y134" t="inlineStr">
        <is>
          <t>STD</t>
        </is>
      </c>
    </row>
    <row r="135">
      <c r="A135" s="288" t="inlineStr">
        <is>
          <t>NACE C - 11.07 Manufacture of soft drinks and bottled waters</t>
        </is>
      </c>
      <c r="B135" s="284" t="inlineStr">
        <is>
          <t>NACE C - 30 Manufacture of other transport equipment</t>
        </is>
      </c>
      <c r="C135" s="285" t="inlineStr">
        <is>
          <t>Liberia</t>
        </is>
      </c>
      <c r="D135" t="inlineStr">
        <is>
          <t>country:LR</t>
        </is>
      </c>
      <c r="E135">
        <f>RIGHT(D135,2)</f>
        <v/>
      </c>
      <c r="F135" s="88" t="n"/>
      <c r="I135" t="inlineStr">
        <is>
          <t xml:space="preserve">    05 01 11 - Hazardous - Wastes from cleaning of fuels with bases</t>
        </is>
      </c>
      <c r="Y135" t="inlineStr">
        <is>
          <t>SVC</t>
        </is>
      </c>
    </row>
    <row r="136">
      <c r="A136" s="284" t="inlineStr">
        <is>
          <t>NACE C - 12 Manufacture of tobacco products</t>
        </is>
      </c>
      <c r="B136" s="287" t="inlineStr">
        <is>
          <t>NACE C - 30.1 Building of ships and boats</t>
        </is>
      </c>
      <c r="C136" s="285" t="inlineStr">
        <is>
          <t>Lesotho</t>
        </is>
      </c>
      <c r="D136" t="inlineStr">
        <is>
          <t>country:LS</t>
        </is>
      </c>
      <c r="E136">
        <f>RIGHT(D136,2)</f>
        <v/>
      </c>
      <c r="F136" s="360" t="n"/>
      <c r="I136" t="inlineStr">
        <is>
          <t xml:space="preserve">    05 01 12 - Hazardous - Oil containing acids</t>
        </is>
      </c>
      <c r="Y136" t="inlineStr">
        <is>
          <t>SYP</t>
        </is>
      </c>
    </row>
    <row r="137">
      <c r="A137" s="287" t="inlineStr">
        <is>
          <t>NACE C - 12.0 Manufacture of tobacco products</t>
        </is>
      </c>
      <c r="B137" s="287" t="inlineStr">
        <is>
          <t>NACE C - 30.2 Manufacture of railway locomotives and rolling stock</t>
        </is>
      </c>
      <c r="C137" s="285" t="inlineStr">
        <is>
          <t>Lithuania</t>
        </is>
      </c>
      <c r="D137" t="inlineStr">
        <is>
          <t>country:LT</t>
        </is>
      </c>
      <c r="E137">
        <f>RIGHT(D137,2)</f>
        <v/>
      </c>
      <c r="F137" s="360" t="n"/>
      <c r="I137" t="inlineStr">
        <is>
          <t xml:space="preserve">    05 01 13 - Non-Hazardous - Boiler feedwater sludges</t>
        </is>
      </c>
      <c r="Y137" t="inlineStr">
        <is>
          <t>SZL</t>
        </is>
      </c>
    </row>
    <row r="138">
      <c r="A138" s="288" t="inlineStr">
        <is>
          <t>NACE C - 12.00 Manufacture of tobacco products</t>
        </is>
      </c>
      <c r="B138" s="287" t="inlineStr">
        <is>
          <t>NACE C - 30.3 Manufacture of air and spacecraft and related machinery</t>
        </is>
      </c>
      <c r="C138" s="285" t="inlineStr">
        <is>
          <t>Luxembourg</t>
        </is>
      </c>
      <c r="D138" t="inlineStr">
        <is>
          <t>country:LU</t>
        </is>
      </c>
      <c r="E138">
        <f>RIGHT(D138,2)</f>
        <v/>
      </c>
      <c r="F138" s="359" t="n"/>
      <c r="I138" t="inlineStr">
        <is>
          <t xml:space="preserve">    05 01 14 - Non-Hazardous - Wastes from cooling columns</t>
        </is>
      </c>
      <c r="Y138" t="inlineStr">
        <is>
          <t>THB</t>
        </is>
      </c>
    </row>
    <row r="139">
      <c r="A139" s="284" t="inlineStr">
        <is>
          <t>NACE C - 13 Manufacture of textiles</t>
        </is>
      </c>
      <c r="B139" s="287" t="inlineStr">
        <is>
          <t>NACE C - 30.4 Manufacture of military fighting vehicles</t>
        </is>
      </c>
      <c r="C139" s="285" t="inlineStr">
        <is>
          <t>Latvia</t>
        </is>
      </c>
      <c r="D139" t="inlineStr">
        <is>
          <t>country:LV</t>
        </is>
      </c>
      <c r="E139">
        <f>RIGHT(D139,2)</f>
        <v/>
      </c>
      <c r="F139" s="360" t="n"/>
      <c r="I139" t="inlineStr">
        <is>
          <t xml:space="preserve">    05 01 15 - Hazardous - Spent filter clays</t>
        </is>
      </c>
      <c r="Y139" t="inlineStr">
        <is>
          <t>TJS</t>
        </is>
      </c>
    </row>
    <row r="140">
      <c r="A140" s="287" t="inlineStr">
        <is>
          <t>NACE C - 13.1 Preparation and spinning of textile fibres</t>
        </is>
      </c>
      <c r="B140" s="287" t="inlineStr">
        <is>
          <t>NACE C - 30.9 Manufacture of transport equipment n.e.c.</t>
        </is>
      </c>
      <c r="C140" s="285" t="inlineStr">
        <is>
          <t>Libya</t>
        </is>
      </c>
      <c r="D140" t="inlineStr">
        <is>
          <t>country:LY</t>
        </is>
      </c>
      <c r="E140">
        <f>RIGHT(D140,2)</f>
        <v/>
      </c>
      <c r="F140" s="88" t="n"/>
      <c r="I140" t="inlineStr">
        <is>
          <t xml:space="preserve">    05 01 16 - Non-Hazardous - Sulphur-containing wastes from petroleum desulphurisation</t>
        </is>
      </c>
      <c r="Y140" t="inlineStr">
        <is>
          <t>TMT</t>
        </is>
      </c>
    </row>
    <row r="141">
      <c r="A141" s="288" t="inlineStr">
        <is>
          <t>NACE C - 13.10 Preparation and spinning of textile fibres</t>
        </is>
      </c>
      <c r="B141" s="284" t="inlineStr">
        <is>
          <t>NACE C - 31 Manufacture of furniture</t>
        </is>
      </c>
      <c r="C141" s="285" t="inlineStr">
        <is>
          <t>Morocco</t>
        </is>
      </c>
      <c r="D141" t="inlineStr">
        <is>
          <t>country:MA</t>
        </is>
      </c>
      <c r="E141">
        <f>RIGHT(D141,2)</f>
        <v/>
      </c>
      <c r="F141" s="360" t="n"/>
      <c r="I141" t="inlineStr">
        <is>
          <t xml:space="preserve">    05 01 17 - Non-Hazardous - Bitumen</t>
        </is>
      </c>
      <c r="Y141" t="inlineStr">
        <is>
          <t>TND</t>
        </is>
      </c>
    </row>
    <row r="142">
      <c r="A142" s="287" t="inlineStr">
        <is>
          <t>NACE C - 13.2 Weaving of textiles</t>
        </is>
      </c>
      <c r="B142" s="287" t="inlineStr">
        <is>
          <t>NACE C - 31.0 Manufacture of furniture</t>
        </is>
      </c>
      <c r="C142" s="285" t="inlineStr">
        <is>
          <t>Monaco</t>
        </is>
      </c>
      <c r="D142" t="inlineStr">
        <is>
          <t>country:MC</t>
        </is>
      </c>
      <c r="E142">
        <f>RIGHT(D142,2)</f>
        <v/>
      </c>
      <c r="F142" s="360" t="n"/>
      <c r="I142" t="inlineStr">
        <is>
          <t xml:space="preserve">    05 01 99 - Non-Hazardous - Wastes not otherwise specified</t>
        </is>
      </c>
      <c r="Y142" t="inlineStr">
        <is>
          <t>TOP</t>
        </is>
      </c>
    </row>
    <row r="143">
      <c r="A143" s="288" t="inlineStr">
        <is>
          <t>NACE C - 13.20 Weaving of textiles</t>
        </is>
      </c>
      <c r="B143" s="284" t="inlineStr">
        <is>
          <t>NACE C - 32 Other manufacturing</t>
        </is>
      </c>
      <c r="C143" s="285" t="inlineStr">
        <is>
          <t>Moldova (the Republic of)</t>
        </is>
      </c>
      <c r="D143" t="inlineStr">
        <is>
          <t>country:MD</t>
        </is>
      </c>
      <c r="E143">
        <f>RIGHT(D143,2)</f>
        <v/>
      </c>
      <c r="F143" s="359" t="n"/>
      <c r="I143" t="inlineStr">
        <is>
          <t xml:space="preserve">  05 06 - Wastes from the pyrolytic treatment of coal</t>
        </is>
      </c>
      <c r="Y143" t="inlineStr">
        <is>
          <t>TRY</t>
        </is>
      </c>
    </row>
    <row r="144">
      <c r="A144" s="287" t="inlineStr">
        <is>
          <t>NACE C - 13.3 Finishing of textiles</t>
        </is>
      </c>
      <c r="B144" s="287" t="inlineStr">
        <is>
          <t>NACE C - 32.1 Manufacture of jewellery, bijouterie and related articles</t>
        </is>
      </c>
      <c r="C144" s="285" t="inlineStr">
        <is>
          <t>Montenegro</t>
        </is>
      </c>
      <c r="D144" t="inlineStr">
        <is>
          <t>country:ME</t>
        </is>
      </c>
      <c r="E144">
        <f>RIGHT(D144,2)</f>
        <v/>
      </c>
      <c r="F144" s="360" t="n"/>
      <c r="I144" t="inlineStr">
        <is>
          <t xml:space="preserve">    05 06 01 - Hazardous - Acid tars</t>
        </is>
      </c>
      <c r="Y144" t="inlineStr">
        <is>
          <t>TTD</t>
        </is>
      </c>
    </row>
    <row r="145">
      <c r="A145" s="288" t="inlineStr">
        <is>
          <t>NACE C - 13.30 Finishing of textiles</t>
        </is>
      </c>
      <c r="B145" s="287" t="inlineStr">
        <is>
          <t>NACE C - 32.2 Manufacture of musical instruments</t>
        </is>
      </c>
      <c r="C145" s="285" t="inlineStr">
        <is>
          <t>Saint Martin (French part)</t>
        </is>
      </c>
      <c r="D145" t="inlineStr">
        <is>
          <t>country:MF</t>
        </is>
      </c>
      <c r="E145">
        <f>RIGHT(D145,2)</f>
        <v/>
      </c>
      <c r="F145" s="360" t="n"/>
      <c r="I145" t="inlineStr">
        <is>
          <t xml:space="preserve">    05 06 03 - Hazardous - Other tars</t>
        </is>
      </c>
      <c r="Y145" t="inlineStr">
        <is>
          <t>TWD</t>
        </is>
      </c>
    </row>
    <row r="146">
      <c r="A146" s="287" t="inlineStr">
        <is>
          <t>NACE C - 13.9 Manufacture of other textiles</t>
        </is>
      </c>
      <c r="B146" s="287" t="inlineStr">
        <is>
          <t>NACE C - 32.3 Manufacture of sports goods</t>
        </is>
      </c>
      <c r="C146" s="285" t="inlineStr">
        <is>
          <t>Madagascar</t>
        </is>
      </c>
      <c r="D146" t="inlineStr">
        <is>
          <t>country:MG</t>
        </is>
      </c>
      <c r="E146">
        <f>RIGHT(D146,2)</f>
        <v/>
      </c>
      <c r="F146" s="359" t="n"/>
      <c r="I146" t="inlineStr">
        <is>
          <t xml:space="preserve">    05 06 04 - Non-Hazardous - Waste from cooling columns</t>
        </is>
      </c>
      <c r="Y146" t="inlineStr">
        <is>
          <t>TZS</t>
        </is>
      </c>
    </row>
    <row r="147">
      <c r="A147" s="288" t="inlineStr">
        <is>
          <t>NACE C - 13.91 Manufacture of knitted and crocheted fabrics</t>
        </is>
      </c>
      <c r="B147" s="287" t="inlineStr">
        <is>
          <t>NACE C - 32.4 Manufacture of games and toys</t>
        </is>
      </c>
      <c r="C147" s="285" t="inlineStr">
        <is>
          <t>Marshall Islands</t>
        </is>
      </c>
      <c r="D147" t="inlineStr">
        <is>
          <t>country:MH</t>
        </is>
      </c>
      <c r="E147">
        <f>RIGHT(D147,2)</f>
        <v/>
      </c>
      <c r="F147" s="88" t="n"/>
      <c r="I147" t="inlineStr">
        <is>
          <t xml:space="preserve">    05 06 99 - Non-Hazardous - Wastes not otherwise specified</t>
        </is>
      </c>
      <c r="Y147" t="inlineStr">
        <is>
          <t>UAH</t>
        </is>
      </c>
    </row>
    <row r="148">
      <c r="A148" s="288" t="inlineStr">
        <is>
          <t>NACE C - 13.92 Manufacture of household textiles and made-up furnishing articles</t>
        </is>
      </c>
      <c r="B148" s="287" t="inlineStr">
        <is>
          <t>NACE C - 32.5 Manufacture of medical and dental instruments and supplies</t>
        </is>
      </c>
      <c r="C148" s="285" t="inlineStr">
        <is>
          <t>North Macedonia</t>
        </is>
      </c>
      <c r="D148" t="inlineStr">
        <is>
          <t>country:MK</t>
        </is>
      </c>
      <c r="E148">
        <f>RIGHT(D148,2)</f>
        <v/>
      </c>
      <c r="F148" s="360" t="n"/>
      <c r="I148" t="inlineStr">
        <is>
          <t xml:space="preserve">  05 07 - Wastes from natural gas purification and transportation</t>
        </is>
      </c>
      <c r="Y148" t="inlineStr">
        <is>
          <t>UGX</t>
        </is>
      </c>
    </row>
    <row r="149">
      <c r="A149" s="288" t="inlineStr">
        <is>
          <t>NACE C - 13.93 Manufacture of carpets and rugs</t>
        </is>
      </c>
      <c r="B149" s="287" t="inlineStr">
        <is>
          <t>NACE C - 32.9 Manufacturing n.e.c.</t>
        </is>
      </c>
      <c r="C149" s="285" t="inlineStr">
        <is>
          <t>Mali</t>
        </is>
      </c>
      <c r="D149" t="inlineStr">
        <is>
          <t>country:ML</t>
        </is>
      </c>
      <c r="E149">
        <f>RIGHT(D149,2)</f>
        <v/>
      </c>
      <c r="F149" s="360" t="n"/>
      <c r="I149" t="inlineStr">
        <is>
          <t xml:space="preserve">    05 07 01 - Hazardous - Wastes containing mercury</t>
        </is>
      </c>
      <c r="Y149" t="inlineStr">
        <is>
          <t>USD</t>
        </is>
      </c>
    </row>
    <row r="150">
      <c r="A150" s="288" t="inlineStr">
        <is>
          <t>NACE C - 13.94 Manufacture of cordage, rope, twine and netting</t>
        </is>
      </c>
      <c r="B150" s="284" t="inlineStr">
        <is>
          <t>NACE C - 33 Repair, maintenance and installation of machinery and equipment</t>
        </is>
      </c>
      <c r="C150" s="285" t="inlineStr">
        <is>
          <t>Myanmar</t>
        </is>
      </c>
      <c r="D150" t="inlineStr">
        <is>
          <t>country:MM</t>
        </is>
      </c>
      <c r="E150">
        <f>RIGHT(D150,2)</f>
        <v/>
      </c>
      <c r="F150" s="360" t="n"/>
      <c r="I150" t="inlineStr">
        <is>
          <t xml:space="preserve">    05 07 02 - Non-Hazardous - Wastes containing sulphur</t>
        </is>
      </c>
      <c r="Y150" t="inlineStr">
        <is>
          <t>UYI</t>
        </is>
      </c>
    </row>
    <row r="151">
      <c r="A151" s="288" t="inlineStr">
        <is>
          <t>NACE C - 13.95 Manufacture of non-wovens and non-woven articles</t>
        </is>
      </c>
      <c r="B151" s="287" t="inlineStr">
        <is>
          <t>NACE C - 33.1 Repair and maintenance of fabricated metal products, machinery and equipment</t>
        </is>
      </c>
      <c r="C151" s="285" t="inlineStr">
        <is>
          <t>Mongolia</t>
        </is>
      </c>
      <c r="D151" t="inlineStr">
        <is>
          <t>country:MN</t>
        </is>
      </c>
      <c r="E151">
        <f>RIGHT(D151,2)</f>
        <v/>
      </c>
      <c r="F151" s="359" t="n"/>
      <c r="I151" t="inlineStr">
        <is>
          <t xml:space="preserve">    05 07 99 - Non-Hazardous - Wastes not otherwise specified</t>
        </is>
      </c>
      <c r="Y151" t="inlineStr">
        <is>
          <t>UYU</t>
        </is>
      </c>
    </row>
    <row r="152">
      <c r="A152" s="288" t="inlineStr">
        <is>
          <t>NACE C - 13.96 Manufacture of other technical and industrial textiles</t>
        </is>
      </c>
      <c r="B152" s="287" t="inlineStr">
        <is>
          <t>NACE C - 33.2 Installation of industrial machinery and equipment</t>
        </is>
      </c>
      <c r="C152" s="285" t="inlineStr">
        <is>
          <t>Macao</t>
        </is>
      </c>
      <c r="D152" t="inlineStr">
        <is>
          <t>country:MO</t>
        </is>
      </c>
      <c r="E152">
        <f>RIGHT(D152,2)</f>
        <v/>
      </c>
      <c r="F152" s="359" t="n"/>
      <c r="I152" t="inlineStr">
        <is>
          <t>06 - WASTES FROM INORGANIC CHEMICAL PROCESSES</t>
        </is>
      </c>
      <c r="Y152" t="inlineStr">
        <is>
          <t>UZS</t>
        </is>
      </c>
    </row>
    <row r="153">
      <c r="A153" s="288" t="inlineStr">
        <is>
          <t>NACE C - 13.99 Manufacture of other textiles n.e.c.</t>
        </is>
      </c>
      <c r="B153" s="285" t="inlineStr">
        <is>
          <t>NACE C - MANUFACTURING</t>
        </is>
      </c>
      <c r="C153" s="285" t="inlineStr">
        <is>
          <t>Northern Mariana Islands</t>
        </is>
      </c>
      <c r="D153" t="inlineStr">
        <is>
          <t>country:MP</t>
        </is>
      </c>
      <c r="E153">
        <f>RIGHT(D153,2)</f>
        <v/>
      </c>
      <c r="F153" s="359" t="n"/>
      <c r="I153" t="inlineStr">
        <is>
          <t xml:space="preserve">  06 01 - Wastes from the manufacture, formulation, supply and use (MFSU) of acids</t>
        </is>
      </c>
      <c r="Y153" t="inlineStr">
        <is>
          <t>VES</t>
        </is>
      </c>
    </row>
    <row r="154">
      <c r="A154" s="284" t="inlineStr">
        <is>
          <t>NACE C - 14 Manufacture of wearing apparel</t>
        </is>
      </c>
      <c r="B154" s="284" t="inlineStr">
        <is>
          <t>NACE D - 35 Electricity, gas, steam and air conditioning supply</t>
        </is>
      </c>
      <c r="C154" s="285" t="inlineStr">
        <is>
          <t>Martinique</t>
        </is>
      </c>
      <c r="D154" t="inlineStr">
        <is>
          <t>country:MQ</t>
        </is>
      </c>
      <c r="E154">
        <f>RIGHT(D154,2)</f>
        <v/>
      </c>
      <c r="F154" s="360" t="n"/>
      <c r="I154" t="inlineStr">
        <is>
          <t xml:space="preserve">    06 01 01 - Hazardous - Sulphuric acid and sulphurous acid</t>
        </is>
      </c>
      <c r="Y154" t="inlineStr">
        <is>
          <t>VND</t>
        </is>
      </c>
    </row>
    <row r="155">
      <c r="A155" s="287" t="inlineStr">
        <is>
          <t>NACE C - 14.1 Manufacture of knitted and crocheted apparel</t>
        </is>
      </c>
      <c r="B155" s="287" t="inlineStr">
        <is>
          <t>NACE D - 35.1 Electric power generation, transmission and distribution</t>
        </is>
      </c>
      <c r="C155" s="285" t="inlineStr">
        <is>
          <t>Mauritania</t>
        </is>
      </c>
      <c r="D155" t="inlineStr">
        <is>
          <t>country:MR</t>
        </is>
      </c>
      <c r="E155">
        <f>RIGHT(D155,2)</f>
        <v/>
      </c>
      <c r="F155" s="360" t="n"/>
      <c r="I155" t="inlineStr">
        <is>
          <t xml:space="preserve">    06 01 02 - Hazardous - Hydrochloric acid</t>
        </is>
      </c>
      <c r="Y155" t="inlineStr">
        <is>
          <t>VUV</t>
        </is>
      </c>
    </row>
    <row r="156">
      <c r="A156" s="288" t="inlineStr">
        <is>
          <t>NACE C - 14.10 Manufacture of knitted and crocheted apparel</t>
        </is>
      </c>
      <c r="B156" s="287" t="inlineStr">
        <is>
          <t>NACE D - 35.2 Manufacture of gas, and distribution of gaseous fuels through mains</t>
        </is>
      </c>
      <c r="C156" s="285" t="inlineStr">
        <is>
          <t>Montserrat</t>
        </is>
      </c>
      <c r="D156" t="inlineStr">
        <is>
          <t>country:MS</t>
        </is>
      </c>
      <c r="E156">
        <f>RIGHT(D156,2)</f>
        <v/>
      </c>
      <c r="F156" s="88" t="n"/>
      <c r="I156" t="inlineStr">
        <is>
          <t xml:space="preserve">    06 01 03 - Hazardous - Hydrofluoric acid</t>
        </is>
      </c>
      <c r="Y156" t="inlineStr">
        <is>
          <t>WST</t>
        </is>
      </c>
    </row>
    <row r="157">
      <c r="A157" s="287" t="inlineStr">
        <is>
          <t>NACE C - 14.2 Manufacture of other wearing apparel and accessories</t>
        </is>
      </c>
      <c r="B157" s="287" t="inlineStr">
        <is>
          <t>NACE D - 35.3 Steam and air conditioning supply</t>
        </is>
      </c>
      <c r="C157" s="285" t="inlineStr">
        <is>
          <t>Malta</t>
        </is>
      </c>
      <c r="D157" t="inlineStr">
        <is>
          <t>country:MT</t>
        </is>
      </c>
      <c r="E157">
        <f>RIGHT(D157,2)</f>
        <v/>
      </c>
      <c r="F157" s="360" t="n"/>
      <c r="I157" t="inlineStr">
        <is>
          <t xml:space="preserve">    06 01 04 - Hazardous - Phosphoric and phosphorous acid</t>
        </is>
      </c>
      <c r="Y157" t="inlineStr">
        <is>
          <t>XAF</t>
        </is>
      </c>
    </row>
    <row r="158">
      <c r="A158" s="288" t="inlineStr">
        <is>
          <t>NACE C - 14.21 Manufacture of outerwear</t>
        </is>
      </c>
      <c r="B158" s="287" t="inlineStr">
        <is>
          <t>NACE D - 35.4 Activities of brokers and agents for electric power and natural gas</t>
        </is>
      </c>
      <c r="C158" s="285" t="inlineStr">
        <is>
          <t>Mauritius</t>
        </is>
      </c>
      <c r="D158" t="inlineStr">
        <is>
          <t>country:MU</t>
        </is>
      </c>
      <c r="E158">
        <f>RIGHT(D158,2)</f>
        <v/>
      </c>
      <c r="F158" s="88" t="n"/>
      <c r="I158" t="inlineStr">
        <is>
          <t xml:space="preserve">    06 01 05 - Hazardous - Nitric acid and nitrous acid</t>
        </is>
      </c>
      <c r="Y158" t="inlineStr">
        <is>
          <t>XAG</t>
        </is>
      </c>
    </row>
    <row r="159">
      <c r="A159" s="288" t="inlineStr">
        <is>
          <t>NACE C - 14.22 Manufacture of underwear</t>
        </is>
      </c>
      <c r="B159" s="285" t="inlineStr">
        <is>
          <t>NACE D - ELECTRICITY, GAS, STEAM AND AIR CONDITIONING SUPPLY</t>
        </is>
      </c>
      <c r="C159" s="285" t="inlineStr">
        <is>
          <t>Maldives</t>
        </is>
      </c>
      <c r="D159" t="inlineStr">
        <is>
          <t>country:MV</t>
        </is>
      </c>
      <c r="E159">
        <f>RIGHT(D159,2)</f>
        <v/>
      </c>
      <c r="F159" s="88" t="n"/>
      <c r="I159" t="inlineStr">
        <is>
          <t xml:space="preserve">    06 01 06 - Hazardous - Other acids</t>
        </is>
      </c>
      <c r="Y159" t="inlineStr">
        <is>
          <t>XAU</t>
        </is>
      </c>
    </row>
    <row r="160">
      <c r="A160" s="288" t="inlineStr">
        <is>
          <t>NACE C - 14.23 Manufacture of workwear</t>
        </is>
      </c>
      <c r="B160" s="284" t="inlineStr">
        <is>
          <t>NACE E - 36 Water collection, treatment and supply</t>
        </is>
      </c>
      <c r="C160" s="285" t="inlineStr">
        <is>
          <t>Malawi</t>
        </is>
      </c>
      <c r="D160" t="inlineStr">
        <is>
          <t>country:MW</t>
        </is>
      </c>
      <c r="E160">
        <f>RIGHT(D160,2)</f>
        <v/>
      </c>
      <c r="F160" s="88" t="n"/>
      <c r="I160" t="inlineStr">
        <is>
          <t xml:space="preserve">    06 01 99 - Non-Hazardous - Wastes not otherwise specified</t>
        </is>
      </c>
      <c r="Y160" t="inlineStr">
        <is>
          <t>XCD</t>
        </is>
      </c>
    </row>
    <row r="161">
      <c r="A161" s="288" t="inlineStr">
        <is>
          <t>NACE C - 14.24 Manufacture of leather clothes and fur apparel</t>
        </is>
      </c>
      <c r="B161" s="287" t="inlineStr">
        <is>
          <t>NACE E - 36.0 Water collection, treatment and supply</t>
        </is>
      </c>
      <c r="C161" s="285" t="inlineStr">
        <is>
          <t>Mexico</t>
        </is>
      </c>
      <c r="D161" t="inlineStr">
        <is>
          <t>country:MX</t>
        </is>
      </c>
      <c r="E161">
        <f>RIGHT(D161,2)</f>
        <v/>
      </c>
      <c r="F161" s="88" t="n"/>
      <c r="I161" t="inlineStr">
        <is>
          <t xml:space="preserve">  06 02 - Wastes from the MFSU of bases</t>
        </is>
      </c>
      <c r="Y161" t="inlineStr">
        <is>
          <t>XDR</t>
        </is>
      </c>
    </row>
    <row r="162">
      <c r="A162" s="288" t="inlineStr">
        <is>
          <t>NACE C - 14.29 Manufacture of other wearing apparel and accessories n.e.c.</t>
        </is>
      </c>
      <c r="B162" s="284" t="inlineStr">
        <is>
          <t>NACE E - 37 Sewerage</t>
        </is>
      </c>
      <c r="C162" s="285" t="inlineStr">
        <is>
          <t>Malaysia</t>
        </is>
      </c>
      <c r="D162" t="inlineStr">
        <is>
          <t>country:MY</t>
        </is>
      </c>
      <c r="E162">
        <f>RIGHT(D162,2)</f>
        <v/>
      </c>
      <c r="I162" t="inlineStr">
        <is>
          <t xml:space="preserve">    06 02 01 - Hazardous - Calcium hydroxide</t>
        </is>
      </c>
      <c r="Y162" t="inlineStr">
        <is>
          <t>XOF</t>
        </is>
      </c>
    </row>
    <row r="163">
      <c r="A163" s="284" t="inlineStr">
        <is>
          <t>NACE C - 15 Manufacture of leather and related products of other materials</t>
        </is>
      </c>
      <c r="B163" s="287" t="inlineStr">
        <is>
          <t>NACE E - 37.0 Sewerage</t>
        </is>
      </c>
      <c r="C163" s="285" t="inlineStr">
        <is>
          <t>Mozambique</t>
        </is>
      </c>
      <c r="D163" t="inlineStr">
        <is>
          <t>country:MZ</t>
        </is>
      </c>
      <c r="E163">
        <f>RIGHT(D163,2)</f>
        <v/>
      </c>
      <c r="I163" t="inlineStr">
        <is>
          <t xml:space="preserve">    06 02 03 - Hazardous - Ammonium hydroxide</t>
        </is>
      </c>
      <c r="Y163" t="inlineStr">
        <is>
          <t>XPD</t>
        </is>
      </c>
    </row>
    <row r="164">
      <c r="A164" s="287" t="inlineStr">
        <is>
          <t>NACE C - 15.1 Tanning, dyeing, dressing of leather and fur; manufacture of luggage, handbags, saddlery and harness</t>
        </is>
      </c>
      <c r="B164" s="284" t="inlineStr">
        <is>
          <t>NACE E - 38 Waste collection, recovery and disposal activities</t>
        </is>
      </c>
      <c r="C164" s="285" t="inlineStr">
        <is>
          <t>Namibia</t>
        </is>
      </c>
      <c r="D164" t="inlineStr">
        <is>
          <t>country:NA</t>
        </is>
      </c>
      <c r="E164">
        <f>RIGHT(D164,2)</f>
        <v/>
      </c>
      <c r="I164" t="inlineStr">
        <is>
          <t xml:space="preserve">    06 02 04 - Hazardous - Sodium and potassium hydroxide</t>
        </is>
      </c>
      <c r="Y164" t="inlineStr">
        <is>
          <t>XPF</t>
        </is>
      </c>
    </row>
    <row r="165">
      <c r="A165" s="288" t="inlineStr">
        <is>
          <t>NACE C - 15.11 Tanning, dressing, dyeing of leather and fur</t>
        </is>
      </c>
      <c r="B165" s="287" t="inlineStr">
        <is>
          <t>NACE E - 38.1 Waste collection</t>
        </is>
      </c>
      <c r="C165" s="285" t="inlineStr">
        <is>
          <t>New Caledonia</t>
        </is>
      </c>
      <c r="D165" t="inlineStr">
        <is>
          <t>country:NC</t>
        </is>
      </c>
      <c r="E165">
        <f>RIGHT(D165,2)</f>
        <v/>
      </c>
      <c r="I165" t="inlineStr">
        <is>
          <t xml:space="preserve">    06 02 05 - Hazardous - Other bases</t>
        </is>
      </c>
      <c r="Y165" t="inlineStr">
        <is>
          <t>XPT</t>
        </is>
      </c>
    </row>
    <row r="166">
      <c r="A166" s="288" t="inlineStr">
        <is>
          <t>NACE C - 15.12 Manufacture of luggage, handbags, saddlery and harness of any material</t>
        </is>
      </c>
      <c r="B166" s="287" t="inlineStr">
        <is>
          <t>NACE E - 38.2 Waste recovery</t>
        </is>
      </c>
      <c r="C166" s="285" t="inlineStr">
        <is>
          <t>Niger</t>
        </is>
      </c>
      <c r="D166" t="inlineStr">
        <is>
          <t>country:NE</t>
        </is>
      </c>
      <c r="E166">
        <f>RIGHT(D166,2)</f>
        <v/>
      </c>
      <c r="I166" t="inlineStr">
        <is>
          <t xml:space="preserve">    06 02 99 - Non-Hazardous - Wastes not otherwise specified</t>
        </is>
      </c>
      <c r="Y166" t="inlineStr">
        <is>
          <t>XSU</t>
        </is>
      </c>
    </row>
    <row r="167">
      <c r="A167" s="287" t="inlineStr">
        <is>
          <t>NACE C - 15.2 Manufacture of footwear</t>
        </is>
      </c>
      <c r="B167" s="287" t="inlineStr">
        <is>
          <t>NACE E - 38.3 Waste disposal without recovery</t>
        </is>
      </c>
      <c r="C167" s="285" t="inlineStr">
        <is>
          <t>Norfolk Island</t>
        </is>
      </c>
      <c r="D167" t="inlineStr">
        <is>
          <t>country:NF</t>
        </is>
      </c>
      <c r="E167">
        <f>RIGHT(D167,2)</f>
        <v/>
      </c>
      <c r="I167" t="inlineStr">
        <is>
          <t xml:space="preserve">  06 03 - Wastes from the MFSU of salts and their solutions and metallic oxides</t>
        </is>
      </c>
      <c r="Y167" t="inlineStr">
        <is>
          <t>XUA</t>
        </is>
      </c>
    </row>
    <row r="168">
      <c r="A168" s="288" t="inlineStr">
        <is>
          <t>NACE C - 15.20 Manufacture of footwear</t>
        </is>
      </c>
      <c r="B168" s="284" t="inlineStr">
        <is>
          <t>NACE E - 39 Remediation activities and other waste management service activities</t>
        </is>
      </c>
      <c r="C168" s="285" t="inlineStr">
        <is>
          <t>Nigeria</t>
        </is>
      </c>
      <c r="D168" t="inlineStr">
        <is>
          <t>country:NG</t>
        </is>
      </c>
      <c r="E168">
        <f>RIGHT(D168,2)</f>
        <v/>
      </c>
      <c r="I168" t="inlineStr">
        <is>
          <t xml:space="preserve">    06 03 11 - Hazardous - Solid salts and solutions containing cyanides</t>
        </is>
      </c>
      <c r="Y168" t="inlineStr">
        <is>
          <t>YER</t>
        </is>
      </c>
    </row>
    <row r="169">
      <c r="A169" s="284" t="inlineStr">
        <is>
          <t>NACE C - 16 Manufacture of wood and of products of wood and cork, except furniture; manufacture of articles of straw and plaiting materials</t>
        </is>
      </c>
      <c r="B169" s="287" t="inlineStr">
        <is>
          <t>NACE E - 39.0 Remediation activities and other waste management service activities</t>
        </is>
      </c>
      <c r="C169" s="285" t="inlineStr">
        <is>
          <t>Nicaragua</t>
        </is>
      </c>
      <c r="D169" t="inlineStr">
        <is>
          <t>country:NI</t>
        </is>
      </c>
      <c r="E169">
        <f>RIGHT(D169,2)</f>
        <v/>
      </c>
      <c r="I169" t="inlineStr">
        <is>
          <t xml:space="preserve">    06 03 13 - Hazardous - Solid salts and solutions containing heavy metals</t>
        </is>
      </c>
      <c r="Y169" t="inlineStr">
        <is>
          <t>ZAR</t>
        </is>
      </c>
    </row>
    <row r="170">
      <c r="A170" s="287" t="inlineStr">
        <is>
          <t>NACE C - 16.1 Sawmilling and planing of wood; processing and finishing of wood</t>
        </is>
      </c>
      <c r="B170" s="285" t="inlineStr">
        <is>
          <t>NACE E - WATER SUPPLY; SEWERAGE, WASTE MANAGEMENT AND REMEDIATION ACTIVITIES</t>
        </is>
      </c>
      <c r="C170" s="285" t="inlineStr">
        <is>
          <t>Netherlands (Kingdom of the)</t>
        </is>
      </c>
      <c r="D170" t="inlineStr">
        <is>
          <t>country:NL</t>
        </is>
      </c>
      <c r="E170">
        <f>RIGHT(D170,2)</f>
        <v/>
      </c>
      <c r="I170" t="inlineStr">
        <is>
          <t xml:space="preserve">    06 03 14 - Non-Hazardous - Solid salts and solutions other than those mentioned in 06 03 11 and 06 03 13</t>
        </is>
      </c>
      <c r="Y170" t="inlineStr">
        <is>
          <t>ZMW</t>
        </is>
      </c>
    </row>
    <row r="171">
      <c r="A171" s="288" t="inlineStr">
        <is>
          <t>NACE C - 16.11 Sawmilling and planing of wood</t>
        </is>
      </c>
      <c r="B171" s="284" t="inlineStr">
        <is>
          <t>NACE F - 41 Construction of residential and non-residential buildings</t>
        </is>
      </c>
      <c r="C171" s="285" t="inlineStr">
        <is>
          <t>Norway</t>
        </is>
      </c>
      <c r="D171" t="inlineStr">
        <is>
          <t>country:NO</t>
        </is>
      </c>
      <c r="E171">
        <f>RIGHT(D171,2)</f>
        <v/>
      </c>
      <c r="I171" t="inlineStr">
        <is>
          <t xml:space="preserve">    06 03 15 - Hazardous - Metallic oxides containing heavy metals</t>
        </is>
      </c>
    </row>
    <row r="172">
      <c r="A172" s="288" t="inlineStr">
        <is>
          <t>NACE C - 16.12 Processing and finishing of wood</t>
        </is>
      </c>
      <c r="B172" s="287" t="inlineStr">
        <is>
          <t>NACE F - 41.0 Construction of residential and non-residential buildings</t>
        </is>
      </c>
      <c r="C172" s="285" t="inlineStr">
        <is>
          <t>Nepal</t>
        </is>
      </c>
      <c r="D172" t="inlineStr">
        <is>
          <t>country:NP</t>
        </is>
      </c>
      <c r="E172">
        <f>RIGHT(D172,2)</f>
        <v/>
      </c>
      <c r="I172" t="inlineStr">
        <is>
          <t xml:space="preserve">    06 03 16 - Non-Hazardous - Metallic oxides other than those mentioned in 06 03 15</t>
        </is>
      </c>
    </row>
    <row r="173">
      <c r="A173" s="287" t="inlineStr">
        <is>
          <t>NACE C - 16.2 Manufacture of products of wood, cork, straw and plaiting materials</t>
        </is>
      </c>
      <c r="B173" s="284" t="inlineStr">
        <is>
          <t>NACE F - 42 Civil engineering</t>
        </is>
      </c>
      <c r="C173" s="285" t="inlineStr">
        <is>
          <t>Nauru</t>
        </is>
      </c>
      <c r="D173" t="inlineStr">
        <is>
          <t>country:NR</t>
        </is>
      </c>
      <c r="E173">
        <f>RIGHT(D173,2)</f>
        <v/>
      </c>
      <c r="I173" t="inlineStr">
        <is>
          <t xml:space="preserve">    06 03 99 - Non-Hazardous - Wastes not otherwise specified</t>
        </is>
      </c>
    </row>
    <row r="174">
      <c r="A174" s="288" t="inlineStr">
        <is>
          <t>NACE C - 16.21 Manufacture of veneer sheets and wood-based panels</t>
        </is>
      </c>
      <c r="B174" s="287" t="inlineStr">
        <is>
          <t>NACE F - 42.1 Construction of roads and railways</t>
        </is>
      </c>
      <c r="C174" s="285" t="inlineStr">
        <is>
          <t>Neutral Zone (before 1993-07-12)</t>
        </is>
      </c>
      <c r="D174" t="inlineStr">
        <is>
          <t>country:NT</t>
        </is>
      </c>
      <c r="E174">
        <f>RIGHT(D174,2)</f>
        <v/>
      </c>
      <c r="I174" t="inlineStr">
        <is>
          <t xml:space="preserve">  06 04 - Metal-containing wastes other than those mentioned in 06 03</t>
        </is>
      </c>
    </row>
    <row r="175">
      <c r="A175" s="288" t="inlineStr">
        <is>
          <t>NACE C - 16.22 Manufacture of assembled parquet floors</t>
        </is>
      </c>
      <c r="B175" s="287" t="inlineStr">
        <is>
          <t>NACE F - 42.2 Construction of utility projects</t>
        </is>
      </c>
      <c r="C175" s="285" t="inlineStr">
        <is>
          <t>Niue</t>
        </is>
      </c>
      <c r="D175" t="inlineStr">
        <is>
          <t>country:NU</t>
        </is>
      </c>
      <c r="E175">
        <f>RIGHT(D175,2)</f>
        <v/>
      </c>
      <c r="I175" t="inlineStr">
        <is>
          <t xml:space="preserve">    06 04 03 - Hazardous - Wastes containing arsenic</t>
        </is>
      </c>
    </row>
    <row r="176">
      <c r="A176" s="288" t="inlineStr">
        <is>
          <t>NACE C - 16.23 Manufacture of other builders’ carpentry and joinery</t>
        </is>
      </c>
      <c r="B176" s="287" t="inlineStr">
        <is>
          <t>NACE F - 42.9 Construction of other civil engineering projects</t>
        </is>
      </c>
      <c r="C176" s="285" t="inlineStr">
        <is>
          <t>New Zealand</t>
        </is>
      </c>
      <c r="D176" t="inlineStr">
        <is>
          <t>country:NZ</t>
        </is>
      </c>
      <c r="E176">
        <f>RIGHT(D176,2)</f>
        <v/>
      </c>
      <c r="I176" t="inlineStr">
        <is>
          <t xml:space="preserve">    06 04 04 - Hazardous - Wastes containing mercury</t>
        </is>
      </c>
    </row>
    <row r="177">
      <c r="A177" s="288" t="inlineStr">
        <is>
          <t>NACE C - 16.24 Manufacture of wooden containers</t>
        </is>
      </c>
      <c r="B177" s="284" t="inlineStr">
        <is>
          <t>NACE F - 43 Specialised construction activities</t>
        </is>
      </c>
      <c r="C177" s="285" t="inlineStr">
        <is>
          <t>Oman</t>
        </is>
      </c>
      <c r="D177" t="inlineStr">
        <is>
          <t>country:OM</t>
        </is>
      </c>
      <c r="E177">
        <f>RIGHT(D177,2)</f>
        <v/>
      </c>
      <c r="I177" t="inlineStr">
        <is>
          <t xml:space="preserve">    06 04 05 - Hazardous - Wastes containing other heavy metals</t>
        </is>
      </c>
    </row>
    <row r="178">
      <c r="A178" s="288" t="inlineStr">
        <is>
          <t>NACE C - 16.25 Manufacture of doors and windows of wood</t>
        </is>
      </c>
      <c r="B178" s="287" t="inlineStr">
        <is>
          <t>NACE F - 43.1 Demolition and site preparation</t>
        </is>
      </c>
      <c r="C178" s="285" t="inlineStr">
        <is>
          <t>Panama</t>
        </is>
      </c>
      <c r="D178" t="inlineStr">
        <is>
          <t>country:PA</t>
        </is>
      </c>
      <c r="E178">
        <f>RIGHT(D178,2)</f>
        <v/>
      </c>
      <c r="I178" t="inlineStr">
        <is>
          <t xml:space="preserve">    06 04 99 - Non-Hazardous - Wastes not otherwise specified</t>
        </is>
      </c>
    </row>
    <row r="179">
      <c r="A179" s="288" t="inlineStr">
        <is>
          <t>NACE C - 16.26 Manufacture of solid fuels from vegetable biomass</t>
        </is>
      </c>
      <c r="B179" s="287" t="inlineStr">
        <is>
          <t>NACE F - 43.2 Electrical, plumbing and other construction installation activities</t>
        </is>
      </c>
      <c r="C179" s="285" t="inlineStr">
        <is>
          <t>Peru</t>
        </is>
      </c>
      <c r="D179" t="inlineStr">
        <is>
          <t>country:PE</t>
        </is>
      </c>
      <c r="E179">
        <f>RIGHT(D179,2)</f>
        <v/>
      </c>
      <c r="I179" t="inlineStr">
        <is>
          <t xml:space="preserve">  06 05 - Sludges from on-site effluent treatment</t>
        </is>
      </c>
    </row>
    <row r="180">
      <c r="A180" s="288" t="inlineStr">
        <is>
          <t>NACE C - 16.27 Finishing of wooden products</t>
        </is>
      </c>
      <c r="B180" s="287" t="inlineStr">
        <is>
          <t>NACE F - 43.3 Building completion and finishing</t>
        </is>
      </c>
      <c r="C180" s="285" t="inlineStr">
        <is>
          <t>French Polynesia</t>
        </is>
      </c>
      <c r="D180" t="inlineStr">
        <is>
          <t>country:PF</t>
        </is>
      </c>
      <c r="E180">
        <f>RIGHT(D180,2)</f>
        <v/>
      </c>
      <c r="I180" t="inlineStr">
        <is>
          <t xml:space="preserve">    06 05 02 - Hazardous - Sludges from on-site effluent treatment containing hazardous substances</t>
        </is>
      </c>
    </row>
    <row r="181">
      <c r="A181" s="288" t="inlineStr">
        <is>
          <t>NACE C - 16.28 Manufacture of other products of wood and articles of cork, straw and plaiting materials</t>
        </is>
      </c>
      <c r="B181" s="287" t="inlineStr">
        <is>
          <t>NACE F - 43.4 Specialised construction activities in construction of buildings</t>
        </is>
      </c>
      <c r="C181" s="285" t="inlineStr">
        <is>
          <t>Papua New Guinea</t>
        </is>
      </c>
      <c r="D181" t="inlineStr">
        <is>
          <t>country:PG</t>
        </is>
      </c>
      <c r="E181">
        <f>RIGHT(D181,2)</f>
        <v/>
      </c>
      <c r="I181" t="inlineStr">
        <is>
          <t xml:space="preserve">    06 05 03 - Non-Hazardous - Sludges from on-site effluent treatment other than those mentioned in 06 05 02</t>
        </is>
      </c>
    </row>
    <row r="182">
      <c r="A182" s="284" t="inlineStr">
        <is>
          <t>NACE C - 17 Manufacture of paper and paper products</t>
        </is>
      </c>
      <c r="B182" s="287" t="inlineStr">
        <is>
          <t>NACE F - 43.5 Specialised construction activities in civil engineering</t>
        </is>
      </c>
      <c r="C182" s="285" t="inlineStr">
        <is>
          <t>Philippines</t>
        </is>
      </c>
      <c r="D182" t="inlineStr">
        <is>
          <t>country:PH</t>
        </is>
      </c>
      <c r="E182">
        <f>RIGHT(D182,2)</f>
        <v/>
      </c>
      <c r="I182" t="inlineStr">
        <is>
          <t xml:space="preserve">  06 06 - Wastes from the MFSU of sulphur chemicals, sulphur chemical processes and desulphurisation processes</t>
        </is>
      </c>
    </row>
    <row r="183">
      <c r="A183" s="287" t="inlineStr">
        <is>
          <t>NACE C - 17.1 Manufacture of pulp, paper and paperboard</t>
        </is>
      </c>
      <c r="B183" s="287" t="inlineStr">
        <is>
          <t>NACE F - 43.6 Intermediation service activities for specialised construction services</t>
        </is>
      </c>
      <c r="C183" s="285" t="inlineStr">
        <is>
          <t>Pakistan</t>
        </is>
      </c>
      <c r="D183" t="inlineStr">
        <is>
          <t>country:PK</t>
        </is>
      </c>
      <c r="E183">
        <f>RIGHT(D183,2)</f>
        <v/>
      </c>
      <c r="I183" t="inlineStr">
        <is>
          <t xml:space="preserve">    06 06 02 - Hazardous - Wastes containing hazardous sulphides</t>
        </is>
      </c>
    </row>
    <row r="184">
      <c r="A184" s="288" t="inlineStr">
        <is>
          <t>NACE C - 17.11 Manufacture of pulp</t>
        </is>
      </c>
      <c r="B184" s="287" t="inlineStr">
        <is>
          <t>NACE F - 43.9 Other specialised construction activities</t>
        </is>
      </c>
      <c r="C184" s="285" t="inlineStr">
        <is>
          <t>Poland</t>
        </is>
      </c>
      <c r="D184" t="inlineStr">
        <is>
          <t>country:PL</t>
        </is>
      </c>
      <c r="E184">
        <f>RIGHT(D184,2)</f>
        <v/>
      </c>
      <c r="I184" t="inlineStr">
        <is>
          <t xml:space="preserve">    06 06 03 - Non-Hazardous - Wastes containing sulphides other than those mentioned in 06 06 02</t>
        </is>
      </c>
    </row>
    <row r="185">
      <c r="A185" s="288" t="inlineStr">
        <is>
          <t>NACE C - 17.12 Manufacture of paper and paperboard</t>
        </is>
      </c>
      <c r="B185" s="285" t="inlineStr">
        <is>
          <t>NACE F - CONSTRUCTION</t>
        </is>
      </c>
      <c r="C185" s="285" t="inlineStr">
        <is>
          <t>Saint Pierre and Miquelon</t>
        </is>
      </c>
      <c r="D185" t="inlineStr">
        <is>
          <t>country:PM</t>
        </is>
      </c>
      <c r="E185">
        <f>RIGHT(D185,2)</f>
        <v/>
      </c>
      <c r="I185" t="inlineStr">
        <is>
          <t xml:space="preserve">    06 06 99 - Non-Hazardous - Wastes not otherwise specified</t>
        </is>
      </c>
    </row>
    <row r="186">
      <c r="A186" s="287" t="inlineStr">
        <is>
          <t>NACE C - 17.2 Manufacture of articles of paper and paperboard</t>
        </is>
      </c>
      <c r="B186" s="284" t="inlineStr">
        <is>
          <t>NACE G - 46 Wholesale trade</t>
        </is>
      </c>
      <c r="C186" s="285" t="inlineStr">
        <is>
          <t>Pitcairn</t>
        </is>
      </c>
      <c r="D186" t="inlineStr">
        <is>
          <t>country:PN</t>
        </is>
      </c>
      <c r="E186">
        <f>RIGHT(D186,2)</f>
        <v/>
      </c>
      <c r="I186" t="inlineStr">
        <is>
          <t xml:space="preserve">  06 07 - Wastes from the MFSU of halogens and halogen chemical processes</t>
        </is>
      </c>
    </row>
    <row r="187">
      <c r="A187" s="288" t="inlineStr">
        <is>
          <t>NACE C - 17.21 Manufacture of corrugated paper, paperboard and containers of paper and paperboard</t>
        </is>
      </c>
      <c r="B187" s="287" t="inlineStr">
        <is>
          <t>NACE G - 46.1 Wholesale on a fee or contract basis</t>
        </is>
      </c>
      <c r="C187" s="285" t="inlineStr">
        <is>
          <t>Puerto Rico</t>
        </is>
      </c>
      <c r="D187" t="inlineStr">
        <is>
          <t>country:PR</t>
        </is>
      </c>
      <c r="E187">
        <f>RIGHT(D187,2)</f>
        <v/>
      </c>
      <c r="I187" t="inlineStr">
        <is>
          <t xml:space="preserve">    06 07 01 - Hazardous - Wastes containing asbestos from electrolysis</t>
        </is>
      </c>
    </row>
    <row r="188">
      <c r="A188" s="288" t="inlineStr">
        <is>
          <t>NACE C - 17.22 Manufacture of household and sanitary goods and of toilet requisites</t>
        </is>
      </c>
      <c r="B188" s="287" t="inlineStr">
        <is>
          <t>NACE G - 46.2 Wholesale of agricultural raw materials and live animals</t>
        </is>
      </c>
      <c r="C188" s="285" t="inlineStr">
        <is>
          <t>Palestine, State of</t>
        </is>
      </c>
      <c r="D188" t="inlineStr">
        <is>
          <t>country:PS</t>
        </is>
      </c>
      <c r="E188">
        <f>RIGHT(D188,2)</f>
        <v/>
      </c>
      <c r="I188" t="inlineStr">
        <is>
          <t xml:space="preserve">    06 07 02 - Hazardous - Activated carbon from chlorine production</t>
        </is>
      </c>
    </row>
    <row r="189">
      <c r="A189" s="288" t="inlineStr">
        <is>
          <t>NACE C - 17.23 Manufacture of paper stationery</t>
        </is>
      </c>
      <c r="B189" s="287" t="inlineStr">
        <is>
          <t>NACE G - 46.3 Wholesale of food, beverages and tobacco</t>
        </is>
      </c>
      <c r="C189" s="285" t="inlineStr">
        <is>
          <t>Portugal</t>
        </is>
      </c>
      <c r="D189" t="inlineStr">
        <is>
          <t>country:PT</t>
        </is>
      </c>
      <c r="E189">
        <f>RIGHT(D189,2)</f>
        <v/>
      </c>
      <c r="I189" t="inlineStr">
        <is>
          <t xml:space="preserve">    06 07 03 - Hazardous - Barium sulphate sludge containing mercury</t>
        </is>
      </c>
    </row>
    <row r="190">
      <c r="A190" s="288" t="inlineStr">
        <is>
          <t>NACE C - 17.24 Manufacture of wallpaper</t>
        </is>
      </c>
      <c r="B190" s="287" t="inlineStr">
        <is>
          <t>NACE G - 46.4 Wholesale of household goods</t>
        </is>
      </c>
      <c r="C190" s="285" t="inlineStr">
        <is>
          <t>Palau</t>
        </is>
      </c>
      <c r="D190" t="inlineStr">
        <is>
          <t>country:PW</t>
        </is>
      </c>
      <c r="E190">
        <f>RIGHT(D190,2)</f>
        <v/>
      </c>
      <c r="I190" t="inlineStr">
        <is>
          <t xml:space="preserve">    06 07 04 - Hazardous - Solutions and acids, for example contact acid</t>
        </is>
      </c>
    </row>
    <row r="191">
      <c r="A191" s="288" t="inlineStr">
        <is>
          <t>NACE C - 17.25 Manufacture of other articles of paper and paperboard</t>
        </is>
      </c>
      <c r="B191" s="287" t="inlineStr">
        <is>
          <t>NACE G - 46.5 Wholesale of information and communication equipment</t>
        </is>
      </c>
      <c r="C191" s="285" t="inlineStr">
        <is>
          <t>Paraguay</t>
        </is>
      </c>
      <c r="D191" t="inlineStr">
        <is>
          <t>country:PY</t>
        </is>
      </c>
      <c r="E191">
        <f>RIGHT(D191,2)</f>
        <v/>
      </c>
      <c r="I191" t="inlineStr">
        <is>
          <t xml:space="preserve">    06 07 99 - Non-Hazardous - Wastes not otherwise specified</t>
        </is>
      </c>
    </row>
    <row r="192">
      <c r="A192" s="284" t="inlineStr">
        <is>
          <t>NACE C - 18 Printing and reproduction of recorded media</t>
        </is>
      </c>
      <c r="B192" s="287" t="inlineStr">
        <is>
          <t>NACE G - 46.6 Wholesale of other machinery, equipment and supplies</t>
        </is>
      </c>
      <c r="C192" s="285" t="inlineStr">
        <is>
          <t>Qatar</t>
        </is>
      </c>
      <c r="D192" t="inlineStr">
        <is>
          <t>country:QA</t>
        </is>
      </c>
      <c r="E192">
        <f>RIGHT(D192,2)</f>
        <v/>
      </c>
      <c r="I192" t="inlineStr">
        <is>
          <t xml:space="preserve">  06 08 - Wastes from the MFSU of silicon and silicon derivatives</t>
        </is>
      </c>
    </row>
    <row r="193">
      <c r="A193" s="287" t="inlineStr">
        <is>
          <t>NACE C - 18.1 Printing and service activities related to printing</t>
        </is>
      </c>
      <c r="B193" s="287" t="inlineStr">
        <is>
          <t>NACE G - 46.7 Wholesale of motor vehicles, motorcycles and related parts and accessories</t>
        </is>
      </c>
      <c r="C193" s="285" t="inlineStr">
        <is>
          <t>Réunion</t>
        </is>
      </c>
      <c r="D193" t="inlineStr">
        <is>
          <t>country:RE</t>
        </is>
      </c>
      <c r="E193">
        <f>RIGHT(D193,2)</f>
        <v/>
      </c>
      <c r="I193" t="inlineStr">
        <is>
          <t xml:space="preserve">    06 08 02 - Hazardous - Waste containing hazardous chlorosilanes</t>
        </is>
      </c>
    </row>
    <row r="194">
      <c r="A194" s="288" t="inlineStr">
        <is>
          <t>NACE C - 18.11 Printing of newspapers</t>
        </is>
      </c>
      <c r="B194" s="287" t="inlineStr">
        <is>
          <t>NACE G - 46.8 Other specialised wholesale</t>
        </is>
      </c>
      <c r="C194" s="285" t="inlineStr">
        <is>
          <t>Romania</t>
        </is>
      </c>
      <c r="D194" t="inlineStr">
        <is>
          <t>country:RO</t>
        </is>
      </c>
      <c r="E194">
        <f>RIGHT(D194,2)</f>
        <v/>
      </c>
      <c r="I194" t="inlineStr">
        <is>
          <t xml:space="preserve">    06 08 99 - Non-Hazardous - Wastes not otherwise specified</t>
        </is>
      </c>
    </row>
    <row r="195">
      <c r="A195" s="288" t="inlineStr">
        <is>
          <t>NACE C - 18.12 Other printing</t>
        </is>
      </c>
      <c r="B195" s="287" t="inlineStr">
        <is>
          <t>NACE G - 46.9 Non-specialised wholesale trade</t>
        </is>
      </c>
      <c r="C195" s="285" t="inlineStr">
        <is>
          <t>Serbia</t>
        </is>
      </c>
      <c r="D195" t="inlineStr">
        <is>
          <t>country:RS</t>
        </is>
      </c>
      <c r="E195">
        <f>RIGHT(D195,2)</f>
        <v/>
      </c>
      <c r="I195" t="inlineStr">
        <is>
          <t xml:space="preserve">  06 09 - Wastes from the MSFU of phosphorous chemicals and phosphorous chemical processes</t>
        </is>
      </c>
    </row>
    <row r="196">
      <c r="A196" s="288" t="inlineStr">
        <is>
          <t>NACE C - 18.13 Pre-press and pre-media services</t>
        </is>
      </c>
      <c r="B196" s="284" t="inlineStr">
        <is>
          <t>NACE G - 47 Retail trade</t>
        </is>
      </c>
      <c r="C196" s="285" t="inlineStr">
        <is>
          <t>Russian Federation</t>
        </is>
      </c>
      <c r="D196" t="inlineStr">
        <is>
          <t>country:RU</t>
        </is>
      </c>
      <c r="E196">
        <f>RIGHT(D196,2)</f>
        <v/>
      </c>
      <c r="I196" t="inlineStr">
        <is>
          <t xml:space="preserve">    06 09 02 - Non-Hazardous - Phosphorous slag</t>
        </is>
      </c>
    </row>
    <row r="197">
      <c r="A197" s="288" t="inlineStr">
        <is>
          <t>NACE C - 18.14 Binding and related services</t>
        </is>
      </c>
      <c r="B197" s="287" t="inlineStr">
        <is>
          <t>NACE G - 47.1 Non-specialised retail sale</t>
        </is>
      </c>
      <c r="C197" s="285" t="inlineStr">
        <is>
          <t>Rwanda</t>
        </is>
      </c>
      <c r="D197" t="inlineStr">
        <is>
          <t>country:RW</t>
        </is>
      </c>
      <c r="E197">
        <f>RIGHT(D197,2)</f>
        <v/>
      </c>
      <c r="I197" t="inlineStr">
        <is>
          <t xml:space="preserve">    06 09 03 - Hazardous - Calcium-based reaction wastes containing or contaminated with hazardous substances</t>
        </is>
      </c>
    </row>
    <row r="198">
      <c r="A198" s="287" t="inlineStr">
        <is>
          <t>NACE C - 18.2 Reproduction of recorded media</t>
        </is>
      </c>
      <c r="B198" s="287" t="inlineStr">
        <is>
          <t>NACE G - 47.2 Retail sale of food, beverages and tobacco</t>
        </is>
      </c>
      <c r="C198" s="285" t="inlineStr">
        <is>
          <t>Saudi Arabia</t>
        </is>
      </c>
      <c r="D198" t="inlineStr">
        <is>
          <t>country:SA</t>
        </is>
      </c>
      <c r="E198">
        <f>RIGHT(D198,2)</f>
        <v/>
      </c>
      <c r="I198" t="inlineStr">
        <is>
          <t xml:space="preserve">    06 09 04 - Non-Hazardous - Calcium-based reaction wastes other than those mentioned in 06 09 03</t>
        </is>
      </c>
    </row>
    <row r="199">
      <c r="A199" s="288" t="inlineStr">
        <is>
          <t>NACE C - 18.20 Reproduction of recorded media</t>
        </is>
      </c>
      <c r="B199" s="287" t="inlineStr">
        <is>
          <t>NACE G - 47.3 Retail sale of automotive fuel</t>
        </is>
      </c>
      <c r="C199" s="285" t="inlineStr">
        <is>
          <t>Solomon Islands</t>
        </is>
      </c>
      <c r="D199" t="inlineStr">
        <is>
          <t>country:SB</t>
        </is>
      </c>
      <c r="E199">
        <f>RIGHT(D199,2)</f>
        <v/>
      </c>
      <c r="I199" t="inlineStr">
        <is>
          <t xml:space="preserve">    06 09 99 - Non-Hazardous - Wastes not otherwise specified</t>
        </is>
      </c>
    </row>
    <row r="200">
      <c r="A200" s="284" t="inlineStr">
        <is>
          <t>NACE C - 19 Manufacture of coke and refined petroleum products</t>
        </is>
      </c>
      <c r="B200" s="287" t="inlineStr">
        <is>
          <t>NACE G - 47.4 Retail sale of information and communication equipment</t>
        </is>
      </c>
      <c r="C200" s="285" t="inlineStr">
        <is>
          <t>Seychelles</t>
        </is>
      </c>
      <c r="D200" t="inlineStr">
        <is>
          <t>country:SC</t>
        </is>
      </c>
      <c r="E200">
        <f>RIGHT(D200,2)</f>
        <v/>
      </c>
      <c r="I200" t="inlineStr">
        <is>
          <t xml:space="preserve">  06 10 - Wastes from the MFSU of nitrogen chemicals, nitrogen chemical processes and fertiliser manufacture</t>
        </is>
      </c>
    </row>
    <row r="201">
      <c r="A201" s="287" t="inlineStr">
        <is>
          <t>NACE C - 19.1 Manufacture of coke oven products</t>
        </is>
      </c>
      <c r="B201" s="287" t="inlineStr">
        <is>
          <t>NACE G - 47.5 Retail sale of other household equipment</t>
        </is>
      </c>
      <c r="C201" s="285" t="inlineStr">
        <is>
          <t>Sudan</t>
        </is>
      </c>
      <c r="D201" t="inlineStr">
        <is>
          <t>country:SD</t>
        </is>
      </c>
      <c r="E201">
        <f>RIGHT(D201,2)</f>
        <v/>
      </c>
      <c r="I201" t="inlineStr">
        <is>
          <t xml:space="preserve">    06 10 02 - Hazardous - Wastes containing hazardous substances</t>
        </is>
      </c>
    </row>
    <row r="202">
      <c r="A202" s="288" t="inlineStr">
        <is>
          <t>NACE C - 19.10 Manufacture of coke oven products</t>
        </is>
      </c>
      <c r="B202" s="287" t="inlineStr">
        <is>
          <t>NACE G - 47.6 Retail sale of cultural and recreation goods</t>
        </is>
      </c>
      <c r="C202" s="285" t="inlineStr">
        <is>
          <t>Sweden</t>
        </is>
      </c>
      <c r="D202" t="inlineStr">
        <is>
          <t>country:SE</t>
        </is>
      </c>
      <c r="E202">
        <f>RIGHT(D202,2)</f>
        <v/>
      </c>
      <c r="I202" t="inlineStr">
        <is>
          <t xml:space="preserve">    06 10 99 - Non-Hazardous - Wastes not otherwise specified</t>
        </is>
      </c>
    </row>
    <row r="203">
      <c r="A203" s="287" t="inlineStr">
        <is>
          <t>NACE C - 19.2 Manufacture of refined petroleum products and fossil fuel products</t>
        </is>
      </c>
      <c r="B203" s="287" t="inlineStr">
        <is>
          <t>NACE G - 47.7 Retail sale of other goods, except motor vehicles and motorcycles</t>
        </is>
      </c>
      <c r="C203" s="285" t="inlineStr">
        <is>
          <t>Singapore</t>
        </is>
      </c>
      <c r="D203" t="inlineStr">
        <is>
          <t>country:SG</t>
        </is>
      </c>
      <c r="E203">
        <f>RIGHT(D203,2)</f>
        <v/>
      </c>
      <c r="I203" t="inlineStr">
        <is>
          <t xml:space="preserve">  06 11 - Wastes from the manufacture of inorganic pigments and opacificiers</t>
        </is>
      </c>
    </row>
    <row r="204">
      <c r="A204" s="288" t="inlineStr">
        <is>
          <t>NACE C - 19.20 Manufacture of refined petroleum products and fossil fuel products</t>
        </is>
      </c>
      <c r="B204" s="287" t="inlineStr">
        <is>
          <t>NACE G - 47.8 Retail sale of motor vehicles, motorcycles and related parts and accessories</t>
        </is>
      </c>
      <c r="C204" s="285" t="inlineStr">
        <is>
          <t>Saint Helena, Ascension and Tristan da Cunha</t>
        </is>
      </c>
      <c r="D204" t="inlineStr">
        <is>
          <t>country:SH</t>
        </is>
      </c>
      <c r="E204">
        <f>RIGHT(D204,2)</f>
        <v/>
      </c>
      <c r="I204" t="inlineStr">
        <is>
          <t xml:space="preserve">    06 11 01 - Non-Hazardous - Calcium-based reaction wastes from titanium dioxide production</t>
        </is>
      </c>
    </row>
    <row r="205">
      <c r="A205" s="284" t="inlineStr">
        <is>
          <t>NACE C - 20 Manufacture of chemicals and chemical products</t>
        </is>
      </c>
      <c r="B205" s="287" t="inlineStr">
        <is>
          <t>NACE G - 47.9 Intermediation service activities for retail sale</t>
        </is>
      </c>
      <c r="C205" s="285" t="inlineStr">
        <is>
          <t>Slovenia</t>
        </is>
      </c>
      <c r="D205" t="inlineStr">
        <is>
          <t>country:SI</t>
        </is>
      </c>
      <c r="E205">
        <f>RIGHT(D205,2)</f>
        <v/>
      </c>
      <c r="I205" t="inlineStr">
        <is>
          <t xml:space="preserve">    06 11 99 - Non-Hazardous - Wastes not otherwise specified</t>
        </is>
      </c>
    </row>
    <row r="206">
      <c r="A206" s="287" t="inlineStr">
        <is>
          <t>NACE C - 20.1 Manufacture of basic chemicals, fertilisers and nitrogen compounds, plastics and synthetic rubber in primary forms</t>
        </is>
      </c>
      <c r="B206" s="285" t="inlineStr">
        <is>
          <t>NACE G - WHOLESALE AND RETAIL TRADE</t>
        </is>
      </c>
      <c r="C206" s="285" t="inlineStr">
        <is>
          <t>Svalbard and Jan Mayen</t>
        </is>
      </c>
      <c r="D206" t="inlineStr">
        <is>
          <t>country:SJ</t>
        </is>
      </c>
      <c r="E206">
        <f>RIGHT(D206,2)</f>
        <v/>
      </c>
      <c r="I206" t="inlineStr">
        <is>
          <t xml:space="preserve">  06 13 - Wastes from inorganic chemical processes not otherwise specified</t>
        </is>
      </c>
    </row>
    <row r="207">
      <c r="A207" s="288" t="inlineStr">
        <is>
          <t>NACE C - 20.11 Manufacture of industrial gases</t>
        </is>
      </c>
      <c r="B207" s="284" t="inlineStr">
        <is>
          <t>NACE H - 49 Land transport and transport via pipelines</t>
        </is>
      </c>
      <c r="C207" s="285" t="inlineStr">
        <is>
          <t>Slovakia</t>
        </is>
      </c>
      <c r="D207" t="inlineStr">
        <is>
          <t>country:SK</t>
        </is>
      </c>
      <c r="E207">
        <f>RIGHT(D207,2)</f>
        <v/>
      </c>
      <c r="I207" t="inlineStr">
        <is>
          <t xml:space="preserve">    06 13 01 - Hazardous - Inorganic plant protection products, wood-preserving agents and other biocides.</t>
        </is>
      </c>
    </row>
    <row r="208">
      <c r="A208" s="288" t="inlineStr">
        <is>
          <t>NACE C - 20.12 Manufacture of dyes and pigments</t>
        </is>
      </c>
      <c r="B208" s="287" t="inlineStr">
        <is>
          <t>NACE H - 49.1 Passenger rail transport</t>
        </is>
      </c>
      <c r="C208" s="285" t="inlineStr">
        <is>
          <t>Sierra Leone</t>
        </is>
      </c>
      <c r="D208" t="inlineStr">
        <is>
          <t>country:SL</t>
        </is>
      </c>
      <c r="E208">
        <f>RIGHT(D208,2)</f>
        <v/>
      </c>
      <c r="I208" t="inlineStr">
        <is>
          <t xml:space="preserve">    06 13 02 - Hazardous - Spent activated carbon (except 06 07 02)</t>
        </is>
      </c>
    </row>
    <row r="209">
      <c r="A209" s="288" t="inlineStr">
        <is>
          <t>NACE C - 20.13 Manufacture of other inorganic basic chemicals</t>
        </is>
      </c>
      <c r="B209" s="287" t="inlineStr">
        <is>
          <t>NACE H - 49.2 Freight rail transport</t>
        </is>
      </c>
      <c r="C209" s="285" t="inlineStr">
        <is>
          <t>San Marino</t>
        </is>
      </c>
      <c r="D209" t="inlineStr">
        <is>
          <t>country:SM</t>
        </is>
      </c>
      <c r="E209">
        <f>RIGHT(D209,2)</f>
        <v/>
      </c>
      <c r="I209" t="inlineStr">
        <is>
          <t xml:space="preserve">    06 13 03 - Non-Hazardous - Carbon black</t>
        </is>
      </c>
    </row>
    <row r="210">
      <c r="A210" s="288" t="inlineStr">
        <is>
          <t>NACE C - 20.14 Manufacture of other organic basic chemicals</t>
        </is>
      </c>
      <c r="B210" s="287" t="inlineStr">
        <is>
          <t>NACE H - 49.3 Other passenger land transport</t>
        </is>
      </c>
      <c r="C210" s="285" t="inlineStr">
        <is>
          <t>Senegal</t>
        </is>
      </c>
      <c r="D210" t="inlineStr">
        <is>
          <t>country:SN</t>
        </is>
      </c>
      <c r="E210">
        <f>RIGHT(D210,2)</f>
        <v/>
      </c>
      <c r="I210" t="inlineStr">
        <is>
          <t xml:space="preserve">    06 13 04 - Hazardous - Wastes from asbestos processing</t>
        </is>
      </c>
    </row>
    <row r="211">
      <c r="A211" s="288" t="inlineStr">
        <is>
          <t>NACE C - 20.15 Manufacture of fertilisers and nitrogen compounds</t>
        </is>
      </c>
      <c r="B211" s="287" t="inlineStr">
        <is>
          <t>NACE H - 49.4 Freight transport by road and removal services</t>
        </is>
      </c>
      <c r="C211" s="285" t="inlineStr">
        <is>
          <t>Somalia</t>
        </is>
      </c>
      <c r="D211" t="inlineStr">
        <is>
          <t>country:SO</t>
        </is>
      </c>
      <c r="E211">
        <f>RIGHT(D211,2)</f>
        <v/>
      </c>
      <c r="I211" t="inlineStr">
        <is>
          <t xml:space="preserve">    06 13 05 - Hazardous - Soot</t>
        </is>
      </c>
    </row>
    <row r="212">
      <c r="A212" s="288" t="inlineStr">
        <is>
          <t>NACE C - 20.16 Manufacture of plastics in primary forms</t>
        </is>
      </c>
      <c r="B212" s="287" t="inlineStr">
        <is>
          <t>NACE H - 49.5 Transport via pipeline</t>
        </is>
      </c>
      <c r="C212" s="285" t="inlineStr">
        <is>
          <t>Suriname</t>
        </is>
      </c>
      <c r="D212" t="inlineStr">
        <is>
          <t>country:SR</t>
        </is>
      </c>
      <c r="E212">
        <f>RIGHT(D212,2)</f>
        <v/>
      </c>
      <c r="I212" t="inlineStr">
        <is>
          <t xml:space="preserve">    06 13 99 - Non-Hazardous - Wastes not otherwise specified</t>
        </is>
      </c>
    </row>
    <row r="213">
      <c r="A213" s="288" t="inlineStr">
        <is>
          <t>NACE C - 20.17 Manufacture of synthetic rubber in primary forms</t>
        </is>
      </c>
      <c r="B213" s="284" t="inlineStr">
        <is>
          <t>NACE H - 50 Water transport</t>
        </is>
      </c>
      <c r="C213" s="285" t="inlineStr">
        <is>
          <t>South Sudan</t>
        </is>
      </c>
      <c r="D213" t="inlineStr">
        <is>
          <t>country:SS</t>
        </is>
      </c>
      <c r="E213">
        <f>RIGHT(D213,2)</f>
        <v/>
      </c>
      <c r="I213" t="inlineStr">
        <is>
          <t>07 - WASTES FROM ORGANIC CHEMICAL PROCESSES</t>
        </is>
      </c>
    </row>
    <row r="214">
      <c r="A214" s="287" t="inlineStr">
        <is>
          <t>NACE C - 20.2 Manufacture of pesticides, disinfectants and other agrochemical products</t>
        </is>
      </c>
      <c r="B214" s="287" t="inlineStr">
        <is>
          <t>NACE H - 50.1 Sea and coastal passenger water transport</t>
        </is>
      </c>
      <c r="C214" s="285" t="inlineStr">
        <is>
          <t>Sao Tome and Principe</t>
        </is>
      </c>
      <c r="D214" t="inlineStr">
        <is>
          <t>country:ST</t>
        </is>
      </c>
      <c r="E214">
        <f>RIGHT(D214,2)</f>
        <v/>
      </c>
      <c r="I214" t="inlineStr">
        <is>
          <t xml:space="preserve">  07 01 - Wastes from the manufacture, formulation, supply and use (MFSU) of basic organic chemicals</t>
        </is>
      </c>
    </row>
    <row r="215">
      <c r="A215" s="288" t="inlineStr">
        <is>
          <t>NACE C - 20.20 Manufacture of pesticides, disinfectants and other agrochemical products</t>
        </is>
      </c>
      <c r="B215" s="287" t="inlineStr">
        <is>
          <t>NACE H - 50.2 Sea and coastal freight water transport</t>
        </is>
      </c>
      <c r="C215" s="285" t="inlineStr">
        <is>
          <t>El Salvador</t>
        </is>
      </c>
      <c r="D215" t="inlineStr">
        <is>
          <t>country:SV</t>
        </is>
      </c>
      <c r="E215">
        <f>RIGHT(D215,2)</f>
        <v/>
      </c>
      <c r="I215" t="inlineStr">
        <is>
          <t xml:space="preserve">    07 01 01 - Hazardous - Aqueous washing liquids and mother liquors</t>
        </is>
      </c>
    </row>
    <row r="216">
      <c r="A216" s="287" t="inlineStr">
        <is>
          <t>NACE C - 20.3 Manufacture of paints, varnishes and similar coatings, printing ink and mastics</t>
        </is>
      </c>
      <c r="B216" s="287" t="inlineStr">
        <is>
          <t>NACE H - 50.3 Inland passenger water transport</t>
        </is>
      </c>
      <c r="C216" s="285" t="inlineStr">
        <is>
          <t>Sint Maarten (Dutch part)</t>
        </is>
      </c>
      <c r="D216" t="inlineStr">
        <is>
          <t>country:SX</t>
        </is>
      </c>
      <c r="E216">
        <f>RIGHT(D216,2)</f>
        <v/>
      </c>
      <c r="I216" t="inlineStr">
        <is>
          <t xml:space="preserve">    07 01 03 - Hazardous - Organic halogenated solvents, washing liquids and mother liquors</t>
        </is>
      </c>
    </row>
    <row r="217">
      <c r="A217" s="288" t="inlineStr">
        <is>
          <t>NACE C - 20.30 Manufacture of paints, varnishes and similar coatings, printing ink and mastics</t>
        </is>
      </c>
      <c r="B217" s="287" t="inlineStr">
        <is>
          <t>NACE H - 50.4 Inland freight water transport</t>
        </is>
      </c>
      <c r="C217" s="285" t="inlineStr">
        <is>
          <t>Syrian Arab Republic</t>
        </is>
      </c>
      <c r="D217" t="inlineStr">
        <is>
          <t>country:SY</t>
        </is>
      </c>
      <c r="E217">
        <f>RIGHT(D217,2)</f>
        <v/>
      </c>
      <c r="I217" t="inlineStr">
        <is>
          <t xml:space="preserve">    07 01 04 - Hazardous - Other organic solvents, washing liquids and mother liquors</t>
        </is>
      </c>
    </row>
    <row r="218">
      <c r="A218" s="287" t="inlineStr">
        <is>
          <t>NACE C - 20.4 Manufacture of washing, cleaning and polishing preparations</t>
        </is>
      </c>
      <c r="B218" s="284" t="inlineStr">
        <is>
          <t>NACE H - 51 Air transport</t>
        </is>
      </c>
      <c r="C218" s="285" t="inlineStr">
        <is>
          <t>Eswatini</t>
        </is>
      </c>
      <c r="D218" t="inlineStr">
        <is>
          <t>country:SZ</t>
        </is>
      </c>
      <c r="E218">
        <f>RIGHT(D218,2)</f>
        <v/>
      </c>
      <c r="I218" t="inlineStr">
        <is>
          <t xml:space="preserve">    07 01 07 - Hazardous - Halogenated still bottoms and reaction residues</t>
        </is>
      </c>
    </row>
    <row r="219">
      <c r="A219" s="288" t="inlineStr">
        <is>
          <t>NACE C - 20.41 Manufacture of soap and detergents, cleaning and polishing preparations</t>
        </is>
      </c>
      <c r="B219" s="287" t="inlineStr">
        <is>
          <t>NACE H - 51.1 Passenger air transport</t>
        </is>
      </c>
      <c r="C219" s="285" t="inlineStr">
        <is>
          <t>Turks and Caicos Islands</t>
        </is>
      </c>
      <c r="D219" t="inlineStr">
        <is>
          <t>country:TC</t>
        </is>
      </c>
      <c r="E219">
        <f>RIGHT(D219,2)</f>
        <v/>
      </c>
      <c r="I219" t="inlineStr">
        <is>
          <t xml:space="preserve">    07 01 08 - Hazardous - Other still bottoms and reaction residues</t>
        </is>
      </c>
    </row>
    <row r="220">
      <c r="A220" s="288" t="inlineStr">
        <is>
          <t>NACE C - 20.42 Manufacture of perfume and toilet preparations</t>
        </is>
      </c>
      <c r="B220" s="287" t="inlineStr">
        <is>
          <t>NACE H - 51.2 Freight air transport and space transport</t>
        </is>
      </c>
      <c r="C220" s="285" t="inlineStr">
        <is>
          <t>Chad</t>
        </is>
      </c>
      <c r="D220" t="inlineStr">
        <is>
          <t>country:TD</t>
        </is>
      </c>
      <c r="E220">
        <f>RIGHT(D220,2)</f>
        <v/>
      </c>
      <c r="I220" t="inlineStr">
        <is>
          <t xml:space="preserve">    07 01 09 - Hazardous - Halogenated filter cakes and spent absorbents</t>
        </is>
      </c>
    </row>
    <row r="221">
      <c r="A221" s="287" t="inlineStr">
        <is>
          <t>NACE C - 20.5 Manufacture of other chemical products</t>
        </is>
      </c>
      <c r="B221" s="284" t="inlineStr">
        <is>
          <t>NACE H - 52 Warehousing, storage and support activities for transportation</t>
        </is>
      </c>
      <c r="C221" s="285" t="inlineStr">
        <is>
          <t>French Southern Territories</t>
        </is>
      </c>
      <c r="D221" t="inlineStr">
        <is>
          <t>country:TF</t>
        </is>
      </c>
      <c r="E221">
        <f>RIGHT(D221,2)</f>
        <v/>
      </c>
      <c r="I221" t="inlineStr">
        <is>
          <t xml:space="preserve">    07 01 10 - Hazardous - Other filter cakes and spent absorbents</t>
        </is>
      </c>
    </row>
    <row r="222">
      <c r="A222" s="288" t="inlineStr">
        <is>
          <t>NACE C - 20.51 Manufacture of liquid biofuels</t>
        </is>
      </c>
      <c r="B222" s="287" t="inlineStr">
        <is>
          <t>NACE H - 52.1 Warehousing and storage</t>
        </is>
      </c>
      <c r="C222" s="285" t="inlineStr">
        <is>
          <t>Togo</t>
        </is>
      </c>
      <c r="D222" t="inlineStr">
        <is>
          <t>country:TG</t>
        </is>
      </c>
      <c r="E222">
        <f>RIGHT(D222,2)</f>
        <v/>
      </c>
      <c r="I222" t="inlineStr">
        <is>
          <t xml:space="preserve">    07 01 11 - Hazardous - Sludges from on-site effluent treatment containing hazardous substances</t>
        </is>
      </c>
    </row>
    <row r="223">
      <c r="A223" s="288" t="inlineStr">
        <is>
          <t>NACE C - 20.59 Manufacture of other chemical products n.e.c.</t>
        </is>
      </c>
      <c r="B223" s="287" t="inlineStr">
        <is>
          <t>NACE H - 52.2 Support activities for transportation</t>
        </is>
      </c>
      <c r="C223" s="285" t="inlineStr">
        <is>
          <t>Thailand</t>
        </is>
      </c>
      <c r="D223" t="inlineStr">
        <is>
          <t>country:TH</t>
        </is>
      </c>
      <c r="E223">
        <f>RIGHT(D223,2)</f>
        <v/>
      </c>
      <c r="I223" t="inlineStr">
        <is>
          <t xml:space="preserve">    07 01 12 - Non-Hazardous - Sludges from on-site effluent treatment other than those mentioned in 07 01 11</t>
        </is>
      </c>
    </row>
    <row r="224">
      <c r="A224" s="287" t="inlineStr">
        <is>
          <t>NACE C - 20.6 Manufacture of man-made fibres</t>
        </is>
      </c>
      <c r="B224" s="287" t="inlineStr">
        <is>
          <t>NACE H - 52.3 Intermediation service activities for transportation</t>
        </is>
      </c>
      <c r="C224" s="285" t="inlineStr">
        <is>
          <t>Tajikistan</t>
        </is>
      </c>
      <c r="D224" t="inlineStr">
        <is>
          <t>country:TJ</t>
        </is>
      </c>
      <c r="E224">
        <f>RIGHT(D224,2)</f>
        <v/>
      </c>
      <c r="I224" t="inlineStr">
        <is>
          <t xml:space="preserve">    07 01 99 - Non-Hazardous - Wastes not otherwise specified</t>
        </is>
      </c>
    </row>
    <row r="225">
      <c r="A225" s="288" t="inlineStr">
        <is>
          <t>NACE C - 20.60 Manufacture of man-made fibres</t>
        </is>
      </c>
      <c r="B225" s="284" t="inlineStr">
        <is>
          <t>NACE H - 53 Postal and courier activities</t>
        </is>
      </c>
      <c r="C225" s="285" t="inlineStr">
        <is>
          <t>Tokelau</t>
        </is>
      </c>
      <c r="D225" t="inlineStr">
        <is>
          <t>country:TK</t>
        </is>
      </c>
      <c r="E225">
        <f>RIGHT(D225,2)</f>
        <v/>
      </c>
      <c r="I225" t="inlineStr">
        <is>
          <t xml:space="preserve">  07 02 - Wastes from the MFSU of plastics, synthetic rubber and man-made fibres</t>
        </is>
      </c>
    </row>
    <row r="226">
      <c r="A226" s="284" t="inlineStr">
        <is>
          <t>NACE C - 21 Manufacture of basic pharmaceutical products and pharmaceutical preparations</t>
        </is>
      </c>
      <c r="B226" s="287" t="inlineStr">
        <is>
          <t>NACE H - 53.1 Postal activities under universal service obligation</t>
        </is>
      </c>
      <c r="C226" s="285" t="inlineStr">
        <is>
          <t>Timor-Leste</t>
        </is>
      </c>
      <c r="D226" t="inlineStr">
        <is>
          <t>country:TL</t>
        </is>
      </c>
      <c r="E226">
        <f>RIGHT(D226,2)</f>
        <v/>
      </c>
      <c r="I226" t="inlineStr">
        <is>
          <t xml:space="preserve">    07 02 01 - Hazardous - Aqueous washing liquids and mother liquors</t>
        </is>
      </c>
    </row>
    <row r="227">
      <c r="A227" s="287" t="inlineStr">
        <is>
          <t>NACE C - 21.1 Manufacture of basic pharmaceutical products</t>
        </is>
      </c>
      <c r="B227" s="287" t="inlineStr">
        <is>
          <t>NACE H - 53.2 Other postal and courier activities</t>
        </is>
      </c>
      <c r="C227" s="285" t="inlineStr">
        <is>
          <t>Turkmenistan</t>
        </is>
      </c>
      <c r="D227" t="inlineStr">
        <is>
          <t>country:TM</t>
        </is>
      </c>
      <c r="E227">
        <f>RIGHT(D227,2)</f>
        <v/>
      </c>
      <c r="I227" t="inlineStr">
        <is>
          <t xml:space="preserve">    07 02 03 - Hazardous - Organic halogenated solvents, washing liquids and mother liquors</t>
        </is>
      </c>
    </row>
    <row r="228">
      <c r="A228" s="288" t="inlineStr">
        <is>
          <t>NACE C - 21.10 Manufacture of basic pharmaceutical products</t>
        </is>
      </c>
      <c r="B228" s="287" t="inlineStr">
        <is>
          <t>NACE H - 53.3 Intermediation service activities for postal and courier activities</t>
        </is>
      </c>
      <c r="C228" s="285" t="inlineStr">
        <is>
          <t>Tunisia</t>
        </is>
      </c>
      <c r="D228" t="inlineStr">
        <is>
          <t>country:TN</t>
        </is>
      </c>
      <c r="E228">
        <f>RIGHT(D228,2)</f>
        <v/>
      </c>
      <c r="I228" t="inlineStr">
        <is>
          <t xml:space="preserve">    07 02 04 - Hazardous - Other organic solvents, washing liquids and mother liquors</t>
        </is>
      </c>
    </row>
    <row r="229">
      <c r="A229" s="287" t="inlineStr">
        <is>
          <t>NACE C - 21.2 Manufacture of pharmaceutical preparations</t>
        </is>
      </c>
      <c r="B229" s="285" t="inlineStr">
        <is>
          <t>NACE H - TRANSPORTATION AND STORAGE</t>
        </is>
      </c>
      <c r="C229" s="285" t="inlineStr">
        <is>
          <t>Tonga</t>
        </is>
      </c>
      <c r="D229" t="inlineStr">
        <is>
          <t>country:TO</t>
        </is>
      </c>
      <c r="E229">
        <f>RIGHT(D229,2)</f>
        <v/>
      </c>
      <c r="I229" t="inlineStr">
        <is>
          <t xml:space="preserve">    07 02 07 - Hazardous - Halogenated still bottoms and reaction residues</t>
        </is>
      </c>
    </row>
    <row r="230">
      <c r="A230" s="288" t="inlineStr">
        <is>
          <t>NACE C - 21.20 Manufacture of pharmaceutical preparations</t>
        </is>
      </c>
      <c r="B230" s="284" t="inlineStr">
        <is>
          <t>NACE I - 55 Accommodation</t>
        </is>
      </c>
      <c r="C230" s="285" t="inlineStr">
        <is>
          <t>East Timor (before 2002-05-20)</t>
        </is>
      </c>
      <c r="D230" t="inlineStr">
        <is>
          <t>country:TP</t>
        </is>
      </c>
      <c r="E230">
        <f>RIGHT(D230,2)</f>
        <v/>
      </c>
      <c r="I230" t="inlineStr">
        <is>
          <t xml:space="preserve">    07 02 08 - Hazardous - Other still bottoms and reaction residues</t>
        </is>
      </c>
    </row>
    <row r="231">
      <c r="A231" s="284" t="inlineStr">
        <is>
          <t>NACE C - 22 Manufacture of rubber and plastic products</t>
        </is>
      </c>
      <c r="B231" s="287" t="inlineStr">
        <is>
          <t>NACE I - 55.1 Hotels and similar accommodation</t>
        </is>
      </c>
      <c r="C231" s="285" t="inlineStr">
        <is>
          <t>Türkiye</t>
        </is>
      </c>
      <c r="D231" t="inlineStr">
        <is>
          <t>country:TR</t>
        </is>
      </c>
      <c r="E231">
        <f>RIGHT(D231,2)</f>
        <v/>
      </c>
      <c r="I231" t="inlineStr">
        <is>
          <t xml:space="preserve">    07 02 09 - Hazardous - Halogenated filter cakes and spent absorbents</t>
        </is>
      </c>
    </row>
    <row r="232">
      <c r="A232" s="287" t="inlineStr">
        <is>
          <t>NACE C - 22.1 Manufacture of rubber products</t>
        </is>
      </c>
      <c r="B232" s="287" t="inlineStr">
        <is>
          <t>NACE I - 55.2 Holiday and other short-stay accommodation</t>
        </is>
      </c>
      <c r="C232" s="285" t="inlineStr">
        <is>
          <t>Trinidad and Tobago</t>
        </is>
      </c>
      <c r="D232" t="inlineStr">
        <is>
          <t>country:TT</t>
        </is>
      </c>
      <c r="E232">
        <f>RIGHT(D232,2)</f>
        <v/>
      </c>
      <c r="I232" t="inlineStr">
        <is>
          <t xml:space="preserve">    07 02 10 - Hazardous - Other filter cakes and spent absorbents</t>
        </is>
      </c>
    </row>
    <row r="233">
      <c r="A233" s="288" t="inlineStr">
        <is>
          <t>NACE C - 22.11 Manufacture, retreading and rebuilding of rubber tyres and manufacture of tubes</t>
        </is>
      </c>
      <c r="B233" s="287" t="inlineStr">
        <is>
          <t>NACE I - 55.3 Camping grounds and recreational vehicle parks</t>
        </is>
      </c>
      <c r="C233" s="285" t="inlineStr">
        <is>
          <t>Tuvalu</t>
        </is>
      </c>
      <c r="D233" t="inlineStr">
        <is>
          <t>country:TV</t>
        </is>
      </c>
      <c r="E233">
        <f>RIGHT(D233,2)</f>
        <v/>
      </c>
      <c r="I233" t="inlineStr">
        <is>
          <t xml:space="preserve">    07 02 11 - Hazardous - Sludges from on-site effluent treatment containing hazardous substances</t>
        </is>
      </c>
    </row>
    <row r="234">
      <c r="A234" s="288" t="inlineStr">
        <is>
          <t>NACE C - 22.12 Manufacture of other rubber products</t>
        </is>
      </c>
      <c r="B234" s="287" t="inlineStr">
        <is>
          <t>NACE I - 55.4 Intermediation service activities for accommodation</t>
        </is>
      </c>
      <c r="C234" s="285" t="inlineStr">
        <is>
          <t>Taiwan (Province of China)</t>
        </is>
      </c>
      <c r="D234" t="inlineStr">
        <is>
          <t>country:TW</t>
        </is>
      </c>
      <c r="E234">
        <f>RIGHT(D234,2)</f>
        <v/>
      </c>
      <c r="I234" t="inlineStr">
        <is>
          <t xml:space="preserve">    07 02 12 - Non-Hazardous - Sludges from on-site effluent treatment other than those mentioned in 07 02 11</t>
        </is>
      </c>
    </row>
    <row r="235">
      <c r="A235" s="287" t="inlineStr">
        <is>
          <t>NACE C - 22.2 Manufacture of plastic products</t>
        </is>
      </c>
      <c r="B235" s="287" t="inlineStr">
        <is>
          <t>NACE I - 55.9 Other accommodation</t>
        </is>
      </c>
      <c r="C235" s="285" t="inlineStr">
        <is>
          <t>Tanzania, the United Republic of</t>
        </is>
      </c>
      <c r="D235" t="inlineStr">
        <is>
          <t>country:TZ</t>
        </is>
      </c>
      <c r="E235">
        <f>RIGHT(D235,2)</f>
        <v/>
      </c>
      <c r="I235" t="inlineStr">
        <is>
          <t xml:space="preserve">    07 02 13 - Non-Hazardous - Waste plastic</t>
        </is>
      </c>
    </row>
    <row r="236">
      <c r="A236" s="288" t="inlineStr">
        <is>
          <t>NACE C - 22.21 Manufacture of plastic plates, sheets, tubes and profiles</t>
        </is>
      </c>
      <c r="B236" s="284" t="inlineStr">
        <is>
          <t>NACE I - 56 Food and beverage service activities</t>
        </is>
      </c>
      <c r="C236" s="285" t="inlineStr">
        <is>
          <t>Ukraine</t>
        </is>
      </c>
      <c r="D236" t="inlineStr">
        <is>
          <t>country:UA</t>
        </is>
      </c>
      <c r="E236">
        <f>RIGHT(D236,2)</f>
        <v/>
      </c>
      <c r="I236" t="inlineStr">
        <is>
          <t xml:space="preserve">    07 02 14 - Hazardous - Wastes from additives containing hazardous substances</t>
        </is>
      </c>
    </row>
    <row r="237">
      <c r="A237" s="288" t="inlineStr">
        <is>
          <t>NACE C - 22.22 Manufacture of plastic packing goods</t>
        </is>
      </c>
      <c r="B237" s="287" t="inlineStr">
        <is>
          <t>NACE I - 56.1 Restaurants and mobile food service activities</t>
        </is>
      </c>
      <c r="C237" s="285" t="inlineStr">
        <is>
          <t>Uganda</t>
        </is>
      </c>
      <c r="D237" t="inlineStr">
        <is>
          <t>country:UG</t>
        </is>
      </c>
      <c r="E237">
        <f>RIGHT(D237,2)</f>
        <v/>
      </c>
      <c r="I237" t="inlineStr">
        <is>
          <t xml:space="preserve">    07 02 15 - Non-Hazardous - Wastes from additives other than those mentioned in 07 02 14</t>
        </is>
      </c>
    </row>
    <row r="238">
      <c r="A238" s="288" t="inlineStr">
        <is>
          <t>NACE C - 22.23 Manufacture of doors and windows of plastic</t>
        </is>
      </c>
      <c r="B238" s="287" t="inlineStr">
        <is>
          <t>NACE I - 56.2 Event catering, contract catering service activities and other food service activities</t>
        </is>
      </c>
      <c r="C238" s="285" t="inlineStr">
        <is>
          <t>United States Minor Outlying Islands</t>
        </is>
      </c>
      <c r="D238" t="inlineStr">
        <is>
          <t>country:UM</t>
        </is>
      </c>
      <c r="E238">
        <f>RIGHT(D238,2)</f>
        <v/>
      </c>
      <c r="I238" t="inlineStr">
        <is>
          <t xml:space="preserve">    07 02 16 - Hazardous - Waste containing hazardous silicones</t>
        </is>
      </c>
    </row>
    <row r="239">
      <c r="A239" s="288" t="inlineStr">
        <is>
          <t>NACE C - 22.24 Manufacture of builders’ ware of plastic</t>
        </is>
      </c>
      <c r="B239" s="288" t="inlineStr">
        <is>
          <t>NACE I - 56.21 Event catering activities</t>
        </is>
      </c>
      <c r="C239" s="285" t="inlineStr">
        <is>
          <t>United States of America</t>
        </is>
      </c>
      <c r="D239" t="inlineStr">
        <is>
          <t>country:US</t>
        </is>
      </c>
      <c r="E239">
        <f>RIGHT(D239,2)</f>
        <v/>
      </c>
      <c r="I239" t="inlineStr">
        <is>
          <t xml:space="preserve">    07 02 17 - Non-Hazardous - Waste containing silicones other than those mentioned in 07 02 16</t>
        </is>
      </c>
    </row>
    <row r="240">
      <c r="A240" s="288" t="inlineStr">
        <is>
          <t>NACE C - 22.25 Processing and finishing of plastic products</t>
        </is>
      </c>
      <c r="B240" s="287" t="inlineStr">
        <is>
          <t>NACE I - 56.3 Beverage serving activities</t>
        </is>
      </c>
      <c r="C240" s="285" t="inlineStr">
        <is>
          <t>Uruguay</t>
        </is>
      </c>
      <c r="D240" t="inlineStr">
        <is>
          <t>country:UY</t>
        </is>
      </c>
      <c r="E240">
        <f>RIGHT(D240,2)</f>
        <v/>
      </c>
      <c r="I240" t="inlineStr">
        <is>
          <t xml:space="preserve">    07 02 99 - Non-Hazardous - Wastes not otherwise specified</t>
        </is>
      </c>
    </row>
    <row r="241">
      <c r="A241" s="288" t="inlineStr">
        <is>
          <t>NACE C - 22.26 Manufacture of other plastic products</t>
        </is>
      </c>
      <c r="B241" s="287" t="inlineStr">
        <is>
          <t>NACE I - 56.4 Intermediation service activities for food and beverage services activities</t>
        </is>
      </c>
      <c r="C241" s="285" t="inlineStr">
        <is>
          <t>Uzbekistan</t>
        </is>
      </c>
      <c r="D241" t="inlineStr">
        <is>
          <t>country:UZ</t>
        </is>
      </c>
      <c r="E241">
        <f>RIGHT(D241,2)</f>
        <v/>
      </c>
      <c r="I241" t="inlineStr">
        <is>
          <t xml:space="preserve">  07 03 - Wastes from the MFSU of organic dyes and pigments (except 06 11)</t>
        </is>
      </c>
    </row>
    <row r="242">
      <c r="A242" s="284" t="inlineStr">
        <is>
          <t>NACE C - 23 Manufacture of other non-metallic mineral products</t>
        </is>
      </c>
      <c r="B242" s="285" t="inlineStr">
        <is>
          <t>NACE I - ACCOMMODATION AND FOOD SERVICE ACTIVITIES</t>
        </is>
      </c>
      <c r="C242" s="285" t="inlineStr">
        <is>
          <t>Holy See</t>
        </is>
      </c>
      <c r="D242" t="inlineStr">
        <is>
          <t>country:VA</t>
        </is>
      </c>
      <c r="E242">
        <f>RIGHT(D242,2)</f>
        <v/>
      </c>
      <c r="I242" t="inlineStr">
        <is>
          <t xml:space="preserve">    07 03 01 - Hazardous - Aqueous washing liquids and mother liquors</t>
        </is>
      </c>
    </row>
    <row r="243">
      <c r="A243" s="287" t="inlineStr">
        <is>
          <t>NACE C - 23.1 Manufacture of glass and glass products</t>
        </is>
      </c>
      <c r="B243" s="284" t="inlineStr">
        <is>
          <t>NACE J - 58 Publishing activities</t>
        </is>
      </c>
      <c r="C243" s="285" t="inlineStr">
        <is>
          <t>Saint Vincent and the Grenadines</t>
        </is>
      </c>
      <c r="D243" t="inlineStr">
        <is>
          <t>country:VC</t>
        </is>
      </c>
      <c r="E243">
        <f>RIGHT(D243,2)</f>
        <v/>
      </c>
      <c r="I243" t="inlineStr">
        <is>
          <t xml:space="preserve">    07 03 03 - Hazardous - Organic halogenated solvents, washing liquids and mother liquors</t>
        </is>
      </c>
    </row>
    <row r="244">
      <c r="A244" s="288" t="inlineStr">
        <is>
          <t>NACE C - 23.11 Manufacture of flat glass</t>
        </is>
      </c>
      <c r="B244" s="287" t="inlineStr">
        <is>
          <t>NACE J - 58.1 Publishing of books, newspapers and other publishing activities, except software publishing</t>
        </is>
      </c>
      <c r="C244" s="285" t="inlineStr">
        <is>
          <t>Venezuela (Bolivarian Republic of)</t>
        </is>
      </c>
      <c r="D244" t="inlineStr">
        <is>
          <t>country:VE</t>
        </is>
      </c>
      <c r="E244">
        <f>RIGHT(D244,2)</f>
        <v/>
      </c>
      <c r="I244" t="inlineStr">
        <is>
          <t xml:space="preserve">    07 03 04 - Hazardous - Other organic solvents, washing liquids and mother liquors</t>
        </is>
      </c>
    </row>
    <row r="245">
      <c r="A245" s="288" t="inlineStr">
        <is>
          <t>NACE C - 23.12 Shaping and processing of flat glass</t>
        </is>
      </c>
      <c r="B245" s="287" t="inlineStr">
        <is>
          <t>NACE J - 58.2 Software publishing</t>
        </is>
      </c>
      <c r="C245" s="285" t="inlineStr">
        <is>
          <t>Virgin Islands (British)</t>
        </is>
      </c>
      <c r="D245" t="inlineStr">
        <is>
          <t>country:VG</t>
        </is>
      </c>
      <c r="E245">
        <f>RIGHT(D245,2)</f>
        <v/>
      </c>
      <c r="I245" t="inlineStr">
        <is>
          <t xml:space="preserve">    07 03 07 - Hazardous - Halogenated still bottoms and reaction residues</t>
        </is>
      </c>
    </row>
    <row r="246">
      <c r="A246" s="288" t="inlineStr">
        <is>
          <t>NACE C - 23.13 Manufacture of hollow glass</t>
        </is>
      </c>
      <c r="B246" s="284" t="inlineStr">
        <is>
          <t>NACE J - 59 Motion picture, video and television programme production, sound recording and music publishing activities</t>
        </is>
      </c>
      <c r="C246" s="285" t="inlineStr">
        <is>
          <t>Virgin Islands (U.S.)</t>
        </is>
      </c>
      <c r="D246" t="inlineStr">
        <is>
          <t>country:VI</t>
        </is>
      </c>
      <c r="E246">
        <f>RIGHT(D246,2)</f>
        <v/>
      </c>
      <c r="I246" t="inlineStr">
        <is>
          <t xml:space="preserve">    07 03 08 - Hazardous - Other still bottoms and reaction residues</t>
        </is>
      </c>
    </row>
    <row r="247">
      <c r="A247" s="288" t="inlineStr">
        <is>
          <t>NACE C - 23.14 Manufacture of glass fibres</t>
        </is>
      </c>
      <c r="B247" s="287" t="inlineStr">
        <is>
          <t>NACE J - 59.1 Motion picture, video and television programme activities</t>
        </is>
      </c>
      <c r="C247" s="285" t="inlineStr">
        <is>
          <t>Viet Nam</t>
        </is>
      </c>
      <c r="D247" t="inlineStr">
        <is>
          <t>country:VN</t>
        </is>
      </c>
      <c r="E247">
        <f>RIGHT(D247,2)</f>
        <v/>
      </c>
      <c r="I247" t="inlineStr">
        <is>
          <t xml:space="preserve">    07 03 09 - Hazardous - Halogenated filter cakes and spent absorbents</t>
        </is>
      </c>
    </row>
    <row r="248">
      <c r="A248" s="288" t="inlineStr">
        <is>
          <t>NACE C - 23.15 Manufacture and processing of other glass, including technical glassware</t>
        </is>
      </c>
      <c r="B248" s="287" t="inlineStr">
        <is>
          <t>NACE J - 59.2 Sound recording and music publishing activities</t>
        </is>
      </c>
      <c r="C248" s="285" t="inlineStr">
        <is>
          <t>Vanuatu</t>
        </is>
      </c>
      <c r="D248" t="inlineStr">
        <is>
          <t>country:VU</t>
        </is>
      </c>
      <c r="E248">
        <f>RIGHT(D248,2)</f>
        <v/>
      </c>
      <c r="I248" t="inlineStr">
        <is>
          <t xml:space="preserve">    07 03 10 - Hazardous - Other filter cakes and spent absorbents</t>
        </is>
      </c>
    </row>
    <row r="249">
      <c r="A249" s="287" t="inlineStr">
        <is>
          <t>NACE C - 23.2 Manufacture of refractory products</t>
        </is>
      </c>
      <c r="B249" s="284" t="inlineStr">
        <is>
          <t>NACE J - 60 Programming, broadcasting, news agency and other content distribution activities</t>
        </is>
      </c>
      <c r="C249" s="285" t="inlineStr">
        <is>
          <t>Wallis and Futuna</t>
        </is>
      </c>
      <c r="D249" t="inlineStr">
        <is>
          <t>country:WF</t>
        </is>
      </c>
      <c r="E249">
        <f>RIGHT(D249,2)</f>
        <v/>
      </c>
      <c r="I249" t="inlineStr">
        <is>
          <t xml:space="preserve">    07 03 11 - Hazardous - Sludges from on-site effluent treatment containing hazardous substances</t>
        </is>
      </c>
    </row>
    <row r="250">
      <c r="A250" s="288" t="inlineStr">
        <is>
          <t>NACE C - 23.20 Manufacture of refractory products</t>
        </is>
      </c>
      <c r="B250" s="287" t="inlineStr">
        <is>
          <t>NACE J - 60.1 Radio broadcasting and audio distribution activities</t>
        </is>
      </c>
      <c r="C250" s="285" t="inlineStr">
        <is>
          <t>Samoa</t>
        </is>
      </c>
      <c r="D250" t="inlineStr">
        <is>
          <t>country:WS</t>
        </is>
      </c>
      <c r="E250">
        <f>RIGHT(D250,2)</f>
        <v/>
      </c>
      <c r="I250" t="inlineStr">
        <is>
          <t xml:space="preserve">    07 03 12 - Non-Hazardous - Sludges from on-site effluent treatment other than those mentioned in 07 03 11</t>
        </is>
      </c>
    </row>
    <row r="251">
      <c r="A251" s="287" t="inlineStr">
        <is>
          <t>NACE C - 23.3 Manufacture of clay building materials</t>
        </is>
      </c>
      <c r="B251" s="287" t="inlineStr">
        <is>
          <t>NACE J - 60.2 Television programming, broadcasting and video distribution activities</t>
        </is>
      </c>
      <c r="C251" s="285" t="inlineStr">
        <is>
          <t>Yemen</t>
        </is>
      </c>
      <c r="D251" t="inlineStr">
        <is>
          <t>country:YE</t>
        </is>
      </c>
      <c r="E251">
        <f>RIGHT(D251,2)</f>
        <v/>
      </c>
      <c r="I251" t="inlineStr">
        <is>
          <t xml:space="preserve">    07 03 99 - Non-Hazardous - Wastes not otherwise specified</t>
        </is>
      </c>
    </row>
    <row r="252">
      <c r="A252" s="288" t="inlineStr">
        <is>
          <t>NACE C - 23.31 Manufacture of ceramic tiles and flags</t>
        </is>
      </c>
      <c r="B252" s="287" t="inlineStr">
        <is>
          <t>NACE J - 60.3 News agency and other content distribution activities</t>
        </is>
      </c>
      <c r="C252" s="285" t="inlineStr">
        <is>
          <t>Mayotte</t>
        </is>
      </c>
      <c r="D252" t="inlineStr">
        <is>
          <t>country:YT</t>
        </is>
      </c>
      <c r="E252">
        <f>RIGHT(D252,2)</f>
        <v/>
      </c>
      <c r="I252" t="inlineStr">
        <is>
          <t xml:space="preserve">  07 04 - Wastes from the MFSU of organic plant protection products (except 02 01 08 and 02 01 09), wood preserving agents (except 03 02) and other biocides</t>
        </is>
      </c>
    </row>
    <row r="253">
      <c r="A253" s="288" t="inlineStr">
        <is>
          <t>NACE C - 23.32 Manufacture of bricks, tiles and construction products, in baked clay</t>
        </is>
      </c>
      <c r="B253" s="285" t="inlineStr">
        <is>
          <t>NACE J - PUBLISHING, BROADCASTING, AND CONTENT PRODUCTION AND DISTRIBUTION ACTIVITIES</t>
        </is>
      </c>
      <c r="C253" s="285" t="inlineStr">
        <is>
          <t>Yugoslavia (before 2003-07-23)</t>
        </is>
      </c>
      <c r="D253" t="inlineStr">
        <is>
          <t>country:YU</t>
        </is>
      </c>
      <c r="E253">
        <f>RIGHT(D253,2)</f>
        <v/>
      </c>
      <c r="I253" t="inlineStr">
        <is>
          <t xml:space="preserve">    07 04 01 - Hazardous - Aqueous washing liquids and mother liquors</t>
        </is>
      </c>
    </row>
    <row r="254">
      <c r="A254" s="287" t="inlineStr">
        <is>
          <t>NACE C - 23.4 Manufacture of other porcelain and ceramic products</t>
        </is>
      </c>
      <c r="B254" s="284" t="inlineStr">
        <is>
          <t>NACE K - 61 Telecommunication</t>
        </is>
      </c>
      <c r="C254" s="285" t="inlineStr">
        <is>
          <t>South Africa</t>
        </is>
      </c>
      <c r="D254" t="inlineStr">
        <is>
          <t>country:ZA</t>
        </is>
      </c>
      <c r="E254">
        <f>RIGHT(D254,2)</f>
        <v/>
      </c>
      <c r="I254" t="inlineStr">
        <is>
          <t xml:space="preserve">    07 04 03 - Hazardous - Organic halogenated solvents, washing liquids and mother liquors</t>
        </is>
      </c>
    </row>
    <row r="255">
      <c r="A255" s="288" t="inlineStr">
        <is>
          <t>NACE C - 23.41 Manufacture of ceramic household and ornamental articles</t>
        </is>
      </c>
      <c r="B255" s="287" t="inlineStr">
        <is>
          <t>NACE K - 61.1 Wired, wireless, and satellite telecommunication activities</t>
        </is>
      </c>
      <c r="C255" s="285" t="inlineStr">
        <is>
          <t>Zambia</t>
        </is>
      </c>
      <c r="D255" t="inlineStr">
        <is>
          <t>country:ZM</t>
        </is>
      </c>
      <c r="E255">
        <f>RIGHT(D255,2)</f>
        <v/>
      </c>
      <c r="I255" t="inlineStr">
        <is>
          <t xml:space="preserve">    07 04 04 - Hazardous - Other organic solvents, washing liquids and mother liquors</t>
        </is>
      </c>
    </row>
    <row r="256">
      <c r="A256" s="288" t="inlineStr">
        <is>
          <t>NACE C - 23.42 Manufacture of ceramic sanitary fixtures</t>
        </is>
      </c>
      <c r="B256" s="287" t="inlineStr">
        <is>
          <t>NACE K - 61.2 Telecommunication reselling activities and intermediation service activities for telecommunication</t>
        </is>
      </c>
      <c r="C256" s="285" t="inlineStr">
        <is>
          <t>Zaire (before 1997-07-14)</t>
        </is>
      </c>
      <c r="D256" t="inlineStr">
        <is>
          <t>country:ZR</t>
        </is>
      </c>
      <c r="E256">
        <f>RIGHT(D256,2)</f>
        <v/>
      </c>
      <c r="I256" t="inlineStr">
        <is>
          <t xml:space="preserve">    07 04 07 - Hazardous - Halogenated still bottoms and reaction residues</t>
        </is>
      </c>
    </row>
    <row r="257">
      <c r="A257" s="288" t="inlineStr">
        <is>
          <t>NACE C - 23.43 Manufacture of ceramic insulators and insulating fittings</t>
        </is>
      </c>
      <c r="B257" s="287" t="inlineStr">
        <is>
          <t>NACE K - 61.9 Other telecommunication activities</t>
        </is>
      </c>
      <c r="C257" s="285" t="inlineStr">
        <is>
          <t>Zimbabwe</t>
        </is>
      </c>
      <c r="D257" t="inlineStr">
        <is>
          <t>country:ZW</t>
        </is>
      </c>
      <c r="E257">
        <f>RIGHT(D257,2)</f>
        <v/>
      </c>
      <c r="I257" t="inlineStr">
        <is>
          <t xml:space="preserve">    07 04 08 - Hazardous - Other still bottoms and reaction residues</t>
        </is>
      </c>
    </row>
    <row r="258">
      <c r="A258" s="288" t="inlineStr">
        <is>
          <t>NACE C - 23.44 Manufacture of other technical ceramic products</t>
        </is>
      </c>
      <c r="B258" s="284" t="inlineStr">
        <is>
          <t>NACE K - 62 Computer programming, consultancy and related activities</t>
        </is>
      </c>
      <c r="I258" t="inlineStr">
        <is>
          <t xml:space="preserve">    07 04 09 - Hazardous - Halogenated filter cakes and spent absorbents</t>
        </is>
      </c>
    </row>
    <row r="259">
      <c r="A259" s="288" t="inlineStr">
        <is>
          <t>NACE C - 23.45 Manufacture of other ceramic products</t>
        </is>
      </c>
      <c r="B259" s="287" t="inlineStr">
        <is>
          <t>NACE K - 62.1 Computer programming activities</t>
        </is>
      </c>
      <c r="I259" t="inlineStr">
        <is>
          <t xml:space="preserve">    07 04 10 - Hazardous - Other filter cakes and spent absorbents</t>
        </is>
      </c>
    </row>
    <row r="260">
      <c r="A260" s="287" t="inlineStr">
        <is>
          <t>NACE C - 23.5 Manufacture of cement, lime and plaster</t>
        </is>
      </c>
      <c r="B260" s="287" t="inlineStr">
        <is>
          <t>NACE K - 62.2 Computer consultancy and computer facilities management activities</t>
        </is>
      </c>
      <c r="I260" t="inlineStr">
        <is>
          <t xml:space="preserve">    07 04 11 - Hazardous - Sludges from on-site effluent treatment containing hazardous substances</t>
        </is>
      </c>
    </row>
    <row r="261">
      <c r="A261" s="288" t="inlineStr">
        <is>
          <t>NACE C - 23.51 Manufacture of cement</t>
        </is>
      </c>
      <c r="B261" s="287" t="inlineStr">
        <is>
          <t>NACE K - 62.9 Other information technology and computer service activities</t>
        </is>
      </c>
      <c r="I261" t="inlineStr">
        <is>
          <t xml:space="preserve">    07 04 12 - Non-Hazardous - Sludges from on-site effluent treatment other than those mentioned in 07 04 11</t>
        </is>
      </c>
    </row>
    <row r="262">
      <c r="A262" s="288" t="inlineStr">
        <is>
          <t>NACE C - 23.52 Manufacture of lime and plaster</t>
        </is>
      </c>
      <c r="B262" s="284" t="inlineStr">
        <is>
          <t>NACE K - 63 Computing infrastructure, data processing, hosting and other information service activities</t>
        </is>
      </c>
      <c r="I262" t="inlineStr">
        <is>
          <t xml:space="preserve">    07 04 13 - Hazardous - Solid wastes containing hazardous substances</t>
        </is>
      </c>
    </row>
    <row r="263">
      <c r="A263" s="287" t="inlineStr">
        <is>
          <t>NACE C - 23.6 Manufacture of articles of concrete, cement and plaster</t>
        </is>
      </c>
      <c r="B263" s="287" t="inlineStr">
        <is>
          <t>NACE K - 63.1 Computing infrastructure, data processing, hosting and related activities</t>
        </is>
      </c>
      <c r="I263" t="inlineStr">
        <is>
          <t xml:space="preserve">    07 04 99 - Non-Hazardous - Wastes not otherwise specified</t>
        </is>
      </c>
    </row>
    <row r="264">
      <c r="A264" s="288" t="inlineStr">
        <is>
          <t>NACE C - 23.61 Manufacture of concrete products for construction purposes</t>
        </is>
      </c>
      <c r="B264" s="287" t="inlineStr">
        <is>
          <t>NACE K - 63.9 Web search portal activities and other information service activities</t>
        </is>
      </c>
      <c r="I264" t="inlineStr">
        <is>
          <t xml:space="preserve">  07 05 - Wastes from the MFSU of pharmaceuticals</t>
        </is>
      </c>
    </row>
    <row r="265">
      <c r="A265" s="288" t="inlineStr">
        <is>
          <t>NACE C - 23.62 Manufacture of plaster products for construction purposes</t>
        </is>
      </c>
      <c r="B265" s="285" t="inlineStr">
        <is>
          <t>NACE K - TELECOMMUNICATION, COMPUTER PROGRAMMING, CONSULTING, COMPUTING INFRASTRUCTURE AND OTHER INFORMATION SERVICE ACTIVITIES</t>
        </is>
      </c>
      <c r="I265" t="inlineStr">
        <is>
          <t xml:space="preserve">    07 05 01 - Hazardous - Aqueous washing liquids and mother liquors</t>
        </is>
      </c>
    </row>
    <row r="266">
      <c r="A266" s="288" t="inlineStr">
        <is>
          <t>NACE C - 23.63 Manufacture of ready-mixed concrete</t>
        </is>
      </c>
      <c r="B266" s="284" t="inlineStr">
        <is>
          <t>NACE L - 64 Financial service activities, except insurance and pension funding</t>
        </is>
      </c>
      <c r="I266" t="inlineStr">
        <is>
          <t xml:space="preserve">    07 05 03 - Hazardous - Organic halogenated solvents, washing liquids and mother liquors</t>
        </is>
      </c>
    </row>
    <row r="267">
      <c r="A267" s="288" t="inlineStr">
        <is>
          <t>NACE C - 23.64 Manufacture of mortars</t>
        </is>
      </c>
      <c r="B267" s="287" t="inlineStr">
        <is>
          <t>NACE L - 64.1 Monetary intermediation</t>
        </is>
      </c>
      <c r="I267" t="inlineStr">
        <is>
          <t xml:space="preserve">    07 05 04 - Hazardous - Other organic solvents, washing liquids and mother liquors</t>
        </is>
      </c>
    </row>
    <row r="268">
      <c r="A268" s="288" t="inlineStr">
        <is>
          <t>NACE C - 23.65 Manufacture of fibre cement</t>
        </is>
      </c>
      <c r="B268" s="287" t="inlineStr">
        <is>
          <t>NACE L - 64.2 Activities of holding companies and financing conduits</t>
        </is>
      </c>
      <c r="I268" t="inlineStr">
        <is>
          <t xml:space="preserve">    07 05 07 - Hazardous - Halogenated still bottoms and reaction residues</t>
        </is>
      </c>
    </row>
    <row r="269">
      <c r="A269" s="288" t="inlineStr">
        <is>
          <t>NACE C - 23.66 Manufacture of other articles of concrete, cement and plaster</t>
        </is>
      </c>
      <c r="B269" s="287" t="inlineStr">
        <is>
          <t>NACE L - 64.3 Activities of trusts, funds and similar financial entities</t>
        </is>
      </c>
      <c r="I269" t="inlineStr">
        <is>
          <t xml:space="preserve">    07 05 08 - Hazardous - Other still bottoms and reaction residues</t>
        </is>
      </c>
    </row>
    <row r="270">
      <c r="A270" s="287" t="inlineStr">
        <is>
          <t>NACE C - 23.7 Cutting, shaping and finishing of stone</t>
        </is>
      </c>
      <c r="B270" s="287" t="inlineStr">
        <is>
          <t>NACE L - 64.9 Other financial service activities, except insurance and pension funding</t>
        </is>
      </c>
      <c r="I270" t="inlineStr">
        <is>
          <t xml:space="preserve">    07 05 09 - Hazardous - Halogenated filter cakes and spent absorbents</t>
        </is>
      </c>
    </row>
    <row r="271">
      <c r="A271" s="288" t="inlineStr">
        <is>
          <t>NACE C - 23.70 Cutting, shaping and finishing of stone</t>
        </is>
      </c>
      <c r="B271" s="284" t="inlineStr">
        <is>
          <t>NACE L - 65 Insurance, reinsurance and pension funding, except compulsory social security</t>
        </is>
      </c>
      <c r="I271" t="inlineStr">
        <is>
          <t xml:space="preserve">    07 05 10 - Hazardous - Other filter cakes and spent absorbents</t>
        </is>
      </c>
    </row>
    <row r="272">
      <c r="A272" s="287" t="inlineStr">
        <is>
          <t>NACE C - 23.9 Manufacture of abrasive products and non-metallic mineral products n.e.c.</t>
        </is>
      </c>
      <c r="B272" s="287" t="inlineStr">
        <is>
          <t>NACE L - 65.1 Insurance</t>
        </is>
      </c>
      <c r="I272" t="inlineStr">
        <is>
          <t xml:space="preserve">    07 05 11 - Hazardous - Sludges from on-site effluent treatment containing hazardous substances</t>
        </is>
      </c>
    </row>
    <row r="273">
      <c r="A273" s="288" t="inlineStr">
        <is>
          <t>NACE C - 23.91 Manufacture of abrasive products</t>
        </is>
      </c>
      <c r="B273" s="287" t="inlineStr">
        <is>
          <t>NACE L - 65.2 Reinsurance</t>
        </is>
      </c>
      <c r="I273" t="inlineStr">
        <is>
          <t xml:space="preserve">    07 05 12 - Non-Hazardous - Sludges from on-site effluent treatment other than those mentioned in 07 05 11</t>
        </is>
      </c>
    </row>
    <row r="274">
      <c r="A274" s="288" t="inlineStr">
        <is>
          <t>NACE C - 23.99 Manufacture of other non-metallic mineral products n.e.c.</t>
        </is>
      </c>
      <c r="B274" s="287" t="inlineStr">
        <is>
          <t>NACE L - 65.3 Pension funding</t>
        </is>
      </c>
      <c r="I274" t="inlineStr">
        <is>
          <t xml:space="preserve">    07 05 13 - Hazardous - Solid wastes containing hazardous substances</t>
        </is>
      </c>
    </row>
    <row r="275">
      <c r="A275" s="284" t="inlineStr">
        <is>
          <t>NACE C - 24 Manufacture of basic metals</t>
        </is>
      </c>
      <c r="B275" s="284" t="inlineStr">
        <is>
          <t>NACE L - 66 Activities auxiliary to financial services and insurance activities</t>
        </is>
      </c>
      <c r="I275" t="inlineStr">
        <is>
          <t xml:space="preserve">    07 05 14 - Non-Hazardous - Solid wastes other than those mentioned in 07 05 13</t>
        </is>
      </c>
    </row>
    <row r="276">
      <c r="A276" s="287" t="inlineStr">
        <is>
          <t>NACE C - 24.1 Manufacture of basic iron and steel and of ferro-alloys</t>
        </is>
      </c>
      <c r="B276" s="287" t="inlineStr">
        <is>
          <t>NACE L - 66.1 Activities auxiliary to financial services, except insurance and pension funding</t>
        </is>
      </c>
      <c r="I276" t="inlineStr">
        <is>
          <t xml:space="preserve">    07 05 99 - Non-Hazardous - Wastes not otherwise specified</t>
        </is>
      </c>
    </row>
    <row r="277">
      <c r="A277" s="288" t="inlineStr">
        <is>
          <t>NACE C - 24.10 Manufacture of basic iron and steel and of ferro-alloys</t>
        </is>
      </c>
      <c r="B277" s="287" t="inlineStr">
        <is>
          <t>NACE L - 66.2 Activities auxiliary to insurance and pension funding</t>
        </is>
      </c>
      <c r="I277" t="inlineStr">
        <is>
          <t xml:space="preserve">  07 06 - Wastes from the MFSU of fats, grease, soaps, detergents, disinfectants and cosmetics</t>
        </is>
      </c>
    </row>
    <row r="278">
      <c r="A278" s="287" t="inlineStr">
        <is>
          <t>NACE C - 24.2 Manufacture of tubes, pipes, hollow profiles and related fittings, of steel</t>
        </is>
      </c>
      <c r="B278" s="287" t="inlineStr">
        <is>
          <t>NACE L - 66.3 Fund management activities</t>
        </is>
      </c>
      <c r="I278" t="inlineStr">
        <is>
          <t xml:space="preserve">    07 06 01 - Hazardous - Aqueous washing liquids and mother liquors</t>
        </is>
      </c>
    </row>
    <row r="279">
      <c r="A279" s="288" t="inlineStr">
        <is>
          <t>NACE C - 24.20 Manufacture of tubes, pipes, hollow profiles and related fittings, of steel</t>
        </is>
      </c>
      <c r="B279" s="285" t="inlineStr">
        <is>
          <t>NACE L - FINANCIAL AND INSURANCE ACTIVITIES</t>
        </is>
      </c>
      <c r="I279" t="inlineStr">
        <is>
          <t xml:space="preserve">    07 06 03 - Hazardous - Organic halogenated solvents, washing liquids and mother liquors</t>
        </is>
      </c>
    </row>
    <row r="280">
      <c r="A280" s="287" t="inlineStr">
        <is>
          <t>NACE C - 24.3 Manufacture of other products of first processing of steel</t>
        </is>
      </c>
      <c r="B280" s="284" t="inlineStr">
        <is>
          <t>NACE M - 68 Real estate activities</t>
        </is>
      </c>
      <c r="I280" t="inlineStr">
        <is>
          <t xml:space="preserve">    07 06 04 - Hazardous - Other organic solvents, washing liquids and mother liquors</t>
        </is>
      </c>
    </row>
    <row r="281">
      <c r="A281" s="288" t="inlineStr">
        <is>
          <t>NACE C - 24.31 Cold drawing of bars</t>
        </is>
      </c>
      <c r="B281" s="287" t="inlineStr">
        <is>
          <t>NACE M - 68.1 Real estate activities with own property and development of building projects</t>
        </is>
      </c>
      <c r="I281" t="inlineStr">
        <is>
          <t xml:space="preserve">    07 06 07 - Hazardous - Halogenated still bottoms and reaction residues</t>
        </is>
      </c>
    </row>
    <row r="282">
      <c r="A282" s="288" t="inlineStr">
        <is>
          <t>NACE C - 24.32 Cold rolling of narrow strip</t>
        </is>
      </c>
      <c r="B282" s="287" t="inlineStr">
        <is>
          <t>NACE M - 68.2 Rental and operating of own or leased real estate</t>
        </is>
      </c>
      <c r="I282" t="inlineStr">
        <is>
          <t xml:space="preserve">    07 06 08 - Hazardous - Other still bottoms and reaction residues</t>
        </is>
      </c>
    </row>
    <row r="283">
      <c r="A283" s="288" t="inlineStr">
        <is>
          <t>NACE C - 24.33 Cold forming or folding</t>
        </is>
      </c>
      <c r="B283" s="287" t="inlineStr">
        <is>
          <t>NACE M - 68.3 Real estate activities on a fee or contract basis</t>
        </is>
      </c>
      <c r="I283" t="inlineStr">
        <is>
          <t xml:space="preserve">    07 06 09 - Hazardous - Halogenated filter cakes and spent absorbents</t>
        </is>
      </c>
    </row>
    <row r="284">
      <c r="A284" s="288" t="inlineStr">
        <is>
          <t>NACE C - 24.34 Cold drawing of wire</t>
        </is>
      </c>
      <c r="B284" s="285" t="inlineStr">
        <is>
          <t>NACE M - REAL ESTATE ACTIVITIES</t>
        </is>
      </c>
      <c r="I284" t="inlineStr">
        <is>
          <t xml:space="preserve">    07 06 10 - Hazardous - Other filter cakes and spent absorbents</t>
        </is>
      </c>
    </row>
    <row r="285">
      <c r="A285" s="287" t="inlineStr">
        <is>
          <t>NACE C - 24.4 Manufacture of basic precious and other non-ferrous metals</t>
        </is>
      </c>
      <c r="B285" s="284" t="inlineStr">
        <is>
          <t>NACE N - 69 Legal and accounting activities</t>
        </is>
      </c>
      <c r="I285" t="inlineStr">
        <is>
          <t xml:space="preserve">    07 06 11 - Hazardous - Sludges from on-site effluent treatment containing hazardous substances</t>
        </is>
      </c>
    </row>
    <row r="286">
      <c r="A286" s="288" t="inlineStr">
        <is>
          <t>NACE C - 24.41 Precious metals production</t>
        </is>
      </c>
      <c r="B286" s="287" t="inlineStr">
        <is>
          <t>NACE N - 69.1 Legal activities</t>
        </is>
      </c>
      <c r="I286" t="inlineStr">
        <is>
          <t xml:space="preserve">    07 06 12 - Non-Hazardous - Sludges from on-site effluent treatment other than those mentioned in 07 06 11</t>
        </is>
      </c>
    </row>
    <row r="287">
      <c r="A287" s="288" t="inlineStr">
        <is>
          <t>NACE C - 24.42 Aluminium production</t>
        </is>
      </c>
      <c r="B287" s="287" t="inlineStr">
        <is>
          <t>NACE N - 69.2 Accounting, bookkeeping and auditing activities; tax consultancy</t>
        </is>
      </c>
      <c r="I287" t="inlineStr">
        <is>
          <t xml:space="preserve">    07 06 99 - Non-Hazardous - Wastes not otherwise specified</t>
        </is>
      </c>
    </row>
    <row r="288">
      <c r="A288" s="288" t="inlineStr">
        <is>
          <t>NACE C - 24.43 Lead, zinc and tin production</t>
        </is>
      </c>
      <c r="B288" s="284" t="inlineStr">
        <is>
          <t>NACE N - 70 Activities of head offices and management consultancy</t>
        </is>
      </c>
      <c r="I288" t="inlineStr">
        <is>
          <t xml:space="preserve">  07 07 - Wastes from the MFSU of fine chemicals and chemical products not otherwise specified</t>
        </is>
      </c>
    </row>
    <row r="289">
      <c r="A289" s="288" t="inlineStr">
        <is>
          <t>NACE C - 24.44 Copper production</t>
        </is>
      </c>
      <c r="B289" s="287" t="inlineStr">
        <is>
          <t>NACE N - 70.1 Activities of head offices</t>
        </is>
      </c>
      <c r="I289" t="inlineStr">
        <is>
          <t xml:space="preserve">    07 07 01 - Hazardous - Aqueous washing liquids and mother liquors</t>
        </is>
      </c>
    </row>
    <row r="290">
      <c r="A290" s="288" t="inlineStr">
        <is>
          <t>NACE C - 24.45 Other non-ferrous metal production</t>
        </is>
      </c>
      <c r="B290" s="287" t="inlineStr">
        <is>
          <t>NACE N - 70.2 Business and other management consultancy activities</t>
        </is>
      </c>
      <c r="I290" t="inlineStr">
        <is>
          <t xml:space="preserve">    07 07 03 - Hazardous - Organic halogenated solvents, washing liquids and mother liquors</t>
        </is>
      </c>
    </row>
    <row r="291">
      <c r="A291" s="288" t="inlineStr">
        <is>
          <t>NACE C - 24.46 Processing of nuclear fuel</t>
        </is>
      </c>
      <c r="B291" s="284" t="inlineStr">
        <is>
          <t>NACE N - 71 Architectural and engineering activities; technical testing and analysis</t>
        </is>
      </c>
      <c r="I291" t="inlineStr">
        <is>
          <t xml:space="preserve">    07 07 04 - Hazardous - Other organic solvents, washing liquids and mother liquors</t>
        </is>
      </c>
    </row>
    <row r="292">
      <c r="A292" s="287" t="inlineStr">
        <is>
          <t>NACE C - 24.5 Casting of metals</t>
        </is>
      </c>
      <c r="B292" s="287" t="inlineStr">
        <is>
          <t>NACE N - 71.1 Architectural and engineering activities and related technical consultancy</t>
        </is>
      </c>
      <c r="I292" t="inlineStr">
        <is>
          <t xml:space="preserve">    07 07 07 - Hazardous - Halogenated still bottoms and reaction residues</t>
        </is>
      </c>
    </row>
    <row r="293">
      <c r="A293" s="288" t="inlineStr">
        <is>
          <t>NACE C - 24.51 Casting of iron</t>
        </is>
      </c>
      <c r="B293" s="287" t="inlineStr">
        <is>
          <t>NACE N - 71.2 Technical testing and analysis</t>
        </is>
      </c>
      <c r="I293" t="inlineStr">
        <is>
          <t xml:space="preserve">    07 07 08 - Hazardous - Other still bottoms and reaction residues</t>
        </is>
      </c>
    </row>
    <row r="294">
      <c r="A294" s="288" t="inlineStr">
        <is>
          <t>NACE C - 24.52 Casting of steel</t>
        </is>
      </c>
      <c r="B294" s="284" t="inlineStr">
        <is>
          <t>NACE N - 72 Scientific research and development</t>
        </is>
      </c>
      <c r="I294" t="inlineStr">
        <is>
          <t xml:space="preserve">    07 07 09 - Hazardous - Halogenated filter cakes and spent absorbents</t>
        </is>
      </c>
    </row>
    <row r="295">
      <c r="A295" s="288" t="inlineStr">
        <is>
          <t>NACE C - 24.53 Casting of light metals</t>
        </is>
      </c>
      <c r="B295" s="287" t="inlineStr">
        <is>
          <t>NACE N - 72.1 Research and experimental development on natural sciences and engineering</t>
        </is>
      </c>
      <c r="I295" t="inlineStr">
        <is>
          <t xml:space="preserve">    07 07 10 - Hazardous - Other filter cakes and spent absorbents</t>
        </is>
      </c>
    </row>
    <row r="296">
      <c r="A296" s="288" t="inlineStr">
        <is>
          <t>NACE C - 24.54 Casting of other non-ferrous metals</t>
        </is>
      </c>
      <c r="B296" s="287" t="inlineStr">
        <is>
          <t>NACE N - 72.2 Research and experimental development on social sciences and humanities</t>
        </is>
      </c>
      <c r="I296" t="inlineStr">
        <is>
          <t xml:space="preserve">    07 07 11 - Hazardous - Sludges from on-site effluent treatment containing hazardous substances</t>
        </is>
      </c>
    </row>
    <row r="297">
      <c r="A297" s="284" t="inlineStr">
        <is>
          <t>NACE C - 25 Manufacture of fabricated metal products, except machinery and equipment</t>
        </is>
      </c>
      <c r="B297" s="284" t="inlineStr">
        <is>
          <t>NACE N - 73 Activities of advertising, market research and public relations</t>
        </is>
      </c>
      <c r="I297" t="inlineStr">
        <is>
          <t xml:space="preserve">    07 07 12 - Non-Hazardous - Sludges from on-site effluent treatment other than those mentioned in 07 07 11</t>
        </is>
      </c>
    </row>
    <row r="298">
      <c r="A298" s="287" t="inlineStr">
        <is>
          <t>NACE C - 25.1 Manufacture of structural metal products</t>
        </is>
      </c>
      <c r="B298" s="287" t="inlineStr">
        <is>
          <t>NACE N - 73.1 Advertising</t>
        </is>
      </c>
      <c r="I298" t="inlineStr">
        <is>
          <t xml:space="preserve">    07 07 99 - Non-Hazardous - Wastes not otherwise specified</t>
        </is>
      </c>
    </row>
    <row r="299">
      <c r="A299" s="288" t="inlineStr">
        <is>
          <t>NACE C - 25.11 Manufacture of metal structures and parts of structures</t>
        </is>
      </c>
      <c r="B299" s="287" t="inlineStr">
        <is>
          <t>NACE N - 73.2 Market research and public opinion polling</t>
        </is>
      </c>
      <c r="I299" t="inlineStr">
        <is>
          <t>08 - WASTES FROM THE MANUFACTURE, FORMULATION, SUPPLY AND USE (MFSU) OF COATINGS (PAINTS, VARNISHES AND VITREOUS ENAMELS), ADHESIVES, SEALANTS AND PRINTING INKS</t>
        </is>
      </c>
    </row>
    <row r="300">
      <c r="A300" s="288" t="inlineStr">
        <is>
          <t>NACE C - 25.12 Manufacture of doors and windows of metal</t>
        </is>
      </c>
      <c r="B300" s="287" t="inlineStr">
        <is>
          <t>NACE N - 73.3 Public relations and communication activities</t>
        </is>
      </c>
      <c r="I300" t="inlineStr">
        <is>
          <t xml:space="preserve">  08 01 - Wastes from MFSU and removal of paint and varnish</t>
        </is>
      </c>
    </row>
    <row r="301">
      <c r="A301" s="287" t="inlineStr">
        <is>
          <t>NACE C - 25.2 Manufacture of tanks, reservoirs and containers of metal</t>
        </is>
      </c>
      <c r="B301" s="284" t="inlineStr">
        <is>
          <t>NACE N - 74 Other professional, scientific and technical activities</t>
        </is>
      </c>
      <c r="I301" t="inlineStr">
        <is>
          <t xml:space="preserve">    08 01 11 - Hazardous - Waste paint and varnish containing organic solvents or other hazardous substances</t>
        </is>
      </c>
    </row>
    <row r="302">
      <c r="A302" s="288" t="inlineStr">
        <is>
          <t>NACE C - 25.21 Manufacture of central heating radiators, steam generators and boilers</t>
        </is>
      </c>
      <c r="B302" s="287" t="inlineStr">
        <is>
          <t>NACE N - 74.1 Specialised design activities</t>
        </is>
      </c>
      <c r="I302" t="inlineStr">
        <is>
          <t xml:space="preserve">    08 01 12 - Non-Hazardous - Waste paint and varnish other than those mentioned in 08 01 11</t>
        </is>
      </c>
    </row>
    <row r="303">
      <c r="A303" s="288" t="inlineStr">
        <is>
          <t>NACE C - 25.22 Manufacture of other tanks, reservoirs and containers of metal</t>
        </is>
      </c>
      <c r="B303" s="287" t="inlineStr">
        <is>
          <t>NACE N - 74.2 Photographic activities</t>
        </is>
      </c>
      <c r="I303" t="inlineStr">
        <is>
          <t xml:space="preserve">    08 01 13 - Hazardous - Sludges from paint or varnish containing organic solvents or other hazardous substances</t>
        </is>
      </c>
    </row>
    <row r="304">
      <c r="A304" s="287" t="inlineStr">
        <is>
          <t>NACE C - 25.3 Manufacture of weapons and ammunition</t>
        </is>
      </c>
      <c r="B304" s="287" t="inlineStr">
        <is>
          <t>NACE N - 74.3 Translation and interpretation activities</t>
        </is>
      </c>
      <c r="I304" t="inlineStr">
        <is>
          <t xml:space="preserve">    08 01 14 - Non-Hazardous - Sludges from paint or varnish other than those mentioned in 08 01 13</t>
        </is>
      </c>
    </row>
    <row r="305">
      <c r="A305" s="288" t="inlineStr">
        <is>
          <t>NACE C - 25.30 Manufacture of weapons and ammunition</t>
        </is>
      </c>
      <c r="B305" s="287" t="inlineStr">
        <is>
          <t>NACE N - 74.9 Other professional, scientific and technical activities n.e.c.</t>
        </is>
      </c>
      <c r="I305" t="inlineStr">
        <is>
          <t xml:space="preserve">    08 01 15 - Hazardous - Aqueous sludges containing paint or varnish containing organic solvents or other hazardous substances</t>
        </is>
      </c>
    </row>
    <row r="306">
      <c r="A306" s="287" t="inlineStr">
        <is>
          <t>NACE C - 25.4 Forging and shaping metal and powder metallurgy</t>
        </is>
      </c>
      <c r="B306" s="284" t="inlineStr">
        <is>
          <t>NACE N - 75 Veterinary activities</t>
        </is>
      </c>
      <c r="I306" t="inlineStr">
        <is>
          <t xml:space="preserve">    08 01 16 - Non-Hazardous - Aqueous sludges containing paint or varnish other than those mentioned in 08 01 15</t>
        </is>
      </c>
    </row>
    <row r="307">
      <c r="A307" s="288" t="inlineStr">
        <is>
          <t>NACE C - 25.40 Forging and shaping metal and powder metallurgy</t>
        </is>
      </c>
      <c r="B307" s="287" t="inlineStr">
        <is>
          <t>NACE N - 75.0 Veterinary activities</t>
        </is>
      </c>
      <c r="I307" t="inlineStr">
        <is>
          <t xml:space="preserve">    08 01 17 - Hazardous - Wastes from paint or varnish removal containing organic solvents or other hazardous substances</t>
        </is>
      </c>
    </row>
    <row r="308">
      <c r="A308" s="287" t="inlineStr">
        <is>
          <t>NACE C - 25.5 Treatment and coating of metals; machining</t>
        </is>
      </c>
      <c r="B308" s="285" t="inlineStr">
        <is>
          <t>NACE N - PROFESSIONAL, SCIENTIFIC AND TECHNICAL ACTIVITIES</t>
        </is>
      </c>
      <c r="I308" t="inlineStr">
        <is>
          <t xml:space="preserve">    08 01 18 - Non-Hazardous - Wastes from paint or varnish removal other than those mentioned in 08 01 17</t>
        </is>
      </c>
    </row>
    <row r="309">
      <c r="A309" s="288" t="inlineStr">
        <is>
          <t>NACE C - 25.51 Coating of metals</t>
        </is>
      </c>
      <c r="B309" s="284" t="inlineStr">
        <is>
          <t>NACE O - 77 Rental and leasing activities</t>
        </is>
      </c>
      <c r="I309" t="inlineStr">
        <is>
          <t xml:space="preserve">    08 01 19 - Hazardous - Aqueous suspensions containing paint or varnish containing organic solvents or other hazardous substances</t>
        </is>
      </c>
    </row>
    <row r="310">
      <c r="A310" s="288" t="inlineStr">
        <is>
          <t>NACE C - 25.52 Heat treatment of metals</t>
        </is>
      </c>
      <c r="B310" s="287" t="inlineStr">
        <is>
          <t>NACE O - 77.1 Rental and leasing of motor vehicles</t>
        </is>
      </c>
      <c r="I310" t="inlineStr">
        <is>
          <t xml:space="preserve">    08 01 20 - Non-Hazardous - Aqueous suspensions containing paint or varnish other than those mentioned in 08 01 19</t>
        </is>
      </c>
    </row>
    <row r="311">
      <c r="A311" s="288" t="inlineStr">
        <is>
          <t>NACE C - 25.53 Machining of metals</t>
        </is>
      </c>
      <c r="B311" s="287" t="inlineStr">
        <is>
          <t>NACE O - 77.2 Rental and leasing of personal and household goods</t>
        </is>
      </c>
      <c r="I311" t="inlineStr">
        <is>
          <t xml:space="preserve">    08 01 21 - Hazardous - Waste paint or varnish remover</t>
        </is>
      </c>
    </row>
    <row r="312">
      <c r="A312" s="287" t="inlineStr">
        <is>
          <t>NACE C - 25.6 Manufacture of cutlery, tools and general hardware</t>
        </is>
      </c>
      <c r="B312" s="287" t="inlineStr">
        <is>
          <t>NACE O - 77.3 Rental and leasing of other machinery, equipment and tangible goods</t>
        </is>
      </c>
      <c r="I312" t="inlineStr">
        <is>
          <t xml:space="preserve">    08 01 99 - Non-Hazardous - Wastes not otherwise specified</t>
        </is>
      </c>
    </row>
    <row r="313">
      <c r="A313" s="288" t="inlineStr">
        <is>
          <t>NACE C - 25.61 Manufacture of cutlery</t>
        </is>
      </c>
      <c r="B313" s="287" t="inlineStr">
        <is>
          <t>NACE O - 77.4 Leasing of intellectual property and similar products, except copyrighted works</t>
        </is>
      </c>
      <c r="I313" t="inlineStr">
        <is>
          <t xml:space="preserve">  08 02 - Wastes from MFSU of other coatings (including ceramic materials)</t>
        </is>
      </c>
    </row>
    <row r="314">
      <c r="A314" s="288" t="inlineStr">
        <is>
          <t>NACE C - 25.62 Manufacture of locks and hinges</t>
        </is>
      </c>
      <c r="B314" s="287" t="inlineStr">
        <is>
          <t>NACE O - 77.5 Intermediation service activities for rental and leasing of tangible goods and non-financial intangible assets</t>
        </is>
      </c>
      <c r="I314" t="inlineStr">
        <is>
          <t xml:space="preserve">    08 02 01 - Non-Hazardous - Waste coating powders</t>
        </is>
      </c>
    </row>
    <row r="315">
      <c r="A315" s="288" t="inlineStr">
        <is>
          <t>NACE C - 25.63 Manufacture of tools</t>
        </is>
      </c>
      <c r="B315" s="284" t="inlineStr">
        <is>
          <t>NACE O - 78 Employment activities</t>
        </is>
      </c>
      <c r="I315" t="inlineStr">
        <is>
          <t xml:space="preserve">    08 02 02 - Non-Hazardous - Aqueous sludges containing ceramic materials</t>
        </is>
      </c>
    </row>
    <row r="316">
      <c r="A316" s="287" t="inlineStr">
        <is>
          <t>NACE C - 25.9 Manufacture of other fabricated metal products</t>
        </is>
      </c>
      <c r="B316" s="287" t="inlineStr">
        <is>
          <t>NACE O - 78.1 Activities of employment placement agencies</t>
        </is>
      </c>
      <c r="I316" t="inlineStr">
        <is>
          <t xml:space="preserve">    08 02 03 - Non-Hazardous - Aqueous suspensions containing ceramic materials</t>
        </is>
      </c>
    </row>
    <row r="317">
      <c r="A317" s="288" t="inlineStr">
        <is>
          <t>NACE C - 25.91 Manufacture of steel drums and similar containers</t>
        </is>
      </c>
      <c r="B317" s="287" t="inlineStr">
        <is>
          <t>NACE O - 78.2 Temporary employment agency activities and other human resource provisions</t>
        </is>
      </c>
      <c r="I317" t="inlineStr">
        <is>
          <t xml:space="preserve">    08 02 99 - Non-Hazardous - Wastes not otherwise specified</t>
        </is>
      </c>
    </row>
    <row r="318">
      <c r="A318" s="288" t="inlineStr">
        <is>
          <t>NACE C - 25.92 Manufacture of light metal packaging</t>
        </is>
      </c>
      <c r="B318" s="284" t="inlineStr">
        <is>
          <t>NACE O - 79 Travel agency, tour operator and other reservation service and related activities</t>
        </is>
      </c>
      <c r="I318" t="inlineStr">
        <is>
          <t xml:space="preserve">  08 03 - Wastes from MFSU of printing inks</t>
        </is>
      </c>
    </row>
    <row r="319">
      <c r="A319" s="288" t="inlineStr">
        <is>
          <t>NACE C - 25.93 Manufacture of wire products, chain and springs</t>
        </is>
      </c>
      <c r="B319" s="287" t="inlineStr">
        <is>
          <t>NACE O - 79.1 Travel agency and tour operator activities</t>
        </is>
      </c>
      <c r="I319" t="inlineStr">
        <is>
          <t xml:space="preserve">    08 03 07 - Non-Hazardous - Aqueous sludges containing ink</t>
        </is>
      </c>
    </row>
    <row r="320">
      <c r="A320" s="288" t="inlineStr">
        <is>
          <t>NACE C - 25.94 Manufacture of fasteners and screw machine products</t>
        </is>
      </c>
      <c r="B320" s="287" t="inlineStr">
        <is>
          <t>NACE O - 79.9 Other reservation service and related activities</t>
        </is>
      </c>
      <c r="I320" t="inlineStr">
        <is>
          <t xml:space="preserve">    08 03 08 - Non-Hazardous - Aqueous liquid waste containing ink</t>
        </is>
      </c>
    </row>
    <row r="321">
      <c r="A321" s="288" t="inlineStr">
        <is>
          <t>NACE C - 25.99 Manufacture of other fabricated metal products n.e.c.</t>
        </is>
      </c>
      <c r="B321" s="284" t="inlineStr">
        <is>
          <t>NACE O - 80 Investigation and security activities</t>
        </is>
      </c>
      <c r="I321" t="inlineStr">
        <is>
          <t xml:space="preserve">    08 03 12 - Hazardous - Waste ink containing hazardous substances</t>
        </is>
      </c>
    </row>
    <row r="322">
      <c r="A322" s="284" t="inlineStr">
        <is>
          <t>NACE C - 26 Manufacture of computer, electronic and optical products</t>
        </is>
      </c>
      <c r="B322" s="287" t="inlineStr">
        <is>
          <t>NACE O - 80.0 Investigation and security activities</t>
        </is>
      </c>
      <c r="I322" t="inlineStr">
        <is>
          <t xml:space="preserve">    08 03 13 - Non-Hazardous - Waste ink other than those mentioned in 08 03 12</t>
        </is>
      </c>
    </row>
    <row r="323">
      <c r="A323" s="287" t="inlineStr">
        <is>
          <t>NACE C - 26.1 Manufacture of electronic components and boards</t>
        </is>
      </c>
      <c r="B323" s="284" t="inlineStr">
        <is>
          <t>NACE O - 81 Services to buildings and landscape activities</t>
        </is>
      </c>
      <c r="I323" t="inlineStr">
        <is>
          <t xml:space="preserve">    08 03 14 - Hazardous - Ink sludges containing hazardous substances</t>
        </is>
      </c>
    </row>
    <row r="324">
      <c r="A324" s="288" t="inlineStr">
        <is>
          <t>NACE C - 26.11 Manufacture of electronic components</t>
        </is>
      </c>
      <c r="B324" s="287" t="inlineStr">
        <is>
          <t>NACE O - 81.1 Combined facilities support activities</t>
        </is>
      </c>
      <c r="I324" t="inlineStr">
        <is>
          <t xml:space="preserve">    08 03 15 - Non-Hazardous - Ink sludges other than those mentioned in 08 03 14</t>
        </is>
      </c>
    </row>
    <row r="325">
      <c r="A325" s="288" t="inlineStr">
        <is>
          <t>NACE C - 26.12 Manufacture of loaded electronic boards</t>
        </is>
      </c>
      <c r="B325" s="287" t="inlineStr">
        <is>
          <t>NACE O - 81.2 Cleaning activities</t>
        </is>
      </c>
      <c r="I325" t="inlineStr">
        <is>
          <t xml:space="preserve">    08 03 16 - Hazardous - Waste etching solutions</t>
        </is>
      </c>
    </row>
    <row r="326">
      <c r="A326" s="287" t="inlineStr">
        <is>
          <t>NACE C - 26.2 Manufacture of computers and peripheral equipment</t>
        </is>
      </c>
      <c r="B326" s="287" t="inlineStr">
        <is>
          <t>NACE O - 81.3 Landscape service activities</t>
        </is>
      </c>
      <c r="I326" t="inlineStr">
        <is>
          <t xml:space="preserve">    08 03 17 - Hazardous - Waste printing toner containing hazardous substances</t>
        </is>
      </c>
    </row>
    <row r="327">
      <c r="A327" s="288" t="inlineStr">
        <is>
          <t>NACE C - 26.20 Manufacture of computers and peripheral equipment</t>
        </is>
      </c>
      <c r="B327" s="284" t="inlineStr">
        <is>
          <t>NACE O - 82 Office administrative, office support and other business support activities</t>
        </is>
      </c>
      <c r="I327" t="inlineStr">
        <is>
          <t xml:space="preserve">    08 03 18 - Non-Hazardous - Waste printing toner other than those mentioned in 08 03 17</t>
        </is>
      </c>
    </row>
    <row r="328">
      <c r="A328" s="287" t="inlineStr">
        <is>
          <t>NACE C - 26.3 Manufacture of communication equipment</t>
        </is>
      </c>
      <c r="B328" s="287" t="inlineStr">
        <is>
          <t>NACE O - 82.1 Office administrative and support activities</t>
        </is>
      </c>
      <c r="I328" t="inlineStr">
        <is>
          <t xml:space="preserve">    08 03 19 - Hazardous - Disperse oil</t>
        </is>
      </c>
    </row>
    <row r="329">
      <c r="A329" s="288" t="inlineStr">
        <is>
          <t>NACE C - 26.30 Manufacture of communication equipment</t>
        </is>
      </c>
      <c r="B329" s="287" t="inlineStr">
        <is>
          <t>NACE O - 82.2 Activities of call centres</t>
        </is>
      </c>
      <c r="I329" t="inlineStr">
        <is>
          <t xml:space="preserve">    08 03 99 - Non-Hazardous - Wastes not otherwise specified</t>
        </is>
      </c>
    </row>
    <row r="330">
      <c r="A330" s="287" t="inlineStr">
        <is>
          <t>NACE C - 26.4 Manufacture of consumer electronics</t>
        </is>
      </c>
      <c r="B330" s="287" t="inlineStr">
        <is>
          <t>NACE O - 82.3 Organisation of conventions and trade shows</t>
        </is>
      </c>
      <c r="I330" t="inlineStr">
        <is>
          <t xml:space="preserve">  08 04 - Wastes from MFSU of adhesives and sealants (including waterproofing products)</t>
        </is>
      </c>
    </row>
    <row r="331">
      <c r="A331" s="288" t="inlineStr">
        <is>
          <t>NACE C - 26.40 Manufacture of consumer electronics</t>
        </is>
      </c>
      <c r="B331" s="287" t="inlineStr">
        <is>
          <t>NACE O - 82.4 Intermediation service activities for business support service activities n.e.c.</t>
        </is>
      </c>
      <c r="I331" t="inlineStr">
        <is>
          <t xml:space="preserve">    08 04 09 - Hazardous - Waste adhesives and sealants containing organic solvents or other hazardous substances</t>
        </is>
      </c>
    </row>
    <row r="332">
      <c r="A332" s="287" t="inlineStr">
        <is>
          <t>NACE C - 26.5 Manufacture of measuring testing instruments, clocks and watches</t>
        </is>
      </c>
      <c r="B332" s="287" t="inlineStr">
        <is>
          <t>NACE O - 82.9 Business support service activities n.e.c.</t>
        </is>
      </c>
      <c r="I332" t="inlineStr">
        <is>
          <t xml:space="preserve">    08 04 10 - Non-Hazardous - Waste adhesives and sealants other than those mentioned in 08 04 09</t>
        </is>
      </c>
    </row>
    <row r="333">
      <c r="A333" s="288" t="inlineStr">
        <is>
          <t>NACE C - 26.51 Manufacture of instruments and appliances for measuring, testing and navigation</t>
        </is>
      </c>
      <c r="B333" s="285" t="inlineStr">
        <is>
          <t>NACE O - ADMINISTRATIVE AND SUPPORT SERVICE ACTIVITIES</t>
        </is>
      </c>
      <c r="I333" t="inlineStr">
        <is>
          <t xml:space="preserve">    08 04 11 - Hazardous - Adhesive and sealant sludges containing organic solvents or other hazardous substances</t>
        </is>
      </c>
    </row>
    <row r="334">
      <c r="A334" s="288" t="inlineStr">
        <is>
          <t>NACE C - 26.52 Manufacture of watches and clocks</t>
        </is>
      </c>
      <c r="B334" s="284" t="inlineStr">
        <is>
          <t>NACE P - 84 Public administration and defence; compulsory social security</t>
        </is>
      </c>
      <c r="I334" t="inlineStr">
        <is>
          <t xml:space="preserve">    08 04 12 - Non-Hazardous - Adhesive and sealant sludges other than those mentioned in 08 04 11</t>
        </is>
      </c>
    </row>
    <row r="335">
      <c r="A335" s="287" t="inlineStr">
        <is>
          <t>NACE C - 26.6 Manufacture of irradiation, electromedical and electrotherapeutic equipment</t>
        </is>
      </c>
      <c r="B335" s="287" t="inlineStr">
        <is>
          <t>NACE P - 84.1 Administration of the State and the economic, social and environmental policies of the community</t>
        </is>
      </c>
      <c r="I335" t="inlineStr">
        <is>
          <t xml:space="preserve">    08 04 13 - Hazardous - Aqueous sludges containing adhesives or sealants containing organic solvents or other hazardous substances</t>
        </is>
      </c>
    </row>
    <row r="336">
      <c r="A336" s="288" t="inlineStr">
        <is>
          <t>NACE C - 26.60 Manufacture of irradiation, electromedical and electrotherapeutic equipment</t>
        </is>
      </c>
      <c r="B336" s="287" t="inlineStr">
        <is>
          <t>NACE P - 84.2 Provision of services to the community as a whole</t>
        </is>
      </c>
      <c r="I336" t="inlineStr">
        <is>
          <t xml:space="preserve">    08 04 14 - Non-Hazardous - Aqueous sludges containing adhesives or sealants other than those mentioned in 08 04 13</t>
        </is>
      </c>
    </row>
    <row r="337">
      <c r="A337" s="287" t="inlineStr">
        <is>
          <t>NACE C - 26.7 Manufacture of optical instruments, magnetic and optical media and photographic equipment</t>
        </is>
      </c>
      <c r="B337" s="287" t="inlineStr">
        <is>
          <t>NACE P - 84.3 Compulsory social security activities</t>
        </is>
      </c>
      <c r="I337" t="inlineStr">
        <is>
          <t xml:space="preserve">    08 04 15 - Hazardous - Aqueous liquid waste containing adhesives or sealants containing organic solvents or other hazardous substances</t>
        </is>
      </c>
    </row>
    <row r="338">
      <c r="A338" s="288" t="inlineStr">
        <is>
          <t>NACE C - 26.70 Manufacture of optical instruments, magnetic and optical media and photographic equipment</t>
        </is>
      </c>
      <c r="B338" s="285" t="inlineStr">
        <is>
          <t>NACE P - PUBLIC ADMINISTRATION AND DEFENCE; COMPULSORY SOCIAL SECURITY</t>
        </is>
      </c>
      <c r="I338" t="inlineStr">
        <is>
          <t xml:space="preserve">    08 04 16 - Non-Hazardous - Aqueous liquid waste containing adhesives or sealants other than those mentioned in 08 04 15</t>
        </is>
      </c>
    </row>
    <row r="339">
      <c r="A339" s="284" t="inlineStr">
        <is>
          <t>NACE C - 27 Manufacture of electrical equipment</t>
        </is>
      </c>
      <c r="B339" s="284" t="inlineStr">
        <is>
          <t>NACE Q - 85 Education</t>
        </is>
      </c>
      <c r="I339" t="inlineStr">
        <is>
          <t xml:space="preserve">    08 04 17 - Hazardous - Rosin oil</t>
        </is>
      </c>
    </row>
    <row r="340">
      <c r="A340" s="287" t="inlineStr">
        <is>
          <t>NACE C - 27.1 Manufacture of electric motors, generators, transformers and electricity distribution and control apparatus</t>
        </is>
      </c>
      <c r="B340" s="287" t="inlineStr">
        <is>
          <t>NACE Q - 85.1 Pre-primary education</t>
        </is>
      </c>
      <c r="I340" t="inlineStr">
        <is>
          <t xml:space="preserve">    08 04 99 - Non-Hazardous - Wastes not otherwise specified</t>
        </is>
      </c>
    </row>
    <row r="341">
      <c r="A341" s="288" t="inlineStr">
        <is>
          <t>NACE C - 27.11 Manufacture of electric motors, generators and transformers</t>
        </is>
      </c>
      <c r="B341" s="287" t="inlineStr">
        <is>
          <t>NACE Q - 85.2 Primary education</t>
        </is>
      </c>
      <c r="I341" t="inlineStr">
        <is>
          <t xml:space="preserve">  08 05 - Wastes not otherwise specified in 08</t>
        </is>
      </c>
    </row>
    <row r="342">
      <c r="A342" s="288" t="inlineStr">
        <is>
          <t>NACE C - 27.12 Manufacture of electricity distribution and control apparatus</t>
        </is>
      </c>
      <c r="B342" s="287" t="inlineStr">
        <is>
          <t>NACE Q - 85.3 Secondary and post-secondary non-tertiary education</t>
        </is>
      </c>
      <c r="I342" t="inlineStr">
        <is>
          <t xml:space="preserve">    08 05 01 - Hazardous - Waste isocyanates</t>
        </is>
      </c>
    </row>
    <row r="343">
      <c r="A343" s="287" t="inlineStr">
        <is>
          <t>NACE C - 27.2 Manufacture of batteries and accumulators</t>
        </is>
      </c>
      <c r="B343" s="287" t="inlineStr">
        <is>
          <t>NACE Q - 85.4 Tertiary education</t>
        </is>
      </c>
      <c r="I343" t="inlineStr">
        <is>
          <t>09 - WASTES FROM THE PHOTOGRAPHIC INDUSTRY</t>
        </is>
      </c>
    </row>
    <row r="344">
      <c r="A344" s="288" t="inlineStr">
        <is>
          <t>NACE C - 27.20 Manufacture of batteries and accumulators</t>
        </is>
      </c>
      <c r="B344" s="287" t="inlineStr">
        <is>
          <t>NACE Q - 85.5 Other education</t>
        </is>
      </c>
      <c r="I344" t="inlineStr">
        <is>
          <t xml:space="preserve">  09 01 - Wastes from the photographic industry</t>
        </is>
      </c>
    </row>
    <row r="345">
      <c r="A345" s="287" t="inlineStr">
        <is>
          <t>NACE C - 27.3 Manufacture of wiring and wiring devices</t>
        </is>
      </c>
      <c r="B345" s="287" t="inlineStr">
        <is>
          <t>NACE Q - 85.6 Educational support activities</t>
        </is>
      </c>
      <c r="I345" t="inlineStr">
        <is>
          <t xml:space="preserve">    09 01 01 - Hazardous - Water-based developer and activator solutions</t>
        </is>
      </c>
    </row>
    <row r="346">
      <c r="A346" s="288" t="inlineStr">
        <is>
          <t>NACE C - 27.31 Manufacture of fibre optic cables</t>
        </is>
      </c>
      <c r="B346" s="285" t="inlineStr">
        <is>
          <t>NACE Q - EDUCATION</t>
        </is>
      </c>
      <c r="I346" t="inlineStr">
        <is>
          <t xml:space="preserve">    09 01 02 - Hazardous - Water-based offset plate developer solutions</t>
        </is>
      </c>
    </row>
    <row r="347">
      <c r="A347" s="288" t="inlineStr">
        <is>
          <t>NACE C - 27.32 Manufacture of other electronic and electric wires and cables</t>
        </is>
      </c>
      <c r="B347" s="284" t="inlineStr">
        <is>
          <t>NACE R - 86 Human health activities</t>
        </is>
      </c>
      <c r="I347" t="inlineStr">
        <is>
          <t xml:space="preserve">    09 01 03 - Hazardous - Solvent-based developer solutions</t>
        </is>
      </c>
    </row>
    <row r="348">
      <c r="A348" s="288" t="inlineStr">
        <is>
          <t>NACE C - 27.33 Manufacture of wiring devices</t>
        </is>
      </c>
      <c r="B348" s="287" t="inlineStr">
        <is>
          <t>NACE R - 86.1 Hospital activities</t>
        </is>
      </c>
      <c r="I348" t="inlineStr">
        <is>
          <t xml:space="preserve">    09 01 04 - Hazardous - Fixer solutions</t>
        </is>
      </c>
    </row>
    <row r="349">
      <c r="A349" s="287" t="inlineStr">
        <is>
          <t>NACE C - 27.4 Manufacture of lighting equipment</t>
        </is>
      </c>
      <c r="B349" s="287" t="inlineStr">
        <is>
          <t>NACE R - 86.2 Medical and dental practice activities</t>
        </is>
      </c>
      <c r="I349" t="inlineStr">
        <is>
          <t xml:space="preserve">    09 01 05 - Hazardous - Bleach solutions and bleach fixer solutions</t>
        </is>
      </c>
    </row>
    <row r="350">
      <c r="A350" s="288" t="inlineStr">
        <is>
          <t>NACE C - 27.40 Manufacture of lighting equipment</t>
        </is>
      </c>
      <c r="B350" s="287" t="inlineStr">
        <is>
          <t>NACE R - 86.9 Other human health activities</t>
        </is>
      </c>
      <c r="I350" t="inlineStr">
        <is>
          <t xml:space="preserve">    09 01 06 - Hazardous - Wastes containing silver from on-site treatment of photographic wastes</t>
        </is>
      </c>
    </row>
    <row r="351">
      <c r="A351" s="287" t="inlineStr">
        <is>
          <t>NACE C - 27.5 Manufacture of domestic appliances</t>
        </is>
      </c>
      <c r="B351" s="284" t="inlineStr">
        <is>
          <t>NACE R - 87 Residential care activities</t>
        </is>
      </c>
      <c r="I351" t="inlineStr">
        <is>
          <t xml:space="preserve">    09 01 07 - Non-Hazardous - Photographic film and paper containing silver or silver compounds</t>
        </is>
      </c>
    </row>
    <row r="352">
      <c r="A352" s="288" t="inlineStr">
        <is>
          <t>NACE C - 27.51 Manufacture of electric domestic appliances</t>
        </is>
      </c>
      <c r="B352" s="287" t="inlineStr">
        <is>
          <t>NACE R - 87.1 Residential nursing care activities</t>
        </is>
      </c>
      <c r="I352" t="inlineStr">
        <is>
          <t xml:space="preserve">    09 01 08 - Non-Hazardous - Photographic film and paper free of silver or silver compounds</t>
        </is>
      </c>
    </row>
    <row r="353">
      <c r="A353" s="288" t="inlineStr">
        <is>
          <t>NACE C - 27.52 Manufacture of non-electric domestic appliances</t>
        </is>
      </c>
      <c r="B353" s="287" t="inlineStr">
        <is>
          <t>NACE R - 87.2 Residential care activities for persons living with or having a diagnosis of a mental illness or substance abuse</t>
        </is>
      </c>
      <c r="I353" t="inlineStr">
        <is>
          <t xml:space="preserve">    09 01 10 - Non-Hazardous - Single-use cameras without batteries</t>
        </is>
      </c>
    </row>
    <row r="354">
      <c r="A354" s="287" t="inlineStr">
        <is>
          <t>NACE C - 27.9 Manufacture of other electrical equipment</t>
        </is>
      </c>
      <c r="B354" s="287" t="inlineStr">
        <is>
          <t>NACE R - 87.3 Residential care activities for older persons or persons with physical disabilities</t>
        </is>
      </c>
      <c r="I354" t="inlineStr">
        <is>
          <t xml:space="preserve">    09 01 11 - Hazardous - Single-use cameras containing batteries included in 16 06 01, 16 06 02 or 16 06 03</t>
        </is>
      </c>
    </row>
    <row r="355">
      <c r="A355" s="288" t="inlineStr">
        <is>
          <t>NACE C - 27.90 Manufacture of other electrical equipment</t>
        </is>
      </c>
      <c r="B355" s="287" t="inlineStr">
        <is>
          <t>NACE R - 87.9 Other residential care activities</t>
        </is>
      </c>
      <c r="I355" t="inlineStr">
        <is>
          <t xml:space="preserve">    09 01 12 - Non-Hazardous - Single-use cameras containing batteries other than those mentioned in 09 01 11</t>
        </is>
      </c>
    </row>
    <row r="356">
      <c r="A356" s="284" t="inlineStr">
        <is>
          <t>NACE C - 28 Manufacture of machinery and equipment n.e.c.</t>
        </is>
      </c>
      <c r="B356" s="284" t="inlineStr">
        <is>
          <t>NACE R - 88 Social work activities without accommodation</t>
        </is>
      </c>
      <c r="I356" t="inlineStr">
        <is>
          <t xml:space="preserve">    09 01 13 - Hazardous - Aqueous liquid waste from on-site reclamation of silver other than those mentioned in 09 01 06</t>
        </is>
      </c>
    </row>
    <row r="357">
      <c r="A357" s="287" t="inlineStr">
        <is>
          <t>NACE C - 28.1 Manufacture of general-purpose machinery</t>
        </is>
      </c>
      <c r="B357" s="287" t="inlineStr">
        <is>
          <t>NACE R - 88.1 Social work activities without accommodation for older persons or persons with disabilities</t>
        </is>
      </c>
      <c r="I357" t="inlineStr">
        <is>
          <t xml:space="preserve">    09 01 99 - Non-Hazardous - Wastes not otherwise specified</t>
        </is>
      </c>
    </row>
    <row r="358">
      <c r="A358" s="288" t="inlineStr">
        <is>
          <t>NACE C - 28.11 Manufacture of engines and turbines, except aircraft, vehicle and cycle engines</t>
        </is>
      </c>
      <c r="B358" s="287" t="inlineStr">
        <is>
          <t>NACE R - 88.9 Other social work activities without accommodation</t>
        </is>
      </c>
      <c r="I358" t="inlineStr">
        <is>
          <t>10 - WASTES FROM THERMAL PROCESSES</t>
        </is>
      </c>
    </row>
    <row r="359">
      <c r="A359" s="288" t="inlineStr">
        <is>
          <t>NACE C - 28.12 Manufacture of fluid power equipment</t>
        </is>
      </c>
      <c r="B359" s="285" t="inlineStr">
        <is>
          <t>NACE R - HUMAN HEALTH AND SOCIAL WORK ACTIVITIES</t>
        </is>
      </c>
      <c r="I359" t="inlineStr">
        <is>
          <t xml:space="preserve">  10 01 - Wastes from power stations and other combustion plants (except 19)</t>
        </is>
      </c>
    </row>
    <row r="360">
      <c r="A360" s="288" t="inlineStr">
        <is>
          <t>NACE C - 28.13 Manufacture of other pumps and compressors</t>
        </is>
      </c>
      <c r="B360" s="284" t="inlineStr">
        <is>
          <t>NACE S - 90 Arts creation and performing arts activities</t>
        </is>
      </c>
      <c r="I360" t="inlineStr">
        <is>
          <t xml:space="preserve">    10 01 01 - Non-Hazardous - Bottom ash, slag and boiler dust (excluding boiler dust mentioned in 10 01 04)</t>
        </is>
      </c>
    </row>
    <row r="361">
      <c r="A361" s="288" t="inlineStr">
        <is>
          <t>NACE C - 28.14 Manufacture of other taps and valves</t>
        </is>
      </c>
      <c r="B361" s="287" t="inlineStr">
        <is>
          <t>NACE S - 90.1 Arts creation activities</t>
        </is>
      </c>
      <c r="I361" t="inlineStr">
        <is>
          <t xml:space="preserve">    10 01 02 - Non-Hazardous - Coal fly ash</t>
        </is>
      </c>
    </row>
    <row r="362">
      <c r="A362" s="288" t="inlineStr">
        <is>
          <t>NACE C - 28.15 Manufacture of bearings, gears, gearing and driving elements</t>
        </is>
      </c>
      <c r="B362" s="287" t="inlineStr">
        <is>
          <t>NACE S - 90.2 Activities of performing arts</t>
        </is>
      </c>
      <c r="I362" t="inlineStr">
        <is>
          <t xml:space="preserve">    10 01 03 - Non-Hazardous - Fly ash from peat and untreated wood</t>
        </is>
      </c>
    </row>
    <row r="363">
      <c r="A363" s="287" t="inlineStr">
        <is>
          <t>NACE C - 28.2 Manufacture of other general-purpose machinery</t>
        </is>
      </c>
      <c r="B363" s="287" t="inlineStr">
        <is>
          <t>NACE S - 90.3 Support activities to arts creation and performing arts</t>
        </is>
      </c>
      <c r="I363" t="inlineStr">
        <is>
          <t xml:space="preserve">    10 01 04 - Hazardous - Oil fly ash and boiler dust</t>
        </is>
      </c>
    </row>
    <row r="364">
      <c r="A364" s="288" t="inlineStr">
        <is>
          <t>NACE C - 28.21 Manufacture of ovens, furnaces and permanent household heating equipment</t>
        </is>
      </c>
      <c r="B364" s="284" t="inlineStr">
        <is>
          <t>NACE S - 91 Libraries, archives, museums and other cultural activities</t>
        </is>
      </c>
      <c r="I364" t="inlineStr">
        <is>
          <t xml:space="preserve">    10 01 05 - Non-Hazardous - Calcium-based reaction wastes from flue-gas desulphurisation in solid form</t>
        </is>
      </c>
    </row>
    <row r="365">
      <c r="A365" s="288" t="inlineStr">
        <is>
          <t>NACE C - 28.22 Manufacture of lifting and handling equipment</t>
        </is>
      </c>
      <c r="B365" s="287" t="inlineStr">
        <is>
          <t>NACE S - 91.1 Library and archive activities</t>
        </is>
      </c>
      <c r="I365" t="inlineStr">
        <is>
          <t xml:space="preserve">    10 01 07 - Non-Hazardous - Calcium-based reaction wastes from flue-gas desulphurisation in sludge form</t>
        </is>
      </c>
    </row>
    <row r="366">
      <c r="A366" s="288" t="inlineStr">
        <is>
          <t>NACE C - 28.23 Manufacture of office machinery and equipment, except computers and peripheral equipment</t>
        </is>
      </c>
      <c r="B366" s="287" t="inlineStr">
        <is>
          <t>NACE S - 91.2 Museum, collection, historical site and monument activities</t>
        </is>
      </c>
      <c r="I366" t="inlineStr">
        <is>
          <t xml:space="preserve">    10 01 09 - Hazardous - Sulphuric acid</t>
        </is>
      </c>
    </row>
    <row r="367">
      <c r="A367" s="288" t="inlineStr">
        <is>
          <t>NACE C - 28.24 Manufacture of power-driven hand tools</t>
        </is>
      </c>
      <c r="B367" s="287" t="inlineStr">
        <is>
          <t>NACE S - 91.3 Conservation, restoration and other support activities for cultural heritage</t>
        </is>
      </c>
      <c r="I367" t="inlineStr">
        <is>
          <t xml:space="preserve">    10 01 13 - Hazardous - Fly ash from emulsified hydrocarbons used as fuel</t>
        </is>
      </c>
    </row>
    <row r="368">
      <c r="A368" s="288" t="inlineStr">
        <is>
          <t>NACE C - 28.25 Manufacture of non-domestic air conditioning equipment</t>
        </is>
      </c>
      <c r="B368" s="287" t="inlineStr">
        <is>
          <t>NACE S - 91.4 Botanical and zoological garden and nature reserve activities</t>
        </is>
      </c>
      <c r="I368" t="inlineStr">
        <is>
          <t xml:space="preserve">    10 01 14 - Hazardous - Bottom ash, slag and boiler dust from co-incineration containing hazardous substances</t>
        </is>
      </c>
    </row>
    <row r="369">
      <c r="A369" s="288" t="inlineStr">
        <is>
          <t>NACE C - 28.29 Manufacture of other general-purpose machinery n.e.c.</t>
        </is>
      </c>
      <c r="B369" s="284" t="inlineStr">
        <is>
          <t>NACE S - 92 Gambling and betting activities</t>
        </is>
      </c>
      <c r="I369" t="inlineStr">
        <is>
          <t xml:space="preserve">    10 01 15 - Non-Hazardous - Bottom ash, slag and boiler dust from co-incineration other than those mentioned in 10 01 14</t>
        </is>
      </c>
    </row>
    <row r="370">
      <c r="A370" s="287" t="inlineStr">
        <is>
          <t>NACE C - 28.3 Manufacture of agricultural and forestry machinery</t>
        </is>
      </c>
      <c r="B370" s="287" t="inlineStr">
        <is>
          <t>NACE S - 92.0 Gambling and betting activities</t>
        </is>
      </c>
      <c r="I370" t="inlineStr">
        <is>
          <t xml:space="preserve">    10 01 16 - Hazardous - Fly ash from co-incineration containing hazardous substances</t>
        </is>
      </c>
    </row>
    <row r="371">
      <c r="A371" s="288" t="inlineStr">
        <is>
          <t>NACE C - 28.30 Manufacture of agricultural and forestry machinery</t>
        </is>
      </c>
      <c r="B371" s="284" t="inlineStr">
        <is>
          <t>NACE S - 93 Sports activities and amusement and recreation activities</t>
        </is>
      </c>
      <c r="I371" t="inlineStr">
        <is>
          <t xml:space="preserve">    10 01 17 - Non-Hazardous - Fly ash from co-incineration other than those mentioned in 10 01 16</t>
        </is>
      </c>
    </row>
    <row r="372">
      <c r="A372" s="287" t="inlineStr">
        <is>
          <t>NACE C - 28.4 Manufacture of metal forming machinery and machine tools</t>
        </is>
      </c>
      <c r="B372" s="287" t="inlineStr">
        <is>
          <t>NACE S - 93.1 Sports activities</t>
        </is>
      </c>
      <c r="I372" t="inlineStr">
        <is>
          <t xml:space="preserve">    10 01 18 - Hazardous - Wastes from gas cleaning containing hazardous substances</t>
        </is>
      </c>
    </row>
    <row r="373">
      <c r="A373" s="288" t="inlineStr">
        <is>
          <t>NACE C - 28.41 Manufacture of metal forming machinery and machine tools for metal work</t>
        </is>
      </c>
      <c r="B373" s="287" t="inlineStr">
        <is>
          <t>NACE S - 93.2 Amusement and recreation activities</t>
        </is>
      </c>
      <c r="I373" t="inlineStr">
        <is>
          <t xml:space="preserve">    10 01 19 - Non-Hazardous - Wastes from gas cleaning other than those mentioned in 10 01 05, 10 01 07 and 10 01 18</t>
        </is>
      </c>
    </row>
    <row r="374">
      <c r="A374" s="288" t="inlineStr">
        <is>
          <t>NACE C - 28.42 Manufacture of other machine tools</t>
        </is>
      </c>
      <c r="B374" s="285" t="inlineStr">
        <is>
          <t>NACE S - ARTS, SPORTS AND RECREATION</t>
        </is>
      </c>
      <c r="I374" t="inlineStr">
        <is>
          <t xml:space="preserve">    10 01 20 - Hazardous - Sludges from on-site effluent treatment containing hazardous substances</t>
        </is>
      </c>
    </row>
    <row r="375">
      <c r="A375" s="287" t="inlineStr">
        <is>
          <t>NACE C - 28.9 Manufacture of other special-purpose machinery</t>
        </is>
      </c>
      <c r="B375" s="284" t="inlineStr">
        <is>
          <t>NACE T - 94 Activities of membership organisations</t>
        </is>
      </c>
      <c r="I375" t="inlineStr">
        <is>
          <t xml:space="preserve">    10 01 21 - Non-Hazardous - Sludges from on-site effluent treatment other than those mentioned in 10 01 20</t>
        </is>
      </c>
    </row>
    <row r="376">
      <c r="A376" s="288" t="inlineStr">
        <is>
          <t>NACE C - 28.91 Manufacture of machinery for metallurgy</t>
        </is>
      </c>
      <c r="B376" s="287" t="inlineStr">
        <is>
          <t>NACE T - 94.1 Activities of business, employers and professional membership organisations</t>
        </is>
      </c>
      <c r="I376" t="inlineStr">
        <is>
          <t xml:space="preserve">    10 01 22 - Hazardous - Aqueous sludges from boiler cleansing containing hazardous substances</t>
        </is>
      </c>
    </row>
    <row r="377">
      <c r="A377" s="288" t="inlineStr">
        <is>
          <t>NACE C - 28.92 Manufacture of machinery for mining, quarrying and construction</t>
        </is>
      </c>
      <c r="B377" s="287" t="inlineStr">
        <is>
          <t>NACE T - 94.2 Activities of trade unions</t>
        </is>
      </c>
      <c r="I377" t="inlineStr">
        <is>
          <t xml:space="preserve">    10 01 23 - Non-Hazardous - Aqueous sludges from boiler cleansing other than those mentioned in 10 01 22</t>
        </is>
      </c>
    </row>
    <row r="378">
      <c r="A378" s="288" t="inlineStr">
        <is>
          <t>NACE C - 28.93 Manufacture of machinery for food, beverage and tobacco processing</t>
        </is>
      </c>
      <c r="B378" s="287" t="inlineStr">
        <is>
          <t>NACE T - 94.9 Activities of other membership organisations</t>
        </is>
      </c>
      <c r="I378" t="inlineStr">
        <is>
          <t xml:space="preserve">    10 01 24 - Non-Hazardous - Sands from fluidised beds</t>
        </is>
      </c>
    </row>
    <row r="379">
      <c r="A379" s="288" t="inlineStr">
        <is>
          <t>NACE C - 28.94 Manufacture of machinery for textile, apparel and leather production</t>
        </is>
      </c>
      <c r="B379" s="284" t="inlineStr">
        <is>
          <t>NACE T - 95 Repair and maintenance of computers, personal and household goods, and motor vehicles and motorcycles</t>
        </is>
      </c>
      <c r="I379" t="inlineStr">
        <is>
          <t xml:space="preserve">    10 01 25 - Non-Hazardous - Wastes from fuel storage and preparation of coal-fired power plants</t>
        </is>
      </c>
    </row>
    <row r="380">
      <c r="A380" s="288" t="inlineStr">
        <is>
          <t>NACE C - 28.95 Manufacture of machinery for paper and paperboard production</t>
        </is>
      </c>
      <c r="B380" s="287" t="inlineStr">
        <is>
          <t>NACE T - 95.1 Repair and maintenance of computers and communication equipment</t>
        </is>
      </c>
      <c r="I380" t="inlineStr">
        <is>
          <t xml:space="preserve">    10 01 26 - Non-Hazardous - Wastes from cooling-water treatment</t>
        </is>
      </c>
    </row>
    <row r="381">
      <c r="A381" s="288" t="inlineStr">
        <is>
          <t>NACE C - 28.96 Manufacture of plastics and rubber machinery</t>
        </is>
      </c>
      <c r="B381" s="287" t="inlineStr">
        <is>
          <t>NACE T - 95.2 Repair and maintenance of personal and household goods</t>
        </is>
      </c>
      <c r="I381" t="inlineStr">
        <is>
          <t xml:space="preserve">    10 01 99 - Non-Hazardous - Wastes not otherwise specified</t>
        </is>
      </c>
    </row>
    <row r="382">
      <c r="A382" s="288" t="inlineStr">
        <is>
          <t>NACE C - 28.97 Manufacture of additive manufacturing machinery</t>
        </is>
      </c>
      <c r="B382" s="287" t="inlineStr">
        <is>
          <t>NACE T - 95.3 Repair and maintenance of motor vehicles and motorcycles</t>
        </is>
      </c>
      <c r="I382" t="inlineStr">
        <is>
          <t xml:space="preserve">  10 02 - Wastes from the iron and steel industry</t>
        </is>
      </c>
    </row>
    <row r="383">
      <c r="A383" s="288" t="inlineStr">
        <is>
          <t>NACE C - 28.99 Manufacture of other special-purpose machinery n.e.c.</t>
        </is>
      </c>
      <c r="B383" s="287" t="inlineStr">
        <is>
          <t>NACE T - 95.4 Intermediation service activities for repair and maintenance of computers, personal and household goods, and motor vehicles and motorcycles</t>
        </is>
      </c>
      <c r="I383" t="inlineStr">
        <is>
          <t xml:space="preserve">    10 02 01 - Non-Hazardous - Wastes from the processing of slag</t>
        </is>
      </c>
    </row>
    <row r="384">
      <c r="A384" s="284" t="inlineStr">
        <is>
          <t>NACE C - 29 Manufacture of motor vehicles, trailers and semi-trailers</t>
        </is>
      </c>
      <c r="B384" s="284" t="inlineStr">
        <is>
          <t>NACE T - 96 Personal service activities</t>
        </is>
      </c>
      <c r="I384" t="inlineStr">
        <is>
          <t xml:space="preserve">    10 02 02 - Non-Hazardous - Unprocessed slag</t>
        </is>
      </c>
    </row>
    <row r="385">
      <c r="A385" s="287" t="inlineStr">
        <is>
          <t>NACE C - 29.1 Manufacture of motor vehicles</t>
        </is>
      </c>
      <c r="B385" s="287" t="inlineStr">
        <is>
          <t>NACE T - 96.1 Washing and cleaning of textile and fur products</t>
        </is>
      </c>
      <c r="I385" t="inlineStr">
        <is>
          <t xml:space="preserve">    10 02 07 - Hazardous - Solid wastes from gas treatment containing hazardous substances</t>
        </is>
      </c>
    </row>
    <row r="386">
      <c r="A386" s="288" t="inlineStr">
        <is>
          <t>NACE C - 29.10 Manufacture of motor vehicles</t>
        </is>
      </c>
      <c r="B386" s="287" t="inlineStr">
        <is>
          <t>NACE T - 96.2 Hairdressing, beauty treatment, day spa and similar activities</t>
        </is>
      </c>
      <c r="I386" t="inlineStr">
        <is>
          <t xml:space="preserve">    10 02 08 - Non-Hazardous - Solid wastes from gas treatment other than those mentioned in 10 02 07</t>
        </is>
      </c>
    </row>
    <row r="387">
      <c r="A387" s="287" t="inlineStr">
        <is>
          <t>NACE C - 29.2 Manufacture of bodies and coachwork for motor vehicles; manufacture of trailers and semi-trailers</t>
        </is>
      </c>
      <c r="B387" s="287" t="inlineStr">
        <is>
          <t>NACE T - 96.3 Funeral and related activities</t>
        </is>
      </c>
      <c r="I387" t="inlineStr">
        <is>
          <t xml:space="preserve">    10 02 10 - Non-Hazardous - Mill scales</t>
        </is>
      </c>
    </row>
    <row r="388">
      <c r="A388" s="288" t="inlineStr">
        <is>
          <t>NACE C - 29.20 Manufacture of bodies and coachwork for motor vehicles; manufacture of trailers and semi-trailers</t>
        </is>
      </c>
      <c r="B388" s="287" t="inlineStr">
        <is>
          <t>NACE T - 96.4 Intermediation service activities for personal services</t>
        </is>
      </c>
      <c r="I388" t="inlineStr">
        <is>
          <t xml:space="preserve">    10 02 11 - Hazardous - Wastes from cooling-water treatment containing oil</t>
        </is>
      </c>
    </row>
    <row r="389">
      <c r="A389" s="287" t="inlineStr">
        <is>
          <t>NACE C - 29.3 Manufacture of motor vehicle parts and accessories</t>
        </is>
      </c>
      <c r="B389" s="287" t="inlineStr">
        <is>
          <t>NACE T - 96.9 Other personal service activities</t>
        </is>
      </c>
      <c r="I389" t="inlineStr">
        <is>
          <t xml:space="preserve">    10 02 12 - Non-Hazardous - Wastes from cooling-water treatment other than those mentioned in 10 02 11</t>
        </is>
      </c>
    </row>
    <row r="390">
      <c r="A390" s="288" t="inlineStr">
        <is>
          <t>NACE C - 29.31 Manufacture of electrical and electronic equipment for motor vehicles</t>
        </is>
      </c>
      <c r="B390" s="285" t="inlineStr">
        <is>
          <t>NACE T - OTHER SERVICE ACTIVITIES</t>
        </is>
      </c>
      <c r="I390" t="inlineStr">
        <is>
          <t xml:space="preserve">    10 02 13 - Hazardous - Sludges and filter cakes from gas treatment containing hazardous substances</t>
        </is>
      </c>
    </row>
    <row r="391">
      <c r="A391" s="288" t="inlineStr">
        <is>
          <t>NACE C - 29.32 Manufacture of other parts and accessories for motor vehicles</t>
        </is>
      </c>
      <c r="B391" s="284" t="inlineStr">
        <is>
          <t>NACE U - 97 Activities of households as employers of domestic personnel</t>
        </is>
      </c>
      <c r="I391" t="inlineStr">
        <is>
          <t xml:space="preserve">    10 02 14 - Non-Hazardous - Sludges and filter cakes from gas treatment other than those mentioned in 10 02 13</t>
        </is>
      </c>
    </row>
    <row r="392">
      <c r="A392" s="284" t="inlineStr">
        <is>
          <t>NACE C - 30 Manufacture of other transport equipment</t>
        </is>
      </c>
      <c r="B392" s="287" t="inlineStr">
        <is>
          <t>NACE U - 97.0 Activities of households as employers of domestic personnel</t>
        </is>
      </c>
      <c r="I392" t="inlineStr">
        <is>
          <t xml:space="preserve">    10 02 15 - Non-Hazardous - Other sludges and filter cakes</t>
        </is>
      </c>
    </row>
    <row r="393">
      <c r="A393" s="287" t="inlineStr">
        <is>
          <t>NACE C - 30.1 Building of ships and boats</t>
        </is>
      </c>
      <c r="B393" s="284" t="inlineStr">
        <is>
          <t>NACE U - 98 Undifferentiated goods- and service-producing activities of private households for own use</t>
        </is>
      </c>
      <c r="I393" t="inlineStr">
        <is>
          <t xml:space="preserve">    10 02 99 - Non-Hazardous - Wastes not otherwise specified</t>
        </is>
      </c>
    </row>
    <row r="394">
      <c r="A394" s="288" t="inlineStr">
        <is>
          <t>NACE C - 30.11 Building of civilian ships and floating structures</t>
        </is>
      </c>
      <c r="B394" s="287" t="inlineStr">
        <is>
          <t>NACE U - 98.1 Undifferentiated goods-producing activities of private households for own use</t>
        </is>
      </c>
      <c r="I394" t="inlineStr">
        <is>
          <t xml:space="preserve">  10 03 - Wastes from aluminium thermal metallurgy</t>
        </is>
      </c>
    </row>
    <row r="395">
      <c r="A395" s="288" t="inlineStr">
        <is>
          <t>NACE C - 30.12 Building of pleasure and sporting boats</t>
        </is>
      </c>
      <c r="B395" s="287" t="inlineStr">
        <is>
          <t>NACE U - 98.2 Undifferentiated service-producing activities of private households for own use</t>
        </is>
      </c>
      <c r="I395" t="inlineStr">
        <is>
          <t xml:space="preserve">    10 03 02 - Non-Hazardous - Anode scraps</t>
        </is>
      </c>
    </row>
    <row r="396">
      <c r="A396" s="288" t="inlineStr">
        <is>
          <t>NACE C - 30.13 Building of military ships and vessels</t>
        </is>
      </c>
      <c r="B396" s="285" t="inlineStr">
        <is>
          <t>NACE U - ACTIVITIES OF HOUSEHOLDS AS EMPLOYERS AND UNDIFFERENTIATED GOODS – AND SERVICE-PRODUCING ACTIVITIES OF HOUSEHOLDS FOR OWN USE</t>
        </is>
      </c>
      <c r="I396" t="inlineStr">
        <is>
          <t xml:space="preserve">    10 03 04 - Hazardous - Primary production slags</t>
        </is>
      </c>
    </row>
    <row r="397">
      <c r="A397" s="287" t="inlineStr">
        <is>
          <t>NACE C - 30.2 Manufacture of railway locomotives and rolling stock</t>
        </is>
      </c>
      <c r="B397" s="284" t="inlineStr">
        <is>
          <t>NACE V - 99 Activities of extraterritorial organisations and bodies</t>
        </is>
      </c>
      <c r="I397" t="inlineStr">
        <is>
          <t xml:space="preserve">    10 03 05 - Non-Hazardous - Waste alumina</t>
        </is>
      </c>
    </row>
    <row r="398">
      <c r="A398" s="288" t="inlineStr">
        <is>
          <t>NACE C - 30.20 Manufacture of railway locomotives and rolling stock</t>
        </is>
      </c>
      <c r="B398" s="287" t="inlineStr">
        <is>
          <t>NACE V - 99.0 Activities of extraterritorial organisations and bodies</t>
        </is>
      </c>
      <c r="I398" t="inlineStr">
        <is>
          <t xml:space="preserve">    10 03 08 - Hazardous - Salt slags from secondary production</t>
        </is>
      </c>
    </row>
    <row r="399">
      <c r="A399" s="287" t="inlineStr">
        <is>
          <t>NACE C - 30.3 Manufacture of air and spacecraft and related machinery</t>
        </is>
      </c>
      <c r="B399" s="285" t="inlineStr">
        <is>
          <t>NACE V - ACTIVITIES OF EXTRATERRITORIAL ORGANISATIONS AND BODIES</t>
        </is>
      </c>
      <c r="I399" t="inlineStr">
        <is>
          <t xml:space="preserve">    10 03 09 - Hazardous - Black drosses from secondary production</t>
        </is>
      </c>
    </row>
    <row r="400">
      <c r="A400" s="288" t="inlineStr">
        <is>
          <t>NACE C - 30.31 Manufacture of civilian air and spacecraft and related machinery</t>
        </is>
      </c>
      <c r="I400" t="inlineStr">
        <is>
          <t xml:space="preserve">    10 03 15 - Hazardous - Skimmings that are flammable or emit, upon contact with water, flammable gases in hazardous quantities</t>
        </is>
      </c>
    </row>
    <row r="401">
      <c r="A401" s="288" t="inlineStr">
        <is>
          <t>NACE C - 30.32 Manufacture of military air and spacecraft and related machinery</t>
        </is>
      </c>
      <c r="B401" s="288" t="n"/>
      <c r="I401" t="inlineStr">
        <is>
          <t xml:space="preserve">    10 03 16 - Non-Hazardous - Skimmings other than those mentioned in 10 03 15</t>
        </is>
      </c>
    </row>
    <row r="402">
      <c r="A402" s="287" t="inlineStr">
        <is>
          <t>NACE C - 30.4 Manufacture of military fighting vehicles</t>
        </is>
      </c>
      <c r="B402" s="288" t="n"/>
      <c r="I402" t="inlineStr">
        <is>
          <t xml:space="preserve">    10 03 17 - Hazardous - Tar-containing wastes from anode manufacture</t>
        </is>
      </c>
    </row>
    <row r="403">
      <c r="A403" s="288" t="inlineStr">
        <is>
          <t>NACE C - 30.40 Manufacture of military fighting vehicles</t>
        </is>
      </c>
      <c r="B403" s="288" t="n"/>
      <c r="I403" t="inlineStr">
        <is>
          <t xml:space="preserve">    10 03 18 - Non-Hazardous - Carbon-containing wastes from anode manufacture other than those mentioned in 10 03 17</t>
        </is>
      </c>
    </row>
    <row r="404">
      <c r="A404" s="287" t="inlineStr">
        <is>
          <t>NACE C - 30.9 Manufacture of transport equipment n.e.c.</t>
        </is>
      </c>
      <c r="B404" s="288" t="n"/>
      <c r="I404" t="inlineStr">
        <is>
          <t xml:space="preserve">    10 03 19 - Hazardous - Flue-gas dust containing hazardous substances</t>
        </is>
      </c>
    </row>
    <row r="405">
      <c r="A405" s="288" t="inlineStr">
        <is>
          <t>NACE C - 30.91 Manufacture of motorcycles</t>
        </is>
      </c>
      <c r="B405" s="288" t="n"/>
      <c r="I405" t="inlineStr">
        <is>
          <t xml:space="preserve">    10 03 20 - Non-Hazardous - Flue-gas dust other than those mentioned in 10 03 19</t>
        </is>
      </c>
    </row>
    <row r="406">
      <c r="A406" s="288" t="inlineStr">
        <is>
          <t>NACE C - 30.92 Manufacture of bicycles and invalid carriages</t>
        </is>
      </c>
      <c r="B406" s="288" t="n"/>
      <c r="I406" t="inlineStr">
        <is>
          <t xml:space="preserve">    10 03 21 - Hazardous - Other particulates and dust (including ball-mill dust) containing hazardous substances</t>
        </is>
      </c>
    </row>
    <row r="407">
      <c r="A407" s="288" t="inlineStr">
        <is>
          <t>NACE C - 30.99 Manufacture of other transport equipment n.e.c.</t>
        </is>
      </c>
      <c r="B407" s="288" t="n"/>
      <c r="I407" t="inlineStr">
        <is>
          <t xml:space="preserve">    10 03 22 - Non-Hazardous - Other particulates and dust (including ball-mill dust) other than those mentioned in 10 03 21</t>
        </is>
      </c>
    </row>
    <row r="408">
      <c r="A408" s="284" t="inlineStr">
        <is>
          <t>NACE C - 31 Manufacture of furniture</t>
        </is>
      </c>
      <c r="B408" s="288" t="n"/>
      <c r="I408" t="inlineStr">
        <is>
          <t xml:space="preserve">    10 03 23 - Hazardous - Solid wastes from gas treatment containing hazardous substances</t>
        </is>
      </c>
    </row>
    <row r="409">
      <c r="A409" s="287" t="inlineStr">
        <is>
          <t>NACE C - 31.0 Manufacture of furniture</t>
        </is>
      </c>
      <c r="B409" s="288" t="n"/>
      <c r="I409" t="inlineStr">
        <is>
          <t xml:space="preserve">    10 03 24 - Non-Hazardous - Solid wastes from gas treatment other than those mentioned in 10 03 23</t>
        </is>
      </c>
    </row>
    <row r="410">
      <c r="A410" s="288" t="inlineStr">
        <is>
          <t>NACE C - 31.00 Manufacture of furniture</t>
        </is>
      </c>
      <c r="B410" s="288" t="n"/>
      <c r="I410" t="inlineStr">
        <is>
          <t xml:space="preserve">    10 03 25 - Hazardous - Sludges and filter cakes from gas treatment containing hazardous substances</t>
        </is>
      </c>
    </row>
    <row r="411">
      <c r="A411" s="284" t="inlineStr">
        <is>
          <t>NACE C - 32 Other manufacturing</t>
        </is>
      </c>
      <c r="B411" s="288" t="n"/>
      <c r="I411" t="inlineStr">
        <is>
          <t xml:space="preserve">    10 03 26 - Non-Hazardous - Sludges and filter cakes from gas treatment other than those mentioned in 10 03 25</t>
        </is>
      </c>
    </row>
    <row r="412">
      <c r="A412" s="287" t="inlineStr">
        <is>
          <t>NACE C - 32.1 Manufacture of jewellery, bijouterie and related articles</t>
        </is>
      </c>
      <c r="B412" s="288" t="n"/>
      <c r="I412" t="inlineStr">
        <is>
          <t xml:space="preserve">    10 03 27 - Hazardous - Wastes from cooling-water treatment containing oil</t>
        </is>
      </c>
    </row>
    <row r="413">
      <c r="A413" s="288" t="inlineStr">
        <is>
          <t>NACE C - 32.11 Striking of coins</t>
        </is>
      </c>
      <c r="B413" s="288" t="n"/>
      <c r="I413" t="inlineStr">
        <is>
          <t xml:space="preserve">    10 03 28 - Non-Hazardous - Wastes from cooling-water treatment other than those mentioned in 10 03 27</t>
        </is>
      </c>
    </row>
    <row r="414">
      <c r="A414" s="288" t="inlineStr">
        <is>
          <t>NACE C - 32.12 Manufacture of jewellery and related articles</t>
        </is>
      </c>
      <c r="B414" s="288" t="n"/>
      <c r="I414" t="inlineStr">
        <is>
          <t xml:space="preserve">    10 03 29 - Hazardous - Wastes from treatment of salt slags and black drosses containing hazardous substances</t>
        </is>
      </c>
    </row>
    <row r="415">
      <c r="A415" s="288" t="inlineStr">
        <is>
          <t>NACE C - 32.13 Manufacture of imitation jewellery and related articles</t>
        </is>
      </c>
      <c r="B415" s="288" t="n"/>
      <c r="I415" t="inlineStr">
        <is>
          <t xml:space="preserve">    10 03 30 - Non-Hazardous - Wastes from treatment of salt slags and black drosses other than those mentioned in 10 03 29</t>
        </is>
      </c>
    </row>
    <row r="416">
      <c r="A416" s="287" t="inlineStr">
        <is>
          <t>NACE C - 32.2 Manufacture of musical instruments</t>
        </is>
      </c>
      <c r="B416" s="288" t="n"/>
      <c r="I416" t="inlineStr">
        <is>
          <t xml:space="preserve">    10 03 99 - Non-Hazardous - Wastes not otherwise specified</t>
        </is>
      </c>
    </row>
    <row r="417">
      <c r="A417" s="288" t="inlineStr">
        <is>
          <t>NACE C - 32.20 Manufacture of musical instruments</t>
        </is>
      </c>
      <c r="B417" s="288" t="n"/>
      <c r="I417" t="inlineStr">
        <is>
          <t xml:space="preserve">  10 04 - Wastes from lead thermal metallurgy</t>
        </is>
      </c>
    </row>
    <row r="418">
      <c r="A418" s="287" t="inlineStr">
        <is>
          <t>NACE C - 32.3 Manufacture of sports goods</t>
        </is>
      </c>
      <c r="B418" s="288" t="n"/>
      <c r="I418" t="inlineStr">
        <is>
          <t xml:space="preserve">    10 04 01 - Hazardous - Slags from primary and secondary production</t>
        </is>
      </c>
    </row>
    <row r="419">
      <c r="A419" s="288" t="inlineStr">
        <is>
          <t>NACE C - 32.30 Manufacture of sports goods</t>
        </is>
      </c>
      <c r="B419" s="288" t="n"/>
      <c r="I419" t="inlineStr">
        <is>
          <t xml:space="preserve">    10 04 02 - Hazardous - Dross and skimmings from primary and secondary production</t>
        </is>
      </c>
    </row>
    <row r="420">
      <c r="A420" s="287" t="inlineStr">
        <is>
          <t>NACE C - 32.4 Manufacture of games and toys</t>
        </is>
      </c>
      <c r="B420" s="288" t="n"/>
      <c r="I420" t="inlineStr">
        <is>
          <t xml:space="preserve">    10 04 03 - Hazardous - Calcium arsenate</t>
        </is>
      </c>
    </row>
    <row r="421">
      <c r="A421" s="288" t="inlineStr">
        <is>
          <t>NACE C - 32.40 Manufacture of games and toys</t>
        </is>
      </c>
      <c r="B421" s="288" t="n"/>
      <c r="I421" t="inlineStr">
        <is>
          <t xml:space="preserve">    10 04 04 - Hazardous - Flue-gas dust</t>
        </is>
      </c>
    </row>
    <row r="422">
      <c r="A422" s="287" t="inlineStr">
        <is>
          <t>NACE C - 32.5 Manufacture of medical and dental instruments and supplies</t>
        </is>
      </c>
      <c r="B422" s="288" t="n"/>
      <c r="I422" t="inlineStr">
        <is>
          <t xml:space="preserve">    10 04 05 - Hazardous - Other particulates and dust</t>
        </is>
      </c>
    </row>
    <row r="423">
      <c r="A423" s="288" t="inlineStr">
        <is>
          <t>NACE C - 32.50 Manufacture of medical and dental instruments and supplies</t>
        </is>
      </c>
      <c r="B423" s="288" t="n"/>
      <c r="I423" t="inlineStr">
        <is>
          <t xml:space="preserve">    10 04 06 - Hazardous - Solid wastes from gas treatment</t>
        </is>
      </c>
    </row>
    <row r="424">
      <c r="A424" s="287" t="inlineStr">
        <is>
          <t>NACE C - 32.9 Manufacturing n.e.c.</t>
        </is>
      </c>
      <c r="B424" s="288" t="n"/>
      <c r="I424" t="inlineStr">
        <is>
          <t xml:space="preserve">    10 04 07 - Hazardous - Sludges and filter cakes from gas treatment</t>
        </is>
      </c>
    </row>
    <row r="425">
      <c r="A425" s="288" t="inlineStr">
        <is>
          <t>NACE C - 32.91 Manufacture of brooms and brushes</t>
        </is>
      </c>
      <c r="B425" s="288" t="n"/>
      <c r="I425" t="inlineStr">
        <is>
          <t xml:space="preserve">    10 04 09 - Hazardous - Wastes from cooling-water treatment containing oil</t>
        </is>
      </c>
    </row>
    <row r="426">
      <c r="A426" s="288" t="inlineStr">
        <is>
          <t>NACE C - 32.99 Other manufacturing n.e.c.</t>
        </is>
      </c>
      <c r="B426" s="288" t="n"/>
      <c r="I426" t="inlineStr">
        <is>
          <t xml:space="preserve">    10 04 10 - Non-Hazardous - Wastes from cooling-water treatment other than those mentioned in 10 04 09</t>
        </is>
      </c>
    </row>
    <row r="427">
      <c r="A427" s="284" t="inlineStr">
        <is>
          <t>NACE C - 33 Repair, maintenance and installation of machinery and equipment</t>
        </is>
      </c>
      <c r="B427" s="288" t="n"/>
      <c r="I427" t="inlineStr">
        <is>
          <t xml:space="preserve">    10 04 99 - Non-Hazardous - Wastes not otherwise specified</t>
        </is>
      </c>
    </row>
    <row r="428">
      <c r="A428" s="287" t="inlineStr">
        <is>
          <t>NACE C - 33.1 Repair and maintenance of fabricated metal products, machinery and equipment</t>
        </is>
      </c>
      <c r="B428" s="288" t="n"/>
      <c r="I428" t="inlineStr">
        <is>
          <t xml:space="preserve">  10 05 - Wastes from zinc thermal metallurgy</t>
        </is>
      </c>
    </row>
    <row r="429">
      <c r="A429" s="288" t="inlineStr">
        <is>
          <t>NACE C - 33.11 Repair and maintenance of fabricated metal products</t>
        </is>
      </c>
      <c r="B429" s="288" t="n"/>
      <c r="I429" t="inlineStr">
        <is>
          <t xml:space="preserve">    10 05 01 - Non-Hazardous - Slags from primary and secondary production</t>
        </is>
      </c>
    </row>
    <row r="430">
      <c r="A430" s="288" t="inlineStr">
        <is>
          <t>NACE C - 33.12 Repair and maintenance of machinery</t>
        </is>
      </c>
      <c r="B430" s="288" t="n"/>
      <c r="I430" t="inlineStr">
        <is>
          <t xml:space="preserve">    10 05 03 - Hazardous - Flue-gas dust</t>
        </is>
      </c>
    </row>
    <row r="431">
      <c r="A431" s="288" t="inlineStr">
        <is>
          <t>NACE C - 33.13 Repair and maintenance of electronic and optical equipment</t>
        </is>
      </c>
      <c r="B431" s="288" t="n"/>
      <c r="I431" t="inlineStr">
        <is>
          <t xml:space="preserve">    10 05 04 - Non-Hazardous - Other particulates and dust</t>
        </is>
      </c>
    </row>
    <row r="432">
      <c r="A432" s="288" t="inlineStr">
        <is>
          <t>NACE C - 33.14 Repair and maintenance of electrical equipment</t>
        </is>
      </c>
      <c r="B432" s="288" t="n"/>
      <c r="I432" t="inlineStr">
        <is>
          <t xml:space="preserve">    10 05 05 - Hazardous - Solid waste from gas treatment</t>
        </is>
      </c>
    </row>
    <row r="433">
      <c r="A433" s="288" t="inlineStr">
        <is>
          <t>NACE C - 33.15 Repair and maintenance of civilian ships and boats</t>
        </is>
      </c>
      <c r="B433" s="288" t="n"/>
      <c r="I433" t="inlineStr">
        <is>
          <t xml:space="preserve">    10 05 06 - Hazardous - Sludges and filter cakes from gas treatment</t>
        </is>
      </c>
    </row>
    <row r="434">
      <c r="A434" s="288" t="inlineStr">
        <is>
          <t>NACE C - 33.16 Repair and maintenance of civilian air and spacecraft</t>
        </is>
      </c>
      <c r="B434" s="288" t="n"/>
      <c r="I434" t="inlineStr">
        <is>
          <t xml:space="preserve">    10 05 08 - Hazardous - Wastes from cooling-water treatment containing oil</t>
        </is>
      </c>
    </row>
    <row r="435">
      <c r="A435" s="288" t="inlineStr">
        <is>
          <t>NACE C - 33.17 Repair and maintenance of other civilian transport equipment</t>
        </is>
      </c>
      <c r="B435" s="288" t="n"/>
      <c r="I435" t="inlineStr">
        <is>
          <t xml:space="preserve">    10 05 09 - Non-Hazardous - Wastes from cooling-water treatment other than those mentioned in 10 05 08</t>
        </is>
      </c>
    </row>
    <row r="436">
      <c r="A436" s="288" t="inlineStr">
        <is>
          <t>NACE C - 33.18 Repair and maintenance of military fighting vehicles, ships, boats, air and spacecraft</t>
        </is>
      </c>
      <c r="B436" s="288" t="n"/>
      <c r="I436" t="inlineStr">
        <is>
          <t xml:space="preserve">    10 05 10 - Hazardous - Dross and skimmings that are flammable or emit, upon contact with water, flammable gases in hazardous quantities</t>
        </is>
      </c>
    </row>
    <row r="437">
      <c r="A437" s="288" t="inlineStr">
        <is>
          <t>NACE C - 33.19 Repair and maintenance of other equipment</t>
        </is>
      </c>
      <c r="B437" s="288" t="n"/>
      <c r="I437" t="inlineStr">
        <is>
          <t xml:space="preserve">    10 05 11 - Non-Hazardous - Dross and skimmings other than those mentioned in 10 05 10</t>
        </is>
      </c>
    </row>
    <row r="438">
      <c r="A438" s="287" t="inlineStr">
        <is>
          <t>NACE C - 33.2 Installation of industrial machinery and equipment</t>
        </is>
      </c>
      <c r="B438" s="288" t="n"/>
      <c r="I438" t="inlineStr">
        <is>
          <t xml:space="preserve">    10 05 99 - Non-Hazardous - Wastes not otherwise specified</t>
        </is>
      </c>
    </row>
    <row r="439">
      <c r="A439" s="288" t="inlineStr">
        <is>
          <t>NACE C - 33.20 Installation of industrial machinery and equipment</t>
        </is>
      </c>
      <c r="B439" s="288" t="n"/>
      <c r="I439" t="inlineStr">
        <is>
          <t xml:space="preserve">  10 06 - Wastes from copper thermal metallurgy</t>
        </is>
      </c>
    </row>
    <row r="440">
      <c r="A440" s="285" t="inlineStr">
        <is>
          <t>NACE D - ELECTRICITY, GAS, STEAM AND AIR CONDITIONING SUPPLY</t>
        </is>
      </c>
      <c r="B440" s="288" t="n"/>
      <c r="I440" t="inlineStr">
        <is>
          <t xml:space="preserve">    10 06 01 - Non-Hazardous - Slags from primary and secondary production</t>
        </is>
      </c>
    </row>
    <row r="441">
      <c r="A441" s="284" t="inlineStr">
        <is>
          <t>NACE D - 35 Electricity, gas, steam and air conditioning supply</t>
        </is>
      </c>
      <c r="B441" s="288" t="n"/>
      <c r="I441" t="inlineStr">
        <is>
          <t xml:space="preserve">    10 06 02 - Non-Hazardous - Dross and skimmings from primary and secondary production</t>
        </is>
      </c>
    </row>
    <row r="442">
      <c r="A442" s="287" t="inlineStr">
        <is>
          <t>NACE D - 35.1 Electric power generation, transmission and distribution</t>
        </is>
      </c>
      <c r="B442" s="288" t="n"/>
      <c r="I442" t="inlineStr">
        <is>
          <t xml:space="preserve">    10 06 03 - Hazardous - Flue-gas dust</t>
        </is>
      </c>
    </row>
    <row r="443">
      <c r="A443" s="288" t="inlineStr">
        <is>
          <t>NACE D - 35.11 Production of electricity from non-renewable sources</t>
        </is>
      </c>
      <c r="B443" s="288" t="n"/>
      <c r="I443" t="inlineStr">
        <is>
          <t xml:space="preserve">    10 06 04 - Non-Hazardous - Other particulates and dust</t>
        </is>
      </c>
    </row>
    <row r="444">
      <c r="A444" s="288" t="inlineStr">
        <is>
          <t>NACE D - 35.12 Production of electricity from renewable sources</t>
        </is>
      </c>
      <c r="B444" s="288" t="n"/>
      <c r="I444" t="inlineStr">
        <is>
          <t xml:space="preserve">    10 06 06 - Hazardous - Solid wastes from gas treatment</t>
        </is>
      </c>
    </row>
    <row r="445">
      <c r="A445" s="288" t="inlineStr">
        <is>
          <t>NACE D - 35.13 Transmission of electricity</t>
        </is>
      </c>
      <c r="B445" s="288" t="n"/>
      <c r="I445" t="inlineStr">
        <is>
          <t xml:space="preserve">    10 06 07 - Hazardous - Sludges and filter cakes from gas treatment</t>
        </is>
      </c>
    </row>
    <row r="446">
      <c r="A446" s="288" t="inlineStr">
        <is>
          <t>NACE D - 35.14 Distribution of electricity</t>
        </is>
      </c>
      <c r="B446" s="288" t="n"/>
      <c r="I446" t="inlineStr">
        <is>
          <t xml:space="preserve">    10 06 09 - Hazardous - Wastes from cooling-water treatment containing oil</t>
        </is>
      </c>
    </row>
    <row r="447">
      <c r="A447" s="288" t="inlineStr">
        <is>
          <t>NACE D - 35.15 Trade of electricity</t>
        </is>
      </c>
      <c r="B447" s="288" t="n"/>
      <c r="I447" t="inlineStr">
        <is>
          <t xml:space="preserve">    10 06 10 - Non-Hazardous - Wastes from cooling-water treatment other than those mentioned in 10 06 09</t>
        </is>
      </c>
    </row>
    <row r="448">
      <c r="A448" s="288" t="inlineStr">
        <is>
          <t>NACE D - 35.16 Storage of electricity</t>
        </is>
      </c>
      <c r="B448" s="288" t="n"/>
      <c r="I448" t="inlineStr">
        <is>
          <t xml:space="preserve">    10 06 99 - Non-Hazardous - Wastes not otherwise specified</t>
        </is>
      </c>
    </row>
    <row r="449">
      <c r="A449" s="287" t="inlineStr">
        <is>
          <t>NACE D - 35.2 Manufacture of gas, and distribution of gaseous fuels through mains</t>
        </is>
      </c>
      <c r="B449" s="288" t="n"/>
      <c r="I449" t="inlineStr">
        <is>
          <t xml:space="preserve">  10 07 - Wastes from silver, gold and platinum thermal metallurgy</t>
        </is>
      </c>
    </row>
    <row r="450">
      <c r="A450" s="288" t="inlineStr">
        <is>
          <t>NACE D - 35.21 Manufacture of gas</t>
        </is>
      </c>
      <c r="B450" s="288" t="n"/>
      <c r="I450" t="inlineStr">
        <is>
          <t xml:space="preserve">    10 07 01 - Non-Hazardous - Slags from primary and secondary production</t>
        </is>
      </c>
    </row>
    <row r="451">
      <c r="A451" s="288" t="inlineStr">
        <is>
          <t>NACE D - 35.22 Distribution of gaseous fuels through mains</t>
        </is>
      </c>
      <c r="B451" s="288" t="n"/>
      <c r="I451" t="inlineStr">
        <is>
          <t xml:space="preserve">    10 07 02 - Non-Hazardous - Dross and skimmings from primary and secondary production</t>
        </is>
      </c>
    </row>
    <row r="452">
      <c r="A452" s="288" t="inlineStr">
        <is>
          <t>NACE D - 35.23 Trade of gas through mains</t>
        </is>
      </c>
      <c r="B452" s="288" t="n"/>
      <c r="I452" t="inlineStr">
        <is>
          <t xml:space="preserve">    10 07 03 - Non-Hazardous - Solid wastes from gas treatment</t>
        </is>
      </c>
    </row>
    <row r="453">
      <c r="A453" s="288" t="inlineStr">
        <is>
          <t>NACE D - 35.24 Storage of gas as part of network supply services</t>
        </is>
      </c>
      <c r="B453" s="288" t="n"/>
      <c r="I453" t="inlineStr">
        <is>
          <t xml:space="preserve">    10 07 04 - Non-Hazardous - Other particulates and dust</t>
        </is>
      </c>
    </row>
    <row r="454">
      <c r="A454" s="287" t="inlineStr">
        <is>
          <t>NACE D - 35.3 Steam and air conditioning supply</t>
        </is>
      </c>
      <c r="B454" s="288" t="n"/>
      <c r="I454" t="inlineStr">
        <is>
          <t xml:space="preserve">    10 07 05 - Non-Hazardous - Sludges and filter cakes from gas treatment</t>
        </is>
      </c>
    </row>
    <row r="455">
      <c r="A455" s="288" t="inlineStr">
        <is>
          <t>NACE D - 35.30 Steam and air conditioning supply</t>
        </is>
      </c>
      <c r="B455" s="288" t="n"/>
      <c r="I455" t="inlineStr">
        <is>
          <t xml:space="preserve">    10 07 07 - Hazardous - Wastes from cooling-water treatment containing oil</t>
        </is>
      </c>
    </row>
    <row r="456">
      <c r="A456" s="287" t="inlineStr">
        <is>
          <t>NACE D - 35.4 Activities of brokers and agents for electric power and natural gas</t>
        </is>
      </c>
      <c r="B456" s="288" t="n"/>
      <c r="I456" t="inlineStr">
        <is>
          <t xml:space="preserve">    10 07 08 - Non-Hazardous - Wastes from cooling-water treatment other than those mentioned in 10 07 07</t>
        </is>
      </c>
    </row>
    <row r="457">
      <c r="A457" s="288" t="inlineStr">
        <is>
          <t>NACE D - 35.40 Activities of brokers and agents for electric power and natural gas</t>
        </is>
      </c>
      <c r="B457" s="288" t="n"/>
      <c r="I457" t="inlineStr">
        <is>
          <t xml:space="preserve">    10 07 99 - Non-Hazardous - Wastes not otherwise specified</t>
        </is>
      </c>
    </row>
    <row r="458">
      <c r="A458" s="285" t="inlineStr">
        <is>
          <t>NACE E - WATER SUPPLY; SEWERAGE, WASTE MANAGEMENT AND REMEDIATION ACTIVITIES</t>
        </is>
      </c>
      <c r="B458" s="288" t="n"/>
      <c r="I458" t="inlineStr">
        <is>
          <t xml:space="preserve">  10 08 - Wastes from other non-ferrous thermal metallurgy</t>
        </is>
      </c>
    </row>
    <row r="459">
      <c r="A459" s="284" t="inlineStr">
        <is>
          <t>NACE E - 36 Water collection, treatment and supply</t>
        </is>
      </c>
      <c r="B459" s="288" t="n"/>
      <c r="I459" t="inlineStr">
        <is>
          <t xml:space="preserve">    10 08 04 - Non-Hazardous - Particulates and dust</t>
        </is>
      </c>
    </row>
    <row r="460">
      <c r="A460" s="287" t="inlineStr">
        <is>
          <t>NACE E - 36.0 Water collection, treatment and supply</t>
        </is>
      </c>
      <c r="B460" s="288" t="n"/>
      <c r="I460" t="inlineStr">
        <is>
          <t xml:space="preserve">    10 08 08 - Hazardous - Salt slag from primary and secondary production</t>
        </is>
      </c>
    </row>
    <row r="461">
      <c r="A461" s="288" t="inlineStr">
        <is>
          <t>NACE E - 36.00 Water collection, treatment and supply</t>
        </is>
      </c>
      <c r="B461" s="288" t="n"/>
      <c r="I461" t="inlineStr">
        <is>
          <t xml:space="preserve">    10 08 09 - Non-Hazardous - Other slags</t>
        </is>
      </c>
    </row>
    <row r="462">
      <c r="A462" s="284" t="inlineStr">
        <is>
          <t>NACE E - 37 Sewerage</t>
        </is>
      </c>
      <c r="B462" s="288" t="n"/>
      <c r="I462" t="inlineStr">
        <is>
          <t xml:space="preserve">    10 08 10 - Hazardous - Dross and skimmings that are flammable or emit, upon contact with water, flammable gases in hazardous quantities</t>
        </is>
      </c>
    </row>
    <row r="463">
      <c r="A463" s="287" t="inlineStr">
        <is>
          <t>NACE E - 37.0 Sewerage</t>
        </is>
      </c>
      <c r="B463" s="288" t="n"/>
      <c r="I463" t="inlineStr">
        <is>
          <t xml:space="preserve">    10 08 11 - Non-Hazardous - Dross and skimmings other than those mentioned in 10 08 10</t>
        </is>
      </c>
    </row>
    <row r="464">
      <c r="A464" s="288" t="inlineStr">
        <is>
          <t>NACE E - 37.00 Sewerage</t>
        </is>
      </c>
      <c r="B464" s="288" t="n"/>
      <c r="I464" t="inlineStr">
        <is>
          <t xml:space="preserve">    10 08 12 - Hazardous - Tar-containing wastes from anode manufacture</t>
        </is>
      </c>
    </row>
    <row r="465">
      <c r="A465" s="284" t="inlineStr">
        <is>
          <t>NACE E - 38 Waste collection, recovery and disposal activities</t>
        </is>
      </c>
      <c r="B465" s="288" t="n"/>
      <c r="I465" t="inlineStr">
        <is>
          <t xml:space="preserve">    10 08 13 - Non-Hazardous - Carbon-containing wastes from anode manufacture other than those mentioned in 10 08 12</t>
        </is>
      </c>
    </row>
    <row r="466">
      <c r="A466" s="287" t="inlineStr">
        <is>
          <t>NACE E - 38.1 Waste collection</t>
        </is>
      </c>
      <c r="B466" s="288" t="n"/>
      <c r="I466" t="inlineStr">
        <is>
          <t xml:space="preserve">    10 08 14 - Non-Hazardous - Anode scrap</t>
        </is>
      </c>
    </row>
    <row r="467">
      <c r="A467" s="288" t="inlineStr">
        <is>
          <t>NACE E - 38.11 Collection of non-hazardous waste</t>
        </is>
      </c>
      <c r="B467" s="288" t="n"/>
      <c r="I467" t="inlineStr">
        <is>
          <t xml:space="preserve">    10 08 15 - Hazardous - Flue-gas dust containing hazardous substances</t>
        </is>
      </c>
    </row>
    <row r="468">
      <c r="A468" s="288" t="inlineStr">
        <is>
          <t>NACE E - 38.12 Collection of hazardous waste</t>
        </is>
      </c>
      <c r="B468" s="288" t="n"/>
      <c r="I468" t="inlineStr">
        <is>
          <t xml:space="preserve">    10 08 16 - Non-Hazardous - Flue-gas dust other than those mentioned in 10 08 15</t>
        </is>
      </c>
    </row>
    <row r="469">
      <c r="A469" s="287" t="inlineStr">
        <is>
          <t>NACE E - 38.2 Waste recovery</t>
        </is>
      </c>
      <c r="B469" s="288" t="n"/>
      <c r="I469" t="inlineStr">
        <is>
          <t xml:space="preserve">    10 08 17 - Hazardous - Sludges and filter cakes from flue-gas treatment containing hazardous substances</t>
        </is>
      </c>
    </row>
    <row r="470">
      <c r="A470" s="288" t="inlineStr">
        <is>
          <t>NACE E - 38.21 Materials recovery</t>
        </is>
      </c>
      <c r="B470" s="288" t="n"/>
      <c r="I470" t="inlineStr">
        <is>
          <t xml:space="preserve">    10 08 18 - Non-Hazardous - Sludges and filter cakes from flue-gas treatment other than those mentioned in 10 08 17</t>
        </is>
      </c>
    </row>
    <row r="471">
      <c r="A471" s="288" t="inlineStr">
        <is>
          <t>NACE E - 38.22 Energy recovery</t>
        </is>
      </c>
      <c r="B471" s="288" t="n"/>
      <c r="I471" t="inlineStr">
        <is>
          <t xml:space="preserve">    10 08 19 - Hazardous - Wastes from cooling-water treatment containing oil</t>
        </is>
      </c>
    </row>
    <row r="472">
      <c r="A472" s="288" t="inlineStr">
        <is>
          <t>NACE E - 38.23 Other waste recovery</t>
        </is>
      </c>
      <c r="B472" s="288" t="n"/>
      <c r="I472" t="inlineStr">
        <is>
          <t xml:space="preserve">    10 08 20 - Non-Hazardous - Wastes from cooling-water treatment other than those mentioned in 10 08 19</t>
        </is>
      </c>
    </row>
    <row r="473">
      <c r="A473" s="287" t="inlineStr">
        <is>
          <t>NACE E - 38.3 Waste disposal without recovery</t>
        </is>
      </c>
      <c r="B473" s="288" t="n"/>
      <c r="I473" t="inlineStr">
        <is>
          <t xml:space="preserve">    10 08 99 - Non-Hazardous - Wastes not otherwise specified</t>
        </is>
      </c>
    </row>
    <row r="474">
      <c r="A474" s="288" t="inlineStr">
        <is>
          <t>NACE E - 38.31 Incineration without energy recovery</t>
        </is>
      </c>
      <c r="B474" s="288" t="n"/>
      <c r="I474" t="inlineStr">
        <is>
          <t xml:space="preserve">  10 09 - Wastes from casting of ferrous pieces</t>
        </is>
      </c>
    </row>
    <row r="475">
      <c r="A475" s="288" t="inlineStr">
        <is>
          <t>NACE E - 38.32 Landfilling or permanent storage</t>
        </is>
      </c>
      <c r="B475" s="288" t="n"/>
      <c r="I475" t="inlineStr">
        <is>
          <t xml:space="preserve">    10 09 03 - Non-Hazardous - Furnace slag</t>
        </is>
      </c>
    </row>
    <row r="476">
      <c r="A476" s="288" t="inlineStr">
        <is>
          <t>NACE E - 38.33 Other waste disposal</t>
        </is>
      </c>
      <c r="B476" s="288" t="n"/>
      <c r="I476" t="inlineStr">
        <is>
          <t xml:space="preserve">    10 09 05 - Hazardous - Casting cores and moulds which have not undergone pouring containing hazardous substances</t>
        </is>
      </c>
    </row>
    <row r="477">
      <c r="A477" s="284" t="inlineStr">
        <is>
          <t>NACE E - 39 Remediation activities and other waste management service activities</t>
        </is>
      </c>
      <c r="B477" s="288" t="n"/>
      <c r="I477" t="inlineStr">
        <is>
          <t xml:space="preserve">    10 09 06 - Non-Hazardous - Casting cores and moulds which have not undergone pouring other than those mentioned in 10 09 05</t>
        </is>
      </c>
    </row>
    <row r="478">
      <c r="A478" s="287" t="inlineStr">
        <is>
          <t>NACE E - 39.0 Remediation activities and other waste management service activities</t>
        </is>
      </c>
      <c r="B478" s="288" t="n"/>
      <c r="I478" t="inlineStr">
        <is>
          <t xml:space="preserve">    10 09 07 - Hazardous - Casting cores and moulds which have undergone pouring containing hazardous substances</t>
        </is>
      </c>
    </row>
    <row r="479">
      <c r="A479" s="288" t="inlineStr">
        <is>
          <t>NACE E - 39.00 Remediation activities and other waste management service activities</t>
        </is>
      </c>
      <c r="B479" s="288" t="n"/>
      <c r="I479" t="inlineStr">
        <is>
          <t xml:space="preserve">    10 09 08 - Non-Hazardous - Casting cores and moulds which have undergone pouring other than those mentioned in 10 09 07</t>
        </is>
      </c>
    </row>
    <row r="480">
      <c r="A480" s="285" t="inlineStr">
        <is>
          <t>NACE F - CONSTRUCTION</t>
        </is>
      </c>
      <c r="B480" s="288" t="n"/>
      <c r="I480" t="inlineStr">
        <is>
          <t xml:space="preserve">    10 09 09 - Hazardous - Flue-gas dust containing hazardous substances</t>
        </is>
      </c>
    </row>
    <row r="481">
      <c r="A481" s="284" t="inlineStr">
        <is>
          <t>NACE F - 41 Construction of residential and non-residential buildings</t>
        </is>
      </c>
      <c r="B481" s="288" t="n"/>
      <c r="I481" t="inlineStr">
        <is>
          <t xml:space="preserve">    10 09 10 - Non-Hazardous - Flue-gas dust other than those mentioned in 10 09 09</t>
        </is>
      </c>
    </row>
    <row r="482">
      <c r="A482" s="287" t="inlineStr">
        <is>
          <t>NACE F - 41.0 Construction of residential and non-residential buildings</t>
        </is>
      </c>
      <c r="B482" s="288" t="n"/>
      <c r="I482" t="inlineStr">
        <is>
          <t xml:space="preserve">    10 09 11 - Hazardous - Other particulates containing hazardous substances</t>
        </is>
      </c>
    </row>
    <row r="483">
      <c r="A483" s="288" t="inlineStr">
        <is>
          <t>NACE F - 41.00 Construction of residential and non-residential buildings</t>
        </is>
      </c>
      <c r="B483" s="288" t="n"/>
      <c r="I483" t="inlineStr">
        <is>
          <t xml:space="preserve">    10 09 12 - Non-Hazardous - Other particulates other than those mentioned in 10 09 11</t>
        </is>
      </c>
    </row>
    <row r="484">
      <c r="A484" s="284" t="inlineStr">
        <is>
          <t>NACE F - 42 Civil engineering</t>
        </is>
      </c>
      <c r="B484" s="288" t="n"/>
      <c r="I484" t="inlineStr">
        <is>
          <t xml:space="preserve">    10 09 13 - Hazardous - Waste binders containing hazardous substances</t>
        </is>
      </c>
    </row>
    <row r="485">
      <c r="A485" s="287" t="inlineStr">
        <is>
          <t>NACE F - 42.1 Construction of roads and railways</t>
        </is>
      </c>
      <c r="B485" s="288" t="n"/>
      <c r="I485" t="inlineStr">
        <is>
          <t xml:space="preserve">    10 09 14 - Non-Hazardous - Waste binders other than those mentioned in 10 09 13</t>
        </is>
      </c>
    </row>
    <row r="486">
      <c r="A486" s="288" t="inlineStr">
        <is>
          <t>NACE F - 42.11 Construction of roads and motorways</t>
        </is>
      </c>
      <c r="B486" s="288" t="n"/>
      <c r="I486" t="inlineStr">
        <is>
          <t xml:space="preserve">    10 09 15 - Hazardous - Waste crack-indicating agent containing hazardous substances</t>
        </is>
      </c>
    </row>
    <row r="487">
      <c r="A487" s="288" t="inlineStr">
        <is>
          <t>NACE F - 42.12 Construction of railways and underground railways</t>
        </is>
      </c>
      <c r="B487" s="288" t="n"/>
      <c r="I487" t="inlineStr">
        <is>
          <t xml:space="preserve">    10 09 16 - Non-Hazardous - Waste crack-indicating agent other than those mentioned in 10 09 15</t>
        </is>
      </c>
    </row>
    <row r="488">
      <c r="A488" s="288" t="inlineStr">
        <is>
          <t>NACE F - 42.13 Construction of bridges and tunnels</t>
        </is>
      </c>
      <c r="B488" s="288" t="n"/>
      <c r="I488" t="inlineStr">
        <is>
          <t xml:space="preserve">    10 09 99 - Non-Hazardous - Wastes not otherwise specified</t>
        </is>
      </c>
    </row>
    <row r="489">
      <c r="A489" s="287" t="inlineStr">
        <is>
          <t>NACE F - 42.2 Construction of utility projects</t>
        </is>
      </c>
      <c r="B489" s="288" t="n"/>
      <c r="I489" t="inlineStr">
        <is>
          <t xml:space="preserve">  10 10 - Wastes from casting of non-ferrous pieces</t>
        </is>
      </c>
    </row>
    <row r="490">
      <c r="A490" s="288" t="inlineStr">
        <is>
          <t>NACE F - 42.21 Construction of utility projects for fluids</t>
        </is>
      </c>
      <c r="B490" s="288" t="n"/>
      <c r="I490" t="inlineStr">
        <is>
          <t xml:space="preserve">    10 10 03 - Non-Hazardous - Furnace slag</t>
        </is>
      </c>
    </row>
    <row r="491">
      <c r="A491" s="288" t="inlineStr">
        <is>
          <t>NACE F - 42.22 Construction of utility projects for electricity and telecommunications</t>
        </is>
      </c>
      <c r="B491" s="288" t="n"/>
      <c r="I491" t="inlineStr">
        <is>
          <t xml:space="preserve">    10 10 05 - Hazardous - Casting cores and moulds which have not undergone pouring, containing hazardous substances</t>
        </is>
      </c>
    </row>
    <row r="492">
      <c r="A492" s="287" t="inlineStr">
        <is>
          <t>NACE F - 42.9 Construction of other civil engineering projects</t>
        </is>
      </c>
      <c r="B492" s="288" t="n"/>
      <c r="I492" t="inlineStr">
        <is>
          <t xml:space="preserve">    10 10 06 - Non-Hazardous - Casting cores and moulds which have not undergone pouring, other than those mentioned in 10 10 05</t>
        </is>
      </c>
    </row>
    <row r="493">
      <c r="A493" s="288" t="inlineStr">
        <is>
          <t>NACE F - 42.91 Construction of water projects</t>
        </is>
      </c>
      <c r="B493" s="288" t="n"/>
      <c r="I493" t="inlineStr">
        <is>
          <t xml:space="preserve">    10 10 07 - Hazardous - Casting cores and moulds which have undergone pouring, containing hazardous substances</t>
        </is>
      </c>
    </row>
    <row r="494">
      <c r="A494" s="288" t="inlineStr">
        <is>
          <t>NACE F - 42.99 Construction of other civil engineering projects n.e.c.</t>
        </is>
      </c>
      <c r="B494" s="288" t="n"/>
      <c r="I494" t="inlineStr">
        <is>
          <t xml:space="preserve">    10 10 08 - Non-Hazardous - Casting cores and moulds which have undergone pouring, other than those mentioned in 10 10 07</t>
        </is>
      </c>
    </row>
    <row r="495">
      <c r="A495" s="284" t="inlineStr">
        <is>
          <t>NACE F - 43 Specialised construction activities</t>
        </is>
      </c>
      <c r="B495" s="288" t="n"/>
      <c r="I495" t="inlineStr">
        <is>
          <t xml:space="preserve">    10 10 09 - Hazardous - Flue-gas dust containing hazardous substances</t>
        </is>
      </c>
    </row>
    <row r="496">
      <c r="A496" s="287" t="inlineStr">
        <is>
          <t>NACE F - 43.1 Demolition and site preparation</t>
        </is>
      </c>
      <c r="B496" s="288" t="n"/>
      <c r="I496" t="inlineStr">
        <is>
          <t xml:space="preserve">    10 10 10 - Non-Hazardous - Flue-gas dust other than those mentioned in 10 10 09</t>
        </is>
      </c>
    </row>
    <row r="497">
      <c r="A497" s="288" t="inlineStr">
        <is>
          <t>NACE F - 43.11 Demolition</t>
        </is>
      </c>
      <c r="B497" s="288" t="n"/>
      <c r="I497" t="inlineStr">
        <is>
          <t xml:space="preserve">    10 10 11 - Hazardous - Other particulates containing hazardous substances</t>
        </is>
      </c>
    </row>
    <row r="498">
      <c r="A498" s="288" t="inlineStr">
        <is>
          <t>NACE F - 43.12 Site preparation</t>
        </is>
      </c>
      <c r="B498" s="288" t="n"/>
      <c r="I498" t="inlineStr">
        <is>
          <t xml:space="preserve">    10 10 12 - Non-Hazardous - Other particulates other than those mentioned in 10 10 11</t>
        </is>
      </c>
    </row>
    <row r="499">
      <c r="A499" s="288" t="inlineStr">
        <is>
          <t>NACE F - 43.13 Test drilling and boring</t>
        </is>
      </c>
      <c r="B499" s="288" t="n"/>
      <c r="I499" t="inlineStr">
        <is>
          <t xml:space="preserve">    10 10 13 - Hazardous - Waste binders containing hazardous substances</t>
        </is>
      </c>
    </row>
    <row r="500">
      <c r="A500" s="287" t="inlineStr">
        <is>
          <t>NACE F - 43.2 Electrical, plumbing and other construction installation activities</t>
        </is>
      </c>
      <c r="B500" s="288" t="n"/>
      <c r="I500" t="inlineStr">
        <is>
          <t xml:space="preserve">    10 10 14 - Non-Hazardous - Waste binders other than those mentioned in 10 10 13</t>
        </is>
      </c>
    </row>
    <row r="501">
      <c r="A501" s="288" t="inlineStr">
        <is>
          <t>NACE F - 43.21 Electrical installation</t>
        </is>
      </c>
      <c r="B501" s="288" t="n"/>
      <c r="I501" t="inlineStr">
        <is>
          <t xml:space="preserve">    10 10 15 - Hazardous - Waste crack-indicating agent containing hazardous substances</t>
        </is>
      </c>
    </row>
    <row r="502">
      <c r="A502" s="288" t="inlineStr">
        <is>
          <t>NACE F - 43.22 Plumbing, heat and air-conditioning installation</t>
        </is>
      </c>
      <c r="B502" s="288" t="n"/>
      <c r="I502" t="inlineStr">
        <is>
          <t xml:space="preserve">    10 10 16 - Non-Hazardous - Waste crack-indicating agent other than those mentioned in 10 10 15</t>
        </is>
      </c>
    </row>
    <row r="503">
      <c r="A503" s="288" t="inlineStr">
        <is>
          <t>NACE F - 43.23 Installation of insulation</t>
        </is>
      </c>
      <c r="B503" s="288" t="n"/>
      <c r="I503" t="inlineStr">
        <is>
          <t xml:space="preserve">    10 10 99 - Non-Hazardous - Wastes not otherwise specified</t>
        </is>
      </c>
    </row>
    <row r="504">
      <c r="A504" s="288" t="inlineStr">
        <is>
          <t>NACE F - 43.24 Other construction installation</t>
        </is>
      </c>
      <c r="B504" s="288" t="n"/>
      <c r="I504" t="inlineStr">
        <is>
          <t xml:space="preserve">  10 11 - Wastes from manufacture of glass and glass products</t>
        </is>
      </c>
    </row>
    <row r="505">
      <c r="A505" s="287" t="inlineStr">
        <is>
          <t>NACE F - 43.3 Building completion and finishing</t>
        </is>
      </c>
      <c r="B505" s="288" t="n"/>
      <c r="I505" t="inlineStr">
        <is>
          <t xml:space="preserve">    10 11 03 - Non-Hazardous - Waste glass-based fibrous materials</t>
        </is>
      </c>
    </row>
    <row r="506">
      <c r="A506" s="288" t="inlineStr">
        <is>
          <t>NACE F - 43.31 Plastering</t>
        </is>
      </c>
      <c r="B506" s="288" t="n"/>
      <c r="I506" t="inlineStr">
        <is>
          <t xml:space="preserve">    10 11 05 - Non-Hazardous - Particulates and dust</t>
        </is>
      </c>
    </row>
    <row r="507">
      <c r="A507" s="288" t="inlineStr">
        <is>
          <t>NACE F - 43.32 Joinery installation</t>
        </is>
      </c>
      <c r="B507" s="288" t="n"/>
      <c r="I507" t="inlineStr">
        <is>
          <t xml:space="preserve">    10 11 09 - Hazardous - Waste preparation mixture before thermal processing, containing hazardous substances</t>
        </is>
      </c>
    </row>
    <row r="508">
      <c r="A508" s="288" t="inlineStr">
        <is>
          <t>NACE F - 43.33 Floor and wall covering</t>
        </is>
      </c>
      <c r="B508" s="288" t="n"/>
      <c r="I508" t="inlineStr">
        <is>
          <t xml:space="preserve">    10 11 10 - Non-Hazardous - Waste preparation mixture before thermal processing, other than those mentioned in 10 11 09</t>
        </is>
      </c>
    </row>
    <row r="509">
      <c r="A509" s="288" t="inlineStr">
        <is>
          <t>NACE F - 43.34 Painting and glazing</t>
        </is>
      </c>
      <c r="B509" s="288" t="n"/>
      <c r="I509" t="inlineStr">
        <is>
          <t xml:space="preserve">    10 11 11 - Hazardous - Waste glass in small particles and glass powder containing heavy metals (for example from cathode ray tubes)</t>
        </is>
      </c>
    </row>
    <row r="510">
      <c r="A510" s="288" t="inlineStr">
        <is>
          <t>NACE F - 43.35 Other building completion and finishing</t>
        </is>
      </c>
      <c r="B510" s="288" t="n"/>
      <c r="I510" t="inlineStr">
        <is>
          <t xml:space="preserve">    10 11 12 - Non-Hazardous - Waste glass other than those mentioned in 10 11 11</t>
        </is>
      </c>
    </row>
    <row r="511">
      <c r="A511" s="287" t="inlineStr">
        <is>
          <t>NACE F - 43.4 Specialised construction activities in construction of buildings</t>
        </is>
      </c>
      <c r="B511" s="288" t="n"/>
      <c r="I511" t="inlineStr">
        <is>
          <t xml:space="preserve">    10 11 13 - Hazardous - Glass-polishing and -grinding sludge containing hazardous substances</t>
        </is>
      </c>
    </row>
    <row r="512">
      <c r="A512" s="288" t="inlineStr">
        <is>
          <t>NACE F - 43.41 Roofing activities</t>
        </is>
      </c>
      <c r="B512" s="288" t="n"/>
      <c r="I512" t="inlineStr">
        <is>
          <t xml:space="preserve">    10 11 14 - Non-Hazardous - Glass-polishing and -grinding sludge other than those mentioned in 10 11 13</t>
        </is>
      </c>
    </row>
    <row r="513">
      <c r="A513" s="288" t="inlineStr">
        <is>
          <t>NACE F - 43.42 Other specialised construction activities in construction of buildings</t>
        </is>
      </c>
      <c r="B513" s="288" t="n"/>
      <c r="I513" t="inlineStr">
        <is>
          <t xml:space="preserve">    10 11 15 - Hazardous - Solid wastes from flue-gas treatment containing hazardous substances</t>
        </is>
      </c>
    </row>
    <row r="514">
      <c r="A514" s="287" t="inlineStr">
        <is>
          <t>NACE F - 43.5 Specialised construction activities in civil engineering</t>
        </is>
      </c>
      <c r="B514" s="288" t="n"/>
      <c r="I514" t="inlineStr">
        <is>
          <t xml:space="preserve">    10 11 16 - Non-Hazardous - Solid wastes from flue-gas treatment other than those mentioned in 10 11 15</t>
        </is>
      </c>
    </row>
    <row r="515">
      <c r="A515" s="288" t="inlineStr">
        <is>
          <t>NACE F - 43.50 Specialised construction activities in civil engineering</t>
        </is>
      </c>
      <c r="B515" s="288" t="n"/>
      <c r="I515" t="inlineStr">
        <is>
          <t xml:space="preserve">    10 11 17 - Hazardous - Sludges and filter cakes from flue-gas treatment containing hazardous substances</t>
        </is>
      </c>
    </row>
    <row r="516">
      <c r="A516" s="287" t="inlineStr">
        <is>
          <t>NACE F - 43.6 Intermediation service activities for specialised construction services</t>
        </is>
      </c>
      <c r="B516" s="288" t="n"/>
      <c r="I516" t="inlineStr">
        <is>
          <t xml:space="preserve">    10 11 18 - Non-Hazardous - Sludges and filter cakes from flue-gas treatment other than those mentioned in 10 11 17</t>
        </is>
      </c>
    </row>
    <row r="517">
      <c r="A517" s="288" t="inlineStr">
        <is>
          <t>NACE F - 43.60 Intermediation service activities for specialised construction services</t>
        </is>
      </c>
      <c r="B517" s="288" t="n"/>
      <c r="I517" t="inlineStr">
        <is>
          <t xml:space="preserve">    10 11 19 - Hazardous - Solid wastes from on-site effluent treatment containing hazardous substances</t>
        </is>
      </c>
    </row>
    <row r="518">
      <c r="A518" s="287" t="inlineStr">
        <is>
          <t>NACE F - 43.9 Other specialised construction activities</t>
        </is>
      </c>
      <c r="B518" s="288" t="n"/>
      <c r="I518" t="inlineStr">
        <is>
          <t xml:space="preserve">    10 11 20 - Non-Hazardous - Solid wastes from on-site effluent treatment other than those mentioned in 10 11 19</t>
        </is>
      </c>
    </row>
    <row r="519">
      <c r="A519" s="288" t="inlineStr">
        <is>
          <t>NACE F - 43.91 Masonry and bricklaying activities</t>
        </is>
      </c>
      <c r="B519" s="288" t="n"/>
      <c r="I519" t="inlineStr">
        <is>
          <t xml:space="preserve">    10 11 99 - Non-Hazardous - Wastes not otherwise specified</t>
        </is>
      </c>
    </row>
    <row r="520">
      <c r="A520" s="288" t="inlineStr">
        <is>
          <t>NACE F - 43.99 Other specialised construction activities n.e.c.</t>
        </is>
      </c>
      <c r="B520" s="288" t="n"/>
      <c r="I520" t="inlineStr">
        <is>
          <t xml:space="preserve">  10 12 - Wastes from manufacture of ceramic goods, bricks, tiles and construction products</t>
        </is>
      </c>
    </row>
    <row r="521">
      <c r="A521" s="285" t="inlineStr">
        <is>
          <t>NACE G - WHOLESALE AND RETAIL TRADE</t>
        </is>
      </c>
      <c r="B521" s="288" t="n"/>
      <c r="I521" t="inlineStr">
        <is>
          <t xml:space="preserve">    10 12 01 - Non-Hazardous - Waste preparation mixture before thermal processing</t>
        </is>
      </c>
    </row>
    <row r="522">
      <c r="A522" s="284" t="inlineStr">
        <is>
          <t>NACE G - 46 Wholesale trade</t>
        </is>
      </c>
      <c r="B522" s="288" t="n"/>
      <c r="I522" t="inlineStr">
        <is>
          <t xml:space="preserve">    10 12 03 - Non-Hazardous - Particulates and dust</t>
        </is>
      </c>
    </row>
    <row r="523">
      <c r="A523" s="287" t="inlineStr">
        <is>
          <t>NACE G - 46.1 Wholesale on a fee or contract basis</t>
        </is>
      </c>
      <c r="B523" s="288" t="n"/>
      <c r="I523" t="inlineStr">
        <is>
          <t xml:space="preserve">    10 12 05 - Non-Hazardous - Sludges and filter cakes from gas treatment</t>
        </is>
      </c>
    </row>
    <row r="524">
      <c r="A524" s="288" t="inlineStr">
        <is>
          <t>NACE G - 46.11 Activities of agents involved in the wholesale of agricultural raw materials, live animals, textile raw materials and semi-finished goods</t>
        </is>
      </c>
      <c r="B524" s="288" t="n"/>
      <c r="I524" t="inlineStr">
        <is>
          <t xml:space="preserve">    10 12 06 - Non-Hazardous - Discarded moulds</t>
        </is>
      </c>
    </row>
    <row r="525">
      <c r="A525" s="288" t="inlineStr">
        <is>
          <t>NACE G - 46.12 Activities of agents involved in the wholesale of fuels, ores, metals and industrial chemicals</t>
        </is>
      </c>
      <c r="B525" s="288" t="n"/>
      <c r="I525" t="inlineStr">
        <is>
          <t xml:space="preserve">    10 12 08 - Non-Hazardous - Waste ceramics, bricks, tiles and construction products (after thermal processing)</t>
        </is>
      </c>
    </row>
    <row r="526">
      <c r="A526" s="288" t="inlineStr">
        <is>
          <t>NACE G - 46.13 Activities of agents involved in the wholesale of timber and building materials</t>
        </is>
      </c>
      <c r="B526" s="288" t="n"/>
      <c r="I526" t="inlineStr">
        <is>
          <t xml:space="preserve">    10 12 09 - Hazardous - Solid wastes from gas treatment containing hazardous substances</t>
        </is>
      </c>
    </row>
    <row r="527">
      <c r="A527" s="288" t="inlineStr">
        <is>
          <t>NACE G - 46.14 Activities of agents involved in the wholesale of machinery, industrial equipment, ships and aircraft</t>
        </is>
      </c>
      <c r="B527" s="288" t="n"/>
      <c r="I527" t="inlineStr">
        <is>
          <t xml:space="preserve">    10 12 10 - Non-Hazardous - Solid wastes from gas treatment other than those mentioned in 10 12 09</t>
        </is>
      </c>
    </row>
    <row r="528">
      <c r="A528" s="288" t="inlineStr">
        <is>
          <t>NACE G - 46.15 Activities of agents involved in the wholesale of furniture, household goods, hardware and ironmongery</t>
        </is>
      </c>
      <c r="B528" s="288" t="n"/>
      <c r="I528" t="inlineStr">
        <is>
          <t xml:space="preserve">    10 12 11 - Hazardous - Wastes from glazing containing heavy metals</t>
        </is>
      </c>
    </row>
    <row r="529">
      <c r="A529" s="288" t="inlineStr">
        <is>
          <t>NACE G - 46.16 Activities of agents involved in the wholesale of textiles, clothing, fur, footwear and leather goods</t>
        </is>
      </c>
      <c r="B529" s="288" t="n"/>
      <c r="I529" t="inlineStr">
        <is>
          <t xml:space="preserve">    10 12 12 - Non-Hazardous - Wastes from glazing other than those mentioned in 10 12 11</t>
        </is>
      </c>
    </row>
    <row r="530">
      <c r="A530" s="288" t="inlineStr">
        <is>
          <t>NACE G - 46.17 Activities of agents involved in the wholesale of food, beverages and tobacco</t>
        </is>
      </c>
      <c r="B530" s="288" t="n"/>
      <c r="I530" t="inlineStr">
        <is>
          <t xml:space="preserve">    10 12 13 - Non-Hazardous - Sludge from on-site effluent treatment</t>
        </is>
      </c>
    </row>
    <row r="531">
      <c r="A531" s="288" t="inlineStr">
        <is>
          <t>NACE G - 46.18 Activities of agents involved in the wholesale of other particular products</t>
        </is>
      </c>
      <c r="B531" s="288" t="n"/>
      <c r="I531" t="inlineStr">
        <is>
          <t xml:space="preserve">    10 12 99 - Non-Hazardous - Wastes not otherwise specified</t>
        </is>
      </c>
    </row>
    <row r="532">
      <c r="A532" s="288" t="inlineStr">
        <is>
          <t>NACE G - 46.19 Activities of agents involved in non-specialised wholesale</t>
        </is>
      </c>
      <c r="B532" s="288" t="n"/>
      <c r="I532" t="inlineStr">
        <is>
          <t xml:space="preserve">  10 13 - Wastes from manufacture of cement, lime and plaster and articles and products made from them</t>
        </is>
      </c>
    </row>
    <row r="533">
      <c r="A533" s="287" t="inlineStr">
        <is>
          <t>NACE G - 46.2 Wholesale of agricultural raw materials and live animals</t>
        </is>
      </c>
      <c r="B533" s="288" t="n"/>
      <c r="I533" t="inlineStr">
        <is>
          <t xml:space="preserve">    10 13 01 - Non-Hazardous - Waste preparation mixture before thermal processing</t>
        </is>
      </c>
    </row>
    <row r="534">
      <c r="A534" s="288" t="inlineStr">
        <is>
          <t>NACE G - 46.21 Wholesale of grain, unmanufactured tobacco, seeds and animal feeds</t>
        </is>
      </c>
      <c r="B534" s="288" t="n"/>
      <c r="I534" t="inlineStr">
        <is>
          <t xml:space="preserve">    10 13 04 - Non-Hazardous - Wastes from calcination and hydration of lime</t>
        </is>
      </c>
    </row>
    <row r="535">
      <c r="A535" s="288" t="inlineStr">
        <is>
          <t>NACE G - 46.22 Wholesale of flowers and plants</t>
        </is>
      </c>
      <c r="B535" s="288" t="n"/>
      <c r="I535" t="inlineStr">
        <is>
          <t xml:space="preserve">    10 13 06 - Non-Hazardous - Particulates and dust (except 10 13 12 and 10 13 13)</t>
        </is>
      </c>
    </row>
    <row r="536">
      <c r="A536" s="288" t="inlineStr">
        <is>
          <t>NACE G - 46.23 Wholesale of live animals</t>
        </is>
      </c>
      <c r="B536" s="288" t="n"/>
      <c r="I536" t="inlineStr">
        <is>
          <t xml:space="preserve">    10 13 07 - Non-Hazardous - Sludges and filter cakes from gas treatment</t>
        </is>
      </c>
    </row>
    <row r="537">
      <c r="A537" s="288" t="inlineStr">
        <is>
          <t>NACE G - 46.24 Wholesale of hides, skins and leather</t>
        </is>
      </c>
      <c r="B537" s="288" t="n"/>
      <c r="I537" t="inlineStr">
        <is>
          <t xml:space="preserve">    10 13 09 - Hazardous - Wastes from asbestos-cement manufacture containing asbestos</t>
        </is>
      </c>
    </row>
    <row r="538">
      <c r="A538" s="287" t="inlineStr">
        <is>
          <t>NACE G - 46.3 Wholesale of food, beverages and tobacco</t>
        </is>
      </c>
      <c r="B538" s="288" t="n"/>
      <c r="I538" t="inlineStr">
        <is>
          <t xml:space="preserve">    10 13 10 - Non-Hazardous - Wastes from asbestos-cement manufacture other than those mentioned in 10 13 09</t>
        </is>
      </c>
    </row>
    <row r="539">
      <c r="A539" s="288" t="inlineStr">
        <is>
          <t>NACE G - 46.31 Wholesale of fruit and vegetables</t>
        </is>
      </c>
      <c r="B539" s="288" t="n"/>
      <c r="I539" t="inlineStr">
        <is>
          <t xml:space="preserve">    10 13 11 - Non-Hazardous - Wastes from cement-based composite materials other than those mentioned in 10 13 09 and 10 13 10</t>
        </is>
      </c>
    </row>
    <row r="540">
      <c r="A540" s="288" t="inlineStr">
        <is>
          <t>NACE G - 46.32 Wholesale of meat, meat products, fish and fish products</t>
        </is>
      </c>
      <c r="B540" s="288" t="n"/>
      <c r="I540" t="inlineStr">
        <is>
          <t xml:space="preserve">    10 13 12 - Hazardous - Solid wastes from gas treatment containing hazardous substances</t>
        </is>
      </c>
    </row>
    <row r="541">
      <c r="A541" s="288" t="inlineStr">
        <is>
          <t>NACE G - 46.33 Wholesale of dairy products, eggs and edible oils and fats</t>
        </is>
      </c>
      <c r="B541" s="288" t="n"/>
      <c r="I541" t="inlineStr">
        <is>
          <t xml:space="preserve">    10 13 13 - Non-Hazardous - Solid wastes from gas treatment other than those mentioned in 10 13 12</t>
        </is>
      </c>
    </row>
    <row r="542">
      <c r="A542" s="288" t="inlineStr">
        <is>
          <t>NACE G - 46.34 Wholesale of beverages</t>
        </is>
      </c>
      <c r="B542" s="288" t="n"/>
      <c r="I542" t="inlineStr">
        <is>
          <t xml:space="preserve">    10 13 14 - Non-Hazardous - Waste concrete and concrete sludge</t>
        </is>
      </c>
    </row>
    <row r="543">
      <c r="A543" s="288" t="inlineStr">
        <is>
          <t>NACE G - 46.35 Wholesale of tobacco products</t>
        </is>
      </c>
      <c r="B543" s="288" t="n"/>
      <c r="I543" t="inlineStr">
        <is>
          <t xml:space="preserve">    10 13 99 - Non-Hazardous - Wastes not otherwise specified</t>
        </is>
      </c>
    </row>
    <row r="544">
      <c r="A544" s="288" t="inlineStr">
        <is>
          <t>NACE G - 46.36 Wholesale of sugar, chocolate and sugar confectionery</t>
        </is>
      </c>
      <c r="B544" s="288" t="n"/>
      <c r="I544" t="inlineStr">
        <is>
          <t xml:space="preserve">  10 14 - Waste from crematoria</t>
        </is>
      </c>
    </row>
    <row r="545">
      <c r="A545" s="288" t="inlineStr">
        <is>
          <t>NACE G - 46.37 Wholesale of coffee, tea, cocoa and spices</t>
        </is>
      </c>
      <c r="B545" s="288" t="n"/>
      <c r="I545" t="inlineStr">
        <is>
          <t xml:space="preserve">    10 14 01 - Hazardous - Waste from gas cleaning containing mercury</t>
        </is>
      </c>
    </row>
    <row r="546">
      <c r="A546" s="288" t="inlineStr">
        <is>
          <t>NACE G - 46.38 Wholesale of other food</t>
        </is>
      </c>
      <c r="B546" s="288" t="n"/>
      <c r="I546" t="inlineStr">
        <is>
          <t>11 - WASTES FROM CHEMICAL SURFACE TREATMENT AND COATING OF METALS AND OTHER MATERIALS; NON-FERROUS HYDRO-METALLURGY</t>
        </is>
      </c>
    </row>
    <row r="547">
      <c r="A547" s="288" t="inlineStr">
        <is>
          <t>NACE G - 46.39 Non-specialised wholesale of food, beverages and tobacco</t>
        </is>
      </c>
      <c r="B547" s="288" t="n"/>
      <c r="I547" t="inlineStr">
        <is>
          <t xml:space="preserve">  11 01 - Wastes from chemical surface treatment and coating of metals and other materials (for example galvanic processes, zinc coating processes, pickling processes, etching, phosphating, alkaline degreasing, anodising)</t>
        </is>
      </c>
    </row>
    <row r="548">
      <c r="A548" s="287" t="inlineStr">
        <is>
          <t>NACE G - 46.4 Wholesale of household goods</t>
        </is>
      </c>
      <c r="B548" s="288" t="n"/>
      <c r="I548" t="inlineStr">
        <is>
          <t xml:space="preserve">    11 01 05 - Hazardous - Pickling acids</t>
        </is>
      </c>
    </row>
    <row r="549">
      <c r="A549" s="288" t="inlineStr">
        <is>
          <t>NACE G - 46.41 Wholesale of textiles</t>
        </is>
      </c>
      <c r="B549" s="288" t="n"/>
      <c r="I549" t="inlineStr">
        <is>
          <t xml:space="preserve">    11 01 06 - Hazardous - Acids not otherwise specified</t>
        </is>
      </c>
    </row>
    <row r="550">
      <c r="A550" s="288" t="inlineStr">
        <is>
          <t>NACE G - 46.42 Wholesale of clothing and footwear</t>
        </is>
      </c>
      <c r="B550" s="288" t="n"/>
      <c r="I550" t="inlineStr">
        <is>
          <t xml:space="preserve">    11 01 07 - Hazardous - Pickling bases</t>
        </is>
      </c>
    </row>
    <row r="551">
      <c r="A551" s="288" t="inlineStr">
        <is>
          <t>NACE G - 46.43 Wholesale of electrical household appliances</t>
        </is>
      </c>
      <c r="B551" s="288" t="n"/>
      <c r="I551" t="inlineStr">
        <is>
          <t xml:space="preserve">    11 01 08 - Hazardous - Phosphatising sludges</t>
        </is>
      </c>
    </row>
    <row r="552">
      <c r="A552" s="288" t="inlineStr">
        <is>
          <t>NACE G - 46.44 Wholesale of china and glassware and cleaning materials</t>
        </is>
      </c>
      <c r="B552" s="288" t="n"/>
      <c r="I552" t="inlineStr">
        <is>
          <t xml:space="preserve">    11 01 09 - Hazardous - Sludges and filter cakes containing hazardous substances</t>
        </is>
      </c>
    </row>
    <row r="553">
      <c r="A553" s="288" t="inlineStr">
        <is>
          <t>NACE G - 46.45 Wholesale of perfume and cosmetics</t>
        </is>
      </c>
      <c r="B553" s="288" t="n"/>
      <c r="I553" t="inlineStr">
        <is>
          <t xml:space="preserve">    11 01 10 - Non-Hazardous - Sludges and filter cakes other than those mentioned in 11 01 09</t>
        </is>
      </c>
    </row>
    <row r="554">
      <c r="A554" s="288" t="inlineStr">
        <is>
          <t>NACE G - 46.46 Wholesale of pharmaceutical and medical goods</t>
        </is>
      </c>
      <c r="B554" s="288" t="n"/>
      <c r="I554" t="inlineStr">
        <is>
          <t xml:space="preserve">    11 01 11 - Hazardous - Aqueous rinsing liquids containing hazardous substances</t>
        </is>
      </c>
    </row>
    <row r="555">
      <c r="A555" s="288" t="inlineStr">
        <is>
          <t>NACE G - 46.47 Wholesale of household, office and shop furniture, carpets and lighting equipment</t>
        </is>
      </c>
      <c r="B555" s="288" t="n"/>
      <c r="I555" t="inlineStr">
        <is>
          <t xml:space="preserve">    11 01 12 - Non-Hazardous - Aqueous rinsing liquids other than those mentioned in 11 01 11</t>
        </is>
      </c>
    </row>
    <row r="556">
      <c r="A556" s="288" t="inlineStr">
        <is>
          <t>NACE G - 46.48 Wholesale of watches and jewellery</t>
        </is>
      </c>
      <c r="B556" s="288" t="n"/>
      <c r="I556" t="inlineStr">
        <is>
          <t xml:space="preserve">    11 01 13 - Hazardous - Degreasing wastes containing hazardous substances</t>
        </is>
      </c>
    </row>
    <row r="557">
      <c r="A557" s="288" t="inlineStr">
        <is>
          <t>NACE G - 46.49 Wholesale of other household goods</t>
        </is>
      </c>
      <c r="B557" s="288" t="n"/>
      <c r="I557" t="inlineStr">
        <is>
          <t xml:space="preserve">    11 01 14 - Non-Hazardous - Degreasing wastes other than those mentioned in 11 01 13</t>
        </is>
      </c>
    </row>
    <row r="558">
      <c r="A558" s="287" t="inlineStr">
        <is>
          <t>NACE G - 46.5 Wholesale of information and communication equipment</t>
        </is>
      </c>
      <c r="B558" s="288" t="n"/>
      <c r="I558" t="inlineStr">
        <is>
          <t xml:space="preserve">    11 01 15 - Hazardous - Eluate and sludges from membrane systems or ion exchange systems containing hazardous substances</t>
        </is>
      </c>
    </row>
    <row r="559">
      <c r="A559" s="288" t="inlineStr">
        <is>
          <t>NACE G - 46.50 Wholesale of information and communication equipment</t>
        </is>
      </c>
      <c r="B559" s="288" t="n"/>
      <c r="I559" t="inlineStr">
        <is>
          <t xml:space="preserve">    11 01 16 - Hazardous - Saturated or spent ion exchange resins</t>
        </is>
      </c>
    </row>
    <row r="560">
      <c r="A560" s="287" t="inlineStr">
        <is>
          <t>NACE G - 46.6 Wholesale of other machinery, equipment and supplies</t>
        </is>
      </c>
      <c r="B560" s="288" t="n"/>
      <c r="I560" t="inlineStr">
        <is>
          <t xml:space="preserve">    11 01 98 - Hazardous - Other wastes containing hazardous substances</t>
        </is>
      </c>
    </row>
    <row r="561">
      <c r="A561" s="288" t="inlineStr">
        <is>
          <t>NACE G - 46.61 Wholesale of agricultural machinery, equipment and supplies</t>
        </is>
      </c>
      <c r="B561" s="288" t="n"/>
      <c r="I561" t="inlineStr">
        <is>
          <t xml:space="preserve">    11 01 99 - Non-Hazardous - Wastes not otherwise specified</t>
        </is>
      </c>
    </row>
    <row r="562">
      <c r="A562" s="288" t="inlineStr">
        <is>
          <t>NACE G - 46.62 Wholesale of machine tools</t>
        </is>
      </c>
      <c r="B562" s="288" t="n"/>
      <c r="I562" t="inlineStr">
        <is>
          <t xml:space="preserve">  11 02 - Wastes from non-ferrous hydrometallurgical processes</t>
        </is>
      </c>
    </row>
    <row r="563">
      <c r="A563" s="288" t="inlineStr">
        <is>
          <t>NACE G - 46.63 Wholesale of mining, construction and civil engineering machinery</t>
        </is>
      </c>
      <c r="B563" s="288" t="n"/>
      <c r="I563" t="inlineStr">
        <is>
          <t xml:space="preserve">    11 02 02 - Hazardous - Sludges from zinc hydrometallurgy (including jarosite, goethite)</t>
        </is>
      </c>
    </row>
    <row r="564">
      <c r="A564" s="288" t="inlineStr">
        <is>
          <t>NACE G - 46.64 Wholesale of other machinery and equipment</t>
        </is>
      </c>
      <c r="B564" s="288" t="n"/>
      <c r="I564" t="inlineStr">
        <is>
          <t xml:space="preserve">    11 02 03 - Non-Hazardous - Wastes from the production of anodes for aqueous electrolytical processes</t>
        </is>
      </c>
    </row>
    <row r="565">
      <c r="A565" s="287" t="inlineStr">
        <is>
          <t>NACE G - 46.7 Wholesale of motor vehicles, motorcycles and related parts and accessories</t>
        </is>
      </c>
      <c r="B565" s="288" t="n"/>
      <c r="I565" t="inlineStr">
        <is>
          <t xml:space="preserve">    11 02 05 - Hazardous - Wastes from copper hydrometallurgical processes containing hazardous substances</t>
        </is>
      </c>
    </row>
    <row r="566">
      <c r="A566" s="288" t="inlineStr">
        <is>
          <t>NACE G - 46.71 Wholesale of motor vehicles</t>
        </is>
      </c>
      <c r="B566" s="288" t="n"/>
      <c r="I566" t="inlineStr">
        <is>
          <t xml:space="preserve">    11 02 06 - Non-Hazardous - Wastes from copper hydrometallurgical processes other than those mentioned in 11 02 05</t>
        </is>
      </c>
    </row>
    <row r="567">
      <c r="A567" s="288" t="inlineStr">
        <is>
          <t>NACE G - 46.72 Wholesale of motor vehicle parts and accessories</t>
        </is>
      </c>
      <c r="B567" s="288" t="n"/>
      <c r="I567" t="inlineStr">
        <is>
          <t xml:space="preserve">    11 02 07 - Hazardous - Other wastes containing hazardous substances</t>
        </is>
      </c>
    </row>
    <row r="568">
      <c r="A568" s="288" t="inlineStr">
        <is>
          <t>NACE G - 46.73 Wholesale of motorcycles, motorcycle parts and accessories</t>
        </is>
      </c>
      <c r="B568" s="288" t="n"/>
      <c r="I568" t="inlineStr">
        <is>
          <t xml:space="preserve">    11 02 99 - Non-Hazardous - Wastes not otherwise specified</t>
        </is>
      </c>
    </row>
    <row r="569">
      <c r="A569" s="287" t="inlineStr">
        <is>
          <t>NACE G - 46.8 Other specialised wholesale</t>
        </is>
      </c>
      <c r="B569" s="288" t="n"/>
      <c r="I569" t="inlineStr">
        <is>
          <t xml:space="preserve">  11 03 - Sludges and solids from tempering processes</t>
        </is>
      </c>
    </row>
    <row r="570">
      <c r="A570" s="288" t="inlineStr">
        <is>
          <t>NACE G - 46.81 Wholesale of solid, liquid and gaseous fuels and related products</t>
        </is>
      </c>
      <c r="B570" s="288" t="n"/>
      <c r="I570" t="inlineStr">
        <is>
          <t xml:space="preserve">    11 03 01 - Hazardous - Wastes containing cyanide</t>
        </is>
      </c>
    </row>
    <row r="571">
      <c r="A571" s="288" t="inlineStr">
        <is>
          <t>NACE G - 46.82 Wholesale of metals and metal ores</t>
        </is>
      </c>
      <c r="B571" s="288" t="n"/>
      <c r="I571" t="inlineStr">
        <is>
          <t xml:space="preserve">    11 03 02 - Hazardous - Other wastes</t>
        </is>
      </c>
    </row>
    <row r="572">
      <c r="A572" s="288" t="inlineStr">
        <is>
          <t>NACE G - 46.83 Wholesale of wood, construction materials and sanitary equipment</t>
        </is>
      </c>
      <c r="B572" s="288" t="n"/>
      <c r="I572" t="inlineStr">
        <is>
          <t xml:space="preserve">  11 05 - Wastes from hot galvanising processes</t>
        </is>
      </c>
    </row>
    <row r="573">
      <c r="A573" s="288" t="inlineStr">
        <is>
          <t>NACE G - 46.84 Wholesale of hardware, plumbing and heating equipment and supplies</t>
        </is>
      </c>
      <c r="B573" s="288" t="n"/>
      <c r="I573" t="inlineStr">
        <is>
          <t xml:space="preserve">    11 05 01 - Non-Hazardous - Hard zinc</t>
        </is>
      </c>
    </row>
    <row r="574">
      <c r="A574" s="288" t="inlineStr">
        <is>
          <t>NACE G - 46.85 Wholesale of chemical products</t>
        </is>
      </c>
      <c r="B574" s="288" t="n"/>
      <c r="I574" t="inlineStr">
        <is>
          <t xml:space="preserve">    11 05 02 - Non-Hazardous - Zinc ash</t>
        </is>
      </c>
    </row>
    <row r="575">
      <c r="A575" s="288" t="inlineStr">
        <is>
          <t>NACE G - 46.86 Wholesale of other intermediate products</t>
        </is>
      </c>
      <c r="B575" s="288" t="n"/>
      <c r="I575" t="inlineStr">
        <is>
          <t xml:space="preserve">    11 05 03 - Hazardous - Solid wastes from gas treatment</t>
        </is>
      </c>
    </row>
    <row r="576">
      <c r="A576" s="288" t="inlineStr">
        <is>
          <t>NACE G - 46.87 Wholesale of waste and scrap</t>
        </is>
      </c>
      <c r="B576" s="288" t="n"/>
      <c r="I576" t="inlineStr">
        <is>
          <t xml:space="preserve">    11 05 04 - Hazardous - Spent flux</t>
        </is>
      </c>
    </row>
    <row r="577">
      <c r="A577" s="288" t="inlineStr">
        <is>
          <t>NACE G - 46.89 Other specialised wholesale n.e.c.</t>
        </is>
      </c>
      <c r="B577" s="288" t="n"/>
      <c r="I577" t="inlineStr">
        <is>
          <t xml:space="preserve">    11 05 99 - Non-Hazardous - Wastes not otherwise specified</t>
        </is>
      </c>
    </row>
    <row r="578">
      <c r="A578" s="287" t="inlineStr">
        <is>
          <t>NACE G - 46.9 Non-specialised wholesale trade</t>
        </is>
      </c>
      <c r="B578" s="288" t="n"/>
      <c r="I578" t="inlineStr">
        <is>
          <t>12 - WASTES FROM SHAPING AND PHYSICAL AND MECHANICAL SURFACE TREATMENT OF METALS AND PLASTICS</t>
        </is>
      </c>
    </row>
    <row r="579">
      <c r="A579" s="288" t="inlineStr">
        <is>
          <t>NACE G - 46.90 Non-specialised wholesale trade</t>
        </is>
      </c>
      <c r="B579" s="288" t="n"/>
      <c r="I579" t="inlineStr">
        <is>
          <t xml:space="preserve">  12 01 - Wastes from shaping and physical and mechanical surface treatment of metals and plastics</t>
        </is>
      </c>
    </row>
    <row r="580">
      <c r="A580" s="284" t="inlineStr">
        <is>
          <t>NACE G - 47 Retail trade</t>
        </is>
      </c>
      <c r="B580" s="288" t="n"/>
      <c r="I580" t="inlineStr">
        <is>
          <t xml:space="preserve">    12 01 01 - Non-Hazardous - Ferrous metal filings and turnings</t>
        </is>
      </c>
    </row>
    <row r="581">
      <c r="A581" s="287" t="inlineStr">
        <is>
          <t>NACE G - 47.1 Non-specialised retail sale</t>
        </is>
      </c>
      <c r="B581" s="288" t="n"/>
      <c r="I581" t="inlineStr">
        <is>
          <t xml:space="preserve">    12 01 02 - Non-Hazardous - Ferrous metal dust and particles</t>
        </is>
      </c>
    </row>
    <row r="582">
      <c r="A582" s="288" t="inlineStr">
        <is>
          <t>NACE G - 47.11 Non-specialised retail sale of predominately food, beverages or tobacco</t>
        </is>
      </c>
      <c r="B582" s="288" t="n"/>
      <c r="I582" t="inlineStr">
        <is>
          <t xml:space="preserve">    12 01 03 - Non-Hazardous - Non-ferrous metal filings and turnings</t>
        </is>
      </c>
    </row>
    <row r="583">
      <c r="A583" s="288" t="inlineStr">
        <is>
          <t>NACE G - 47.12 Other non-specialised retail sale</t>
        </is>
      </c>
      <c r="B583" s="288" t="n"/>
      <c r="I583" t="inlineStr">
        <is>
          <t xml:space="preserve">    12 01 04 - Non-Hazardous - Non-ferrous metal dust and particles</t>
        </is>
      </c>
    </row>
    <row r="584">
      <c r="A584" s="287" t="inlineStr">
        <is>
          <t>NACE G - 47.2 Retail sale of food, beverages and tobacco</t>
        </is>
      </c>
      <c r="B584" s="288" t="n"/>
      <c r="I584" t="inlineStr">
        <is>
          <t xml:space="preserve">    12 01 05 - Non-Hazardous - Plastics shavings and turnings</t>
        </is>
      </c>
    </row>
    <row r="585">
      <c r="A585" s="288" t="inlineStr">
        <is>
          <t>NACE G - 47.21 Retail sale of fruit and vegetables</t>
        </is>
      </c>
      <c r="B585" s="288" t="n"/>
      <c r="I585" t="inlineStr">
        <is>
          <t xml:space="preserve">    12 01 06 - Hazardous - Mineral-based machining oils containing halogens (except emulsions and solutions)</t>
        </is>
      </c>
    </row>
    <row r="586">
      <c r="A586" s="288" t="inlineStr">
        <is>
          <t>NACE G - 47.22 Retail sale of meat and meat products</t>
        </is>
      </c>
      <c r="B586" s="288" t="n"/>
      <c r="I586" t="inlineStr">
        <is>
          <t xml:space="preserve">    12 01 07 - Hazardous - Mineral-based machining oils free of halogens (except emulsions and solutions)</t>
        </is>
      </c>
    </row>
    <row r="587">
      <c r="A587" s="288" t="inlineStr">
        <is>
          <t>NACE G - 47.23 Retail sale of fish, crustaceans and molluscs</t>
        </is>
      </c>
      <c r="B587" s="288" t="n"/>
      <c r="I587" t="inlineStr">
        <is>
          <t xml:space="preserve">    12 01 08 - Hazardous - Machining emulsions and solutions containing halogens</t>
        </is>
      </c>
    </row>
    <row r="588">
      <c r="A588" s="288" t="inlineStr">
        <is>
          <t>NACE G - 47.24 Retail sale of bread, cake and confectionery</t>
        </is>
      </c>
      <c r="B588" s="288" t="n"/>
      <c r="I588" t="inlineStr">
        <is>
          <t xml:space="preserve">    12 01 09 - Hazardous - Machining emulsions and solutions free of halogens</t>
        </is>
      </c>
    </row>
    <row r="589">
      <c r="A589" s="288" t="inlineStr">
        <is>
          <t>NACE G - 47.25 Retail sale of beverages</t>
        </is>
      </c>
      <c r="B589" s="288" t="n"/>
      <c r="I589" t="inlineStr">
        <is>
          <t xml:space="preserve">    12 01 10 - Hazardous - Synthetic machining oils</t>
        </is>
      </c>
    </row>
    <row r="590">
      <c r="A590" s="288" t="inlineStr">
        <is>
          <t>NACE G - 47.26 Retail sale of tobacco products</t>
        </is>
      </c>
      <c r="B590" s="288" t="n"/>
      <c r="I590" t="inlineStr">
        <is>
          <t xml:space="preserve">    12 01 12 - Hazardous - Spent waxes and fats</t>
        </is>
      </c>
    </row>
    <row r="591">
      <c r="A591" s="288" t="inlineStr">
        <is>
          <t>NACE G - 47.27 Retail sale of other food</t>
        </is>
      </c>
      <c r="B591" s="288" t="n"/>
      <c r="I591" t="inlineStr">
        <is>
          <t xml:space="preserve">    12 01 13 - Non-Hazardous - Welding wastes</t>
        </is>
      </c>
    </row>
    <row r="592">
      <c r="A592" s="287" t="inlineStr">
        <is>
          <t>NACE G - 47.3 Retail sale of automotive fuel</t>
        </is>
      </c>
      <c r="B592" s="288" t="n"/>
      <c r="I592" t="inlineStr">
        <is>
          <t xml:space="preserve">    12 01 14 - Hazardous - Machining sludges containing hazardous substances</t>
        </is>
      </c>
    </row>
    <row r="593">
      <c r="A593" s="288" t="inlineStr">
        <is>
          <t>NACE G - 47.30 Retail sale of automotive fuel</t>
        </is>
      </c>
      <c r="B593" s="288" t="n"/>
      <c r="I593" t="inlineStr">
        <is>
          <t xml:space="preserve">    12 01 15 - Non-Hazardous - Machining sludges other than those mentioned in 12 01 14</t>
        </is>
      </c>
    </row>
    <row r="594">
      <c r="A594" s="287" t="inlineStr">
        <is>
          <t>NACE G - 47.4 Retail sale of information and communication equipment</t>
        </is>
      </c>
      <c r="B594" s="288" t="n"/>
      <c r="I594" t="inlineStr">
        <is>
          <t xml:space="preserve">    12 01 16 - Hazardous - Waste blasting material containing hazardous substances</t>
        </is>
      </c>
    </row>
    <row r="595">
      <c r="A595" s="288" t="inlineStr">
        <is>
          <t>NACE G - 47.40 Retail sale of information and communication equipment</t>
        </is>
      </c>
      <c r="B595" s="288" t="n"/>
      <c r="I595" t="inlineStr">
        <is>
          <t xml:space="preserve">    12 01 17 - Non-Hazardous - Waste blasting material other than those mentioned in 12 01 16</t>
        </is>
      </c>
    </row>
    <row r="596">
      <c r="A596" s="287" t="inlineStr">
        <is>
          <t>NACE G - 47.5 Retail sale of other household equipment</t>
        </is>
      </c>
      <c r="B596" s="288" t="n"/>
      <c r="I596" t="inlineStr">
        <is>
          <t xml:space="preserve">    12 01 18 - Hazardous - Metal sludge (grinding, honing and lapping sludge) containing oil</t>
        </is>
      </c>
    </row>
    <row r="597">
      <c r="A597" s="288" t="inlineStr">
        <is>
          <t>NACE G - 47.51 Retail sale of textiles</t>
        </is>
      </c>
      <c r="B597" s="288" t="n"/>
      <c r="I597" t="inlineStr">
        <is>
          <t xml:space="preserve">    12 01 19 - Hazardous - Readily biodegradable machining oil</t>
        </is>
      </c>
    </row>
    <row r="598">
      <c r="A598" s="288" t="inlineStr">
        <is>
          <t>NACE G - 47.52 Retail sale of hardware, building materials, paints and glass</t>
        </is>
      </c>
      <c r="B598" s="288" t="n"/>
      <c r="I598" t="inlineStr">
        <is>
          <t xml:space="preserve">    12 01 20 - Hazardous - Spent grinding bodies and grinding materials containing hazardous substances</t>
        </is>
      </c>
    </row>
    <row r="599">
      <c r="A599" s="288" t="inlineStr">
        <is>
          <t>NACE G - 47.53 Retail sale of carpets, rugs, wall and floor coverings</t>
        </is>
      </c>
      <c r="B599" s="288" t="n"/>
      <c r="I599" t="inlineStr">
        <is>
          <t xml:space="preserve">    12 01 21 - Non-Hazardous - Spent grinding bodies and grinding materials other than those mentioned in 12 01 20</t>
        </is>
      </c>
    </row>
    <row r="600">
      <c r="A600" s="288" t="inlineStr">
        <is>
          <t>NACE G - 47.54 Retail sale of electrical household appliances</t>
        </is>
      </c>
      <c r="B600" s="288" t="n"/>
      <c r="I600" t="inlineStr">
        <is>
          <t xml:space="preserve">    12 01 99 - Non-Hazardous - Wastes not otherwise specified</t>
        </is>
      </c>
    </row>
    <row r="601">
      <c r="A601" s="288" t="inlineStr">
        <is>
          <t>NACE G - 47.55 Retail sale of furniture, lighting equipment, tableware and other household goods</t>
        </is>
      </c>
      <c r="B601" s="288" t="n"/>
      <c r="I601" t="inlineStr">
        <is>
          <t xml:space="preserve">  12 03 - Wastes from water and steam degreasing processes (except 11)</t>
        </is>
      </c>
    </row>
    <row r="602">
      <c r="A602" s="287" t="inlineStr">
        <is>
          <t>NACE G - 47.6 Retail sale of cultural and recreation goods</t>
        </is>
      </c>
      <c r="B602" s="288" t="n"/>
      <c r="I602" t="inlineStr">
        <is>
          <t xml:space="preserve">    12 03 01 - Hazardous - Aqueous washing liquids</t>
        </is>
      </c>
    </row>
    <row r="603">
      <c r="A603" s="288" t="inlineStr">
        <is>
          <t>NACE G - 47.61 Retail sale of books</t>
        </is>
      </c>
      <c r="B603" s="288" t="n"/>
      <c r="I603" t="inlineStr">
        <is>
          <t xml:space="preserve">    12 03 02 - Hazardous - Steam degreasing wastes</t>
        </is>
      </c>
    </row>
    <row r="604">
      <c r="A604" s="288" t="inlineStr">
        <is>
          <t>NACE G - 47.62 Retail sale of newspapers, and other periodical publications and stationery</t>
        </is>
      </c>
      <c r="B604" s="288" t="n"/>
      <c r="I604" t="inlineStr">
        <is>
          <t>13 - OIL WASTES AND WASTES OF LIQUID FUELS (except edible oils, and those in chapters 05, 12 and 19)</t>
        </is>
      </c>
    </row>
    <row r="605">
      <c r="A605" s="288" t="inlineStr">
        <is>
          <t>NACE G - 47.63 Retail sale of sporting equipment</t>
        </is>
      </c>
      <c r="B605" s="288" t="n"/>
      <c r="I605" t="inlineStr">
        <is>
          <t xml:space="preserve">  13 01 - Waste hydraulic oils</t>
        </is>
      </c>
    </row>
    <row r="606">
      <c r="A606" s="288" t="inlineStr">
        <is>
          <t>NACE G - 47.64 Retail sale of games and toys</t>
        </is>
      </c>
      <c r="B606" s="288" t="n"/>
      <c r="I606" t="inlineStr">
        <is>
          <t xml:space="preserve">    13 01 01 - Hazardous - Hydraulic oils, containing PCBs</t>
        </is>
      </c>
    </row>
    <row r="607">
      <c r="A607" s="288" t="inlineStr">
        <is>
          <t>NACE G - 47.69 Retail sale of cultural and recreational goods n.e.c.</t>
        </is>
      </c>
      <c r="B607" s="288" t="n"/>
      <c r="I607" t="inlineStr">
        <is>
          <t xml:space="preserve">    13 01 04 - Hazardous - Chlorinated emulsions</t>
        </is>
      </c>
    </row>
    <row r="608">
      <c r="A608" s="287" t="inlineStr">
        <is>
          <t>NACE G - 47.7 Retail sale of other goods, except motor vehicles and motorcycles</t>
        </is>
      </c>
      <c r="B608" s="288" t="n"/>
      <c r="I608" t="inlineStr">
        <is>
          <t xml:space="preserve">    13 01 05 - Hazardous - Non-chlorinated emulsions</t>
        </is>
      </c>
    </row>
    <row r="609">
      <c r="A609" s="288" t="inlineStr">
        <is>
          <t>NACE G - 47.71 Retail sale of clothing</t>
        </is>
      </c>
      <c r="B609" s="288" t="n"/>
      <c r="I609" t="inlineStr">
        <is>
          <t xml:space="preserve">    13 01 09 - Hazardous - Mineral-based chlorinated hydraulic oils</t>
        </is>
      </c>
    </row>
    <row r="610">
      <c r="A610" s="288" t="inlineStr">
        <is>
          <t>NACE G - 47.72 Retail sale of footwear and leather goods</t>
        </is>
      </c>
      <c r="B610" s="288" t="n"/>
      <c r="I610" t="inlineStr">
        <is>
          <t xml:space="preserve">    13 01 10 - Hazardous - Mineral based non-chlorinated hydraulic oils</t>
        </is>
      </c>
    </row>
    <row r="611">
      <c r="A611" s="288" t="inlineStr">
        <is>
          <t>NACE G - 47.73 Retail sale of pharmaceutical products</t>
        </is>
      </c>
      <c r="B611" s="288" t="n"/>
      <c r="I611" t="inlineStr">
        <is>
          <t xml:space="preserve">    13 01 11 - Hazardous - Synthetic hydraulic oils</t>
        </is>
      </c>
    </row>
    <row r="612">
      <c r="A612" s="288" t="inlineStr">
        <is>
          <t>NACE G - 47.74 Retail sale of medical and orthopaedic goods</t>
        </is>
      </c>
      <c r="B612" s="288" t="n"/>
      <c r="I612" t="inlineStr">
        <is>
          <t xml:space="preserve">    13 01 12 - Hazardous - Readily biodegradable hydraulic oils</t>
        </is>
      </c>
    </row>
    <row r="613">
      <c r="A613" s="288" t="inlineStr">
        <is>
          <t>NACE G - 47.75 Retail sale of cosmetic and toilet articles</t>
        </is>
      </c>
      <c r="B613" s="288" t="n"/>
      <c r="I613" t="inlineStr">
        <is>
          <t xml:space="preserve">    13 01 13 - Hazardous - Other hydraulic oils</t>
        </is>
      </c>
    </row>
    <row r="614">
      <c r="A614" s="288" t="inlineStr">
        <is>
          <t>NACE G - 47.76 Retail sale of flowers, plants, fertilisers, pets and pet food</t>
        </is>
      </c>
      <c r="B614" s="288" t="n"/>
      <c r="I614" t="inlineStr">
        <is>
          <t xml:space="preserve">  13 02 - Waste engine, gear and lubricating oils</t>
        </is>
      </c>
    </row>
    <row r="615">
      <c r="A615" s="288" t="inlineStr">
        <is>
          <t>NACE G - 47.77 Retail sale of watches and jewellery</t>
        </is>
      </c>
      <c r="B615" s="288" t="n"/>
      <c r="I615" t="inlineStr">
        <is>
          <t xml:space="preserve">    13 02 04 - Hazardous - Mineral-based chlorinated engine, gear and lubricating oils</t>
        </is>
      </c>
    </row>
    <row r="616">
      <c r="A616" s="288" t="inlineStr">
        <is>
          <t>NACE G - 47.78 Retail sale of other new goods</t>
        </is>
      </c>
      <c r="B616" s="288" t="n"/>
      <c r="I616" t="inlineStr">
        <is>
          <t xml:space="preserve">    13 02 05 - Hazardous - Mineral-based non-chlorinated engine, gear and lubricating oils</t>
        </is>
      </c>
    </row>
    <row r="617">
      <c r="A617" s="288" t="inlineStr">
        <is>
          <t>NACE G - 47.79 Retail sale of second-hand goods</t>
        </is>
      </c>
      <c r="B617" s="288" t="n"/>
      <c r="I617" t="inlineStr">
        <is>
          <t xml:space="preserve">    13 02 06 - Hazardous - Synthetic engine, gear and lubricating oils</t>
        </is>
      </c>
    </row>
    <row r="618">
      <c r="A618" s="287" t="inlineStr">
        <is>
          <t>NACE G - 47.8 Retail sale of motor vehicles, motorcycles and related parts and accessories</t>
        </is>
      </c>
      <c r="B618" s="288" t="n"/>
      <c r="I618" t="inlineStr">
        <is>
          <t xml:space="preserve">    13 02 07 - Hazardous - Readily biodegradable engine, gear and lubricating oils</t>
        </is>
      </c>
    </row>
    <row r="619">
      <c r="A619" s="288" t="inlineStr">
        <is>
          <t>NACE G - 47.81 Retail sale of motor vehicles</t>
        </is>
      </c>
      <c r="B619" s="288" t="n"/>
      <c r="I619" t="inlineStr">
        <is>
          <t xml:space="preserve">    13 02 08 - Hazardous - Other engine, gear and lubricating oils</t>
        </is>
      </c>
    </row>
    <row r="620">
      <c r="A620" s="288" t="inlineStr">
        <is>
          <t>NACE G - 47.82 Retail sale of motor vehicle parts and accessories</t>
        </is>
      </c>
      <c r="B620" s="288" t="n"/>
      <c r="I620" t="inlineStr">
        <is>
          <t xml:space="preserve">  13 03 - Waste insulating and heat transmission oils</t>
        </is>
      </c>
    </row>
    <row r="621">
      <c r="A621" s="288" t="inlineStr">
        <is>
          <t>NACE G - 47.83 Retail sale of motorcycles, motorcycle parts and accessories</t>
        </is>
      </c>
      <c r="B621" s="288" t="n"/>
      <c r="I621" t="inlineStr">
        <is>
          <t xml:space="preserve">    13 03 01 - Hazardous - Insulating or heat transmission oils containing PCBs</t>
        </is>
      </c>
    </row>
    <row r="622">
      <c r="A622" s="287" t="inlineStr">
        <is>
          <t>NACE G - 47.9 Intermediation service activities for retail sale</t>
        </is>
      </c>
      <c r="B622" s="288" t="n"/>
      <c r="I622" t="inlineStr">
        <is>
          <t xml:space="preserve">    13 03 06 - Hazardous - Mineral-based chlorinated insulating and heat transmission oils other than those mentioned in 13 03 01</t>
        </is>
      </c>
    </row>
    <row r="623">
      <c r="A623" s="288" t="inlineStr">
        <is>
          <t>NACE G - 47.91 Intermediation service activities for non-specialised retail sale</t>
        </is>
      </c>
      <c r="B623" s="288" t="n"/>
      <c r="I623" t="inlineStr">
        <is>
          <t xml:space="preserve">    13 03 07 - Hazardous - Mineral-based non-chlorinated insulating and heat transmission oils</t>
        </is>
      </c>
    </row>
    <row r="624">
      <c r="A624" s="288" t="inlineStr">
        <is>
          <t>NACE G - 47.92 Intermediation service activities for specialised retail sale</t>
        </is>
      </c>
      <c r="B624" s="288" t="n"/>
      <c r="I624" t="inlineStr">
        <is>
          <t xml:space="preserve">    13 03 08 - Hazardous - Synthetic insulating and heat transmission oils</t>
        </is>
      </c>
    </row>
    <row r="625">
      <c r="A625" s="285" t="inlineStr">
        <is>
          <t>NACE H - TRANSPORTATION AND STORAGE</t>
        </is>
      </c>
      <c r="B625" s="288" t="n"/>
      <c r="I625" t="inlineStr">
        <is>
          <t xml:space="preserve">    13 03 09 - Hazardous - Readily biodegradable insulating and heat transmission oils</t>
        </is>
      </c>
    </row>
    <row r="626">
      <c r="A626" s="284" t="inlineStr">
        <is>
          <t>NACE H - 49 Land transport and transport via pipelines</t>
        </is>
      </c>
      <c r="B626" s="288" t="n"/>
      <c r="I626" t="inlineStr">
        <is>
          <t xml:space="preserve">    13 03 10 - Hazardous - Other insulating and heat transmission oils</t>
        </is>
      </c>
    </row>
    <row r="627">
      <c r="A627" s="287" t="inlineStr">
        <is>
          <t>NACE H - 49.1 Passenger rail transport</t>
        </is>
      </c>
      <c r="B627" s="288" t="n"/>
      <c r="I627" t="inlineStr">
        <is>
          <t xml:space="preserve">  13 04 - Bilge oils</t>
        </is>
      </c>
    </row>
    <row r="628">
      <c r="A628" s="288" t="inlineStr">
        <is>
          <t>NACE H - 49.11 Passenger heavy rail transport</t>
        </is>
      </c>
      <c r="B628" s="288" t="n"/>
      <c r="I628" t="inlineStr">
        <is>
          <t xml:space="preserve">    13 04 01 - Hazardous - Bilge oils from inland navigation</t>
        </is>
      </c>
    </row>
    <row r="629">
      <c r="A629" s="288" t="inlineStr">
        <is>
          <t>NACE H - 49.12 Other passenger rail transport</t>
        </is>
      </c>
      <c r="B629" s="288" t="n"/>
      <c r="I629" t="inlineStr">
        <is>
          <t xml:space="preserve">    13 04 02 - Hazardous - Bilge oils from jetty sewers</t>
        </is>
      </c>
    </row>
    <row r="630">
      <c r="A630" s="287" t="inlineStr">
        <is>
          <t>NACE H - 49.2 Freight rail transport</t>
        </is>
      </c>
      <c r="B630" s="288" t="n"/>
      <c r="I630" t="inlineStr">
        <is>
          <t xml:space="preserve">    13 04 03 - Hazardous - Bilge oils from other navigation</t>
        </is>
      </c>
    </row>
    <row r="631">
      <c r="A631" s="288" t="inlineStr">
        <is>
          <t>NACE H - 49.20 Freight rail transport</t>
        </is>
      </c>
      <c r="B631" s="288" t="n"/>
      <c r="I631" t="inlineStr">
        <is>
          <t xml:space="preserve">  13 05 - Oil/water separator contents</t>
        </is>
      </c>
    </row>
    <row r="632">
      <c r="A632" s="287" t="inlineStr">
        <is>
          <t>NACE H - 49.3 Other passenger land transport</t>
        </is>
      </c>
      <c r="B632" s="288" t="n"/>
      <c r="I632" t="inlineStr">
        <is>
          <t xml:space="preserve">    13 05 01 - Hazardous - Solids from grit chambers and oil/water separators</t>
        </is>
      </c>
    </row>
    <row r="633">
      <c r="A633" s="288" t="inlineStr">
        <is>
          <t>NACE H - 49.31 Scheduled passenger transport by road</t>
        </is>
      </c>
      <c r="B633" s="288" t="n"/>
      <c r="I633" t="inlineStr">
        <is>
          <t xml:space="preserve">    13 05 02 - Hazardous - Sludges from oil/water separators</t>
        </is>
      </c>
    </row>
    <row r="634">
      <c r="A634" s="288" t="inlineStr">
        <is>
          <t>NACE H - 49.32 Non-scheduled passenger transport by road</t>
        </is>
      </c>
      <c r="B634" s="288" t="n"/>
      <c r="I634" t="inlineStr">
        <is>
          <t xml:space="preserve">    13 05 03 - Hazardous - Interceptor sludges</t>
        </is>
      </c>
    </row>
    <row r="635">
      <c r="A635" s="288" t="inlineStr">
        <is>
          <t>NACE H - 49.33 On-demand passenger transport service activities by vehicle with driver</t>
        </is>
      </c>
      <c r="B635" s="288" t="n"/>
      <c r="I635" t="inlineStr">
        <is>
          <t xml:space="preserve">    13 05 06 - Hazardous - Oil from oil/water separators</t>
        </is>
      </c>
    </row>
    <row r="636">
      <c r="A636" s="288" t="inlineStr">
        <is>
          <t>NACE H - 49.34 Passenger transport by cableways and ski lifts</t>
        </is>
      </c>
      <c r="B636" s="288" t="n"/>
      <c r="I636" t="inlineStr">
        <is>
          <t xml:space="preserve">    13 05 07 - Hazardous - Oily water from oil/water separators</t>
        </is>
      </c>
    </row>
    <row r="637">
      <c r="A637" s="288" t="inlineStr">
        <is>
          <t>NACE H - 49.39 Other passenger land transport n.e.c.</t>
        </is>
      </c>
      <c r="B637" s="288" t="n"/>
      <c r="I637" t="inlineStr">
        <is>
          <t xml:space="preserve">    13 05 08 - Hazardous - Mixtures of wastes from grit chambers and oil/water separators</t>
        </is>
      </c>
    </row>
    <row r="638">
      <c r="A638" s="287" t="inlineStr">
        <is>
          <t>NACE H - 49.4 Freight transport by road and removal services</t>
        </is>
      </c>
      <c r="B638" s="288" t="n"/>
      <c r="I638" t="inlineStr">
        <is>
          <t xml:space="preserve">  13 07 - Wastes of liquid fuels</t>
        </is>
      </c>
    </row>
    <row r="639">
      <c r="A639" s="288" t="inlineStr">
        <is>
          <t>NACE H - 49.41 Freight transport by road</t>
        </is>
      </c>
      <c r="B639" s="288" t="n"/>
      <c r="I639" t="inlineStr">
        <is>
          <t xml:space="preserve">    13 07 01 - Hazardous - Fuel oil and diesel</t>
        </is>
      </c>
    </row>
    <row r="640">
      <c r="A640" s="288" t="inlineStr">
        <is>
          <t>NACE H - 49.42 Removal services</t>
        </is>
      </c>
      <c r="B640" s="288" t="n"/>
      <c r="I640" t="inlineStr">
        <is>
          <t xml:space="preserve">    13 07 02 - Hazardous - Petrol</t>
        </is>
      </c>
    </row>
    <row r="641">
      <c r="A641" s="287" t="inlineStr">
        <is>
          <t>NACE H - 49.5 Transport via pipeline</t>
        </is>
      </c>
      <c r="B641" s="288" t="n"/>
      <c r="I641" t="inlineStr">
        <is>
          <t xml:space="preserve">    13 07 03 - Hazardous - Other fuels (including mixtures)</t>
        </is>
      </c>
    </row>
    <row r="642">
      <c r="A642" s="288" t="inlineStr">
        <is>
          <t>NACE H - 49.50 Transport via pipeline</t>
        </is>
      </c>
      <c r="B642" s="288" t="n"/>
      <c r="I642" t="inlineStr">
        <is>
          <t xml:space="preserve">  13 08 - Oil wastes not otherwise specified</t>
        </is>
      </c>
    </row>
    <row r="643">
      <c r="A643" s="284" t="inlineStr">
        <is>
          <t>NACE H - 50 Water transport</t>
        </is>
      </c>
      <c r="B643" s="288" t="n"/>
      <c r="I643" t="inlineStr">
        <is>
          <t xml:space="preserve">    13 08 01 - Hazardous - Desalter sludges or emulsions</t>
        </is>
      </c>
    </row>
    <row r="644">
      <c r="A644" s="287" t="inlineStr">
        <is>
          <t>NACE H - 50.1 Sea and coastal passenger water transport</t>
        </is>
      </c>
      <c r="B644" s="288" t="n"/>
      <c r="I644" t="inlineStr">
        <is>
          <t xml:space="preserve">    13 08 02 - Hazardous - Other emulsions</t>
        </is>
      </c>
    </row>
    <row r="645">
      <c r="A645" s="288" t="inlineStr">
        <is>
          <t>NACE H - 50.10 Sea and coastal passenger water transport</t>
        </is>
      </c>
      <c r="B645" s="288" t="n"/>
      <c r="I645" t="inlineStr">
        <is>
          <t xml:space="preserve">    13 08 99 - Hazardous - Wastes not otherwise specified</t>
        </is>
      </c>
    </row>
    <row r="646">
      <c r="A646" s="287" t="inlineStr">
        <is>
          <t>NACE H - 50.2 Sea and coastal freight water transport</t>
        </is>
      </c>
      <c r="B646" s="288" t="n"/>
      <c r="I646" t="inlineStr">
        <is>
          <t>14 - WASTE ORGANIC SOLVENTS, REFRIGERANTS AND PROPELLANTS (except 07 and 08)</t>
        </is>
      </c>
    </row>
    <row r="647">
      <c r="A647" s="288" t="inlineStr">
        <is>
          <t>NACE H - 50.20 Sea and coastal freight water transport</t>
        </is>
      </c>
      <c r="B647" s="288" t="n"/>
      <c r="I647" t="inlineStr">
        <is>
          <t xml:space="preserve">  14 06 - Waste organic solvents, refrigerants and foam/aerosol propellants</t>
        </is>
      </c>
    </row>
    <row r="648">
      <c r="A648" s="287" t="inlineStr">
        <is>
          <t>NACE H - 50.3 Inland passenger water transport</t>
        </is>
      </c>
      <c r="B648" s="288" t="n"/>
      <c r="I648" t="inlineStr">
        <is>
          <t xml:space="preserve">    14 06 01 - Hazardous - Chlorofluorocarbons, HCFC, HFC</t>
        </is>
      </c>
    </row>
    <row r="649">
      <c r="A649" s="288" t="inlineStr">
        <is>
          <t>NACE H - 50.30 Inland passenger water transport</t>
        </is>
      </c>
      <c r="B649" s="288" t="n"/>
      <c r="I649" t="inlineStr">
        <is>
          <t xml:space="preserve">    14 06 02 - Hazardous - Other halogenated solvents and solvent mixtures</t>
        </is>
      </c>
    </row>
    <row r="650">
      <c r="A650" s="287" t="inlineStr">
        <is>
          <t>NACE H - 50.4 Inland freight water transport</t>
        </is>
      </c>
      <c r="B650" s="288" t="n"/>
      <c r="I650" t="inlineStr">
        <is>
          <t xml:space="preserve">    14 06 03 - Hazardous - Other solvents and solvent mixtures</t>
        </is>
      </c>
    </row>
    <row r="651">
      <c r="A651" s="288" t="inlineStr">
        <is>
          <t>NACE H - 50.40 Inland freight water transport</t>
        </is>
      </c>
      <c r="B651" s="288" t="n"/>
      <c r="I651" t="inlineStr">
        <is>
          <t xml:space="preserve">    14 06 04 - Hazardous - Sludges or solid wastes containing halogenated solvents</t>
        </is>
      </c>
    </row>
    <row r="652">
      <c r="A652" s="284" t="inlineStr">
        <is>
          <t>NACE H - 51 Air transport</t>
        </is>
      </c>
      <c r="B652" s="288" t="n"/>
      <c r="I652" t="inlineStr">
        <is>
          <t xml:space="preserve">    14 06 05 - Hazardous - Sludges or solid wastes containing other solvents</t>
        </is>
      </c>
    </row>
    <row r="653">
      <c r="A653" s="287" t="inlineStr">
        <is>
          <t>NACE H - 51.1 Passenger air transport</t>
        </is>
      </c>
      <c r="B653" s="288" t="n"/>
      <c r="I653" t="inlineStr">
        <is>
          <t>15 - WASTE PACKAGING; ABSORBENTS, WIPING CLOTHS, FILTER MATERIALS AND PROTECTIVE CLOTHING NOT OTHERWISE SPECIFIED</t>
        </is>
      </c>
    </row>
    <row r="654">
      <c r="A654" s="288" t="inlineStr">
        <is>
          <t>NACE H - 51.10 Passenger air transport</t>
        </is>
      </c>
      <c r="B654" s="288" t="n"/>
      <c r="I654" t="inlineStr">
        <is>
          <t xml:space="preserve">  15 01 - Packaging (including separately collected municipal packaging waste)</t>
        </is>
      </c>
    </row>
    <row r="655">
      <c r="A655" s="287" t="inlineStr">
        <is>
          <t>NACE H - 51.2 Freight air transport and space transport</t>
        </is>
      </c>
      <c r="B655" s="288" t="n"/>
      <c r="I655" t="inlineStr">
        <is>
          <t xml:space="preserve">    15 01 01 - Non-Hazardous - Paper and cardboard packaging</t>
        </is>
      </c>
    </row>
    <row r="656">
      <c r="A656" s="288" t="inlineStr">
        <is>
          <t>NACE H - 51.21 Freight air transport</t>
        </is>
      </c>
      <c r="B656" s="288" t="n"/>
      <c r="I656" t="inlineStr">
        <is>
          <t xml:space="preserve">    15 01 02 - Non-Hazardous - Plastic packaging</t>
        </is>
      </c>
    </row>
    <row r="657">
      <c r="A657" s="288" t="inlineStr">
        <is>
          <t>NACE H - 51.22 Space transport</t>
        </is>
      </c>
      <c r="B657" s="288" t="n"/>
      <c r="I657" t="inlineStr">
        <is>
          <t xml:space="preserve">    15 01 03 - Non-Hazardous - Wooden packaging</t>
        </is>
      </c>
    </row>
    <row r="658">
      <c r="A658" s="284" t="inlineStr">
        <is>
          <t>NACE H - 52 Warehousing, storage and support activities for transportation</t>
        </is>
      </c>
      <c r="B658" s="288" t="n"/>
      <c r="I658" t="inlineStr">
        <is>
          <t xml:space="preserve">    15 01 04 - Non-Hazardous - Metallic packaging</t>
        </is>
      </c>
    </row>
    <row r="659">
      <c r="A659" s="287" t="inlineStr">
        <is>
          <t>NACE H - 52.1 Warehousing and storage</t>
        </is>
      </c>
      <c r="B659" s="288" t="n"/>
      <c r="I659" t="inlineStr">
        <is>
          <t xml:space="preserve">    15 01 05 - Non-Hazardous - Composite packaging</t>
        </is>
      </c>
    </row>
    <row r="660">
      <c r="A660" s="288" t="inlineStr">
        <is>
          <t>NACE H - 52.10 Warehousing and storage</t>
        </is>
      </c>
      <c r="B660" s="288" t="n"/>
      <c r="I660" t="inlineStr">
        <is>
          <t xml:space="preserve">    15 01 06 - Non-Hazardous - Mixed packaging</t>
        </is>
      </c>
    </row>
    <row r="661">
      <c r="A661" s="287" t="inlineStr">
        <is>
          <t>NACE H - 52.2 Support activities for transportation</t>
        </is>
      </c>
      <c r="B661" s="288" t="n"/>
      <c r="I661" t="inlineStr">
        <is>
          <t xml:space="preserve">    15 01 07 - Non-Hazardous - Glass packaging</t>
        </is>
      </c>
    </row>
    <row r="662">
      <c r="A662" s="288" t="inlineStr">
        <is>
          <t>NACE H - 52.21 Service activities incidental to land transportation</t>
        </is>
      </c>
      <c r="B662" s="288" t="n"/>
      <c r="I662" t="inlineStr">
        <is>
          <t xml:space="preserve">    15 01 09 - Non-Hazardous - Textile packaging</t>
        </is>
      </c>
    </row>
    <row r="663">
      <c r="A663" s="288" t="inlineStr">
        <is>
          <t>NACE H - 52.22 Service activities incidental to water transportation</t>
        </is>
      </c>
      <c r="B663" s="288" t="n"/>
      <c r="I663" t="inlineStr">
        <is>
          <t xml:space="preserve">    15 01 10 - Hazardous - Packaging containing residues of or contaminated by hazardous substances</t>
        </is>
      </c>
    </row>
    <row r="664">
      <c r="A664" s="288" t="inlineStr">
        <is>
          <t>NACE H - 52.23 Service activities incidental to air transportation</t>
        </is>
      </c>
      <c r="B664" s="288" t="n"/>
      <c r="I664" t="inlineStr">
        <is>
          <t xml:space="preserve">    15 01 11 - Hazardous - Metallic packaging containing a hazardous solid porous matrix (for example asbestos), including empty pressure containers</t>
        </is>
      </c>
    </row>
    <row r="665">
      <c r="A665" s="288" t="inlineStr">
        <is>
          <t>NACE H - 52.24 Cargo handling</t>
        </is>
      </c>
      <c r="B665" s="288" t="n"/>
      <c r="I665" t="inlineStr">
        <is>
          <t xml:space="preserve">  15 02 - Absorbents, filter materials, wiping cloths and protective clothing</t>
        </is>
      </c>
    </row>
    <row r="666">
      <c r="A666" s="288" t="inlineStr">
        <is>
          <t>NACE H - 52.25 Logistics service activities</t>
        </is>
      </c>
      <c r="B666" s="288" t="n"/>
      <c r="I666" t="inlineStr">
        <is>
          <t xml:space="preserve">    15 02 02 - Hazardous - Absorbents, filter materials (including oil filters not otherwise specified), wiping cloths, protective clothing contaminated by hazardous substances</t>
        </is>
      </c>
    </row>
    <row r="667">
      <c r="A667" s="288" t="inlineStr">
        <is>
          <t>NACE H - 52.26 Other support activities for transportation</t>
        </is>
      </c>
      <c r="B667" s="288" t="n"/>
      <c r="I667" t="inlineStr">
        <is>
          <t xml:space="preserve">    15 02 03 - Non-Hazardous - Absorbents, filter materials, wiping cloths and protective clothing other than those mentioned in 15 02 02</t>
        </is>
      </c>
    </row>
    <row r="668">
      <c r="A668" s="287" t="inlineStr">
        <is>
          <t>NACE H - 52.3 Intermediation service activities for transportation</t>
        </is>
      </c>
      <c r="B668" s="288" t="n"/>
      <c r="I668" t="inlineStr">
        <is>
          <t>16 - WASTES NOT OTHERWISE SPECIFIED IN THE LIST</t>
        </is>
      </c>
    </row>
    <row r="669">
      <c r="A669" s="288" t="inlineStr">
        <is>
          <t>NACE H - 52.31 Intermediation service activities for freight transportation</t>
        </is>
      </c>
      <c r="B669" s="288" t="n"/>
      <c r="I669" t="inlineStr">
        <is>
          <t xml:space="preserve">  16 01 - End-of-life vehicles from different means of transport (including off-road machinery) and wastes from dismantling of end-of-life vehicles and vehicle maintenance (except 13, 14, 16 06 and 16 08)</t>
        </is>
      </c>
    </row>
    <row r="670">
      <c r="A670" s="288" t="inlineStr">
        <is>
          <t>NACE H - 52.32 Intermediation service activities for passenger transportation</t>
        </is>
      </c>
      <c r="B670" s="288" t="n"/>
      <c r="I670" t="inlineStr">
        <is>
          <t xml:space="preserve">    16 01 03 - Non-Hazardous - End-of-life tyres</t>
        </is>
      </c>
    </row>
    <row r="671">
      <c r="A671" s="284" t="inlineStr">
        <is>
          <t>NACE H - 53 Postal and courier activities</t>
        </is>
      </c>
      <c r="B671" s="288" t="n"/>
      <c r="I671" t="inlineStr">
        <is>
          <t xml:space="preserve">    16 01 04 - Hazardous - End-of-life vehicles</t>
        </is>
      </c>
    </row>
    <row r="672">
      <c r="A672" s="287" t="inlineStr">
        <is>
          <t>NACE H - 53.1 Postal activities under universal service obligation</t>
        </is>
      </c>
      <c r="B672" s="288" t="n"/>
      <c r="I672" t="inlineStr">
        <is>
          <t xml:space="preserve">    16 01 06 - Non-Hazardous - End-of-life vehicles, containing neither liquids nor other hazardous components</t>
        </is>
      </c>
    </row>
    <row r="673">
      <c r="A673" s="288" t="inlineStr">
        <is>
          <t>NACE H - 53.10 Postal activities under universal service obligation</t>
        </is>
      </c>
      <c r="B673" s="288" t="n"/>
      <c r="I673" t="inlineStr">
        <is>
          <t xml:space="preserve">    16 01 07 - Hazardous - Oil filters</t>
        </is>
      </c>
    </row>
    <row r="674">
      <c r="A674" s="287" t="inlineStr">
        <is>
          <t>NACE H - 53.2 Other postal and courier activities</t>
        </is>
      </c>
      <c r="B674" s="288" t="n"/>
      <c r="I674" t="inlineStr">
        <is>
          <t xml:space="preserve">    16 01 08 - Hazardous - Components containing mercury</t>
        </is>
      </c>
    </row>
    <row r="675">
      <c r="A675" s="288" t="inlineStr">
        <is>
          <t>NACE H - 53.20 Other postal and courier activities</t>
        </is>
      </c>
      <c r="B675" s="288" t="n"/>
      <c r="I675" t="inlineStr">
        <is>
          <t xml:space="preserve">    16 01 09 - Hazardous - Components containing PCBs</t>
        </is>
      </c>
    </row>
    <row r="676">
      <c r="A676" s="287" t="inlineStr">
        <is>
          <t>NACE H - 53.3 Intermediation service activities for postal and courier activities</t>
        </is>
      </c>
      <c r="B676" s="288" t="n"/>
      <c r="I676" t="inlineStr">
        <is>
          <t xml:space="preserve">    16 01 10 - Hazardous - Explosive components (for example air bags)</t>
        </is>
      </c>
    </row>
    <row r="677">
      <c r="A677" s="288" t="inlineStr">
        <is>
          <t>NACE H - 53.30 Intermediation service activities for postal and courier activities</t>
        </is>
      </c>
      <c r="B677" s="288" t="n"/>
      <c r="I677" t="inlineStr">
        <is>
          <t xml:space="preserve">    16 01 11 - Hazardous - Brake pads containing asbestos</t>
        </is>
      </c>
    </row>
    <row r="678">
      <c r="A678" s="285" t="inlineStr">
        <is>
          <t>NACE I - ACCOMMODATION AND FOOD SERVICE ACTIVITIES</t>
        </is>
      </c>
      <c r="B678" s="288" t="n"/>
      <c r="I678" t="inlineStr">
        <is>
          <t xml:space="preserve">    16 01 12 - Non-Hazardous - Brake pads other than those mentioned in 16 01 11</t>
        </is>
      </c>
    </row>
    <row r="679">
      <c r="A679" s="284" t="inlineStr">
        <is>
          <t>NACE I - 55 Accommodation</t>
        </is>
      </c>
      <c r="B679" s="288" t="n"/>
      <c r="I679" t="inlineStr">
        <is>
          <t xml:space="preserve">    16 01 13 - Hazardous - Brake fluids</t>
        </is>
      </c>
    </row>
    <row r="680">
      <c r="A680" s="287" t="inlineStr">
        <is>
          <t>NACE I - 55.1 Hotels and similar accommodation</t>
        </is>
      </c>
      <c r="B680" s="288" t="n"/>
      <c r="I680" t="inlineStr">
        <is>
          <t xml:space="preserve">    16 01 14 - Hazardous - Antifreeze fluids containing hazardous substances</t>
        </is>
      </c>
    </row>
    <row r="681">
      <c r="A681" s="288" t="inlineStr">
        <is>
          <t>NACE I - 55.10 Hotels and similar accommodation</t>
        </is>
      </c>
      <c r="B681" s="288" t="n"/>
      <c r="I681" t="inlineStr">
        <is>
          <t xml:space="preserve">    16 01 15 - Non-Hazardous - Antifreeze fluids other than those mentioned in 16 01 14</t>
        </is>
      </c>
    </row>
    <row r="682">
      <c r="A682" s="287" t="inlineStr">
        <is>
          <t>NACE I - 55.2 Holiday and other short-stay accommodation</t>
        </is>
      </c>
      <c r="B682" s="288" t="n"/>
      <c r="I682" t="inlineStr">
        <is>
          <t xml:space="preserve">    16 01 16 - Non-Hazardous - Tanks for liquefied gas</t>
        </is>
      </c>
    </row>
    <row r="683">
      <c r="A683" s="288" t="inlineStr">
        <is>
          <t>NACE I - 55.20 Holiday and other short-stay accommodation</t>
        </is>
      </c>
      <c r="B683" s="288" t="n"/>
      <c r="I683" t="inlineStr">
        <is>
          <t xml:space="preserve">    16 01 17 - Non-Hazardous - Ferrous metal</t>
        </is>
      </c>
    </row>
    <row r="684">
      <c r="A684" s="287" t="inlineStr">
        <is>
          <t>NACE I - 55.3 Camping grounds and recreational vehicle parks</t>
        </is>
      </c>
      <c r="B684" s="288" t="n"/>
      <c r="I684" t="inlineStr">
        <is>
          <t xml:space="preserve">    16 01 18 - Non-Hazardous - Non-ferrous metal</t>
        </is>
      </c>
    </row>
    <row r="685">
      <c r="A685" s="288" t="inlineStr">
        <is>
          <t>NACE I - 55.30 Camping grounds and recreational vehicle parks</t>
        </is>
      </c>
      <c r="B685" s="288" t="n"/>
      <c r="I685" t="inlineStr">
        <is>
          <t xml:space="preserve">    16 01 19 - Non-Hazardous - Plastic</t>
        </is>
      </c>
    </row>
    <row r="686">
      <c r="A686" s="287" t="inlineStr">
        <is>
          <t>NACE I - 55.4 Intermediation service activities for accommodation</t>
        </is>
      </c>
      <c r="B686" s="288" t="n"/>
      <c r="I686" t="inlineStr">
        <is>
          <t xml:space="preserve">    16 01 20 - Non-Hazardous - Glass</t>
        </is>
      </c>
    </row>
    <row r="687">
      <c r="A687" s="288" t="inlineStr">
        <is>
          <t>NACE I - 55.40 Intermediation service activities for accommodation</t>
        </is>
      </c>
      <c r="B687" s="288" t="n"/>
      <c r="I687" t="inlineStr">
        <is>
          <t xml:space="preserve">    16 01 21 - Hazardous - Hazardous components other than those mentioned in 16 01 07 to 16 01 11 and 16 01 13 and 16 01 14</t>
        </is>
      </c>
    </row>
    <row r="688">
      <c r="A688" s="287" t="inlineStr">
        <is>
          <t>NACE I - 55.9 Other accommodation</t>
        </is>
      </c>
      <c r="B688" s="288" t="n"/>
      <c r="I688" t="inlineStr">
        <is>
          <t xml:space="preserve">    16 01 22 - Non-Hazardous - Components not otherwise specified</t>
        </is>
      </c>
    </row>
    <row r="689">
      <c r="A689" s="288" t="inlineStr">
        <is>
          <t>NACE I - 55.90 Other accommodation</t>
        </is>
      </c>
      <c r="B689" s="288" t="n"/>
      <c r="I689" t="inlineStr">
        <is>
          <t xml:space="preserve">    16 01 99 - Non-Hazardous - Wastes not otherwise specified</t>
        </is>
      </c>
    </row>
    <row r="690">
      <c r="A690" s="284" t="inlineStr">
        <is>
          <t>NACE I - 56 Food and beverage service activities</t>
        </is>
      </c>
      <c r="B690" s="288" t="n"/>
      <c r="I690" t="inlineStr">
        <is>
          <t xml:space="preserve">  16 02 - Wastes from electrical and electronic equipment</t>
        </is>
      </c>
    </row>
    <row r="691">
      <c r="A691" s="287" t="inlineStr">
        <is>
          <t>NACE I - 56.1 Restaurants and mobile food service activities</t>
        </is>
      </c>
      <c r="B691" s="288" t="n"/>
      <c r="I691" t="inlineStr">
        <is>
          <t xml:space="preserve">    16 02 09 - Hazardous - Transformers and capacitors containing PCBs</t>
        </is>
      </c>
    </row>
    <row r="692">
      <c r="A692" s="288" t="inlineStr">
        <is>
          <t>NACE I - 56.11 Restaurant activities</t>
        </is>
      </c>
      <c r="B692" s="288" t="n"/>
      <c r="I692" t="inlineStr">
        <is>
          <t xml:space="preserve">    16 02 10 - Hazardous - Discarded equipment containing or contaminated by PCBs other than those mentioned in 16 02 09</t>
        </is>
      </c>
    </row>
    <row r="693">
      <c r="A693" s="288" t="inlineStr">
        <is>
          <t>NACE I - 56.12 Mobile food service activities</t>
        </is>
      </c>
      <c r="B693" s="288" t="n"/>
      <c r="I693" t="inlineStr">
        <is>
          <t xml:space="preserve">    16 02 11 - Hazardous - Discarded equipment containing chlorofluorocarbons, HCFC, HFC</t>
        </is>
      </c>
    </row>
    <row r="694">
      <c r="A694" s="287" t="inlineStr">
        <is>
          <t>NACE I - 56.2 Event catering, contract catering service activities and other food service activities</t>
        </is>
      </c>
      <c r="B694" s="288" t="n"/>
      <c r="I694" t="inlineStr">
        <is>
          <t xml:space="preserve">    16 02 12 - Hazardous - Discarded equipment containing free asbestos</t>
        </is>
      </c>
    </row>
    <row r="695">
      <c r="A695" s="288" t="inlineStr">
        <is>
          <t>NACE I - 56.21 Event catering activities</t>
        </is>
      </c>
      <c r="B695" s="288" t="n"/>
      <c r="I695" t="inlineStr">
        <is>
          <t xml:space="preserve">    16 02 13 - Hazardous - Discarded equipment containing hazardous components (3) other than those mentioned in 16 02 09 to 16 02 12</t>
        </is>
      </c>
    </row>
    <row r="696">
      <c r="A696" s="288" t="inlineStr">
        <is>
          <t>NACE I - 56.22 Contract catering service activities and other food service activities</t>
        </is>
      </c>
      <c r="B696" s="288" t="n"/>
      <c r="I696" t="inlineStr">
        <is>
          <t xml:space="preserve">    16 02 14 - Non-Hazardous - Discarded equipment other than those mentioned in 16 02 09 to 16 02 13</t>
        </is>
      </c>
    </row>
    <row r="697">
      <c r="A697" s="287" t="inlineStr">
        <is>
          <t>NACE I - 56.3 Beverage serving activities</t>
        </is>
      </c>
      <c r="B697" s="288" t="n"/>
      <c r="I697" t="inlineStr">
        <is>
          <t xml:space="preserve">    16 02 15 - Hazardous - Hazardous components removed from discarded equipment</t>
        </is>
      </c>
    </row>
    <row r="698">
      <c r="A698" s="288" t="inlineStr">
        <is>
          <t>NACE I - 56.30 Beverage serving activities</t>
        </is>
      </c>
      <c r="B698" s="288" t="n"/>
      <c r="I698" t="inlineStr">
        <is>
          <t xml:space="preserve">    16 02 16 - Non-Hazardous - Components removed from discarded equipment other than those mentioned in 16 02 15</t>
        </is>
      </c>
    </row>
    <row r="699">
      <c r="A699" s="287" t="inlineStr">
        <is>
          <t>NACE I - 56.4 Intermediation service activities for food and beverage services activities</t>
        </is>
      </c>
      <c r="B699" s="288" t="n"/>
      <c r="I699" t="inlineStr">
        <is>
          <t xml:space="preserve">  16 03 - Off-specification batches and unused products</t>
        </is>
      </c>
    </row>
    <row r="700">
      <c r="A700" s="288" t="inlineStr">
        <is>
          <t>NACE I - 56.40 Intermediation service activities for food and beverage services activities</t>
        </is>
      </c>
      <c r="B700" s="288" t="n"/>
      <c r="I700" t="inlineStr">
        <is>
          <t xml:space="preserve">    16 03 03 - Hazardous - Inorganic wastes containing hazardous substances</t>
        </is>
      </c>
    </row>
    <row r="701">
      <c r="A701" s="285" t="inlineStr">
        <is>
          <t>NACE J - PUBLISHING, BROADCASTING, AND CONTENT PRODUCTION AND DISTRIBUTION ACTIVITIES</t>
        </is>
      </c>
      <c r="B701" s="288" t="n"/>
      <c r="I701" t="inlineStr">
        <is>
          <t xml:space="preserve">    16 03 04 - Non-Hazardous - Inorganic wastes other than those mentioned in 16 03 03</t>
        </is>
      </c>
    </row>
    <row r="702">
      <c r="A702" s="284" t="inlineStr">
        <is>
          <t>NACE J - 58 Publishing activities</t>
        </is>
      </c>
      <c r="B702" s="288" t="n"/>
      <c r="I702" t="inlineStr">
        <is>
          <t xml:space="preserve">    16 03 05 - Hazardous - Organic wastes containing hazardous substances</t>
        </is>
      </c>
    </row>
    <row r="703">
      <c r="A703" s="287" t="inlineStr">
        <is>
          <t>NACE J - 58.1 Publishing of books, newspapers and other publishing activities, except software publishing</t>
        </is>
      </c>
      <c r="B703" s="288" t="n"/>
      <c r="I703" t="inlineStr">
        <is>
          <t xml:space="preserve">    16 03 06 - Non-Hazardous - Organic wastes other than those mentioned in 16 03 05</t>
        </is>
      </c>
    </row>
    <row r="704">
      <c r="A704" s="288" t="inlineStr">
        <is>
          <t>NACE J - 58.11 Publishing of books</t>
        </is>
      </c>
      <c r="B704" s="288" t="n"/>
      <c r="I704" t="inlineStr">
        <is>
          <t xml:space="preserve">    16 03 07 - Hazardous - Metallic mercury</t>
        </is>
      </c>
    </row>
    <row r="705">
      <c r="A705" s="288" t="inlineStr">
        <is>
          <t>NACE J - 58.12 Publishing of newspapers</t>
        </is>
      </c>
      <c r="B705" s="288" t="n"/>
      <c r="I705" t="inlineStr">
        <is>
          <t xml:space="preserve">  16 04 - Waste explosives</t>
        </is>
      </c>
    </row>
    <row r="706">
      <c r="A706" s="288" t="inlineStr">
        <is>
          <t>NACE J - 58.13 Publishing of journals and periodicals</t>
        </is>
      </c>
      <c r="B706" s="288" t="n"/>
      <c r="I706" t="inlineStr">
        <is>
          <t xml:space="preserve">    16 04 01 - Hazardous - Waste ammunition</t>
        </is>
      </c>
    </row>
    <row r="707">
      <c r="A707" s="288" t="inlineStr">
        <is>
          <t>NACE J - 58.19 Other publishing activities, except software publishing</t>
        </is>
      </c>
      <c r="B707" s="288" t="n"/>
      <c r="I707" t="inlineStr">
        <is>
          <t xml:space="preserve">    16 04 02 - Hazardous - Fireworks wastes</t>
        </is>
      </c>
    </row>
    <row r="708">
      <c r="A708" s="287" t="inlineStr">
        <is>
          <t>NACE J - 58.2 Software publishing</t>
        </is>
      </c>
      <c r="B708" s="288" t="n"/>
      <c r="I708" t="inlineStr">
        <is>
          <t xml:space="preserve">    16 04 03 - Hazardous - Other waste explosives</t>
        </is>
      </c>
    </row>
    <row r="709">
      <c r="A709" s="288" t="inlineStr">
        <is>
          <t>NACE J - 58.21 Publishing of video games</t>
        </is>
      </c>
      <c r="B709" s="288" t="n"/>
      <c r="I709" t="inlineStr">
        <is>
          <t xml:space="preserve">  16 05 - Gases in pressure containers and discarded chemicals</t>
        </is>
      </c>
    </row>
    <row r="710">
      <c r="A710" s="288" t="inlineStr">
        <is>
          <t>NACE J - 58.29 Other software publishing</t>
        </is>
      </c>
      <c r="B710" s="288" t="n"/>
      <c r="I710" t="inlineStr">
        <is>
          <t xml:space="preserve">    16 05 04 - Hazardous - Gases in pressure containers (including halons) containing hazardous substances</t>
        </is>
      </c>
    </row>
    <row r="711">
      <c r="A711" s="284" t="inlineStr">
        <is>
          <t>NACE J - 59 Motion picture, video and television programme production, sound recording and music publishing activities</t>
        </is>
      </c>
      <c r="B711" s="288" t="n"/>
      <c r="I711" t="inlineStr">
        <is>
          <t xml:space="preserve">    16 05 05 - Non-Hazardous - Gases in pressure containers other than those mentioned in 16 05 04</t>
        </is>
      </c>
    </row>
    <row r="712">
      <c r="A712" s="287" t="inlineStr">
        <is>
          <t>NACE J - 59.1 Motion picture, video and television programme activities</t>
        </is>
      </c>
      <c r="B712" s="288" t="n"/>
      <c r="I712" t="inlineStr">
        <is>
          <t xml:space="preserve">    16 05 06 - Hazardous - Laboratory chemicals, consisting of or containing hazardous substances, including mixtures of laboratory chemicals</t>
        </is>
      </c>
    </row>
    <row r="713">
      <c r="A713" s="288" t="inlineStr">
        <is>
          <t>NACE J - 59.11 Motion picture, video and television programme production activities</t>
        </is>
      </c>
      <c r="B713" s="288" t="n"/>
      <c r="I713" t="inlineStr">
        <is>
          <t xml:space="preserve">    16 05 07 - Hazardous - Discarded inorganic chemicals consisting of or containing hazardous substances</t>
        </is>
      </c>
    </row>
    <row r="714">
      <c r="A714" s="288" t="inlineStr">
        <is>
          <t>NACE J - 59.12 Motion picture, video and television programme post-production activities</t>
        </is>
      </c>
      <c r="B714" s="288" t="n"/>
      <c r="I714" t="inlineStr">
        <is>
          <t xml:space="preserve">    16 05 08 - Hazardous - Discarded organic chemicals consisting of or containing hazardous substances</t>
        </is>
      </c>
    </row>
    <row r="715">
      <c r="A715" s="288" t="inlineStr">
        <is>
          <t>NACE J - 59.13 Motion picture and video distribution activities</t>
        </is>
      </c>
      <c r="B715" s="288" t="n"/>
      <c r="I715" t="inlineStr">
        <is>
          <t xml:space="preserve">    16 05 09 - Non-Hazardous - Discarded chemicals other than those mentioned in 16 05 06, 16 05 07 or 16 05 08</t>
        </is>
      </c>
    </row>
    <row r="716">
      <c r="A716" s="288" t="inlineStr">
        <is>
          <t>NACE J - 59.14 Motion picture projection activities</t>
        </is>
      </c>
      <c r="B716" s="288" t="n"/>
      <c r="I716" t="inlineStr">
        <is>
          <t xml:space="preserve">  16 06 - Batteries and accumulators</t>
        </is>
      </c>
    </row>
    <row r="717">
      <c r="A717" s="287" t="inlineStr">
        <is>
          <t>NACE J - 59.2 Sound recording and music publishing activities</t>
        </is>
      </c>
      <c r="B717" s="288" t="n"/>
      <c r="I717" t="inlineStr">
        <is>
          <t xml:space="preserve">    16 06 01 - Hazardous - Lead batteries</t>
        </is>
      </c>
    </row>
    <row r="718">
      <c r="A718" s="288" t="inlineStr">
        <is>
          <t>NACE J - 59.20 Sound recording and music publishing activities</t>
        </is>
      </c>
      <c r="B718" s="288" t="n"/>
      <c r="I718" t="inlineStr">
        <is>
          <t xml:space="preserve">    16 06 02 - Hazardous - Ni-Cd batteries</t>
        </is>
      </c>
    </row>
    <row r="719">
      <c r="A719" s="284" t="inlineStr">
        <is>
          <t>NACE J - 60 Programming, broadcasting, news agency and other content distribution activities</t>
        </is>
      </c>
      <c r="B719" s="288" t="n"/>
      <c r="I719" t="inlineStr">
        <is>
          <t xml:space="preserve">    16 06 03 - Hazardous - Mercury-containing batteries</t>
        </is>
      </c>
    </row>
    <row r="720">
      <c r="A720" s="287" t="inlineStr">
        <is>
          <t>NACE J - 60.1 Radio broadcasting and audio distribution activities</t>
        </is>
      </c>
      <c r="B720" s="288" t="n"/>
      <c r="I720" t="inlineStr">
        <is>
          <t xml:space="preserve">    16 06 04 - Non-Hazardous - Alkaline batteries (except 16 06 03)</t>
        </is>
      </c>
    </row>
    <row r="721">
      <c r="A721" s="288" t="inlineStr">
        <is>
          <t>NACE J - 60.10 Radio broadcasting and audio distribution activities</t>
        </is>
      </c>
      <c r="B721" s="288" t="n"/>
      <c r="I721" t="inlineStr">
        <is>
          <t xml:space="preserve">    16 06 05 - Non-Hazardous - Other batteries and accumulators</t>
        </is>
      </c>
    </row>
    <row r="722">
      <c r="A722" s="287" t="inlineStr">
        <is>
          <t>NACE J - 60.2 Television programming, broadcasting and video distribution activities</t>
        </is>
      </c>
      <c r="B722" s="288" t="n"/>
      <c r="I722" t="inlineStr">
        <is>
          <t xml:space="preserve">    16 06 06 - Hazardous - Separately collected electrolyte from batteries and accumulators</t>
        </is>
      </c>
    </row>
    <row r="723">
      <c r="A723" s="288" t="inlineStr">
        <is>
          <t>NACE J - 60.20 Television programming, broadcasting and video distribution activities</t>
        </is>
      </c>
      <c r="B723" s="288" t="n"/>
      <c r="I723" t="inlineStr">
        <is>
          <t xml:space="preserve">  16 07 - Wastes from transport tank, storage tank and barrel cleaning (except 05 and 13)</t>
        </is>
      </c>
    </row>
    <row r="724">
      <c r="A724" s="287" t="inlineStr">
        <is>
          <t>NACE J - 60.3 News agency and other content distribution activities</t>
        </is>
      </c>
      <c r="B724" s="288" t="n"/>
      <c r="I724" t="inlineStr">
        <is>
          <t xml:space="preserve">    16 07 08 - Hazardous - Wastes containing oil</t>
        </is>
      </c>
    </row>
    <row r="725">
      <c r="A725" s="288" t="inlineStr">
        <is>
          <t>NACE J - 60.31 News agency activities</t>
        </is>
      </c>
      <c r="B725" s="288" t="n"/>
      <c r="I725" t="inlineStr">
        <is>
          <t xml:space="preserve">    16 07 09 - Hazardous - Wastes containing other hazardous substances</t>
        </is>
      </c>
    </row>
    <row r="726">
      <c r="A726" s="288" t="inlineStr">
        <is>
          <t>NACE J - 60.39 Other content distribution activities</t>
        </is>
      </c>
      <c r="B726" s="288" t="n"/>
      <c r="I726" t="inlineStr">
        <is>
          <t xml:space="preserve">    16 07 99 - Non-Hazardous - Wastes not otherwise specified</t>
        </is>
      </c>
    </row>
    <row r="727">
      <c r="A727" s="285" t="inlineStr">
        <is>
          <t>NACE K - TELECOMMUNICATION, COMPUTER PROGRAMMING, CONSULTING, COMPUTING INFRASTRUCTURE AND OTHER INFORMATION SERVICE ACTIVITIES</t>
        </is>
      </c>
      <c r="B727" s="288" t="n"/>
      <c r="I727" t="inlineStr">
        <is>
          <t xml:space="preserve">  16 08 - Spent catalysts</t>
        </is>
      </c>
    </row>
    <row r="728">
      <c r="A728" s="284" t="inlineStr">
        <is>
          <t>NACE K - 61 Telecommunication</t>
        </is>
      </c>
      <c r="B728" s="288" t="n"/>
      <c r="I728" t="inlineStr">
        <is>
          <t xml:space="preserve">    16 08 01 - Non-Hazardous - Spent catalysts containing gold, silver, rhenium, rhodium, palladium, iridium or platinum (except 16 08 07)</t>
        </is>
      </c>
    </row>
    <row r="729">
      <c r="A729" s="287" t="inlineStr">
        <is>
          <t>NACE K - 61.1 Wired, wireless, and satellite telecommunication activities</t>
        </is>
      </c>
      <c r="B729" s="288" t="n"/>
      <c r="I729" t="inlineStr">
        <is>
          <t xml:space="preserve">    16 08 02 - Hazardous - Spent catalysts containing hazardous transition metals or hazardous transition metal compounds</t>
        </is>
      </c>
    </row>
    <row r="730">
      <c r="A730" s="288" t="inlineStr">
        <is>
          <t>NACE K - 61.10 Wired, wireless, and satellite telecommunication activities</t>
        </is>
      </c>
      <c r="B730" s="288" t="n"/>
      <c r="I730" t="inlineStr">
        <is>
          <t xml:space="preserve">    16 08 03 - Non-Hazardous - Spent catalysts containing transition metals or transition metal compounds not otherwise specified</t>
        </is>
      </c>
    </row>
    <row r="731">
      <c r="A731" s="287" t="inlineStr">
        <is>
          <t>NACE K - 61.2 Telecommunication reselling activities and intermediation service activities for telecommunication</t>
        </is>
      </c>
      <c r="B731" s="288" t="n"/>
      <c r="I731" t="inlineStr">
        <is>
          <t xml:space="preserve">    16 08 04 - Non-Hazardous - Spent fluid catalytic cracking catalysts (except 16 08 07)</t>
        </is>
      </c>
    </row>
    <row r="732">
      <c r="A732" s="288" t="inlineStr">
        <is>
          <t>NACE K - 61.20 Telecommunication reselling activities and intermediation service activities for telecommunication</t>
        </is>
      </c>
      <c r="B732" s="288" t="n"/>
      <c r="I732" t="inlineStr">
        <is>
          <t xml:space="preserve">    16 08 05 - Hazardous - Spent catalysts containing phosphoric acid</t>
        </is>
      </c>
    </row>
    <row r="733">
      <c r="A733" s="287" t="inlineStr">
        <is>
          <t>NACE K - 61.9 Other telecommunication activities</t>
        </is>
      </c>
      <c r="B733" s="288" t="n"/>
      <c r="I733" t="inlineStr">
        <is>
          <t xml:space="preserve">    16 08 06 - Hazardous - Spent liquids used as catalysts</t>
        </is>
      </c>
    </row>
    <row r="734">
      <c r="A734" s="288" t="inlineStr">
        <is>
          <t>NACE K - 61.90 Other telecommunication activities</t>
        </is>
      </c>
      <c r="B734" s="288" t="n"/>
      <c r="I734" t="inlineStr">
        <is>
          <t xml:space="preserve">    16 08 07 - Hazardous - Spent catalysts contaminated with hazardous substances</t>
        </is>
      </c>
    </row>
    <row r="735">
      <c r="A735" s="284" t="inlineStr">
        <is>
          <t>NACE K - 62 Computer programming, consultancy and related activities</t>
        </is>
      </c>
      <c r="B735" s="288" t="n"/>
      <c r="I735" t="inlineStr">
        <is>
          <t xml:space="preserve">  16 09 - Oxidising substances</t>
        </is>
      </c>
    </row>
    <row r="736">
      <c r="A736" s="287" t="inlineStr">
        <is>
          <t>NACE K - 62.1 Computer programming activities</t>
        </is>
      </c>
      <c r="B736" s="288" t="n"/>
      <c r="I736" t="inlineStr">
        <is>
          <t xml:space="preserve">    16 09 01 - Hazardous - Permanganates, for example potassium permanganate</t>
        </is>
      </c>
    </row>
    <row r="737">
      <c r="A737" s="288" t="inlineStr">
        <is>
          <t>NACE K - 62.10 Computer programming activities</t>
        </is>
      </c>
      <c r="B737" s="288" t="n"/>
      <c r="I737" t="inlineStr">
        <is>
          <t xml:space="preserve">    16 09 02 - Hazardous - Chromates, for example potassium chromate, potassium or sodium dichromate</t>
        </is>
      </c>
    </row>
    <row r="738">
      <c r="A738" s="287" t="inlineStr">
        <is>
          <t>NACE K - 62.2 Computer consultancy and computer facilities management activities</t>
        </is>
      </c>
      <c r="B738" s="288" t="n"/>
      <c r="I738" t="inlineStr">
        <is>
          <t xml:space="preserve">    16 09 03 - Hazardous - Peroxides, for example hydrogen peroxide</t>
        </is>
      </c>
    </row>
    <row r="739">
      <c r="A739" s="288" t="inlineStr">
        <is>
          <t>NACE K - 62.20 Computer consultancy and computer facilities management activities</t>
        </is>
      </c>
      <c r="B739" s="288" t="n"/>
      <c r="I739" t="inlineStr">
        <is>
          <t xml:space="preserve">    16 09 04 - Hazardous - Oxidising substances, not otherwise specified</t>
        </is>
      </c>
    </row>
    <row r="740">
      <c r="A740" s="287" t="inlineStr">
        <is>
          <t>NACE K - 62.9 Other information technology and computer service activities</t>
        </is>
      </c>
      <c r="B740" s="288" t="n"/>
      <c r="I740" t="inlineStr">
        <is>
          <t xml:space="preserve">  16 10 - Aqueous liquid wastes destined for off-site treatment</t>
        </is>
      </c>
    </row>
    <row r="741">
      <c r="A741" s="288" t="inlineStr">
        <is>
          <t>NACE K - 62.90 Other information technology and computer service activities</t>
        </is>
      </c>
      <c r="B741" s="288" t="n"/>
      <c r="I741" t="inlineStr">
        <is>
          <t xml:space="preserve">    16 10 01 - Hazardous - Aqueous liquid wastes containing hazardous substances</t>
        </is>
      </c>
    </row>
    <row r="742">
      <c r="A742" s="284" t="inlineStr">
        <is>
          <t>NACE K - 63 Computing infrastructure, data processing, hosting and other information service activities</t>
        </is>
      </c>
      <c r="B742" s="288" t="n"/>
      <c r="I742" t="inlineStr">
        <is>
          <t xml:space="preserve">    16 10 02 - Non-Hazardous - Aqueous liquid wastes other than those mentioned in 16 10 01</t>
        </is>
      </c>
    </row>
    <row r="743">
      <c r="A743" s="287" t="inlineStr">
        <is>
          <t>NACE K - 63.1 Computing infrastructure, data processing, hosting and related activities</t>
        </is>
      </c>
      <c r="B743" s="288" t="n"/>
      <c r="I743" t="inlineStr">
        <is>
          <t xml:space="preserve">    16 10 03 - Hazardous - Aqueous concentrates containing hazardous substances</t>
        </is>
      </c>
    </row>
    <row r="744">
      <c r="A744" s="288" t="inlineStr">
        <is>
          <t>NACE K - 63.10 Computing infrastructure, data processing, hosting and related activities</t>
        </is>
      </c>
      <c r="B744" s="288" t="n"/>
      <c r="I744" t="inlineStr">
        <is>
          <t xml:space="preserve">    16 10 04 - Non-Hazardous - Aqueous concentrates other than those mentioned in 16 10 03</t>
        </is>
      </c>
    </row>
    <row r="745">
      <c r="A745" s="287" t="inlineStr">
        <is>
          <t>NACE K - 63.9 Web search portal activities and other information service activities</t>
        </is>
      </c>
      <c r="B745" s="288" t="n"/>
      <c r="I745" t="inlineStr">
        <is>
          <t xml:space="preserve">  16 11 - Waste linings and refractories</t>
        </is>
      </c>
    </row>
    <row r="746">
      <c r="A746" s="288" t="inlineStr">
        <is>
          <t>NACE K - 63.91 Web search portal activities</t>
        </is>
      </c>
      <c r="B746" s="288" t="n"/>
      <c r="I746" t="inlineStr">
        <is>
          <t xml:space="preserve">    16 11 01 - Hazardous - Carbon-based linings and refractories from metallurgical processes containing hazardous substances</t>
        </is>
      </c>
    </row>
    <row r="747">
      <c r="A747" s="288" t="inlineStr">
        <is>
          <t>NACE K - 63.92 Other information service activities</t>
        </is>
      </c>
      <c r="B747" s="288" t="n"/>
      <c r="I747" t="inlineStr">
        <is>
          <t xml:space="preserve">    16 11 02 - Non-Hazardous - Carbon-based linings and refractories from metallurgical processes others than those mentioned in 16 11 01</t>
        </is>
      </c>
    </row>
    <row r="748">
      <c r="A748" s="285" t="inlineStr">
        <is>
          <t>NACE L - FINANCIAL AND INSURANCE ACTIVITIES</t>
        </is>
      </c>
      <c r="B748" s="288" t="n"/>
      <c r="I748" t="inlineStr">
        <is>
          <t xml:space="preserve">    16 11 03 - Hazardous - Other linings and refractories from metallurgical processes containing hazardous substances</t>
        </is>
      </c>
    </row>
    <row r="749">
      <c r="A749" s="284" t="inlineStr">
        <is>
          <t>NACE L - 64 Financial service activities, except insurance and pension funding</t>
        </is>
      </c>
      <c r="B749" s="288" t="n"/>
      <c r="I749" t="inlineStr">
        <is>
          <t xml:space="preserve">    16 11 04 - Non-Hazardous - Other linings and refractories from metallurgical processes other than those mentioned in 16 11 03</t>
        </is>
      </c>
    </row>
    <row r="750">
      <c r="A750" s="287" t="inlineStr">
        <is>
          <t>NACE L - 64.1 Monetary intermediation</t>
        </is>
      </c>
      <c r="B750" s="288" t="n"/>
      <c r="I750" t="inlineStr">
        <is>
          <t xml:space="preserve">    16 11 05 - Hazardous - Linings and refractories from non-metallurgical processes containing hazardous substances</t>
        </is>
      </c>
    </row>
    <row r="751">
      <c r="A751" s="288" t="inlineStr">
        <is>
          <t>NACE L - 64.11 Central banking</t>
        </is>
      </c>
      <c r="B751" s="288" t="n"/>
      <c r="I751" t="inlineStr">
        <is>
          <t xml:space="preserve">    16 11 06 - Non-Hazardous - Linings and refractories from non-metallurgical processes others than those mentioned in 16 11 05</t>
        </is>
      </c>
    </row>
    <row r="752">
      <c r="A752" s="288" t="inlineStr">
        <is>
          <t>NACE L - 64.19 Other monetary intermediation</t>
        </is>
      </c>
      <c r="B752" s="288" t="n"/>
      <c r="I752" t="inlineStr">
        <is>
          <t>17 - CONSTRUCTION AND DEMOLITION WASTES (INCLUDING EXCAVATED SOIL FROM CONTAMINATED SITES)</t>
        </is>
      </c>
    </row>
    <row r="753">
      <c r="A753" s="287" t="inlineStr">
        <is>
          <t>NACE L - 64.2 Activities of holding companies and financing conduits</t>
        </is>
      </c>
      <c r="B753" s="288" t="n"/>
      <c r="I753" t="inlineStr">
        <is>
          <t xml:space="preserve">  17 01 - Concrete, bricks, tiles and ceramics</t>
        </is>
      </c>
    </row>
    <row r="754">
      <c r="A754" s="288" t="inlineStr">
        <is>
          <t>NACE L - 64.21 Activities of holding companies</t>
        </is>
      </c>
      <c r="B754" s="288" t="n"/>
      <c r="I754" t="inlineStr">
        <is>
          <t xml:space="preserve">    17 01 01 - Non-Hazardous - Concrete</t>
        </is>
      </c>
    </row>
    <row r="755">
      <c r="A755" s="288" t="inlineStr">
        <is>
          <t>NACE L - 64.22 Activities of financing conduits</t>
        </is>
      </c>
      <c r="B755" s="288" t="n"/>
      <c r="I755" t="inlineStr">
        <is>
          <t xml:space="preserve">    17 01 02 - Non-Hazardous - Bricks</t>
        </is>
      </c>
    </row>
    <row r="756">
      <c r="A756" s="287" t="inlineStr">
        <is>
          <t>NACE L - 64.3 Activities of trusts, funds and similar financial entities</t>
        </is>
      </c>
      <c r="B756" s="288" t="n"/>
      <c r="I756" t="inlineStr">
        <is>
          <t xml:space="preserve">    17 01 03 - Non-Hazardous - Tiles and ceramics</t>
        </is>
      </c>
    </row>
    <row r="757">
      <c r="A757" s="288" t="inlineStr">
        <is>
          <t>NACE L - 64.31 Activities of money market and non-money market investments funds</t>
        </is>
      </c>
      <c r="B757" s="288" t="n"/>
      <c r="I757" t="inlineStr">
        <is>
          <t xml:space="preserve">    17 01 06 - Hazardous - Mixtures of, or separate fractions of concrete, bricks, tiles and ceramics containing hazardous substances</t>
        </is>
      </c>
    </row>
    <row r="758">
      <c r="A758" s="288" t="inlineStr">
        <is>
          <t>NACE L - 64.32 Activities of trust, estate and agency accounts</t>
        </is>
      </c>
      <c r="B758" s="288" t="n"/>
      <c r="I758" t="inlineStr">
        <is>
          <t xml:space="preserve">    17 01 07 - Non-Hazardous - Mixtures of concrete, bricks, tiles and ceramics other than those mentioned in 17 01 06</t>
        </is>
      </c>
    </row>
    <row r="759">
      <c r="A759" s="287" t="inlineStr">
        <is>
          <t>NACE L - 64.9 Other financial service activities, except insurance and pension funding</t>
        </is>
      </c>
      <c r="B759" s="288" t="n"/>
      <c r="I759" t="inlineStr">
        <is>
          <t xml:space="preserve">  17 02 - Wood, glass and plastic</t>
        </is>
      </c>
    </row>
    <row r="760">
      <c r="A760" s="288" t="inlineStr">
        <is>
          <t>NACE L - 64.91 Financial leasing</t>
        </is>
      </c>
      <c r="B760" s="288" t="n"/>
      <c r="I760" t="inlineStr">
        <is>
          <t xml:space="preserve">    17 02 01 - Non-Hazardous - Wood</t>
        </is>
      </c>
    </row>
    <row r="761">
      <c r="A761" s="288" t="inlineStr">
        <is>
          <t>NACE L - 64.92 Other credit granting</t>
        </is>
      </c>
      <c r="B761" s="288" t="n"/>
      <c r="I761" t="inlineStr">
        <is>
          <t xml:space="preserve">    17 02 02 - Non-Hazardous - Glass</t>
        </is>
      </c>
    </row>
    <row r="762">
      <c r="A762" s="288" t="inlineStr">
        <is>
          <t>NACE L - 64.99 Other financial service activities, except insurance and pension funding n.e.c.</t>
        </is>
      </c>
      <c r="B762" s="288" t="n"/>
      <c r="I762" t="inlineStr">
        <is>
          <t xml:space="preserve">    17 02 03 - Non-Hazardous - Plastic</t>
        </is>
      </c>
    </row>
    <row r="763">
      <c r="A763" s="284" t="inlineStr">
        <is>
          <t>NACE L - 65 Insurance, reinsurance and pension funding, except compulsory social security</t>
        </is>
      </c>
      <c r="B763" s="288" t="n"/>
      <c r="I763" t="inlineStr">
        <is>
          <t xml:space="preserve">    17 02 04 - Hazardous - Glass, plastic and wood containing or contaminated with hazardous substances</t>
        </is>
      </c>
    </row>
    <row r="764">
      <c r="A764" s="287" t="inlineStr">
        <is>
          <t>NACE L - 65.1 Insurance</t>
        </is>
      </c>
      <c r="B764" s="288" t="n"/>
      <c r="I764" t="inlineStr">
        <is>
          <t xml:space="preserve">  17 03 - Bituminous mixtures, coal tar and tarred products</t>
        </is>
      </c>
    </row>
    <row r="765">
      <c r="A765" s="288" t="inlineStr">
        <is>
          <t>NACE L - 65.11 Life insurance</t>
        </is>
      </c>
      <c r="B765" s="288" t="n"/>
      <c r="I765" t="inlineStr">
        <is>
          <t xml:space="preserve">    17 03 01 - Hazardous - Bituminous mixtures containing coal tar</t>
        </is>
      </c>
    </row>
    <row r="766">
      <c r="A766" s="288" t="inlineStr">
        <is>
          <t>NACE L - 65.12 Non-life insurance</t>
        </is>
      </c>
      <c r="B766" s="288" t="n"/>
      <c r="I766" t="inlineStr">
        <is>
          <t xml:space="preserve">    17 03 02 - Non-Hazardous - Bituminous mixtures other than those mentioned in 17 03 01</t>
        </is>
      </c>
    </row>
    <row r="767">
      <c r="A767" s="287" t="inlineStr">
        <is>
          <t>NACE L - 65.2 Reinsurance</t>
        </is>
      </c>
      <c r="B767" s="288" t="n"/>
      <c r="I767" t="inlineStr">
        <is>
          <t xml:space="preserve">    17 03 03 - Hazardous - Coal tar and tarred products</t>
        </is>
      </c>
    </row>
    <row r="768">
      <c r="A768" s="288" t="inlineStr">
        <is>
          <t>NACE L - 65.20 Reinsurance</t>
        </is>
      </c>
      <c r="B768" s="288" t="n"/>
      <c r="I768" t="inlineStr">
        <is>
          <t xml:space="preserve">  17 04 - Metals (including their alloys)</t>
        </is>
      </c>
    </row>
    <row r="769">
      <c r="A769" s="287" t="inlineStr">
        <is>
          <t>NACE L - 65.3 Pension funding</t>
        </is>
      </c>
      <c r="B769" s="288" t="n"/>
      <c r="I769" t="inlineStr">
        <is>
          <t xml:space="preserve">    17 04 01 - Non-Hazardous - Copper, bronze, brass</t>
        </is>
      </c>
    </row>
    <row r="770">
      <c r="A770" s="288" t="inlineStr">
        <is>
          <t>NACE L - 65.30 Pension funding</t>
        </is>
      </c>
      <c r="B770" s="288" t="n"/>
      <c r="I770" t="inlineStr">
        <is>
          <t xml:space="preserve">    17 04 02 - Non-Hazardous - Aluminium</t>
        </is>
      </c>
    </row>
    <row r="771">
      <c r="A771" s="284" t="inlineStr">
        <is>
          <t>NACE L - 66 Activities auxiliary to financial services and insurance activities</t>
        </is>
      </c>
      <c r="B771" s="288" t="n"/>
      <c r="I771" t="inlineStr">
        <is>
          <t xml:space="preserve">    17 04 03 - Non-Hazardous - Lead</t>
        </is>
      </c>
    </row>
    <row r="772">
      <c r="A772" s="287" t="inlineStr">
        <is>
          <t>NACE L - 66.1 Activities auxiliary to financial services, except insurance and pension funding</t>
        </is>
      </c>
      <c r="B772" s="288" t="n"/>
      <c r="I772" t="inlineStr">
        <is>
          <t xml:space="preserve">    17 04 04 - Non-Hazardous - Zinc</t>
        </is>
      </c>
    </row>
    <row r="773">
      <c r="A773" s="288" t="inlineStr">
        <is>
          <t>NACE L - 66.11 Administration of financial markets</t>
        </is>
      </c>
      <c r="B773" s="288" t="n"/>
      <c r="I773" t="inlineStr">
        <is>
          <t xml:space="preserve">    17 04 05 - Non-Hazardous - Iron and steel</t>
        </is>
      </c>
    </row>
    <row r="774">
      <c r="A774" s="288" t="inlineStr">
        <is>
          <t>NACE L - 66.12 Security and commodity contracts brokerage</t>
        </is>
      </c>
      <c r="B774" s="288" t="n"/>
      <c r="I774" t="inlineStr">
        <is>
          <t xml:space="preserve">    17 04 06 - Non-Hazardous - Tin</t>
        </is>
      </c>
    </row>
    <row r="775">
      <c r="A775" s="288" t="inlineStr">
        <is>
          <t>NACE L - 66.19 Other activities auxiliary to financial services, except insurance and pension funding</t>
        </is>
      </c>
      <c r="B775" s="288" t="n"/>
      <c r="I775" t="inlineStr">
        <is>
          <t xml:space="preserve">    17 04 07 - Non-Hazardous - Mixed metals</t>
        </is>
      </c>
    </row>
    <row r="776">
      <c r="A776" s="287" t="inlineStr">
        <is>
          <t>NACE L - 66.2 Activities auxiliary to insurance and pension funding</t>
        </is>
      </c>
      <c r="B776" s="288" t="n"/>
      <c r="I776" t="inlineStr">
        <is>
          <t xml:space="preserve">    17 04 09 - Hazardous - Metal waste contaminated with hazardous substances</t>
        </is>
      </c>
    </row>
    <row r="777">
      <c r="A777" s="288" t="inlineStr">
        <is>
          <t>NACE L - 66.21 Risk and damage evaluation</t>
        </is>
      </c>
      <c r="B777" s="288" t="n"/>
      <c r="I777" t="inlineStr">
        <is>
          <t xml:space="preserve">    17 04 10 - Hazardous - Cables containing oil, coal tar and other hazardous substances</t>
        </is>
      </c>
    </row>
    <row r="778">
      <c r="A778" s="288" t="inlineStr">
        <is>
          <t>NACE L - 66.22 Activities of insurance agents and brokers</t>
        </is>
      </c>
      <c r="B778" s="288" t="n"/>
      <c r="I778" t="inlineStr">
        <is>
          <t xml:space="preserve">    17 04 11 - Non-Hazardous - Cables other than those mentioned in 17 04 10</t>
        </is>
      </c>
    </row>
    <row r="779">
      <c r="A779" s="288" t="inlineStr">
        <is>
          <t>NACE L - 66.29 Activities auxiliary to insurance and pension funding n.e.c.</t>
        </is>
      </c>
      <c r="B779" s="288" t="n"/>
      <c r="I779" t="inlineStr">
        <is>
          <t xml:space="preserve">  17 05 - Soil (including excavated soil from contaminated sites), stones and dredging spoil</t>
        </is>
      </c>
    </row>
    <row r="780">
      <c r="A780" s="287" t="inlineStr">
        <is>
          <t>NACE L - 66.3 Fund management activities</t>
        </is>
      </c>
      <c r="B780" s="288" t="n"/>
      <c r="I780" t="inlineStr">
        <is>
          <t xml:space="preserve">    17 05 03 - Hazardous - Soil and stones containing hazardous substances</t>
        </is>
      </c>
    </row>
    <row r="781">
      <c r="A781" s="288" t="inlineStr">
        <is>
          <t>NACE L - 66.30 Fund management activities</t>
        </is>
      </c>
      <c r="B781" s="288" t="n"/>
      <c r="I781" t="inlineStr">
        <is>
          <t xml:space="preserve">    17 05 04 - Non-Hazardous - Soil and stones other than those mentioned in 17 05 03</t>
        </is>
      </c>
    </row>
    <row r="782">
      <c r="A782" s="285" t="inlineStr">
        <is>
          <t>NACE M - REAL ESTATE ACTIVITIES</t>
        </is>
      </c>
      <c r="B782" s="288" t="n"/>
      <c r="I782" t="inlineStr">
        <is>
          <t xml:space="preserve">    17 05 05 - Hazardous - Dredging spoil containing hazardous substances</t>
        </is>
      </c>
    </row>
    <row r="783">
      <c r="A783" s="284" t="inlineStr">
        <is>
          <t>NACE M - 68 Real estate activities</t>
        </is>
      </c>
      <c r="B783" s="288" t="n"/>
      <c r="I783" t="inlineStr">
        <is>
          <t xml:space="preserve">    17 05 06 - Non-Hazardous - Dredging spoil other than those mentioned in 17 05 05</t>
        </is>
      </c>
    </row>
    <row r="784">
      <c r="A784" s="287" t="inlineStr">
        <is>
          <t>NACE M - 68.1 Real estate activities with own property and development of building projects</t>
        </is>
      </c>
      <c r="B784" s="288" t="n"/>
      <c r="I784" t="inlineStr">
        <is>
          <t xml:space="preserve">    17 05 07 - Hazardous - Track ballast containing hazardous substances</t>
        </is>
      </c>
    </row>
    <row r="785">
      <c r="A785" s="288" t="inlineStr">
        <is>
          <t>NACE M - 68.11 Buying and selling of own real estate</t>
        </is>
      </c>
      <c r="B785" s="288" t="n"/>
      <c r="I785" t="inlineStr">
        <is>
          <t xml:space="preserve">    17 05 08 - Non-Hazardous - Track ballast other than those mentioned in 17 05 07</t>
        </is>
      </c>
    </row>
    <row r="786">
      <c r="A786" s="288" t="inlineStr">
        <is>
          <t>NACE M - 68.12 Development of building projects</t>
        </is>
      </c>
      <c r="B786" s="288" t="n"/>
      <c r="I786" t="inlineStr">
        <is>
          <t xml:space="preserve">  17 06 - Insulation materials and asbestos-containing construction materials</t>
        </is>
      </c>
    </row>
    <row r="787">
      <c r="A787" s="287" t="inlineStr">
        <is>
          <t>NACE M - 68.2 Rental and operating of own or leased real estate</t>
        </is>
      </c>
      <c r="B787" s="288" t="n"/>
      <c r="I787" t="inlineStr">
        <is>
          <t xml:space="preserve">    17 06 01 - Hazardous - Insulation materials containing asbestos</t>
        </is>
      </c>
    </row>
    <row r="788">
      <c r="A788" s="288" t="inlineStr">
        <is>
          <t>NACE M - 68.20 Rental and operating of own or leased real estate</t>
        </is>
      </c>
      <c r="B788" s="288" t="n"/>
      <c r="I788" t="inlineStr">
        <is>
          <t xml:space="preserve">    17 06 03 - Hazardous - Other insulation materials consisting of or containing hazardous substances</t>
        </is>
      </c>
    </row>
    <row r="789">
      <c r="A789" s="287" t="inlineStr">
        <is>
          <t>NACE M - 68.3 Real estate activities on a fee or contract basis</t>
        </is>
      </c>
      <c r="B789" s="288" t="n"/>
      <c r="I789" t="inlineStr">
        <is>
          <t xml:space="preserve">    17 06 04 - Non-Hazardous - Insulation materials other than those mentioned in 17 06 01 and 17 06 03</t>
        </is>
      </c>
    </row>
    <row r="790">
      <c r="A790" s="288" t="inlineStr">
        <is>
          <t>NACE M - 68.31 Intermediation service activities for real estate activities</t>
        </is>
      </c>
      <c r="B790" s="288" t="n"/>
      <c r="I790" t="inlineStr">
        <is>
          <t xml:space="preserve">    17 06 05 - Hazardous - Construction materials containing asbestos</t>
        </is>
      </c>
    </row>
    <row r="791">
      <c r="A791" s="288" t="inlineStr">
        <is>
          <t>NACE M - 68.32 Other real estate activities on a fee or contract basis</t>
        </is>
      </c>
      <c r="B791" s="288" t="n"/>
      <c r="I791" t="inlineStr">
        <is>
          <t xml:space="preserve">  17 08 - Gypsum-based construction material</t>
        </is>
      </c>
    </row>
    <row r="792">
      <c r="A792" s="285" t="inlineStr">
        <is>
          <t>NACE N - PROFESSIONAL, SCIENTIFIC AND TECHNICAL ACTIVITIES</t>
        </is>
      </c>
      <c r="B792" s="288" t="n"/>
      <c r="I792" t="inlineStr">
        <is>
          <t xml:space="preserve">    17 08 01 - Hazardous - Gypsum-based construction materials contaminated with hazardous substances</t>
        </is>
      </c>
    </row>
    <row r="793">
      <c r="A793" s="284" t="inlineStr">
        <is>
          <t>NACE N - 69 Legal and accounting activities</t>
        </is>
      </c>
      <c r="B793" s="288" t="n"/>
      <c r="I793" t="inlineStr">
        <is>
          <t xml:space="preserve">    17 08 02 - Non-Hazardous - Gypsum-based construction materials other than those mentioned in 17 08 01</t>
        </is>
      </c>
    </row>
    <row r="794">
      <c r="A794" s="287" t="inlineStr">
        <is>
          <t>NACE N - 69.1 Legal activities</t>
        </is>
      </c>
      <c r="B794" s="288" t="n"/>
      <c r="I794" t="inlineStr">
        <is>
          <t xml:space="preserve">  17 09 - Other construction and demolition wastes</t>
        </is>
      </c>
    </row>
    <row r="795">
      <c r="A795" s="288" t="inlineStr">
        <is>
          <t>NACE N - 69.10 Legal activities</t>
        </is>
      </c>
      <c r="B795" s="288" t="n"/>
      <c r="I795" t="inlineStr">
        <is>
          <t xml:space="preserve">    17 09 01 - Hazardous - Construction and demolition wastes containing mercury</t>
        </is>
      </c>
    </row>
    <row r="796">
      <c r="A796" s="287" t="inlineStr">
        <is>
          <t>NACE N - 69.2 Accounting, bookkeeping and auditing activities; tax consultancy</t>
        </is>
      </c>
      <c r="B796" s="288" t="n"/>
      <c r="I796" t="inlineStr">
        <is>
          <t xml:space="preserve">    17 09 02 - Hazardous - Construction and demolition wastes containing PCB (for example PCB-containing sealants, PCB-containing resin-based floorings, PCB-containing sealed glazing units, PCB-containing capacitors)</t>
        </is>
      </c>
    </row>
    <row r="797">
      <c r="A797" s="288" t="inlineStr">
        <is>
          <t>NACE N - 69.20 Accounting, bookkeeping and auditing activities; tax consultancy</t>
        </is>
      </c>
      <c r="B797" s="288" t="n"/>
      <c r="I797" t="inlineStr">
        <is>
          <t xml:space="preserve">    17 09 03 - Hazardous - Other construction and demolition wastes (including mixed wastes) containing hazardous substances</t>
        </is>
      </c>
    </row>
    <row r="798">
      <c r="A798" s="284" t="inlineStr">
        <is>
          <t>NACE N - 70 Activities of head offices and management consultancy</t>
        </is>
      </c>
      <c r="B798" s="288" t="n"/>
      <c r="I798" t="inlineStr">
        <is>
          <t xml:space="preserve">    17 09 04 - Non-Hazardous - Mixed construction and demolition wastes other than those mentioned in 17 09 01, 17 09 02 and 17 09 03</t>
        </is>
      </c>
    </row>
    <row r="799">
      <c r="A799" s="287" t="inlineStr">
        <is>
          <t>NACE N - 70.1 Activities of head offices</t>
        </is>
      </c>
      <c r="B799" s="288" t="n"/>
      <c r="I799" t="inlineStr">
        <is>
          <t>18 - WASTES FROM HUMAN OR ANIMAL HEALTH CARE AND/OR RELATED RESEARCH (except kitchen and restaurant wastes not arising from immediate health care)</t>
        </is>
      </c>
    </row>
    <row r="800">
      <c r="A800" s="288" t="inlineStr">
        <is>
          <t>NACE N - 70.10 Activities of head offices</t>
        </is>
      </c>
      <c r="B800" s="288" t="n"/>
      <c r="I800" t="inlineStr">
        <is>
          <t xml:space="preserve">  18 01 - Wastes from natal care, diagnosis, treatment or prevention of disease in humans</t>
        </is>
      </c>
    </row>
    <row r="801">
      <c r="A801" s="287" t="inlineStr">
        <is>
          <t>NACE N - 70.2 Business and other management consultancy activities</t>
        </is>
      </c>
      <c r="B801" s="288" t="n"/>
      <c r="I801" t="inlineStr">
        <is>
          <t xml:space="preserve">    18 01 01 - Non-Hazardous - Sharps (except 18 01 03)</t>
        </is>
      </c>
    </row>
    <row r="802">
      <c r="A802" s="288" t="inlineStr">
        <is>
          <t>NACE N - 70.20 Business and other management consultancy activities</t>
        </is>
      </c>
      <c r="B802" s="288" t="n"/>
      <c r="I802" t="inlineStr">
        <is>
          <t xml:space="preserve">    18 01 02 - Non-Hazardous - Body parts and organs including blood bags and blood preserves (except 18 01 03)</t>
        </is>
      </c>
    </row>
    <row r="803">
      <c r="A803" s="284" t="inlineStr">
        <is>
          <t>NACE N - 71 Architectural and engineering activities; technical testing and analysis</t>
        </is>
      </c>
      <c r="B803" s="288" t="n"/>
      <c r="I803" t="inlineStr">
        <is>
          <t xml:space="preserve">    18 01 03 - Hazardous - Wastes whose collection and disposal is subject to special requirements in order to prevent infection</t>
        </is>
      </c>
    </row>
    <row r="804">
      <c r="A804" s="287" t="inlineStr">
        <is>
          <t>NACE N - 71.1 Architectural and engineering activities and related technical consultancy</t>
        </is>
      </c>
      <c r="B804" s="288" t="n"/>
      <c r="I804" t="inlineStr">
        <is>
          <t xml:space="preserve">    18 01 04 - Non-Hazardous - Wastes whose collection and disposal is not subject to special requirements in order to prevent infection (for example dressings, plaster casts, linen, disposable clothing, diapers)</t>
        </is>
      </c>
    </row>
    <row r="805">
      <c r="A805" s="288" t="inlineStr">
        <is>
          <t>NACE N - 71.11 Architectural activities</t>
        </is>
      </c>
      <c r="B805" s="288" t="n"/>
      <c r="I805" t="inlineStr">
        <is>
          <t xml:space="preserve">    18 01 06 - Hazardous - Chemicals consisting of or containing hazardous substances</t>
        </is>
      </c>
    </row>
    <row r="806">
      <c r="A806" s="288" t="inlineStr">
        <is>
          <t>NACE N - 71.12 Engineering activities and related technical consultancy</t>
        </is>
      </c>
      <c r="B806" s="288" t="n"/>
      <c r="I806" t="inlineStr">
        <is>
          <t xml:space="preserve">    18 01 07 - Non-Hazardous - Chemicals other than those mentioned in 18 01 06</t>
        </is>
      </c>
    </row>
    <row r="807">
      <c r="A807" s="287" t="inlineStr">
        <is>
          <t>NACE N - 71.2 Technical testing and analysis</t>
        </is>
      </c>
      <c r="B807" s="288" t="n"/>
      <c r="I807" t="inlineStr">
        <is>
          <t xml:space="preserve">    18 01 08 - Hazardous - Cytotoxic and cytostatic medicines</t>
        </is>
      </c>
    </row>
    <row r="808">
      <c r="A808" s="288" t="inlineStr">
        <is>
          <t>NACE N - 71.20 Technical testing and analysis</t>
        </is>
      </c>
      <c r="B808" s="288" t="n"/>
      <c r="I808" t="inlineStr">
        <is>
          <t xml:space="preserve">    18 01 09 - Non-Hazardous - Medicines other than those mentioned in 18 01 08</t>
        </is>
      </c>
    </row>
    <row r="809">
      <c r="A809" s="284" t="inlineStr">
        <is>
          <t>NACE N - 72 Scientific research and development</t>
        </is>
      </c>
      <c r="B809" s="288" t="n"/>
      <c r="I809" t="inlineStr">
        <is>
          <t xml:space="preserve">    18 01 10 - Hazardous - Amalgam waste from dental care</t>
        </is>
      </c>
    </row>
    <row r="810">
      <c r="A810" s="287" t="inlineStr">
        <is>
          <t>NACE N - 72.1 Research and experimental development on natural sciences and engineering</t>
        </is>
      </c>
      <c r="B810" s="288" t="n"/>
      <c r="I810" t="inlineStr">
        <is>
          <t xml:space="preserve">  18 02 - Wastes from research, diagnosis, treatment or prevention of disease involving animals</t>
        </is>
      </c>
    </row>
    <row r="811">
      <c r="A811" s="288" t="inlineStr">
        <is>
          <t>NACE N - 72.10 Research and experimental development on natural sciences and engineering</t>
        </is>
      </c>
      <c r="B811" s="288" t="n"/>
      <c r="I811" t="inlineStr">
        <is>
          <t xml:space="preserve">    18 02 01 - Non-Hazardous - Sharps (except 18 02 02)</t>
        </is>
      </c>
    </row>
    <row r="812">
      <c r="A812" s="287" t="inlineStr">
        <is>
          <t>NACE N - 72.2 Research and experimental development on social sciences and humanities</t>
        </is>
      </c>
      <c r="B812" s="288" t="n"/>
      <c r="I812" t="inlineStr">
        <is>
          <t xml:space="preserve">    18 02 02 - Hazardous - Wastes whose collection and disposal is subject to special requirements in order to prevent infection</t>
        </is>
      </c>
    </row>
    <row r="813">
      <c r="A813" s="288" t="inlineStr">
        <is>
          <t>NACE N - 72.20 Research and experimental development on social sciences and humanities</t>
        </is>
      </c>
      <c r="B813" s="288" t="n"/>
      <c r="I813" t="inlineStr">
        <is>
          <t xml:space="preserve">    18 02 03 - Non-Hazardous - Wastes whose collection and disposal is not subject to special requirements in order to prevent infection</t>
        </is>
      </c>
    </row>
    <row r="814">
      <c r="A814" s="284" t="inlineStr">
        <is>
          <t>NACE N - 73 Activities of advertising, market research and public relations</t>
        </is>
      </c>
      <c r="B814" s="288" t="n"/>
      <c r="I814" t="inlineStr">
        <is>
          <t xml:space="preserve">    18 02 05 - Hazardous - Chemicals consisting of or containing hazardous substances</t>
        </is>
      </c>
    </row>
    <row r="815">
      <c r="A815" s="287" t="inlineStr">
        <is>
          <t>NACE N - 73.1 Advertising</t>
        </is>
      </c>
      <c r="B815" s="288" t="n"/>
      <c r="I815" t="inlineStr">
        <is>
          <t xml:space="preserve">    18 02 06 - Non-Hazardous - Chemicals other than those mentioned in 18 02 05</t>
        </is>
      </c>
    </row>
    <row r="816">
      <c r="A816" s="288" t="inlineStr">
        <is>
          <t>NACE N - 73.11 Activities of advertising agencies</t>
        </is>
      </c>
      <c r="B816" s="288" t="n"/>
      <c r="I816" t="inlineStr">
        <is>
          <t xml:space="preserve">    18 02 07 - Hazardous - Cytotoxic and cytostatic medicines</t>
        </is>
      </c>
    </row>
    <row r="817">
      <c r="A817" s="288" t="inlineStr">
        <is>
          <t>NACE N - 73.12 Media representation</t>
        </is>
      </c>
      <c r="B817" s="288" t="n"/>
      <c r="I817" t="inlineStr">
        <is>
          <t xml:space="preserve">    18 02 08 - Non-Hazardous - Medicines other than those mentioned in 18 02 07</t>
        </is>
      </c>
    </row>
    <row r="818">
      <c r="A818" s="287" t="inlineStr">
        <is>
          <t>NACE N - 73.2 Market research and public opinion polling</t>
        </is>
      </c>
      <c r="B818" s="288" t="n"/>
      <c r="I818" t="inlineStr">
        <is>
          <t>19 - WASTES FROM WASTE MANAGEMENT FACILITIES, OFF-SITE WASTE WATER TREATMENT PLANTS AND THE PREPARATION OF WATER INTENDED FOR HUMAN CONSUMPTION AND WATER FOR INDUSTRIAL USE</t>
        </is>
      </c>
    </row>
    <row r="819">
      <c r="A819" s="288" t="inlineStr">
        <is>
          <t>NACE N - 73.20 Market research and public opinion polling</t>
        </is>
      </c>
      <c r="B819" s="288" t="n"/>
      <c r="I819" t="inlineStr">
        <is>
          <t xml:space="preserve">  19 01 - Wastes from incineration or pyrolysis of waste</t>
        </is>
      </c>
    </row>
    <row r="820">
      <c r="A820" s="287" t="inlineStr">
        <is>
          <t>NACE N - 73.3 Public relations and communication activities</t>
        </is>
      </c>
      <c r="B820" s="288" t="n"/>
      <c r="I820" t="inlineStr">
        <is>
          <t xml:space="preserve">    19 01 02 - Non-Hazardous - Ferrous materials removed from bottom ash</t>
        </is>
      </c>
    </row>
    <row r="821">
      <c r="A821" s="288" t="inlineStr">
        <is>
          <t>NACE N - 73.30 Public relations and communication activities</t>
        </is>
      </c>
      <c r="B821" s="288" t="n"/>
      <c r="I821" t="inlineStr">
        <is>
          <t xml:space="preserve">    19 01 05 - Hazardous - Filter cake from gas treatment</t>
        </is>
      </c>
    </row>
    <row r="822">
      <c r="A822" s="284" t="inlineStr">
        <is>
          <t>NACE N - 74 Other professional, scientific and technical activities</t>
        </is>
      </c>
      <c r="B822" s="288" t="n"/>
      <c r="I822" t="inlineStr">
        <is>
          <t xml:space="preserve">    19 01 06 - Hazardous - Aqueous liquid wastes from gas treatment and other aqueous liquid wastes</t>
        </is>
      </c>
    </row>
    <row r="823">
      <c r="A823" s="287" t="inlineStr">
        <is>
          <t>NACE N - 74.1 Specialised design activities</t>
        </is>
      </c>
      <c r="B823" s="288" t="n"/>
      <c r="I823" t="inlineStr">
        <is>
          <t xml:space="preserve">    19 01 07 - Hazardous - Solid wastes from gas treatment</t>
        </is>
      </c>
    </row>
    <row r="824">
      <c r="A824" s="288" t="inlineStr">
        <is>
          <t>NACE N - 74.11 Industrial product and fashion design activities</t>
        </is>
      </c>
      <c r="B824" s="288" t="n"/>
      <c r="I824" t="inlineStr">
        <is>
          <t xml:space="preserve">    19 01 10 - Hazardous - Spent activated carbon from flue-gas treatment</t>
        </is>
      </c>
    </row>
    <row r="825">
      <c r="A825" s="288" t="inlineStr">
        <is>
          <t>NACE N - 74.12 Graphic design and visual communication activities</t>
        </is>
      </c>
      <c r="B825" s="288" t="n"/>
      <c r="I825" t="inlineStr">
        <is>
          <t xml:space="preserve">    19 01 11 - Hazardous - Bottom ash and slag containing hazardous substances</t>
        </is>
      </c>
    </row>
    <row r="826">
      <c r="A826" s="288" t="inlineStr">
        <is>
          <t>NACE N - 74.13 Interior design activities</t>
        </is>
      </c>
      <c r="B826" s="288" t="n"/>
      <c r="I826" t="inlineStr">
        <is>
          <t xml:space="preserve">    19 01 12 - Non-Hazardous - Bottom ash and slag other than those mentioned in 19 01 11</t>
        </is>
      </c>
    </row>
    <row r="827">
      <c r="A827" s="288" t="inlineStr">
        <is>
          <t>NACE N - 74.14 Other specialised design activities</t>
        </is>
      </c>
      <c r="B827" s="288" t="n"/>
      <c r="I827" t="inlineStr">
        <is>
          <t xml:space="preserve">    19 01 13 - Hazardous - Fly ash containing hazardous substances</t>
        </is>
      </c>
    </row>
    <row r="828">
      <c r="A828" s="287" t="inlineStr">
        <is>
          <t>NACE N - 74.2 Photographic activities</t>
        </is>
      </c>
      <c r="B828" s="288" t="n"/>
      <c r="I828" t="inlineStr">
        <is>
          <t xml:space="preserve">    19 01 14 - Non-Hazardous - Fly ash other than those mentioned in 19 01 13</t>
        </is>
      </c>
    </row>
    <row r="829">
      <c r="A829" s="288" t="inlineStr">
        <is>
          <t>NACE N - 74.20 Photographic activities</t>
        </is>
      </c>
      <c r="B829" s="288" t="n"/>
      <c r="I829" t="inlineStr">
        <is>
          <t xml:space="preserve">    19 01 15 - Hazardous - Boiler dust containing hazardous substances</t>
        </is>
      </c>
    </row>
    <row r="830">
      <c r="A830" s="287" t="inlineStr">
        <is>
          <t>NACE N - 74.3 Translation and interpretation activities</t>
        </is>
      </c>
      <c r="B830" s="288" t="n"/>
      <c r="I830" t="inlineStr">
        <is>
          <t xml:space="preserve">    19 01 16 - Non-Hazardous - Boiler dust other than those mentioned in 19 01 15</t>
        </is>
      </c>
    </row>
    <row r="831">
      <c r="A831" s="288" t="inlineStr">
        <is>
          <t>NACE N - 74.30 Translation and interpretation activities</t>
        </is>
      </c>
      <c r="B831" s="288" t="n"/>
      <c r="I831" t="inlineStr">
        <is>
          <t xml:space="preserve">    19 01 17 - Hazardous - Pyrolysis wastes containing hazardous substances</t>
        </is>
      </c>
    </row>
    <row r="832">
      <c r="A832" s="287" t="inlineStr">
        <is>
          <t>NACE N - 74.9 Other professional, scientific and technical activities n.e.c.</t>
        </is>
      </c>
      <c r="B832" s="288" t="n"/>
      <c r="I832" t="inlineStr">
        <is>
          <t xml:space="preserve">    19 01 18 - Non-Hazardous - Pyrolysis wastes other than those mentioned in 19 01 17</t>
        </is>
      </c>
    </row>
    <row r="833">
      <c r="A833" s="288" t="inlineStr">
        <is>
          <t>NACE N - 74.91 Patent brokering and marketing service activities</t>
        </is>
      </c>
      <c r="B833" s="288" t="n"/>
      <c r="I833" t="inlineStr">
        <is>
          <t xml:space="preserve">    19 01 19 - Non-Hazardous - Sands from fluidised beds</t>
        </is>
      </c>
    </row>
    <row r="834">
      <c r="A834" s="288" t="inlineStr">
        <is>
          <t>NACE N - 74.99 All other professional, scientific and technical activities n.e.c.</t>
        </is>
      </c>
      <c r="B834" s="288" t="n"/>
      <c r="I834" t="inlineStr">
        <is>
          <t xml:space="preserve">    19 01 99 - Non-Hazardous - Wastes not otherwise specified</t>
        </is>
      </c>
    </row>
    <row r="835">
      <c r="A835" s="284" t="inlineStr">
        <is>
          <t>NACE N - 75 Veterinary activities</t>
        </is>
      </c>
      <c r="B835" s="288" t="n"/>
      <c r="I835" t="inlineStr">
        <is>
          <t xml:space="preserve">  19 02 - Wastes from physico/chemical treatments of waste (including dechromatation, decyanidation, neutralisation)</t>
        </is>
      </c>
    </row>
    <row r="836">
      <c r="A836" s="287" t="inlineStr">
        <is>
          <t>NACE N - 75.0 Veterinary activities</t>
        </is>
      </c>
      <c r="B836" s="288" t="n"/>
      <c r="I836" t="inlineStr">
        <is>
          <t xml:space="preserve">    19 02 03 - Non-Hazardous - Premixed wastes composed only of non-hazardous wastes</t>
        </is>
      </c>
    </row>
    <row r="837">
      <c r="A837" s="288" t="inlineStr">
        <is>
          <t>NACE N - 75.00 Veterinary activities</t>
        </is>
      </c>
      <c r="B837" s="288" t="n"/>
      <c r="I837" t="inlineStr">
        <is>
          <t xml:space="preserve">    19 02 04 - Hazardous - Premixed wastes composed of at least one hazardous waste</t>
        </is>
      </c>
    </row>
    <row r="838">
      <c r="A838" s="285" t="inlineStr">
        <is>
          <t>NACE O - ADMINISTRATIVE AND SUPPORT SERVICE ACTIVITIES</t>
        </is>
      </c>
      <c r="B838" s="288" t="n"/>
      <c r="I838" t="inlineStr">
        <is>
          <t xml:space="preserve">    19 02 05 - Hazardous - Sludges from physico/chemical treatment containing hazardous substances</t>
        </is>
      </c>
    </row>
    <row r="839">
      <c r="A839" s="284" t="inlineStr">
        <is>
          <t>NACE O - 77 Rental and leasing activities</t>
        </is>
      </c>
      <c r="B839" s="288" t="n"/>
      <c r="I839" t="inlineStr">
        <is>
          <t xml:space="preserve">    19 02 06 - Non-Hazardous - Sludges from physico/chemical treatment other than those mentioned in 19 02 05</t>
        </is>
      </c>
    </row>
    <row r="840">
      <c r="A840" s="287" t="inlineStr">
        <is>
          <t>NACE O - 77.1 Rental and leasing of motor vehicles</t>
        </is>
      </c>
      <c r="B840" s="288" t="n"/>
      <c r="I840" t="inlineStr">
        <is>
          <t xml:space="preserve">    19 02 07 - Hazardous - Oil and concentrates from separation</t>
        </is>
      </c>
    </row>
    <row r="841">
      <c r="A841" s="288" t="inlineStr">
        <is>
          <t>NACE O - 77.11 Rental and leasing of cars and light motor vehicles</t>
        </is>
      </c>
      <c r="B841" s="288" t="n"/>
      <c r="I841" t="inlineStr">
        <is>
          <t xml:space="preserve">    19 02 08 - Hazardous - Liquid combustible wastes containing hazardous substances</t>
        </is>
      </c>
    </row>
    <row r="842">
      <c r="A842" s="288" t="inlineStr">
        <is>
          <t>NACE O - 77.12 Rental and leasing of trucks</t>
        </is>
      </c>
      <c r="B842" s="288" t="n"/>
      <c r="I842" t="inlineStr">
        <is>
          <t xml:space="preserve">    19 02 09 - Hazardous - Solid combustible wastes containing hazardous substances</t>
        </is>
      </c>
    </row>
    <row r="843">
      <c r="A843" s="287" t="inlineStr">
        <is>
          <t>NACE O - 77.2 Rental and leasing of personal and household goods</t>
        </is>
      </c>
      <c r="B843" s="288" t="n"/>
      <c r="I843" t="inlineStr">
        <is>
          <t xml:space="preserve">    19 02 10 - Non-Hazardous - Combustible wastes other than those mentioned in 19 02 08 and 19 02 09</t>
        </is>
      </c>
    </row>
    <row r="844">
      <c r="A844" s="288" t="inlineStr">
        <is>
          <t>NACE O - 77.21 Rental and leasing of recreational and sports goods</t>
        </is>
      </c>
      <c r="B844" s="288" t="n"/>
      <c r="I844" t="inlineStr">
        <is>
          <t xml:space="preserve">    19 02 11 - Hazardous - Other wastes containing hazardous substances</t>
        </is>
      </c>
    </row>
    <row r="845">
      <c r="A845" s="288" t="inlineStr">
        <is>
          <t>NACE O - 77.22 Rental and leasing of other personal and household goods</t>
        </is>
      </c>
      <c r="B845" s="288" t="n"/>
      <c r="I845" t="inlineStr">
        <is>
          <t xml:space="preserve">    19 02 99 - Non-Hazardous - Wastes not otherwise specified</t>
        </is>
      </c>
    </row>
    <row r="846">
      <c r="A846" s="287" t="inlineStr">
        <is>
          <t>NACE O - 77.3 Rental and leasing of other machinery, equipment and tangible goods</t>
        </is>
      </c>
      <c r="B846" s="288" t="n"/>
      <c r="I846" t="inlineStr">
        <is>
          <t xml:space="preserve">  19 03 - Stabilised/solidified wastes</t>
        </is>
      </c>
    </row>
    <row r="847">
      <c r="A847" s="288" t="inlineStr">
        <is>
          <t>NACE O - 77.31 Rental and leasing of agricultural machinery and equipment</t>
        </is>
      </c>
      <c r="B847" s="288" t="n"/>
      <c r="I847" t="inlineStr">
        <is>
          <t xml:space="preserve">    19 03 04 - Hazardous - Wastes marked as hazardous, partly stabilised other than 19 03 08</t>
        </is>
      </c>
    </row>
    <row r="848">
      <c r="A848" s="288" t="inlineStr">
        <is>
          <t>NACE O - 77.32 Rental and leasing of construction and civil engineering machinery and equipment</t>
        </is>
      </c>
      <c r="B848" s="288" t="n"/>
      <c r="I848" t="inlineStr">
        <is>
          <t xml:space="preserve">    19 03 05 - Non-Hazardous - Stabilised wastes other than those mentioned in 19 03 04</t>
        </is>
      </c>
    </row>
    <row r="849">
      <c r="A849" s="288" t="inlineStr">
        <is>
          <t>NACE O - 77.33 Rental and leasing of office machinery, equipment and computers</t>
        </is>
      </c>
      <c r="B849" s="288" t="n"/>
      <c r="I849" t="inlineStr">
        <is>
          <t xml:space="preserve">    19 03 06 - Hazardous - Wastes marked as hazardous, solidified</t>
        </is>
      </c>
    </row>
    <row r="850">
      <c r="A850" s="288" t="inlineStr">
        <is>
          <t>NACE O - 77.34 Rental and leasing of water transport equipment</t>
        </is>
      </c>
      <c r="B850" s="288" t="n"/>
      <c r="I850" t="inlineStr">
        <is>
          <t xml:space="preserve">    19 03 07 - Non-Hazardous - Solidified wastes other than those mentioned in 19 03 06</t>
        </is>
      </c>
    </row>
    <row r="851">
      <c r="A851" s="288" t="inlineStr">
        <is>
          <t>NACE O - 77.35 Rental and leasing of air transport equipment</t>
        </is>
      </c>
      <c r="B851" s="288" t="n"/>
      <c r="I851" t="inlineStr">
        <is>
          <t xml:space="preserve">    19 03 08 - Hazardous - Partly stabilised mercury</t>
        </is>
      </c>
    </row>
    <row r="852">
      <c r="A852" s="288" t="inlineStr">
        <is>
          <t>NACE O - 77.39 Rental and leasing of other machinery, equipment and tangible goods n.e.c.</t>
        </is>
      </c>
      <c r="B852" s="288" t="n"/>
      <c r="I852" t="inlineStr">
        <is>
          <t xml:space="preserve">  19 04 - Vitrified waste and wastes from vitrification</t>
        </is>
      </c>
    </row>
    <row r="853">
      <c r="A853" s="287" t="inlineStr">
        <is>
          <t>NACE O - 77.4 Leasing of intellectual property and similar products, except copyrighted works</t>
        </is>
      </c>
      <c r="B853" s="288" t="n"/>
      <c r="I853" t="inlineStr">
        <is>
          <t xml:space="preserve">    19 04 01 - Non-Hazardous - Vitrified waste</t>
        </is>
      </c>
    </row>
    <row r="854">
      <c r="A854" s="288" t="inlineStr">
        <is>
          <t>NACE O - 77.40 Leasing of intellectual property and similar products, except copyrighted works</t>
        </is>
      </c>
      <c r="B854" s="288" t="n"/>
      <c r="I854" t="inlineStr">
        <is>
          <t xml:space="preserve">    19 04 02 - Hazardous - Fly ash and other flue-gas treatment wastes</t>
        </is>
      </c>
    </row>
    <row r="855">
      <c r="A855" s="287" t="inlineStr">
        <is>
          <t>NACE O - 77.5 Intermediation service activities for rental and leasing of tangible goods and non-financial intangible assets</t>
        </is>
      </c>
      <c r="B855" s="288" t="n"/>
      <c r="I855" t="inlineStr">
        <is>
          <t xml:space="preserve">    19 04 03 - Hazardous - Non-vitrified solid phase</t>
        </is>
      </c>
    </row>
    <row r="856">
      <c r="A856" s="288" t="inlineStr">
        <is>
          <t>NACE O - 77.51 Intermediation service activities for rental and leasing of cars, motorhomes and trailers</t>
        </is>
      </c>
      <c r="B856" s="288" t="n"/>
      <c r="I856" t="inlineStr">
        <is>
          <t xml:space="preserve">    19 04 04 - Non-Hazardous - Aqueous liquid wastes from vitrified waste tempering</t>
        </is>
      </c>
    </row>
    <row r="857">
      <c r="A857" s="288" t="inlineStr">
        <is>
          <t>NACE O - 77.52 Intermediation service activities for rental and leasing of other tangible goods and non-financial intangible assets</t>
        </is>
      </c>
      <c r="B857" s="288" t="n"/>
      <c r="I857" t="inlineStr">
        <is>
          <t xml:space="preserve">  19 05 - Wastes from aerobic treatment of solid wastes</t>
        </is>
      </c>
    </row>
    <row r="858">
      <c r="A858" s="284" t="inlineStr">
        <is>
          <t>NACE O - 78 Employment activities</t>
        </is>
      </c>
      <c r="B858" s="288" t="n"/>
      <c r="I858" t="inlineStr">
        <is>
          <t xml:space="preserve">    19 05 01 - Non-Hazardous - Non-composted fraction of municipal and similar wastes</t>
        </is>
      </c>
    </row>
    <row r="859">
      <c r="A859" s="287" t="inlineStr">
        <is>
          <t>NACE O - 78.1 Activities of employment placement agencies</t>
        </is>
      </c>
      <c r="B859" s="288" t="n"/>
      <c r="I859" t="inlineStr">
        <is>
          <t xml:space="preserve">    19 05 02 - Non-Hazardous - Non-composted fraction of animal and vegetable waste</t>
        </is>
      </c>
    </row>
    <row r="860">
      <c r="A860" s="288" t="inlineStr">
        <is>
          <t>NACE O - 78.10 Activities of employment placement agencies</t>
        </is>
      </c>
      <c r="B860" s="288" t="n"/>
      <c r="I860" t="inlineStr">
        <is>
          <t xml:space="preserve">    19 05 03 - Non-Hazardous - Off-specification compost</t>
        </is>
      </c>
    </row>
    <row r="861">
      <c r="A861" s="287" t="inlineStr">
        <is>
          <t>NACE O - 78.2 Temporary employment agency activities and other human resource provisions</t>
        </is>
      </c>
      <c r="B861" s="288" t="n"/>
      <c r="I861" t="inlineStr">
        <is>
          <t xml:space="preserve">    19 05 99 - Non-Hazardous - Wastes not otherwise specified</t>
        </is>
      </c>
    </row>
    <row r="862">
      <c r="A862" s="288" t="inlineStr">
        <is>
          <t>NACE O - 78.20 Temporary employment agency activities and other human resource provisions</t>
        </is>
      </c>
      <c r="B862" s="288" t="n"/>
      <c r="I862" t="inlineStr">
        <is>
          <t xml:space="preserve">  19 06 - Wastes from anaerobic treatment of waste</t>
        </is>
      </c>
    </row>
    <row r="863">
      <c r="A863" s="284" t="inlineStr">
        <is>
          <t>NACE O - 79 Travel agency, tour operator and other reservation service and related activities</t>
        </is>
      </c>
      <c r="B863" s="288" t="n"/>
      <c r="I863" t="inlineStr">
        <is>
          <t xml:space="preserve">    19 06 03 - Non-Hazardous - Liquor from anaerobic treatment of municipal waste</t>
        </is>
      </c>
    </row>
    <row r="864">
      <c r="A864" s="287" t="inlineStr">
        <is>
          <t>NACE O - 79.1 Travel agency and tour operator activities</t>
        </is>
      </c>
      <c r="B864" s="288" t="n"/>
      <c r="I864" t="inlineStr">
        <is>
          <t xml:space="preserve">    19 06 04 - Non-Hazardous - Digestate from anaerobic treatment of municipal waste</t>
        </is>
      </c>
    </row>
    <row r="865">
      <c r="A865" s="288" t="inlineStr">
        <is>
          <t>NACE O - 79.11 Travel agency activities</t>
        </is>
      </c>
      <c r="B865" s="288" t="n"/>
      <c r="I865" t="inlineStr">
        <is>
          <t xml:space="preserve">    19 06 05 - Non-Hazardous - Liquor from anaerobic treatment of animal and vegetable waste</t>
        </is>
      </c>
    </row>
    <row r="866">
      <c r="A866" s="288" t="inlineStr">
        <is>
          <t>NACE O - 79.12 Tour operator activities</t>
        </is>
      </c>
      <c r="B866" s="288" t="n"/>
      <c r="I866" t="inlineStr">
        <is>
          <t xml:space="preserve">    19 06 06 - Non-Hazardous - Digestate from anaerobic treatment of animal and vegetable waste</t>
        </is>
      </c>
    </row>
    <row r="867">
      <c r="A867" s="287" t="inlineStr">
        <is>
          <t>NACE O - 79.9 Other reservation service and related activities</t>
        </is>
      </c>
      <c r="B867" s="288" t="n"/>
      <c r="I867" t="inlineStr">
        <is>
          <t xml:space="preserve">    19 06 99 - Non-Hazardous - Wastes not otherwise specified</t>
        </is>
      </c>
    </row>
    <row r="868">
      <c r="A868" s="288" t="inlineStr">
        <is>
          <t>NACE O - 79.90 Other reservation service and related activities</t>
        </is>
      </c>
      <c r="B868" s="288" t="n"/>
      <c r="I868" t="inlineStr">
        <is>
          <t xml:space="preserve">  19 07 - Landfill leachate</t>
        </is>
      </c>
    </row>
    <row r="869">
      <c r="A869" s="284" t="inlineStr">
        <is>
          <t>NACE O - 80 Investigation and security activities</t>
        </is>
      </c>
      <c r="B869" s="288" t="n"/>
      <c r="I869" t="inlineStr">
        <is>
          <t xml:space="preserve">    19 07 02 - Hazardous - Landfill leachate containing hazardous substances</t>
        </is>
      </c>
    </row>
    <row r="870">
      <c r="A870" s="287" t="inlineStr">
        <is>
          <t>NACE O - 80.0 Investigation and security activities</t>
        </is>
      </c>
      <c r="B870" s="288" t="n"/>
      <c r="I870" t="inlineStr">
        <is>
          <t xml:space="preserve">    19 07 03 - Non-Hazardous - Landfill leachate other than those mentioned in 19 07 02</t>
        </is>
      </c>
    </row>
    <row r="871">
      <c r="A871" s="288" t="inlineStr">
        <is>
          <t>NACE O - 80.01 Investigation and private security activities</t>
        </is>
      </c>
      <c r="B871" s="288" t="n"/>
      <c r="I871" t="inlineStr">
        <is>
          <t xml:space="preserve">  19 08 - Wastes from waste water treatment plants not otherwise specified</t>
        </is>
      </c>
    </row>
    <row r="872">
      <c r="A872" s="288" t="inlineStr">
        <is>
          <t>NACE O - 80.09 Security activities n.e.c.</t>
        </is>
      </c>
      <c r="B872" s="288" t="n"/>
      <c r="I872" t="inlineStr">
        <is>
          <t xml:space="preserve">    19 08 01 - Non-Hazardous - Screenings</t>
        </is>
      </c>
    </row>
    <row r="873">
      <c r="A873" s="284" t="inlineStr">
        <is>
          <t>NACE O - 81 Services to buildings and landscape activities</t>
        </is>
      </c>
      <c r="B873" s="288" t="n"/>
      <c r="I873" t="inlineStr">
        <is>
          <t xml:space="preserve">    19 08 02 - Non-Hazardous - Waste from desanding</t>
        </is>
      </c>
    </row>
    <row r="874">
      <c r="A874" s="287" t="inlineStr">
        <is>
          <t>NACE O - 81.1 Combined facilities support activities</t>
        </is>
      </c>
      <c r="B874" s="288" t="n"/>
      <c r="I874" t="inlineStr">
        <is>
          <t xml:space="preserve">    19 08 05 - Non-Hazardous - Sludges from treatment of urban waste water</t>
        </is>
      </c>
    </row>
    <row r="875">
      <c r="A875" s="288" t="inlineStr">
        <is>
          <t>NACE O - 81.10 Combined facilities support activities</t>
        </is>
      </c>
      <c r="B875" s="288" t="n"/>
      <c r="I875" t="inlineStr">
        <is>
          <t xml:space="preserve">    19 08 06 - Hazardous - Saturated or spent ion exchange resins</t>
        </is>
      </c>
    </row>
    <row r="876">
      <c r="A876" s="287" t="inlineStr">
        <is>
          <t>NACE O - 81.2 Cleaning activities</t>
        </is>
      </c>
      <c r="B876" s="288" t="n"/>
      <c r="I876" t="inlineStr">
        <is>
          <t xml:space="preserve">    19 08 07 - Hazardous - Solutions and sludges from regeneration of ion exchangers</t>
        </is>
      </c>
    </row>
    <row r="877">
      <c r="A877" s="288" t="inlineStr">
        <is>
          <t>NACE O - 81.21 General cleaning of buildings</t>
        </is>
      </c>
      <c r="B877" s="288" t="n"/>
      <c r="I877" t="inlineStr">
        <is>
          <t xml:space="preserve">    19 08 08 - Hazardous - Membrane system waste containing heavy metals</t>
        </is>
      </c>
    </row>
    <row r="878">
      <c r="A878" s="288" t="inlineStr">
        <is>
          <t>NACE O - 81.22 Other building and industrial cleaning activities</t>
        </is>
      </c>
      <c r="B878" s="288" t="n"/>
      <c r="I878" t="inlineStr">
        <is>
          <t xml:space="preserve">    19 08 09 - Non-Hazardous - Grease and oil mixture from oil/water separation containing only edible oil and fats</t>
        </is>
      </c>
    </row>
    <row r="879">
      <c r="A879" s="288" t="inlineStr">
        <is>
          <t>NACE O - 81.23 Other cleaning activities</t>
        </is>
      </c>
      <c r="B879" s="288" t="n"/>
      <c r="I879" t="inlineStr">
        <is>
          <t xml:space="preserve">    19 08 10 - Hazardous - Grease and oil mixture from oil/water separation other than those mentioned in 19 08 09</t>
        </is>
      </c>
    </row>
    <row r="880">
      <c r="A880" s="287" t="inlineStr">
        <is>
          <t>NACE O - 81.3 Landscape service activities</t>
        </is>
      </c>
      <c r="B880" s="288" t="n"/>
      <c r="I880" t="inlineStr">
        <is>
          <t xml:space="preserve">    19 08 11 - Hazardous - Sludges containing hazardous substances from biological treatment of industrial waste water</t>
        </is>
      </c>
    </row>
    <row r="881">
      <c r="A881" s="288" t="inlineStr">
        <is>
          <t>NACE O - 81.30 Landscape service activities</t>
        </is>
      </c>
      <c r="B881" s="288" t="n"/>
      <c r="I881" t="inlineStr">
        <is>
          <t xml:space="preserve">    19 08 12 - Non-Hazardous - Sludges from biological treatment of industrial waste water other than those mentioned in 19 08 11</t>
        </is>
      </c>
    </row>
    <row r="882">
      <c r="A882" s="284" t="inlineStr">
        <is>
          <t>NACE O - 82 Office administrative, office support and other business support activities</t>
        </is>
      </c>
      <c r="B882" s="288" t="n"/>
      <c r="I882" t="inlineStr">
        <is>
          <t xml:space="preserve">    19 08 13 - Hazardous - Sludges containing hazardous substances from other treatment of industrial waste water</t>
        </is>
      </c>
    </row>
    <row r="883">
      <c r="A883" s="287" t="inlineStr">
        <is>
          <t>NACE O - 82.1 Office administrative and support activities</t>
        </is>
      </c>
      <c r="B883" s="288" t="n"/>
      <c r="I883" t="inlineStr">
        <is>
          <t xml:space="preserve">    19 08 14 - Non-Hazardous - Sludges from other treatment of industrial waste water other than those mentioned in 19 08 13</t>
        </is>
      </c>
    </row>
    <row r="884">
      <c r="A884" s="288" t="inlineStr">
        <is>
          <t>NACE O - 82.10 Office administrative and support activities</t>
        </is>
      </c>
      <c r="B884" s="288" t="n"/>
      <c r="I884" t="inlineStr">
        <is>
          <t xml:space="preserve">    19 08 99 - Non-Hazardous - Wastes not otherwise specified</t>
        </is>
      </c>
    </row>
    <row r="885">
      <c r="A885" s="287" t="inlineStr">
        <is>
          <t>NACE O - 82.2 Activities of call centres</t>
        </is>
      </c>
      <c r="B885" s="288" t="n"/>
      <c r="I885" t="inlineStr">
        <is>
          <t xml:space="preserve">  19 09 - Wastes from the preparation of water intended for human consumption or water for industrial use</t>
        </is>
      </c>
    </row>
    <row r="886">
      <c r="A886" s="288" t="inlineStr">
        <is>
          <t>NACE O - 82.20 Activities of call centres</t>
        </is>
      </c>
      <c r="B886" s="288" t="n"/>
      <c r="I886" t="inlineStr">
        <is>
          <t xml:space="preserve">    19 09 01 - Non-Hazardous - Solid waste from primary filtration and screenings</t>
        </is>
      </c>
    </row>
    <row r="887">
      <c r="A887" s="287" t="inlineStr">
        <is>
          <t>NACE O - 82.3 Organisation of conventions and trade shows</t>
        </is>
      </c>
      <c r="B887" s="288" t="n"/>
      <c r="I887" t="inlineStr">
        <is>
          <t xml:space="preserve">    19 09 02 - Non-Hazardous - Sludges from water clarification</t>
        </is>
      </c>
    </row>
    <row r="888">
      <c r="A888" s="288" t="inlineStr">
        <is>
          <t>NACE O - 82.30 Organisation of conventions and trade shows</t>
        </is>
      </c>
      <c r="B888" s="288" t="n"/>
      <c r="I888" t="inlineStr">
        <is>
          <t xml:space="preserve">    19 09 03 - Non-Hazardous - Sludges from decarbonation</t>
        </is>
      </c>
    </row>
    <row r="889">
      <c r="A889" s="287" t="inlineStr">
        <is>
          <t>NACE O - 82.4 Intermediation service activities for business support service activities n.e.c.</t>
        </is>
      </c>
      <c r="B889" s="288" t="n"/>
      <c r="I889" t="inlineStr">
        <is>
          <t xml:space="preserve">    19 09 04 - Non-Hazardous - Spent activated carbon</t>
        </is>
      </c>
    </row>
    <row r="890">
      <c r="A890" s="288" t="inlineStr">
        <is>
          <t>NACE O - 82.40 Intermediation service activities for business support service activities n.e.c.</t>
        </is>
      </c>
      <c r="B890" s="288" t="n"/>
      <c r="I890" t="inlineStr">
        <is>
          <t xml:space="preserve">    19 09 05 - Non-Hazardous - Saturated or spent ion exchange resins</t>
        </is>
      </c>
    </row>
    <row r="891">
      <c r="A891" s="287" t="inlineStr">
        <is>
          <t>NACE O - 82.9 Business support service activities n.e.c.</t>
        </is>
      </c>
      <c r="B891" s="288" t="n"/>
      <c r="I891" t="inlineStr">
        <is>
          <t xml:space="preserve">    19 09 06 - Non-Hazardous - Solutions and sludges from regeneration of ion exchangers</t>
        </is>
      </c>
    </row>
    <row r="892">
      <c r="A892" s="288" t="inlineStr">
        <is>
          <t>NACE O - 82.91 Activities of collection agencies and credit bureaus</t>
        </is>
      </c>
      <c r="B892" s="288" t="n"/>
      <c r="I892" t="inlineStr">
        <is>
          <t xml:space="preserve">    19 09 99 - Non-Hazardous - Wastes not otherwise specified</t>
        </is>
      </c>
    </row>
    <row r="893">
      <c r="A893" s="288" t="inlineStr">
        <is>
          <t>NACE O - 82.92 Packaging activities</t>
        </is>
      </c>
      <c r="B893" s="288" t="n"/>
      <c r="I893" t="inlineStr">
        <is>
          <t xml:space="preserve">  19 10 - Wastes from shredding of metal-containing wastes</t>
        </is>
      </c>
    </row>
    <row r="894">
      <c r="A894" s="288" t="inlineStr">
        <is>
          <t>NACE O - 82.99 Other business support service activities n.e.c.</t>
        </is>
      </c>
      <c r="B894" s="288" t="n"/>
      <c r="I894" t="inlineStr">
        <is>
          <t xml:space="preserve">    19 10 01 - Non-Hazardous - Iron and steel waste</t>
        </is>
      </c>
    </row>
    <row r="895">
      <c r="A895" s="285" t="inlineStr">
        <is>
          <t>NACE P - PUBLIC ADMINISTRATION AND DEFENCE; COMPULSORY SOCIAL SECURITY</t>
        </is>
      </c>
      <c r="B895" s="288" t="n"/>
      <c r="I895" t="inlineStr">
        <is>
          <t xml:space="preserve">    19 10 02 - Non-Hazardous - Non-ferrous waste</t>
        </is>
      </c>
    </row>
    <row r="896">
      <c r="A896" s="284" t="inlineStr">
        <is>
          <t>NACE P - 84 Public administration and defence; compulsory social security</t>
        </is>
      </c>
      <c r="B896" s="288" t="n"/>
      <c r="I896" t="inlineStr">
        <is>
          <t xml:space="preserve">    19 10 03 - Hazardous - Fluff-light fraction and dust containing hazardous substances</t>
        </is>
      </c>
    </row>
    <row r="897">
      <c r="A897" s="287" t="inlineStr">
        <is>
          <t>NACE P - 84.1 Administration of the State and the economic, social and environmental policies of the community</t>
        </is>
      </c>
      <c r="B897" s="288" t="n"/>
      <c r="I897" t="inlineStr">
        <is>
          <t xml:space="preserve">    19 10 04 - Non-Hazardous - Fluff-light fraction and dust other than those mentioned in 19 10 03</t>
        </is>
      </c>
    </row>
    <row r="898">
      <c r="A898" s="288" t="inlineStr">
        <is>
          <t>NACE P - 84.11 General public administration activities</t>
        </is>
      </c>
      <c r="B898" s="288" t="n"/>
      <c r="I898" t="inlineStr">
        <is>
          <t xml:space="preserve">    19 10 05 - Hazardous - Other fractions containing hazardous substances</t>
        </is>
      </c>
    </row>
    <row r="899">
      <c r="A899" s="288" t="inlineStr">
        <is>
          <t>NACE P - 84.12 Regulation of health care, education, cultural services and other social services</t>
        </is>
      </c>
      <c r="B899" s="288" t="n"/>
      <c r="I899" t="inlineStr">
        <is>
          <t xml:space="preserve">    19 10 06 - Non-Hazardous - Other fractions other than those mentioned in 19 10 05</t>
        </is>
      </c>
    </row>
    <row r="900">
      <c r="A900" s="288" t="inlineStr">
        <is>
          <t>NACE P - 84.13 Regulation of and contribution to more efficient operation of businesses</t>
        </is>
      </c>
      <c r="B900" s="288" t="n"/>
      <c r="I900" t="inlineStr">
        <is>
          <t xml:space="preserve">  19 11 - Wastes from oil regeneration</t>
        </is>
      </c>
    </row>
    <row r="901">
      <c r="A901" s="287" t="inlineStr">
        <is>
          <t>NACE P - 84.2 Provision of services to the community as a whole</t>
        </is>
      </c>
      <c r="B901" s="288" t="n"/>
      <c r="I901" t="inlineStr">
        <is>
          <t xml:space="preserve">    19 11 01 - Hazardous - Spent filter clays</t>
        </is>
      </c>
    </row>
    <row r="902">
      <c r="A902" s="288" t="inlineStr">
        <is>
          <t>NACE P - 84.21 Foreign affairs</t>
        </is>
      </c>
      <c r="B902" s="288" t="n"/>
      <c r="I902" t="inlineStr">
        <is>
          <t xml:space="preserve">    19 11 02 - Hazardous - Acid tars</t>
        </is>
      </c>
    </row>
    <row r="903">
      <c r="A903" s="288" t="inlineStr">
        <is>
          <t>NACE P - 84.22 Defence activities</t>
        </is>
      </c>
      <c r="B903" s="288" t="n"/>
      <c r="I903" t="inlineStr">
        <is>
          <t xml:space="preserve">    19 11 03 - Hazardous - Aqueous liquid wastes</t>
        </is>
      </c>
    </row>
    <row r="904">
      <c r="A904" s="288" t="inlineStr">
        <is>
          <t>NACE P - 84.23 Justice and judicial activities</t>
        </is>
      </c>
      <c r="B904" s="288" t="n"/>
      <c r="I904" t="inlineStr">
        <is>
          <t xml:space="preserve">    19 11 04 - Hazardous - Wastes from cleaning of fuel with bases</t>
        </is>
      </c>
    </row>
    <row r="905">
      <c r="A905" s="288" t="inlineStr">
        <is>
          <t>NACE P - 84.24 Public order and safety activities</t>
        </is>
      </c>
      <c r="B905" s="288" t="n"/>
      <c r="I905" t="inlineStr">
        <is>
          <t xml:space="preserve">    19 11 05 - Hazardous - Sludges from on-site effluent treatment containing hazardous substances</t>
        </is>
      </c>
    </row>
    <row r="906">
      <c r="A906" s="288" t="inlineStr">
        <is>
          <t>NACE P - 84.25 Fire service activities</t>
        </is>
      </c>
      <c r="B906" s="288" t="n"/>
      <c r="I906" t="inlineStr">
        <is>
          <t xml:space="preserve">    19 11 06 - Non-Hazardous - Sludges from on-site effluent treatment other than those mentioned in 19 11 05</t>
        </is>
      </c>
    </row>
    <row r="907">
      <c r="A907" s="287" t="inlineStr">
        <is>
          <t>NACE P - 84.3 Compulsory social security activities</t>
        </is>
      </c>
      <c r="B907" s="288" t="n"/>
      <c r="I907" t="inlineStr">
        <is>
          <t xml:space="preserve">    19 11 07 - Hazardous - Wastes from flue-gas cleaning</t>
        </is>
      </c>
    </row>
    <row r="908">
      <c r="A908" s="288" t="inlineStr">
        <is>
          <t>NACE P - 84.30 Compulsory social security activities</t>
        </is>
      </c>
      <c r="B908" s="288" t="n"/>
      <c r="I908" t="inlineStr">
        <is>
          <t xml:space="preserve">    19 11 99 - Non-Hazardous - Wastes not otherwise specified</t>
        </is>
      </c>
    </row>
    <row r="909">
      <c r="A909" s="285" t="inlineStr">
        <is>
          <t>NACE Q - EDUCATION</t>
        </is>
      </c>
      <c r="B909" s="288" t="n"/>
      <c r="I909" t="inlineStr">
        <is>
          <t xml:space="preserve">  19 12 - Wastes from the mechanical treatment of waste (for example sorting, crushing, compacting, pelletising) not otherwise specified</t>
        </is>
      </c>
    </row>
    <row r="910">
      <c r="A910" s="284" t="inlineStr">
        <is>
          <t>NACE Q - 85 Education</t>
        </is>
      </c>
      <c r="B910" s="288" t="n"/>
      <c r="I910" t="inlineStr">
        <is>
          <t xml:space="preserve">    19 12 01 - Non-Hazardous - Paper and cardboard</t>
        </is>
      </c>
    </row>
    <row r="911">
      <c r="A911" s="287" t="inlineStr">
        <is>
          <t>NACE Q - 85.1 Pre-primary education</t>
        </is>
      </c>
      <c r="B911" s="288" t="n"/>
      <c r="I911" t="inlineStr">
        <is>
          <t xml:space="preserve">    19 12 02 - Non-Hazardous - Ferrous metal</t>
        </is>
      </c>
    </row>
    <row r="912">
      <c r="A912" s="288" t="inlineStr">
        <is>
          <t>NACE Q - 85.10 Pre-primary education</t>
        </is>
      </c>
      <c r="B912" s="288" t="n"/>
      <c r="I912" t="inlineStr">
        <is>
          <t xml:space="preserve">    19 12 03 - Non-Hazardous - Non-ferrous metal</t>
        </is>
      </c>
    </row>
    <row r="913">
      <c r="A913" s="287" t="inlineStr">
        <is>
          <t>NACE Q - 85.2 Primary education</t>
        </is>
      </c>
      <c r="B913" s="288" t="n"/>
      <c r="I913" t="inlineStr">
        <is>
          <t xml:space="preserve">    19 12 04 - Non-Hazardous - Plastic and rubber</t>
        </is>
      </c>
    </row>
    <row r="914">
      <c r="A914" s="288" t="inlineStr">
        <is>
          <t>NACE Q - 85.20 Primary education</t>
        </is>
      </c>
      <c r="B914" s="288" t="n"/>
      <c r="I914" t="inlineStr">
        <is>
          <t xml:space="preserve">    19 12 05 - Non-Hazardous - Glass</t>
        </is>
      </c>
    </row>
    <row r="915">
      <c r="A915" s="287" t="inlineStr">
        <is>
          <t>NACE Q - 85.3 Secondary and post-secondary non-tertiary education</t>
        </is>
      </c>
      <c r="B915" s="288" t="n"/>
      <c r="I915" t="inlineStr">
        <is>
          <t xml:space="preserve">    19 12 06 - Hazardous - Wood containing hazardous substances</t>
        </is>
      </c>
    </row>
    <row r="916">
      <c r="A916" s="288" t="inlineStr">
        <is>
          <t>NACE Q - 85.31 General secondary education</t>
        </is>
      </c>
      <c r="B916" s="288" t="n"/>
      <c r="I916" t="inlineStr">
        <is>
          <t xml:space="preserve">    19 12 07 - Non-Hazardous - Wood other than that mentioned in 19 12 06</t>
        </is>
      </c>
    </row>
    <row r="917">
      <c r="A917" s="288" t="inlineStr">
        <is>
          <t>NACE Q - 85.32 Vocational secondary education</t>
        </is>
      </c>
      <c r="B917" s="288" t="n"/>
      <c r="I917" t="inlineStr">
        <is>
          <t xml:space="preserve">    19 12 08 - Non-Hazardous - Textiles</t>
        </is>
      </c>
    </row>
    <row r="918">
      <c r="A918" s="288" t="inlineStr">
        <is>
          <t>NACE Q - 85.33 Post-secondary non-tertiary education</t>
        </is>
      </c>
      <c r="B918" s="288" t="n"/>
      <c r="I918" t="inlineStr">
        <is>
          <t xml:space="preserve">    19 12 09 - Non-Hazardous - Minerals (for example sand, stones)</t>
        </is>
      </c>
    </row>
    <row r="919">
      <c r="A919" s="287" t="inlineStr">
        <is>
          <t>NACE Q - 85.4 Tertiary education</t>
        </is>
      </c>
      <c r="B919" s="288" t="n"/>
      <c r="I919" t="inlineStr">
        <is>
          <t xml:space="preserve">    19 12 10 - Non-Hazardous - Combustible waste (refuse derived fuel)</t>
        </is>
      </c>
    </row>
    <row r="920">
      <c r="A920" s="288" t="inlineStr">
        <is>
          <t>NACE Q - 85.40 Tertiary education</t>
        </is>
      </c>
      <c r="B920" s="288" t="n"/>
      <c r="I920" t="inlineStr">
        <is>
          <t xml:space="preserve">    19 12 11 - Hazardous - Other wastes (including mixtures of materials) from mechanical treatment of waste containing hazardous substances</t>
        </is>
      </c>
    </row>
    <row r="921">
      <c r="A921" s="287" t="inlineStr">
        <is>
          <t>NACE Q - 85.5 Other education</t>
        </is>
      </c>
      <c r="B921" s="288" t="n"/>
      <c r="I921" t="inlineStr">
        <is>
          <t xml:space="preserve">    19 12 12 - Non-Hazardous - Other wastes (including mixtures of materials) from mechanical treatment of wastes other than those mentioned in 19 12 11</t>
        </is>
      </c>
    </row>
    <row r="922">
      <c r="A922" s="288" t="inlineStr">
        <is>
          <t>NACE Q - 85.51 Sports and recreation education</t>
        </is>
      </c>
      <c r="B922" s="288" t="n"/>
      <c r="I922" t="inlineStr">
        <is>
          <t xml:space="preserve">  19 13 - Wastes from soil and groundwater remediation</t>
        </is>
      </c>
    </row>
    <row r="923">
      <c r="A923" s="288" t="inlineStr">
        <is>
          <t>NACE Q - 85.52 Cultural education</t>
        </is>
      </c>
      <c r="B923" s="288" t="n"/>
      <c r="I923" t="inlineStr">
        <is>
          <t xml:space="preserve">    19 13 01 - Hazardous - Solid wastes from soil remediation containing hazardous substances</t>
        </is>
      </c>
    </row>
    <row r="924">
      <c r="A924" s="288" t="inlineStr">
        <is>
          <t>NACE Q - 85.53 Driving school activities</t>
        </is>
      </c>
      <c r="B924" s="288" t="n"/>
      <c r="I924" t="inlineStr">
        <is>
          <t xml:space="preserve">    19 13 02 - Non-Hazardous - Solid wastes from soil remediation other than those mentioned in 19 13 01</t>
        </is>
      </c>
    </row>
    <row r="925">
      <c r="A925" s="288" t="inlineStr">
        <is>
          <t>NACE Q - 85.59 Other education n.e.c.</t>
        </is>
      </c>
      <c r="B925" s="288" t="n"/>
      <c r="I925" t="inlineStr">
        <is>
          <t xml:space="preserve">    19 13 03 - Hazardous - Sludges from soil remediation containing hazardous substances</t>
        </is>
      </c>
    </row>
    <row r="926">
      <c r="A926" s="287" t="inlineStr">
        <is>
          <t>NACE Q - 85.6 Educational support activities</t>
        </is>
      </c>
      <c r="B926" s="288" t="n"/>
      <c r="I926" t="inlineStr">
        <is>
          <t xml:space="preserve">    19 13 04 - Non-Hazardous - Sludges from soil remediation other than those mentioned in 19 13 03</t>
        </is>
      </c>
    </row>
    <row r="927">
      <c r="A927" s="288" t="inlineStr">
        <is>
          <t>NACE Q - 85.61 Intermediation service activities for courses and tutors</t>
        </is>
      </c>
      <c r="B927" s="288" t="n"/>
      <c r="I927" t="inlineStr">
        <is>
          <t xml:space="preserve">    19 13 05 - Hazardous - Sludges from groundwater remediation containing hazardous substances</t>
        </is>
      </c>
    </row>
    <row r="928">
      <c r="A928" s="288" t="inlineStr">
        <is>
          <t>NACE Q - 85.69 Educational support activities n.e.c.</t>
        </is>
      </c>
      <c r="B928" s="288" t="n"/>
      <c r="I928" t="inlineStr">
        <is>
          <t xml:space="preserve">    19 13 06 - Non-Hazardous - Sludges from groundwater remediation other than those mentioned in 19 13 05</t>
        </is>
      </c>
    </row>
    <row r="929">
      <c r="A929" s="285" t="inlineStr">
        <is>
          <t>NACE R - HUMAN HEALTH AND SOCIAL WORK ACTIVITIES</t>
        </is>
      </c>
      <c r="B929" s="288" t="n"/>
      <c r="I929" t="inlineStr">
        <is>
          <t xml:space="preserve">    19 13 07 - Hazardous - Aqueous liquid wastes and aqueous concentrates from groundwater remediation containing hazardous substances</t>
        </is>
      </c>
    </row>
    <row r="930">
      <c r="A930" s="284" t="inlineStr">
        <is>
          <t>NACE R - 86 Human health activities</t>
        </is>
      </c>
      <c r="B930" s="288" t="n"/>
      <c r="I930" t="inlineStr">
        <is>
          <t xml:space="preserve">    19 13 08 - Non-Hazardous - Aqueous liquid wastes and aqueous concentrates from groundwater remediation other than those mentioned in 19 13 07</t>
        </is>
      </c>
    </row>
    <row r="931">
      <c r="A931" s="287" t="inlineStr">
        <is>
          <t>NACE R - 86.1 Hospital activities</t>
        </is>
      </c>
      <c r="B931" s="288" t="n"/>
      <c r="I931" t="inlineStr">
        <is>
          <t>20 - MUNICIPAL WASTES (HOUSEHOLD WASTE AND SIMILAR COMMERCIAL, INDUSTRIAL AND INSTITUTIONAL WASTES) INCLUDING SEPARATELY COLLECTED FRACTIONS</t>
        </is>
      </c>
    </row>
    <row r="932">
      <c r="A932" s="288" t="inlineStr">
        <is>
          <t>NACE R - 86.10 Hospital activities</t>
        </is>
      </c>
      <c r="B932" s="288" t="n"/>
      <c r="I932" t="inlineStr">
        <is>
          <t xml:space="preserve">  20 01 - Separately collected fractions (except 15 01)</t>
        </is>
      </c>
    </row>
    <row r="933">
      <c r="A933" s="287" t="inlineStr">
        <is>
          <t>NACE R - 86.2 Medical and dental practice activities</t>
        </is>
      </c>
      <c r="B933" s="288" t="n"/>
      <c r="I933" t="inlineStr">
        <is>
          <t xml:space="preserve">    20 01 01 - Non-Hazardous - Paper and cardboard</t>
        </is>
      </c>
    </row>
    <row r="934">
      <c r="A934" s="288" t="inlineStr">
        <is>
          <t>NACE R - 86.21 General medical practice activities</t>
        </is>
      </c>
      <c r="B934" s="288" t="n"/>
      <c r="I934" t="inlineStr">
        <is>
          <t xml:space="preserve">    20 01 02 - Non-Hazardous - Glass</t>
        </is>
      </c>
    </row>
    <row r="935">
      <c r="A935" s="288" t="inlineStr">
        <is>
          <t>NACE R - 86.22 Medical specialists activities</t>
        </is>
      </c>
      <c r="B935" s="288" t="n"/>
      <c r="I935" t="inlineStr">
        <is>
          <t xml:space="preserve">    20 01 08 - Non-Hazardous - Biodegradable kitchen and canteen waste</t>
        </is>
      </c>
    </row>
    <row r="936">
      <c r="A936" s="288" t="inlineStr">
        <is>
          <t>NACE R - 86.23 Dental practice care activities</t>
        </is>
      </c>
      <c r="B936" s="288" t="n"/>
      <c r="I936" t="inlineStr">
        <is>
          <t xml:space="preserve">    20 01 10 - Non-Hazardous - Clothes</t>
        </is>
      </c>
    </row>
    <row r="937">
      <c r="A937" s="287" t="inlineStr">
        <is>
          <t>NACE R - 86.9 Other human health activities</t>
        </is>
      </c>
      <c r="B937" s="288" t="n"/>
      <c r="I937" t="inlineStr">
        <is>
          <t xml:space="preserve">    20 01 11 - Non-Hazardous - Textiles</t>
        </is>
      </c>
    </row>
    <row r="938">
      <c r="A938" s="288" t="inlineStr">
        <is>
          <t>NACE R - 86.91 Diagnostic imaging services and medical laboratory activities</t>
        </is>
      </c>
      <c r="B938" s="288" t="n"/>
      <c r="I938" t="inlineStr">
        <is>
          <t xml:space="preserve">    20 01 13 - Hazardous - Solvents</t>
        </is>
      </c>
    </row>
    <row r="939">
      <c r="A939" s="288" t="inlineStr">
        <is>
          <t>NACE R - 86.92 Patient transportation by ambulance</t>
        </is>
      </c>
      <c r="B939" s="288" t="n"/>
      <c r="I939" t="inlineStr">
        <is>
          <t xml:space="preserve">    20 01 14 - Hazardous - Acids</t>
        </is>
      </c>
    </row>
    <row r="940">
      <c r="A940" s="288" t="inlineStr">
        <is>
          <t>NACE R - 86.93 Activities of psychologists and psychotherapists, except medical doctors</t>
        </is>
      </c>
      <c r="B940" s="288" t="n"/>
      <c r="I940" t="inlineStr">
        <is>
          <t xml:space="preserve">    20 01 15 - Hazardous - Alkalines</t>
        </is>
      </c>
    </row>
    <row r="941">
      <c r="A941" s="288" t="inlineStr">
        <is>
          <t>NACE R - 86.94 Nursing and midwifery activities</t>
        </is>
      </c>
      <c r="B941" s="288" t="n"/>
      <c r="I941" t="inlineStr">
        <is>
          <t xml:space="preserve">    20 01 17 - Hazardous - Photochemicals</t>
        </is>
      </c>
    </row>
    <row r="942">
      <c r="A942" s="288" t="inlineStr">
        <is>
          <t>NACE R - 86.95 Physiotherapy activities</t>
        </is>
      </c>
      <c r="B942" s="288" t="n"/>
      <c r="I942" t="inlineStr">
        <is>
          <t xml:space="preserve">    20 01 19 - Hazardous - Pesticides</t>
        </is>
      </c>
    </row>
    <row r="943">
      <c r="A943" s="288" t="inlineStr">
        <is>
          <t>NACE R - 86.96 Traditional, complementary and alternative medicine activities</t>
        </is>
      </c>
      <c r="B943" s="288" t="n"/>
      <c r="I943" t="inlineStr">
        <is>
          <t xml:space="preserve">    20 01 21 - Hazardous - Fluorescent tubes and other mercury-containing waste</t>
        </is>
      </c>
    </row>
    <row r="944">
      <c r="A944" s="288" t="inlineStr">
        <is>
          <t>NACE R - 86.97 Intermediation service activities for medical, dental and other human health services</t>
        </is>
      </c>
      <c r="B944" s="288" t="n"/>
      <c r="I944" t="inlineStr">
        <is>
          <t xml:space="preserve">    20 01 23 - Hazardous - Discarded equipment containing chlorofluorocarbons</t>
        </is>
      </c>
    </row>
    <row r="945">
      <c r="A945" s="288" t="inlineStr">
        <is>
          <t>NACE R - 86.99 Other human health activities n.e.c.</t>
        </is>
      </c>
      <c r="B945" s="288" t="n"/>
      <c r="I945" t="inlineStr">
        <is>
          <t xml:space="preserve">    20 01 25 - Non-Hazardous - Edible oil and fat</t>
        </is>
      </c>
    </row>
    <row r="946">
      <c r="A946" s="284" t="inlineStr">
        <is>
          <t>NACE R - 87 Residential care activities</t>
        </is>
      </c>
      <c r="B946" s="288" t="n"/>
      <c r="I946" t="inlineStr">
        <is>
          <t xml:space="preserve">    20 01 26 - Hazardous - Oil and fat other than those mentioned in 20 01 25</t>
        </is>
      </c>
    </row>
    <row r="947">
      <c r="A947" s="287" t="inlineStr">
        <is>
          <t>NACE R - 87.1 Residential nursing care activities</t>
        </is>
      </c>
      <c r="B947" s="288" t="n"/>
      <c r="I947" t="inlineStr">
        <is>
          <t xml:space="preserve">    20 01 27 - Hazardous - Paint, inks, adhesives and resins containing hazardous substances</t>
        </is>
      </c>
    </row>
    <row r="948">
      <c r="A948" s="288" t="inlineStr">
        <is>
          <t>NACE R - 87.10 Residential nursing care activities</t>
        </is>
      </c>
      <c r="B948" s="288" t="n"/>
      <c r="I948" t="inlineStr">
        <is>
          <t xml:space="preserve">    20 01 28 - Non-Hazardous - Paint, inks, adhesives and resins other than those mentioned in 20 01 27</t>
        </is>
      </c>
    </row>
    <row r="949">
      <c r="A949" s="287" t="inlineStr">
        <is>
          <t>NACE R - 87.2 Residential care activities for persons living with or having a diagnosis of a mental illness or substance abuse</t>
        </is>
      </c>
      <c r="B949" s="288" t="n"/>
      <c r="I949" t="inlineStr">
        <is>
          <t xml:space="preserve">    20 01 29 - Hazardous - Detergents containing hazardous substances</t>
        </is>
      </c>
    </row>
    <row r="950">
      <c r="A950" s="288" t="inlineStr">
        <is>
          <t>NACE R - 87.20 Residential care activities for persons living with or having a diagnosis of a mental illness or substance abuse</t>
        </is>
      </c>
      <c r="B950" s="288" t="n"/>
      <c r="I950" t="inlineStr">
        <is>
          <t xml:space="preserve">    20 01 30 - Non-Hazardous - Detergents other than those mentioned in 20 01 29</t>
        </is>
      </c>
    </row>
    <row r="951">
      <c r="A951" s="287" t="inlineStr">
        <is>
          <t>NACE R - 87.3 Residential care activities for older persons or persons with physical disabilities</t>
        </is>
      </c>
      <c r="B951" s="288" t="n"/>
      <c r="I951" t="inlineStr">
        <is>
          <t xml:space="preserve">    20 01 31 - Hazardous - Cytotoxic and cytostatic medicines</t>
        </is>
      </c>
    </row>
    <row r="952">
      <c r="A952" s="288" t="inlineStr">
        <is>
          <t>NACE R - 87.30 Residential care activities for older persons or persons with physical disabilities</t>
        </is>
      </c>
      <c r="B952" s="288" t="n"/>
      <c r="I952" t="inlineStr">
        <is>
          <t xml:space="preserve">    20 01 32 - Non-Hazardous - Medicines other than those mentioned in 20 01 31</t>
        </is>
      </c>
    </row>
    <row r="953">
      <c r="A953" s="287" t="inlineStr">
        <is>
          <t>NACE R - 87.9 Other residential care activities</t>
        </is>
      </c>
      <c r="B953" s="288" t="n"/>
      <c r="I953" t="inlineStr">
        <is>
          <t xml:space="preserve">    20 01 33 - Hazardous - Batteries and accumulators included in 16 06 01, 16 06 02 or 16 06 03 and unsorted batteries and accumulators containing these batteries</t>
        </is>
      </c>
    </row>
    <row r="954">
      <c r="A954" s="288" t="inlineStr">
        <is>
          <t>NACE R - 87.91 Intermediation service activities for residential care activities</t>
        </is>
      </c>
      <c r="B954" s="288" t="n"/>
      <c r="I954" t="inlineStr">
        <is>
          <t xml:space="preserve">    20 01 34 - Non-Hazardous - Batteries and accumulators other than those mentioned in 20 01 33</t>
        </is>
      </c>
    </row>
    <row r="955">
      <c r="A955" s="288" t="inlineStr">
        <is>
          <t>NACE R - 87.99 Other residential care activities n.e.c.</t>
        </is>
      </c>
      <c r="B955" s="288" t="n"/>
      <c r="I955" t="inlineStr">
        <is>
          <t xml:space="preserve">    20 01 35 - Hazardous - Discarded electrical and electronic equipment other than those mentioned in 20 01 21 and 20 01 23 containing hazardous components (3)</t>
        </is>
      </c>
    </row>
    <row r="956">
      <c r="A956" s="284" t="inlineStr">
        <is>
          <t>NACE R - 88 Social work activities without accommodation</t>
        </is>
      </c>
      <c r="B956" s="288" t="n"/>
      <c r="I956" t="inlineStr">
        <is>
          <t xml:space="preserve">    20 01 36 - Non-Hazardous - Discarded electrical and electronic equipment other than those mentioned in 20 01 21, 20 01 23 and 20 01 35</t>
        </is>
      </c>
    </row>
    <row r="957">
      <c r="A957" s="287" t="inlineStr">
        <is>
          <t>NACE R - 88.1 Social work activities without accommodation for older persons or persons with disabilities</t>
        </is>
      </c>
      <c r="B957" s="288" t="n"/>
      <c r="I957" t="inlineStr">
        <is>
          <t xml:space="preserve">    20 01 37 - Hazardous - Wood containing hazardous substances</t>
        </is>
      </c>
    </row>
    <row r="958">
      <c r="A958" s="288" t="inlineStr">
        <is>
          <t>NACE R - 88.10 Social work activities without accommodation for older persons or persons with disabilities</t>
        </is>
      </c>
      <c r="B958" s="288" t="n"/>
      <c r="I958" t="inlineStr">
        <is>
          <t xml:space="preserve">    20 01 38 - Non-Hazardous - Wood other than that mentioned in 20 01 37</t>
        </is>
      </c>
    </row>
    <row r="959">
      <c r="A959" s="287" t="inlineStr">
        <is>
          <t>NACE R - 88.9 Other social work activities without accommodation</t>
        </is>
      </c>
      <c r="B959" s="288" t="n"/>
      <c r="I959" t="inlineStr">
        <is>
          <t xml:space="preserve">    20 01 39 - Non-Hazardous - Plastics</t>
        </is>
      </c>
    </row>
    <row r="960">
      <c r="A960" s="288" t="inlineStr">
        <is>
          <t>NACE R - 88.91 Child day-care activities</t>
        </is>
      </c>
      <c r="B960" s="288" t="n"/>
      <c r="I960" t="inlineStr">
        <is>
          <t xml:space="preserve">    20 01 40 - Non-Hazardous - Metals</t>
        </is>
      </c>
    </row>
    <row r="961">
      <c r="A961" s="288" t="inlineStr">
        <is>
          <t>NACE R - 88.99 Other social work activities without accommodation n.e.c.</t>
        </is>
      </c>
      <c r="B961" s="288" t="n"/>
      <c r="I961" t="inlineStr">
        <is>
          <t xml:space="preserve">    20 01 41 - Non-Hazardous - Wastes from chimney sweeping</t>
        </is>
      </c>
    </row>
    <row r="962">
      <c r="A962" s="285" t="inlineStr">
        <is>
          <t>NACE S - ARTS, SPORTS AND RECREATION</t>
        </is>
      </c>
      <c r="B962" s="288" t="n"/>
      <c r="I962" t="inlineStr">
        <is>
          <t xml:space="preserve">    20 01 99 - Non-Hazardous - Other fractions not otherwise specified</t>
        </is>
      </c>
    </row>
    <row r="963">
      <c r="A963" s="284" t="inlineStr">
        <is>
          <t>NACE S - 90 Arts creation and performing arts activities</t>
        </is>
      </c>
      <c r="B963" s="288" t="n"/>
      <c r="I963" t="inlineStr">
        <is>
          <t xml:space="preserve">  20 02 - Garden and park wastes (including cemetery waste)</t>
        </is>
      </c>
    </row>
    <row r="964">
      <c r="A964" s="287" t="inlineStr">
        <is>
          <t>NACE S - 90.1 Arts creation activities</t>
        </is>
      </c>
      <c r="B964" s="288" t="n"/>
      <c r="I964" t="inlineStr">
        <is>
          <t xml:space="preserve">    20 02 01 - Non-Hazardous - Biodegradable waste</t>
        </is>
      </c>
    </row>
    <row r="965">
      <c r="A965" s="288" t="inlineStr">
        <is>
          <t>NACE S - 90.11 Literary creation and musical composition activities</t>
        </is>
      </c>
      <c r="B965" s="288" t="n"/>
      <c r="I965" t="inlineStr">
        <is>
          <t xml:space="preserve">    20 02 02 - Non-Hazardous - Soil and stones</t>
        </is>
      </c>
    </row>
    <row r="966">
      <c r="A966" s="288" t="inlineStr">
        <is>
          <t>NACE S - 90.12 Visual arts creation activities</t>
        </is>
      </c>
      <c r="B966" s="288" t="n"/>
      <c r="I966" t="inlineStr">
        <is>
          <t xml:space="preserve">    20 02 03 - Non-Hazardous - Other non-biodegradable wastes</t>
        </is>
      </c>
    </row>
    <row r="967">
      <c r="A967" s="288" t="inlineStr">
        <is>
          <t>NACE S - 90.13 Other arts creation activities</t>
        </is>
      </c>
      <c r="B967" s="288" t="n"/>
      <c r="I967" t="inlineStr">
        <is>
          <t xml:space="preserve">  20 03 - Other municipal wastes</t>
        </is>
      </c>
    </row>
    <row r="968">
      <c r="A968" s="287" t="inlineStr">
        <is>
          <t>NACE S - 90.2 Activities of performing arts</t>
        </is>
      </c>
      <c r="B968" s="288" t="n"/>
      <c r="I968" t="inlineStr">
        <is>
          <t xml:space="preserve">    20 03 01 - Non-Hazardous - Mixed municipal waste</t>
        </is>
      </c>
    </row>
    <row r="969">
      <c r="A969" s="288" t="inlineStr">
        <is>
          <t>NACE S - 90.20 Activities of performing arts</t>
        </is>
      </c>
      <c r="B969" s="288" t="n"/>
      <c r="I969" t="inlineStr">
        <is>
          <t xml:space="preserve">    20 03 02 - Non-Hazardous - Waste from markets</t>
        </is>
      </c>
    </row>
    <row r="970">
      <c r="A970" s="287" t="inlineStr">
        <is>
          <t>NACE S - 90.3 Support activities to arts creation and performing arts</t>
        </is>
      </c>
      <c r="B970" s="288" t="n"/>
      <c r="I970" t="inlineStr">
        <is>
          <t xml:space="preserve">    20 03 03 - Non-Hazardous - Street-cleaning residues</t>
        </is>
      </c>
    </row>
    <row r="971">
      <c r="A971" s="288" t="inlineStr">
        <is>
          <t>NACE S - 90.31 Operation of arts facilities and sites</t>
        </is>
      </c>
      <c r="B971" s="288" t="n"/>
      <c r="I971" t="inlineStr">
        <is>
          <t xml:space="preserve">    20 03 04 - Non-Hazardous - Septic tank sludge</t>
        </is>
      </c>
    </row>
    <row r="972">
      <c r="A972" s="288" t="inlineStr">
        <is>
          <t>NACE S - 90.39 Other support activities to arts and performing arts</t>
        </is>
      </c>
      <c r="B972" s="288" t="n"/>
      <c r="I972" t="inlineStr">
        <is>
          <t xml:space="preserve">    20 03 06 - Non-Hazardous - Waste from sewage cleaning</t>
        </is>
      </c>
    </row>
    <row r="973">
      <c r="A973" s="284" t="inlineStr">
        <is>
          <t>NACE S - 91 Libraries, archives, museums and other cultural activities</t>
        </is>
      </c>
      <c r="B973" s="288" t="n"/>
      <c r="I973" t="inlineStr">
        <is>
          <t xml:space="preserve">    20 03 07 - Non-Hazardous - Bulky waste</t>
        </is>
      </c>
    </row>
    <row r="974">
      <c r="A974" s="287" t="inlineStr">
        <is>
          <t>NACE S - 91.1 Library and archive activities</t>
        </is>
      </c>
      <c r="B974" s="288" t="n"/>
      <c r="I974" t="inlineStr">
        <is>
          <t xml:space="preserve">    20 03 99 - Non-Hazardous - Municipal wastes not otherwise specified</t>
        </is>
      </c>
    </row>
    <row r="975">
      <c r="A975" s="288" t="inlineStr">
        <is>
          <t>NACE S - 91.11 Library activities</t>
        </is>
      </c>
      <c r="B975" s="288" t="n"/>
    </row>
    <row r="976">
      <c r="A976" s="288" t="inlineStr">
        <is>
          <t>NACE S - 91.12 Archive activities</t>
        </is>
      </c>
      <c r="B976" s="288" t="n"/>
    </row>
    <row r="977">
      <c r="A977" s="287" t="inlineStr">
        <is>
          <t>NACE S - 91.2 Museum, collection, historical site and monument activities</t>
        </is>
      </c>
      <c r="B977" s="288" t="n"/>
    </row>
    <row r="978">
      <c r="A978" s="288" t="inlineStr">
        <is>
          <t>NACE S - 91.21 Museum and collection activities</t>
        </is>
      </c>
      <c r="B978" s="288" t="n"/>
    </row>
    <row r="979">
      <c r="A979" s="288" t="inlineStr">
        <is>
          <t>NACE S - 91.22 Historical site and monument activities</t>
        </is>
      </c>
      <c r="B979" s="288" t="n"/>
    </row>
    <row r="980">
      <c r="A980" s="287" t="inlineStr">
        <is>
          <t>NACE S - 91.3 Conservation, restoration and other support activities for cultural heritage</t>
        </is>
      </c>
      <c r="B980" s="288" t="n"/>
    </row>
    <row r="981">
      <c r="A981" s="288" t="inlineStr">
        <is>
          <t>NACE S - 91.30 Conservation, restoration and other support activities for cultural heritage</t>
        </is>
      </c>
      <c r="B981" s="288" t="n"/>
    </row>
    <row r="982">
      <c r="A982" s="287" t="inlineStr">
        <is>
          <t>NACE S - 91.4 Botanical and zoological garden and nature reserve activities</t>
        </is>
      </c>
      <c r="B982" s="288" t="n"/>
    </row>
    <row r="983">
      <c r="A983" s="288" t="inlineStr">
        <is>
          <t>NACE S - 91.41 Botanical and zoological garden activities</t>
        </is>
      </c>
      <c r="B983" s="288" t="n"/>
    </row>
    <row r="984">
      <c r="A984" s="288" t="inlineStr">
        <is>
          <t>NACE S - 91.42 Nature reserve activities</t>
        </is>
      </c>
      <c r="B984" s="288" t="n"/>
    </row>
    <row r="985">
      <c r="A985" s="284" t="inlineStr">
        <is>
          <t>NACE S - 92 Gambling and betting activities</t>
        </is>
      </c>
      <c r="B985" s="288" t="n"/>
    </row>
    <row r="986">
      <c r="A986" s="287" t="inlineStr">
        <is>
          <t>NACE S - 92.0 Gambling and betting activities</t>
        </is>
      </c>
      <c r="B986" s="288" t="n"/>
    </row>
    <row r="987">
      <c r="A987" s="288" t="inlineStr">
        <is>
          <t>NACE S - 92.00 Gambling and betting activities</t>
        </is>
      </c>
      <c r="B987" s="288" t="n"/>
    </row>
    <row r="988">
      <c r="A988" s="284" t="inlineStr">
        <is>
          <t>NACE S - 93 Sports activities and amusement and recreation activities</t>
        </is>
      </c>
      <c r="B988" s="288" t="n"/>
    </row>
    <row r="989">
      <c r="A989" s="287" t="inlineStr">
        <is>
          <t>NACE S - 93.1 Sports activities</t>
        </is>
      </c>
      <c r="B989" s="288" t="n"/>
    </row>
    <row r="990">
      <c r="A990" s="288" t="inlineStr">
        <is>
          <t>NACE S - 93.11 Operation of sports facilities</t>
        </is>
      </c>
      <c r="B990" s="288" t="n"/>
    </row>
    <row r="991">
      <c r="A991" s="288" t="inlineStr">
        <is>
          <t>NACE S - 93.12 Activities of sports clubs</t>
        </is>
      </c>
      <c r="B991" s="288" t="n"/>
    </row>
    <row r="992">
      <c r="A992" s="288" t="inlineStr">
        <is>
          <t>NACE S - 93.13 Activities of fitness centres</t>
        </is>
      </c>
      <c r="B992" s="288" t="n"/>
    </row>
    <row r="993">
      <c r="A993" s="288" t="inlineStr">
        <is>
          <t>NACE S - 93.19 Sports activities n.e.c.</t>
        </is>
      </c>
      <c r="B993" s="288" t="n"/>
    </row>
    <row r="994">
      <c r="A994" s="287" t="inlineStr">
        <is>
          <t>NACE S - 93.2 Amusement and recreation activities</t>
        </is>
      </c>
      <c r="B994" s="288" t="n"/>
    </row>
    <row r="995">
      <c r="A995" s="288" t="inlineStr">
        <is>
          <t>NACE S - 93.21 Activities of amusement parks and theme parks</t>
        </is>
      </c>
      <c r="B995" s="288" t="n"/>
    </row>
    <row r="996">
      <c r="A996" s="288" t="inlineStr">
        <is>
          <t>NACE S - 93.29 Amusement and recreation activities n.e.c.</t>
        </is>
      </c>
      <c r="B996" s="288" t="n"/>
    </row>
    <row r="997">
      <c r="A997" s="285" t="inlineStr">
        <is>
          <t>NACE T - OTHER SERVICE ACTIVITIES</t>
        </is>
      </c>
      <c r="B997" s="288" t="n"/>
    </row>
    <row r="998">
      <c r="A998" s="284" t="inlineStr">
        <is>
          <t>NACE T - 94 Activities of membership organisations</t>
        </is>
      </c>
      <c r="B998" s="288" t="n"/>
    </row>
    <row r="999">
      <c r="A999" s="287" t="inlineStr">
        <is>
          <t>NACE T - 94.1 Activities of business, employers and professional membership organisations</t>
        </is>
      </c>
      <c r="B999" s="288" t="n"/>
    </row>
    <row r="1000">
      <c r="A1000" s="288" t="inlineStr">
        <is>
          <t>NACE T - 94.11 Activities of business and employers membership organisations</t>
        </is>
      </c>
      <c r="B1000" s="288" t="n"/>
    </row>
    <row r="1001">
      <c r="A1001" s="288" t="inlineStr">
        <is>
          <t>NACE T - 94.12 Activities of professional membership organisations</t>
        </is>
      </c>
      <c r="B1001" s="288" t="n"/>
    </row>
    <row r="1002">
      <c r="A1002" s="287" t="inlineStr">
        <is>
          <t>NACE T - 94.2 Activities of trade unions</t>
        </is>
      </c>
      <c r="B1002" s="288" t="n"/>
    </row>
    <row r="1003">
      <c r="A1003" s="288" t="inlineStr">
        <is>
          <t>NACE T - 94.20 Activities of trade unions</t>
        </is>
      </c>
      <c r="B1003" s="288" t="n"/>
    </row>
    <row r="1004">
      <c r="A1004" s="287" t="inlineStr">
        <is>
          <t>NACE T - 94.9 Activities of other membership organisations</t>
        </is>
      </c>
      <c r="B1004" s="288" t="n"/>
    </row>
    <row r="1005">
      <c r="A1005" s="288" t="inlineStr">
        <is>
          <t>NACE T - 94.91 Activities of religious organisations</t>
        </is>
      </c>
      <c r="B1005" s="288" t="n"/>
    </row>
    <row r="1006">
      <c r="A1006" s="288" t="inlineStr">
        <is>
          <t>NACE T - 94.92 Activities of political organisations</t>
        </is>
      </c>
      <c r="B1006" s="288" t="n"/>
    </row>
    <row r="1007">
      <c r="A1007" s="288" t="inlineStr">
        <is>
          <t>NACE T - 94.99 Activities of other membership organisations n.e.c.</t>
        </is>
      </c>
      <c r="B1007" s="288" t="n"/>
    </row>
    <row r="1008">
      <c r="A1008" s="284" t="inlineStr">
        <is>
          <t>NACE T - 95 Repair and maintenance of computers, personal and household goods, and motor vehicles and motorcycles</t>
        </is>
      </c>
      <c r="B1008" s="288" t="n"/>
    </row>
    <row r="1009">
      <c r="A1009" s="287" t="inlineStr">
        <is>
          <t>NACE T - 95.1 Repair and maintenance of computers and communication equipment</t>
        </is>
      </c>
      <c r="B1009" s="288" t="n"/>
    </row>
    <row r="1010">
      <c r="A1010" s="288" t="inlineStr">
        <is>
          <t>NACE T - 95.10 Repair and maintenance of computers and communication equipment</t>
        </is>
      </c>
      <c r="B1010" s="288" t="n"/>
    </row>
    <row r="1011">
      <c r="A1011" s="287" t="inlineStr">
        <is>
          <t>NACE T - 95.2 Repair and maintenance of personal and household goods</t>
        </is>
      </c>
      <c r="B1011" s="288" t="n"/>
    </row>
    <row r="1012">
      <c r="A1012" s="288" t="inlineStr">
        <is>
          <t>NACE T - 95.21 Repair and maintenance of consumer electronics</t>
        </is>
      </c>
      <c r="B1012" s="288" t="n"/>
    </row>
    <row r="1013">
      <c r="A1013" s="288" t="inlineStr">
        <is>
          <t>NACE T - 95.22 Repair and maintenance of household appliances and home and garden equipment</t>
        </is>
      </c>
      <c r="B1013" s="288" t="n"/>
    </row>
    <row r="1014">
      <c r="A1014" s="288" t="inlineStr">
        <is>
          <t>NACE T - 95.23 Repair and maintenance of footwear and leather goods</t>
        </is>
      </c>
      <c r="B1014" s="288" t="n"/>
    </row>
    <row r="1015">
      <c r="A1015" s="288" t="inlineStr">
        <is>
          <t>NACE T - 95.24 Repair and maintenance of furniture and home furnishings</t>
        </is>
      </c>
      <c r="B1015" s="288" t="n"/>
    </row>
    <row r="1016">
      <c r="A1016" s="288" t="inlineStr">
        <is>
          <t>NACE T - 95.25 Repair and maintenance of watches, clocks and jewellery</t>
        </is>
      </c>
      <c r="B1016" s="288" t="n"/>
    </row>
    <row r="1017">
      <c r="A1017" s="288" t="inlineStr">
        <is>
          <t>NACE T - 95.29 Repair and maintenance of personal and household goods n.e.c.</t>
        </is>
      </c>
      <c r="B1017" s="288" t="n"/>
    </row>
    <row r="1018">
      <c r="A1018" s="287" t="inlineStr">
        <is>
          <t>NACE T - 95.3 Repair and maintenance of motor vehicles and motorcycles</t>
        </is>
      </c>
      <c r="B1018" s="288" t="n"/>
    </row>
    <row r="1019">
      <c r="A1019" s="288" t="inlineStr">
        <is>
          <t>NACE T - 95.31 Repair and maintenance of motor vehicles</t>
        </is>
      </c>
      <c r="B1019" s="288" t="n"/>
    </row>
    <row r="1020">
      <c r="A1020" s="288" t="inlineStr">
        <is>
          <t>NACE T - 95.32 Repair and maintenance of motorcycles</t>
        </is>
      </c>
      <c r="B1020" s="288" t="n"/>
    </row>
    <row r="1021">
      <c r="A1021" s="287" t="inlineStr">
        <is>
          <t>NACE T - 95.4 Intermediation service activities for repair and maintenance of computers, personal and household goods, and motor vehicles and motorcycles</t>
        </is>
      </c>
      <c r="B1021" s="288" t="n"/>
    </row>
    <row r="1022">
      <c r="A1022" s="288" t="inlineStr">
        <is>
          <t>NACE T - 95.40 Intermediation service activities for repair and maintenance of computers, personal and household goods, and motor vehicles and motorcycles</t>
        </is>
      </c>
      <c r="B1022" s="288" t="n"/>
    </row>
    <row r="1023">
      <c r="A1023" s="284" t="inlineStr">
        <is>
          <t>NACE T - 96 Personal service activities</t>
        </is>
      </c>
      <c r="B1023" s="288" t="n"/>
    </row>
    <row r="1024">
      <c r="A1024" s="287" t="inlineStr">
        <is>
          <t>NACE T - 96.1 Washing and cleaning of textile and fur products</t>
        </is>
      </c>
      <c r="B1024" s="288" t="n"/>
    </row>
    <row r="1025">
      <c r="A1025" s="288" t="inlineStr">
        <is>
          <t>NACE T - 96.10 Washing and cleaning of textile and fur products</t>
        </is>
      </c>
      <c r="B1025" s="288" t="n"/>
    </row>
    <row r="1026">
      <c r="A1026" s="287" t="inlineStr">
        <is>
          <t>NACE T - 96.2 Hairdressing, beauty treatment, day spa and similar activities</t>
        </is>
      </c>
      <c r="B1026" s="288" t="n"/>
    </row>
    <row r="1027">
      <c r="A1027" s="288" t="inlineStr">
        <is>
          <t>NACE T - 96.21 Hairdressing and barber activities</t>
        </is>
      </c>
      <c r="B1027" s="288" t="n"/>
    </row>
    <row r="1028">
      <c r="A1028" s="288" t="inlineStr">
        <is>
          <t>NACE T - 96.22 Beauty care and other beauty treatment activities</t>
        </is>
      </c>
      <c r="B1028" s="288" t="n"/>
    </row>
    <row r="1029">
      <c r="A1029" s="288" t="inlineStr">
        <is>
          <t>NACE T - 96.23 Day spa, sauna and steam bath activities</t>
        </is>
      </c>
      <c r="B1029" s="288" t="n"/>
    </row>
    <row r="1030">
      <c r="A1030" s="287" t="inlineStr">
        <is>
          <t>NACE T - 96.3 Funeral and related activities</t>
        </is>
      </c>
      <c r="B1030" s="288" t="n"/>
    </row>
    <row r="1031">
      <c r="A1031" s="288" t="inlineStr">
        <is>
          <t>NACE T - 96.30 Funeral and related activities</t>
        </is>
      </c>
      <c r="B1031" s="288" t="n"/>
    </row>
    <row r="1032">
      <c r="A1032" s="287" t="inlineStr">
        <is>
          <t>NACE T - 96.4 Intermediation service activities for personal services</t>
        </is>
      </c>
      <c r="B1032" s="288" t="n"/>
    </row>
    <row r="1033">
      <c r="A1033" s="288" t="inlineStr">
        <is>
          <t>NACE T - 96.40 Intermediation service activities for personal services</t>
        </is>
      </c>
      <c r="B1033" s="288" t="n"/>
    </row>
    <row r="1034">
      <c r="A1034" s="287" t="inlineStr">
        <is>
          <t>NACE T - 96.9 Other personal service activities</t>
        </is>
      </c>
      <c r="B1034" s="288" t="n"/>
    </row>
    <row r="1035">
      <c r="A1035" s="288" t="inlineStr">
        <is>
          <t>NACE T - 96.91 Provision of domestic personal service activities</t>
        </is>
      </c>
      <c r="B1035" s="288" t="n"/>
    </row>
    <row r="1036">
      <c r="A1036" s="288" t="inlineStr">
        <is>
          <t>NACE T - 96.99 Other personal service activities n.e.c.</t>
        </is>
      </c>
      <c r="B1036" s="288" t="n"/>
    </row>
    <row r="1037">
      <c r="A1037" s="285" t="inlineStr">
        <is>
          <t>NACE U - ACTIVITIES OF HOUSEHOLDS AS EMPLOYERS AND UNDIFFERENTIATED GOODS – AND SERVICE-PRODUCING ACTIVITIES OF HOUSEHOLDS FOR OWN USE</t>
        </is>
      </c>
      <c r="B1037" s="288" t="n"/>
    </row>
    <row r="1038">
      <c r="A1038" s="284" t="inlineStr">
        <is>
          <t>NACE U - 97 Activities of households as employers of domestic personnel</t>
        </is>
      </c>
      <c r="B1038" s="288" t="n"/>
    </row>
    <row r="1039">
      <c r="A1039" s="287" t="inlineStr">
        <is>
          <t>NACE U - 97.0 Activities of households as employers of domestic personnel</t>
        </is>
      </c>
      <c r="B1039" s="288" t="n"/>
    </row>
    <row r="1040">
      <c r="A1040" s="288" t="inlineStr">
        <is>
          <t>NACE U - 97.00 Activities of households as employers of domestic personnel</t>
        </is>
      </c>
      <c r="B1040" s="288" t="n"/>
    </row>
    <row r="1041">
      <c r="A1041" s="284" t="inlineStr">
        <is>
          <t>NACE U - 98 Undifferentiated goods- and service-producing activities of private households for own use</t>
        </is>
      </c>
      <c r="B1041" s="288" t="n"/>
    </row>
    <row r="1042">
      <c r="A1042" s="287" t="inlineStr">
        <is>
          <t>NACE U - 98.1 Undifferentiated goods-producing activities of private households for own use</t>
        </is>
      </c>
      <c r="B1042" s="288" t="n"/>
    </row>
    <row r="1043">
      <c r="A1043" s="288" t="inlineStr">
        <is>
          <t>NACE U - 98.10 Undifferentiated goods-producing activities of private households for own use</t>
        </is>
      </c>
      <c r="B1043" s="288" t="n"/>
    </row>
    <row r="1044">
      <c r="A1044" s="287" t="inlineStr">
        <is>
          <t>NACE U - 98.2 Undifferentiated service-producing activities of private households for own use</t>
        </is>
      </c>
      <c r="B1044" s="288" t="n"/>
    </row>
    <row r="1045">
      <c r="A1045" s="288" t="inlineStr">
        <is>
          <t>NACE U - 98.20 Undifferentiated service-producing activities of private households for own use</t>
        </is>
      </c>
      <c r="B1045" s="288" t="n"/>
    </row>
    <row r="1046">
      <c r="A1046" s="285" t="inlineStr">
        <is>
          <t>NACE V - ACTIVITIES OF EXTRATERRITORIAL ORGANISATIONS AND BODIES</t>
        </is>
      </c>
      <c r="B1046" s="288" t="n"/>
    </row>
    <row r="1047">
      <c r="A1047" s="284" t="inlineStr">
        <is>
          <t>NACE V - 99 Activities of extraterritorial organisations and bodies</t>
        </is>
      </c>
      <c r="B1047" s="288" t="n"/>
    </row>
    <row r="1048">
      <c r="A1048" s="287" t="inlineStr">
        <is>
          <t>NACE V - 99.0 Activities of extraterritorial organisations and bodies</t>
        </is>
      </c>
      <c r="B1048" s="288" t="n"/>
    </row>
    <row r="1049">
      <c r="A1049" s="288" t="inlineStr">
        <is>
          <t>NACE V - 99.00 Activities of extraterritorial organisations and bodies</t>
        </is>
      </c>
      <c r="B1049" s="288" t="n"/>
    </row>
  </sheetData>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codeName="Sheet14">
    <outlinePr summaryBelow="1" summaryRight="1"/>
    <pageSetUpPr/>
  </sheetPr>
  <dimension ref="A1:M801"/>
  <sheetViews>
    <sheetView topLeftCell="A51" zoomScaleNormal="100" workbookViewId="0">
      <selection activeCell="E54" sqref="E54"/>
    </sheetView>
  </sheetViews>
  <sheetFormatPr baseColWidth="8" defaultColWidth="11" defaultRowHeight="14.4"/>
  <cols>
    <col width="52.33203125" customWidth="1" style="2" min="1" max="1"/>
    <col width="56.33203125" customWidth="1" style="2" min="2" max="2"/>
    <col width="50.6640625" customWidth="1" style="2" min="3" max="6"/>
    <col width="51.109375" bestFit="1" customWidth="1" style="2" min="7" max="8"/>
    <col width="50.6640625" customWidth="1" style="2" min="9" max="13"/>
  </cols>
  <sheetData>
    <row r="1" ht="28.8" customHeight="1">
      <c r="A1" s="459" t="inlineStr">
        <is>
          <t>Label ID</t>
        </is>
      </c>
      <c r="B1" s="459" t="inlineStr">
        <is>
          <t>Translation (according to the language selected in the first sheet)</t>
        </is>
      </c>
      <c r="C1" s="369" t="inlineStr">
        <is>
          <t>English - Official</t>
        </is>
      </c>
      <c r="D1" s="369" t="inlineStr">
        <is>
          <t>Danish - Reviewed translation by Danish Standard Setter</t>
        </is>
      </c>
      <c r="E1" s="369" t="inlineStr">
        <is>
          <t>Dutch - Reviewed translation by Ducth Standard Setter</t>
        </is>
      </c>
      <c r="F1" s="369" t="inlineStr">
        <is>
          <t>French - Reviewed translation by French Standard Setter</t>
        </is>
      </c>
      <c r="G1" s="369" t="inlineStr">
        <is>
          <t>German - Reviewed translation by German Standard Setter</t>
        </is>
      </c>
      <c r="H1" s="369" t="inlineStr">
        <is>
          <t>Irish - Reviewed translation by Irish Standard Setter</t>
        </is>
      </c>
      <c r="I1" s="369" t="inlineStr">
        <is>
          <t>Italian - Reviewed translation by Italian Standard Setter</t>
        </is>
      </c>
      <c r="J1" s="369" t="inlineStr">
        <is>
          <t>Lithuanian - Reviewed translation by Lithuanian Standard Setter</t>
        </is>
      </c>
      <c r="K1" s="369" t="inlineStr">
        <is>
          <t>Polish - Reviewed translation by Polish Standard Setter</t>
        </is>
      </c>
      <c r="L1" s="369" t="inlineStr">
        <is>
          <t>Portuguese - Reviewed translation by Portuguese Standard Setter</t>
        </is>
      </c>
      <c r="M1" s="369" t="inlineStr">
        <is>
          <t>Spanish - Reviewed translation by Spanish Standard Setter</t>
        </is>
      </c>
    </row>
    <row r="2">
      <c r="A2" s="554" t="n"/>
      <c r="B2" s="554" t="n"/>
      <c r="C2" s="370" t="inlineStr">
        <is>
          <t>en</t>
        </is>
      </c>
      <c r="D2" s="370" t="inlineStr">
        <is>
          <t>da</t>
        </is>
      </c>
      <c r="E2" s="370" t="inlineStr">
        <is>
          <t>nl</t>
        </is>
      </c>
      <c r="F2" s="370" t="inlineStr">
        <is>
          <t>fr</t>
        </is>
      </c>
      <c r="G2" s="370" t="inlineStr">
        <is>
          <t>de</t>
        </is>
      </c>
      <c r="H2" s="370" t="inlineStr">
        <is>
          <t>ga</t>
        </is>
      </c>
      <c r="I2" s="370" t="inlineStr">
        <is>
          <t>it</t>
        </is>
      </c>
      <c r="J2" s="370" t="inlineStr">
        <is>
          <t>lt</t>
        </is>
      </c>
      <c r="K2" s="370" t="inlineStr">
        <is>
          <t>pl</t>
        </is>
      </c>
      <c r="L2" s="370" t="inlineStr">
        <is>
          <t>pt</t>
        </is>
      </c>
      <c r="M2" s="370" t="inlineStr">
        <is>
          <t>es</t>
        </is>
      </c>
    </row>
    <row r="3" ht="28.8" customHeight="1">
      <c r="A3" s="554" t="n"/>
      <c r="B3" s="460" t="n"/>
      <c r="C3" s="370">
        <f>C1&amp; " [" &amp;C2 &amp; "]"</f>
        <v/>
      </c>
      <c r="D3" s="370">
        <f>D1&amp; " [" &amp;D2 &amp; "]"</f>
        <v/>
      </c>
      <c r="E3" s="370">
        <f>E1&amp; " [" &amp;E2 &amp; "]"</f>
        <v/>
      </c>
      <c r="F3" s="370">
        <f>F1&amp; " [" &amp;F2 &amp; "]"</f>
        <v/>
      </c>
      <c r="G3" s="370">
        <f>G1&amp; " [" &amp;G2 &amp; "]"</f>
        <v/>
      </c>
      <c r="H3" s="370">
        <f>H1&amp; " [" &amp;H2 &amp; "]"</f>
        <v/>
      </c>
      <c r="I3" s="370">
        <f>I1&amp; " [" &amp;I2 &amp; "]"</f>
        <v/>
      </c>
      <c r="J3" s="370">
        <f>J1&amp; " [" &amp;J2 &amp; "]"</f>
        <v/>
      </c>
      <c r="K3" s="370">
        <f>K1&amp; " [" &amp;K2 &amp; "]"</f>
        <v/>
      </c>
      <c r="L3" s="370">
        <f>L1&amp; " [" &amp;L2 &amp; "]"</f>
        <v/>
      </c>
      <c r="M3" s="370">
        <f>M1&amp; " [" &amp;M2 &amp; "]"</f>
        <v/>
      </c>
    </row>
    <row r="4">
      <c r="A4" s="563" t="inlineStr">
        <is>
          <t>template_label_entity_name_document_information</t>
        </is>
      </c>
      <c r="B4" s="461">
        <f>INDEX(C4:M4,MATCH(template_selected_display_language,$C$3:$M$3,0))</f>
        <v/>
      </c>
      <c r="C4" s="357" t="inlineStr">
        <is>
          <t>Entity Name</t>
        </is>
      </c>
      <c r="D4" s="563" t="inlineStr">
        <is>
          <t>Virksomhedens navn</t>
        </is>
      </c>
      <c r="E4" s="563" t="inlineStr">
        <is>
          <t>Entiteitsnaam</t>
        </is>
      </c>
      <c r="F4" s="563" t="inlineStr">
        <is>
          <t>Nom de l'entreprise</t>
        </is>
      </c>
      <c r="G4" s="366" t="inlineStr">
        <is>
          <t>Unternehmensname</t>
        </is>
      </c>
      <c r="H4" s="366" t="inlineStr">
        <is>
          <t>Ainm Aonáin</t>
        </is>
      </c>
      <c r="I4" s="357" t="inlineStr">
        <is>
          <t>Nome del soggetto che redige la relazione</t>
        </is>
      </c>
      <c r="J4" s="357" t="inlineStr">
        <is>
          <t>Įmonės pavadinimas</t>
        </is>
      </c>
      <c r="K4" s="357" t="inlineStr">
        <is>
          <t>Nazwa jednostki</t>
        </is>
      </c>
      <c r="L4" s="357" t="inlineStr">
        <is>
          <t>Nome da Entidade</t>
        </is>
      </c>
      <c r="M4" s="357" t="inlineStr">
        <is>
          <t>Nombre de la entidad</t>
        </is>
      </c>
    </row>
    <row r="5">
      <c r="A5" s="563" t="inlineStr">
        <is>
          <t>template_label_entity_identifier_document_information</t>
        </is>
      </c>
      <c r="B5" s="461">
        <f>INDEX(C5:M5,MATCH(template_selected_display_language,$C$3:$M$3,0))</f>
        <v/>
      </c>
      <c r="C5" s="357" t="inlineStr">
        <is>
          <t>Entity Identifier</t>
        </is>
      </c>
      <c r="D5" s="563" t="inlineStr">
        <is>
          <t>Entitetsidentifikator</t>
        </is>
      </c>
      <c r="E5" s="563" t="inlineStr">
        <is>
          <t>KVK Nummer eniteit</t>
        </is>
      </c>
      <c r="F5" s="563" t="inlineStr">
        <is>
          <t>Identifiant de l'entreprise</t>
        </is>
      </c>
      <c r="G5" s="366" t="inlineStr">
        <is>
          <t>Unternehmenskennung (ID)</t>
        </is>
      </c>
      <c r="H5" s="366" t="inlineStr">
        <is>
          <t>Aitheantóir Aonáin</t>
        </is>
      </c>
      <c r="I5" s="357" t="inlineStr">
        <is>
          <t>Identificatore del soggetto</t>
        </is>
      </c>
      <c r="J5" s="357" t="inlineStr">
        <is>
          <t>Įmonės identifikatorius</t>
        </is>
      </c>
      <c r="K5" s="357" t="inlineStr">
        <is>
          <t>Identyfikator jednostki</t>
        </is>
      </c>
      <c r="L5" s="357" t="inlineStr">
        <is>
          <t>Identificador da Entidade</t>
        </is>
      </c>
      <c r="M5" s="357" t="inlineStr">
        <is>
          <t>Identificador de entidad</t>
        </is>
      </c>
    </row>
    <row r="6" ht="28.8" customHeight="1">
      <c r="A6" s="563" t="inlineStr">
        <is>
          <t>template_label_entity_identifier_scheme_document_information</t>
        </is>
      </c>
      <c r="B6" s="461">
        <f>INDEX(C6:M6,MATCH(template_selected_display_language,$C$3:$M$3,0))</f>
        <v/>
      </c>
      <c r="C6" s="357" t="inlineStr">
        <is>
          <t>Entity Identifier Scheme</t>
        </is>
      </c>
      <c r="D6" s="563" t="inlineStr">
        <is>
          <t xml:space="preserve">Virksomhedsindentifikationsskema </t>
        </is>
      </c>
      <c r="E6" s="563" t="inlineStr">
        <is>
          <t>Mij niet duidelijk waar deze wordt gebruikt</t>
        </is>
      </c>
      <c r="F6" s="563" t="inlineStr">
        <is>
          <t>Schéma d'identification de l'entreprise</t>
        </is>
      </c>
      <c r="G6" s="366" t="inlineStr">
        <is>
          <t>System zur Unternehmenskennung</t>
        </is>
      </c>
      <c r="H6" s="366" t="inlineStr">
        <is>
          <t>Scéim Aitheantais Aonáin</t>
        </is>
      </c>
      <c r="I6" s="357" t="inlineStr">
        <is>
          <t>Codice di identificazione del soggetto</t>
        </is>
      </c>
      <c r="J6" s="357" t="inlineStr">
        <is>
          <t>Įmonės schema</t>
        </is>
      </c>
      <c r="K6" s="357" t="inlineStr">
        <is>
          <t>Schemat identyfikatora jednostki</t>
        </is>
      </c>
      <c r="L6" s="357" t="inlineStr">
        <is>
          <t>Esquema de Identificador da Entidade</t>
        </is>
      </c>
      <c r="M6" s="357" t="inlineStr">
        <is>
          <t>Esquema de Identificador de Entidad</t>
        </is>
      </c>
    </row>
    <row r="7">
      <c r="A7" s="563" t="inlineStr">
        <is>
          <t>template_label_report_currency_document_information</t>
        </is>
      </c>
      <c r="B7" s="461">
        <f>INDEX(C7:M7,MATCH(template_selected_display_language,$C$3:$M$3,0))</f>
        <v/>
      </c>
      <c r="C7" s="357" t="inlineStr">
        <is>
          <t>Report currency</t>
        </is>
      </c>
      <c r="D7" s="563" t="inlineStr">
        <is>
          <t>Rapporteringsvaluta</t>
        </is>
      </c>
      <c r="E7" s="563" t="inlineStr">
        <is>
          <t>Rapporteringsvaluta</t>
        </is>
      </c>
      <c r="F7" s="563" t="inlineStr">
        <is>
          <t>Devise utilisée dans le rapport</t>
        </is>
      </c>
      <c r="G7" s="366" t="inlineStr">
        <is>
          <t>Berichtswährung</t>
        </is>
      </c>
      <c r="H7" s="366" t="inlineStr">
        <is>
          <t>Tuairiscigh airgeadra</t>
        </is>
      </c>
      <c r="I7" s="357" t="inlineStr">
        <is>
          <t>Valuta della relazione</t>
        </is>
      </c>
      <c r="J7" s="357" t="inlineStr">
        <is>
          <t>Ataskaitos valiuta</t>
        </is>
      </c>
      <c r="K7" s="357" t="inlineStr">
        <is>
          <t xml:space="preserve">Waluta sprawozdania </t>
        </is>
      </c>
      <c r="L7" s="357" t="inlineStr">
        <is>
          <t>Moeda de reporte</t>
        </is>
      </c>
      <c r="M7" s="357" t="inlineStr">
        <is>
          <t>Divisa del informe</t>
        </is>
      </c>
    </row>
    <row r="8">
      <c r="A8" s="563" t="inlineStr">
        <is>
          <t>template_label_decimal_separator_document_information</t>
        </is>
      </c>
      <c r="B8" s="461">
        <f>INDEX(C8:M8,MATCH(template_selected_display_language,$C$3:$M$3,0))</f>
        <v/>
      </c>
      <c r="C8" s="357" t="inlineStr">
        <is>
          <t>Decimal separator</t>
        </is>
      </c>
      <c r="D8" s="563" t="inlineStr">
        <is>
          <t>Decimal separator</t>
        </is>
      </c>
      <c r="E8" s="563" t="inlineStr">
        <is>
          <t>Decimaal scheidingsteken</t>
        </is>
      </c>
      <c r="F8" s="563" t="inlineStr">
        <is>
          <t>Séparateur décimal</t>
        </is>
      </c>
      <c r="G8" s="366" t="inlineStr">
        <is>
          <t>Dezimaltrennzeichen</t>
        </is>
      </c>
      <c r="H8" s="366" t="inlineStr">
        <is>
          <t>Deighilteoir deachúil</t>
        </is>
      </c>
      <c r="I8" s="357" t="inlineStr">
        <is>
          <t>Separatore decimale</t>
        </is>
      </c>
      <c r="J8" s="357" t="inlineStr">
        <is>
          <t>Dešimtainis skirtukas</t>
        </is>
      </c>
      <c r="K8" s="357" t="inlineStr">
        <is>
          <t>Separator dziesiętny</t>
        </is>
      </c>
      <c r="L8" s="357" t="inlineStr">
        <is>
          <t>Separador decimal</t>
        </is>
      </c>
      <c r="M8" s="357" t="inlineStr">
        <is>
          <t>Separador decimal</t>
        </is>
      </c>
    </row>
    <row r="9" ht="43.2" customHeight="1">
      <c r="A9" s="563" t="inlineStr">
        <is>
          <t>template_label_report_period_document_information</t>
        </is>
      </c>
      <c r="B9" s="461">
        <f>INDEX(C9:M9,MATCH(template_selected_display_language,$C$3:$M$3,0))</f>
        <v/>
      </c>
      <c r="C9" s="357" t="inlineStr">
        <is>
          <t>Report period</t>
        </is>
      </c>
      <c r="D9" s="563" t="inlineStr">
        <is>
          <t>Rapporteringsperiode</t>
        </is>
      </c>
      <c r="E9" s="563" t="inlineStr">
        <is>
          <t>Rapportageperiode</t>
        </is>
      </c>
      <c r="F9" s="563" t="inlineStr">
        <is>
          <t>Période de reporting</t>
        </is>
      </c>
      <c r="G9" s="366" t="inlineStr">
        <is>
          <t xml:space="preserve">Berichtszeitraum
</t>
        </is>
      </c>
      <c r="H9" s="366" t="inlineStr">
        <is>
          <t>Tréimhse tuairiscithe</t>
        </is>
      </c>
      <c r="I9" s="357" t="inlineStr">
        <is>
          <t>Periodo di riferimento</t>
        </is>
      </c>
      <c r="J9" s="357" t="inlineStr">
        <is>
          <t>Ataskaitos laikotarpis</t>
        </is>
      </c>
      <c r="K9" s="357" t="inlineStr">
        <is>
          <t>Okres sprawozdawczy</t>
        </is>
      </c>
      <c r="L9" s="357" t="inlineStr">
        <is>
          <t>Período do relatório</t>
        </is>
      </c>
      <c r="M9" s="357" t="inlineStr">
        <is>
          <t>Periodo del informe</t>
        </is>
      </c>
    </row>
    <row r="10">
      <c r="A10" s="563" t="inlineStr">
        <is>
          <t>template_label_report_generated</t>
        </is>
      </c>
      <c r="B10" s="461">
        <f>INDEX(C10:M10,MATCH(template_selected_display_language,$C$3:$M$3,0))</f>
        <v/>
      </c>
      <c r="C10" s="357" t="inlineStr">
        <is>
          <t>Report generated</t>
        </is>
      </c>
      <c r="D10" s="563" t="inlineStr">
        <is>
          <t>Rapport genereret</t>
        </is>
      </c>
      <c r="E10" s="563" t="inlineStr">
        <is>
          <t>Datum waarop rapport is gegenereerd</t>
        </is>
      </c>
      <c r="F10" s="563" t="inlineStr">
        <is>
          <t>Rapport généré</t>
        </is>
      </c>
      <c r="G10" s="366" t="inlineStr">
        <is>
          <t>Bericht erstellt</t>
        </is>
      </c>
      <c r="H10" s="366" t="inlineStr">
        <is>
          <t>Tuairisc ginte</t>
        </is>
      </c>
      <c r="I10" s="357" t="inlineStr">
        <is>
          <t>Relazione generata</t>
        </is>
      </c>
      <c r="J10" s="357" t="inlineStr">
        <is>
          <t>Ataskaita sugeneruota</t>
        </is>
      </c>
      <c r="K10" s="357" t="inlineStr">
        <is>
          <t>Wygenerowane sprawozdanie</t>
        </is>
      </c>
      <c r="L10" s="357" t="inlineStr">
        <is>
          <t>Relatório gerado</t>
        </is>
      </c>
      <c r="M10" s="357" t="inlineStr">
        <is>
          <t>Informe generado</t>
        </is>
      </c>
    </row>
    <row r="11" ht="28.8" customHeight="1">
      <c r="A11" s="563" t="inlineStr">
        <is>
          <t>template_label_disclosures_related_to_reporting_period</t>
        </is>
      </c>
      <c r="B11" s="461">
        <f>INDEX(C11:M11,MATCH(template_selected_display_language,$C$3:$M$3,0))</f>
        <v/>
      </c>
      <c r="C11" s="357" t="inlineStr">
        <is>
          <t>All disclosures are related to the reporting period above unless specified otherwise.</t>
        </is>
      </c>
      <c r="D11" s="563" t="inlineStr">
        <is>
          <t>Alle oplysninger vedrører den ovenfor nævnte rapporteringsperiode, medmindre andet er angivet.</t>
        </is>
      </c>
      <c r="E11" s="563" t="inlineStr">
        <is>
          <t xml:space="preserve"> De rapportage heeft betrekking op de bovenstaande rapportageperiode tenzij anders vermeld.</t>
        </is>
      </c>
      <c r="F11" s="563" t="inlineStr">
        <is>
          <t>Toutes les informations se rapportent à la période de reporting ci-dessus, sauf indication contraire.</t>
        </is>
      </c>
      <c r="G11" s="366" t="inlineStr">
        <is>
          <t>Alle Angaben beziehen sich auf den oben genannten Berichtszeitraum, sofern nicht anders angegeben.</t>
        </is>
      </c>
      <c r="H11" s="366" t="inlineStr">
        <is>
          <t>Baineann gach nochtadh leis an tréimhse tuairiscithe thuas mura sonraítear a mhalairt.</t>
        </is>
      </c>
      <c r="I11" s="357" t="inlineStr">
        <is>
          <t>Tutte le informative sono relative al periodo di riferimento sopra indicato, a meno che non sia specificato diversamente.</t>
        </is>
      </c>
      <c r="J11" s="357" t="inlineStr">
        <is>
          <t>Visi atskleidimai susiję su aukščiau nurodytu ataskaitiniu laikotarpiu, jei nėra nurodyta kitaip.</t>
        </is>
      </c>
      <c r="K11" s="357" t="inlineStr">
        <is>
          <t xml:space="preserve">Wszystkie ujawnienia dotyczą powyższego okresu sprawozdawczego, chyba że wskazano inaczej. </t>
        </is>
      </c>
      <c r="L11" s="357" t="inlineStr">
        <is>
          <t>Todas as divulgações respeitam ao período de reporte acima, salvo indicação em contrário.</t>
        </is>
      </c>
      <c r="M11" s="357" t="inlineStr">
        <is>
          <t>Todas las divulgaciones se refieren al período de reporte indicado arriba, salvo que se especifique lo contrario.</t>
        </is>
      </c>
    </row>
    <row r="12" ht="43.2" customHeight="1">
      <c r="A12" s="563" t="inlineStr">
        <is>
          <t>template_label_table_of_contents</t>
        </is>
      </c>
      <c r="B12" s="461">
        <f>INDEX(C12:M12,MATCH(template_selected_display_language,$C$3:$M$3,0))</f>
        <v/>
      </c>
      <c r="C12" s="357" t="inlineStr">
        <is>
          <t>Table of Contents</t>
        </is>
      </c>
      <c r="D12" s="563" t="inlineStr">
        <is>
          <t xml:space="preserve">Indholdsfortegnelse
</t>
        </is>
      </c>
      <c r="E12" s="563" t="inlineStr">
        <is>
          <t xml:space="preserve">Inhoudsopgave
</t>
        </is>
      </c>
      <c r="F12" s="563" t="inlineStr">
        <is>
          <t>Table des matières</t>
        </is>
      </c>
      <c r="G12" s="366" t="inlineStr">
        <is>
          <t>Inhaltsverzeichnis</t>
        </is>
      </c>
      <c r="H12" s="366" t="inlineStr">
        <is>
          <t>Clár ábhair</t>
        </is>
      </c>
      <c r="I12" s="357" t="inlineStr">
        <is>
          <t>Sommario</t>
        </is>
      </c>
      <c r="J12" s="357" t="inlineStr">
        <is>
          <t>Turinys</t>
        </is>
      </c>
      <c r="K12" s="357" t="inlineStr">
        <is>
          <t>Spis treści</t>
        </is>
      </c>
      <c r="L12" s="357" t="inlineStr">
        <is>
          <t>Índice</t>
        </is>
      </c>
      <c r="M12" s="357" t="inlineStr">
        <is>
          <t>Tabla de contenido</t>
        </is>
      </c>
    </row>
    <row r="13">
      <c r="A13" s="563" t="inlineStr">
        <is>
          <t>template_label_reporting_period</t>
        </is>
      </c>
      <c r="B13" s="461">
        <f>INDEX(C13:M13,MATCH(template_selected_display_language,$C$3:$M$3,0))</f>
        <v/>
      </c>
      <c r="C13" s="357" t="inlineStr">
        <is>
          <t>Reporting period:</t>
        </is>
      </c>
      <c r="D13" s="563" t="inlineStr">
        <is>
          <t>Rapporteringsperiode:</t>
        </is>
      </c>
      <c r="E13" s="563" t="inlineStr">
        <is>
          <t>Rapportageperiode:</t>
        </is>
      </c>
      <c r="F13" s="563" t="inlineStr">
        <is>
          <t>Période de reporting :</t>
        </is>
      </c>
      <c r="G13" s="366" t="inlineStr">
        <is>
          <t>Berichtszeitraum:</t>
        </is>
      </c>
      <c r="H13" s="366" t="inlineStr">
        <is>
          <t>Tréimhse tuairiscithe:</t>
        </is>
      </c>
      <c r="I13" s="357" t="inlineStr">
        <is>
          <t>Periodo di riferimento</t>
        </is>
      </c>
      <c r="J13" s="357" t="inlineStr">
        <is>
          <t>Ataskaitos laikotarpis:</t>
        </is>
      </c>
      <c r="K13" s="357" t="inlineStr">
        <is>
          <t>Okres sprawozdawczy</t>
        </is>
      </c>
      <c r="L13" s="357" t="inlineStr">
        <is>
          <t>Período de reporte:</t>
        </is>
      </c>
      <c r="M13" s="357" t="inlineStr">
        <is>
          <t>Periodo de reporte:</t>
        </is>
      </c>
    </row>
    <row r="14" ht="29.4" customHeight="1" thickBot="1">
      <c r="A14" s="373" t="inlineStr">
        <is>
          <t>template_label_XBRL_facts_in_report</t>
        </is>
      </c>
      <c r="B14" s="462">
        <f>INDEX(C14:M14,MATCH(template_selected_display_language,$C$3:$M$3,0))</f>
        <v/>
      </c>
      <c r="C14" s="371" t="inlineStr">
        <is>
          <t>This report contains {{ ns.fact_count }} XBRL facts ({{ facts | count }} unique facts).</t>
        </is>
      </c>
      <c r="D14" s="373" t="inlineStr">
        <is>
          <t>Denne rapport indeholder {{ ns.fact_count }} XBRL-fakta ({{ facts | count }} unikke fakta).</t>
        </is>
      </c>
      <c r="E14" s="373" t="inlineStr">
        <is>
          <t>Dit rapport bevat</t>
        </is>
      </c>
      <c r="F14" s="373" t="inlineStr">
        <is>
          <t>Ce rapport contient</t>
        </is>
      </c>
      <c r="G14" s="367" t="inlineStr">
        <is>
          <t>Dieser Bericht enthält {{ ns.fact_count }} XBRL facts ({{ facts | count }} unique facts).</t>
        </is>
      </c>
      <c r="H14" s="367" t="inlineStr">
        <is>
          <t>Tá fíricí XBRL {{ ns.fíric_comhaireamh }} sa tuarascáil seo ({{ fíricí | comhaireamh }} fíricí uathúla).</t>
        </is>
      </c>
      <c r="I14" s="371" t="inlineStr">
        <is>
          <t>Questa relazione contiene</t>
        </is>
      </c>
      <c r="J14" s="371" t="inlineStr">
        <is>
          <t>Ši ataskaita apima</t>
        </is>
      </c>
      <c r="K14" s="371" t="inlineStr">
        <is>
          <t>Niniejszy raport zawiera {{ ns.fact_count }} elementów XBRL ({{ facts | count }} unikalnych elementów).</t>
        </is>
      </c>
      <c r="L14" s="371" t="inlineStr">
        <is>
          <t>Este relatório contém {{ ns.fact_count }} fatos XBRL ({{ facts | count }} fatos únicos).</t>
        </is>
      </c>
      <c r="M14" s="371" t="inlineStr">
        <is>
          <t>Este informe contiene {{ ns.fact_count }} elementos XBRL ({{ facts | count }} elementos únicos).</t>
        </is>
      </c>
    </row>
    <row r="15">
      <c r="A15" s="563" t="inlineStr">
        <is>
          <t>template_label_version</t>
        </is>
      </c>
      <c r="B15" s="461">
        <f>INDEX(C15:M15,MATCH(template_selected_display_language,$C$3:$M$3,0))</f>
        <v/>
      </c>
      <c r="C15" s="357" t="inlineStr">
        <is>
          <t>Version:</t>
        </is>
      </c>
      <c r="D15" s="563" t="inlineStr">
        <is>
          <t>Version:</t>
        </is>
      </c>
      <c r="E15" s="563" t="inlineStr">
        <is>
          <t>Versie:</t>
        </is>
      </c>
      <c r="F15" s="563" t="inlineStr">
        <is>
          <t>Version :</t>
        </is>
      </c>
      <c r="G15" s="366" t="inlineStr">
        <is>
          <t>Version:</t>
        </is>
      </c>
      <c r="H15" s="366" t="inlineStr">
        <is>
          <t>Leagan:</t>
        </is>
      </c>
      <c r="I15" s="357" t="inlineStr">
        <is>
          <t>Versione:</t>
        </is>
      </c>
      <c r="J15" s="357" t="inlineStr">
        <is>
          <t>Versija:</t>
        </is>
      </c>
      <c r="K15" s="357" t="inlineStr">
        <is>
          <t xml:space="preserve">Wersja: </t>
        </is>
      </c>
      <c r="L15" s="357" t="inlineStr">
        <is>
          <t>Versão:</t>
        </is>
      </c>
      <c r="M15" s="357" t="inlineStr">
        <is>
          <t>Versión:</t>
        </is>
      </c>
    </row>
    <row r="16">
      <c r="A16" s="563" t="inlineStr">
        <is>
          <t>template_label_publication_date</t>
        </is>
      </c>
      <c r="B16" s="461">
        <f>INDEX(C16:M16,MATCH(template_selected_display_language,$C$3:$M$3,0))</f>
        <v/>
      </c>
      <c r="C16" s="357" t="inlineStr">
        <is>
          <t>Publication date:</t>
        </is>
      </c>
      <c r="D16" s="563" t="inlineStr">
        <is>
          <t>Publikationsdato:</t>
        </is>
      </c>
      <c r="E16" s="563" t="inlineStr">
        <is>
          <t>Publicatiedatum:</t>
        </is>
      </c>
      <c r="F16" s="563" t="inlineStr">
        <is>
          <t>Date de publication :</t>
        </is>
      </c>
      <c r="G16" s="366" t="inlineStr">
        <is>
          <t>Veröffentlichungsdatum:</t>
        </is>
      </c>
      <c r="H16" s="366" t="inlineStr">
        <is>
          <t>Dáta foilsithe:</t>
        </is>
      </c>
      <c r="I16" s="2" t="inlineStr">
        <is>
          <t>Data di pubblicazione:</t>
        </is>
      </c>
      <c r="J16" s="357" t="inlineStr">
        <is>
          <t>Publikavimo data:</t>
        </is>
      </c>
      <c r="K16" s="357" t="inlineStr">
        <is>
          <t>Data publikacji:</t>
        </is>
      </c>
      <c r="L16" s="357" t="inlineStr">
        <is>
          <t>Data de publicação:</t>
        </is>
      </c>
      <c r="M16" s="357" t="inlineStr">
        <is>
          <t>Fecha de publicación:</t>
        </is>
      </c>
    </row>
    <row r="17">
      <c r="A17" s="563" t="inlineStr">
        <is>
          <t>template_label_taxonomy_entry_point</t>
        </is>
      </c>
      <c r="B17" s="461">
        <f>INDEX(C17:M17,MATCH(template_selected_display_language,$C$3:$M$3,0))</f>
        <v/>
      </c>
      <c r="C17" s="357" t="inlineStr">
        <is>
          <t>Taxonomy entry point:</t>
        </is>
      </c>
      <c r="D17" s="563" t="inlineStr">
        <is>
          <t>Indgangspunkt til taksonomi:</t>
        </is>
      </c>
      <c r="E17" s="563" t="inlineStr">
        <is>
          <t>Toegepaste versie Taxonomie</t>
        </is>
      </c>
      <c r="F17" s="563" t="inlineStr">
        <is>
          <t>Point d'entrée de la taxonomie XBRL :</t>
        </is>
      </c>
      <c r="G17" s="366" t="inlineStr">
        <is>
          <t>Taxonomie-Zugangspunkt (entry point)</t>
        </is>
      </c>
      <c r="H17" s="366" t="inlineStr">
        <is>
          <t>Pointe iontrála tacsanomaíochta:</t>
        </is>
      </c>
      <c r="I17" s="2" t="inlineStr">
        <is>
          <t>Punto di accesso della tassonomia:</t>
        </is>
      </c>
      <c r="J17" s="357" t="inlineStr">
        <is>
          <t>Taksonomijos pradinė nuoroda</t>
        </is>
      </c>
      <c r="K17" s="357" t="inlineStr">
        <is>
          <t>Punkt wejścia do taksonomii:</t>
        </is>
      </c>
      <c r="L17" s="357" t="inlineStr">
        <is>
          <t>Ponto de entrada na taxonomia:</t>
        </is>
      </c>
      <c r="M17" s="357" t="inlineStr">
        <is>
          <t>Punto de entrada a la taxonomía:</t>
        </is>
      </c>
    </row>
    <row r="18">
      <c r="A18" s="563" t="inlineStr">
        <is>
          <t>template_label_select_template_display_language</t>
        </is>
      </c>
      <c r="B18" s="461">
        <f>INDEX(C18:M18,MATCH(template_selected_display_language,$C$3:$M$3,0))</f>
        <v/>
      </c>
      <c r="C18" s="357" t="inlineStr">
        <is>
          <t>Select Template Display Language:</t>
        </is>
      </c>
      <c r="D18" s="563" t="inlineStr">
        <is>
          <t>Vælg sprog for skabelonvisning:</t>
        </is>
      </c>
      <c r="E18" s="563" t="inlineStr">
        <is>
          <t>Selecteer de weergavetaal van de template:</t>
        </is>
      </c>
      <c r="F18" s="563" t="inlineStr">
        <is>
          <t>Sélectionnez la langue d'affichage :</t>
        </is>
      </c>
      <c r="G18" s="366" t="inlineStr">
        <is>
          <t>Sprachauswahl:</t>
        </is>
      </c>
      <c r="H18" s="366" t="inlineStr">
        <is>
          <t>Roghnaigh Teanga Taispeána Teimpléad:</t>
        </is>
      </c>
      <c r="I18" s="2" t="inlineStr">
        <is>
          <t>Seleziona la lingua di visualizzazione del modello:</t>
        </is>
      </c>
      <c r="J18" s="357" t="inlineStr">
        <is>
          <t>Pasirinkite šablono rodymo kalbą:</t>
        </is>
      </c>
      <c r="K18" s="357" t="inlineStr">
        <is>
          <t>Wybierz język wyświetlania szablonu:</t>
        </is>
      </c>
      <c r="L18" s="357" t="inlineStr">
        <is>
          <t>Selecionar idioma de exibição do modelo:</t>
        </is>
      </c>
      <c r="M18" s="357" t="inlineStr">
        <is>
          <t>Seleccionar el idioma de visualización de la plantilla:</t>
        </is>
      </c>
    </row>
    <row r="19">
      <c r="A19" s="563" t="inlineStr">
        <is>
          <t>template_label_title_of_report</t>
        </is>
      </c>
      <c r="B19" s="461">
        <f>INDEX(C19:M19,MATCH(template_selected_display_language,$C$3:$M$3,0))</f>
        <v/>
      </c>
      <c r="C19" s="357" t="inlineStr">
        <is>
          <t>Main title of the report</t>
        </is>
      </c>
      <c r="D19" s="563" t="inlineStr">
        <is>
          <t xml:space="preserve">Rapportens hovedtitel </t>
        </is>
      </c>
      <c r="E19" s="563" t="inlineStr">
        <is>
          <t>Hoofdtitel van het rapport</t>
        </is>
      </c>
      <c r="F19" s="563" t="inlineStr">
        <is>
          <t>Titre du rapport</t>
        </is>
      </c>
      <c r="G19" s="366" t="inlineStr">
        <is>
          <t>Überschrift des Berichts</t>
        </is>
      </c>
      <c r="H19" s="366" t="inlineStr">
        <is>
          <t>Príomhtheideal na tuarascála</t>
        </is>
      </c>
      <c r="I19" s="2" t="inlineStr">
        <is>
          <t>Titolo principale della relazione</t>
        </is>
      </c>
      <c r="J19" s="357" t="inlineStr">
        <is>
          <t>Pagrindinis ataskaitos pavadinimas</t>
        </is>
      </c>
      <c r="K19" s="357" t="inlineStr">
        <is>
          <t>Główny tytuł sprawozdania</t>
        </is>
      </c>
      <c r="L19" s="357" t="inlineStr">
        <is>
          <t>Título principal do relatório</t>
        </is>
      </c>
      <c r="M19" s="357" t="inlineStr">
        <is>
          <t>Título principal del informe</t>
        </is>
      </c>
    </row>
    <row r="20" ht="43.2" customHeight="1">
      <c r="A20" s="563" t="inlineStr">
        <is>
          <t>template_label_main_title_of_report_text</t>
        </is>
      </c>
      <c r="B20" s="461">
        <f>INDEX(C20:M20,MATCH(template_selected_display_language,$C$3:$M$3,0))</f>
        <v/>
      </c>
      <c r="C20" s="357" t="inlineStr">
        <is>
          <t xml:space="preserve">Sustainability Report </t>
        </is>
      </c>
      <c r="D20" s="563" t="inlineStr">
        <is>
          <t>Bæredygtighedsrapport</t>
        </is>
      </c>
      <c r="E20" s="563" t="inlineStr">
        <is>
          <t>Duurzaamheidsrapportering</t>
        </is>
      </c>
      <c r="F20" s="563" t="inlineStr">
        <is>
          <t>Rapport de durabilité</t>
        </is>
      </c>
      <c r="G20" s="366" t="inlineStr">
        <is>
          <t>Nachhaltigkeitsbericht</t>
        </is>
      </c>
      <c r="H20" s="366" t="inlineStr">
        <is>
          <t>Tuarascáil Inbhuanaitheachta</t>
        </is>
      </c>
      <c r="I20" s="2" t="inlineStr">
        <is>
          <t xml:space="preserve">Relazione sulla sostenibilità
</t>
        </is>
      </c>
      <c r="J20" s="357" t="inlineStr">
        <is>
          <t>Tvarumo ataskaita</t>
        </is>
      </c>
      <c r="K20" s="357" t="inlineStr">
        <is>
          <t>Sprawozdanie w zakresie zrównoważonego rozwoju</t>
        </is>
      </c>
      <c r="L20" s="357" t="inlineStr">
        <is>
          <t>Relatório de Sustentabilidade</t>
        </is>
      </c>
      <c r="M20" s="357" t="inlineStr">
        <is>
          <t>Informe de Sostenibilidad</t>
        </is>
      </c>
    </row>
    <row r="21" ht="43.2" customHeight="1">
      <c r="A21" s="563" t="inlineStr">
        <is>
          <t>template_label_subtitle_of_report</t>
        </is>
      </c>
      <c r="B21" s="461">
        <f>INDEX(C21:M21,MATCH(template_selected_display_language,$C$3:$M$3,0))</f>
        <v/>
      </c>
      <c r="C21" s="357" t="inlineStr">
        <is>
          <t>Subtitle of the report</t>
        </is>
      </c>
      <c r="D21" s="563" t="inlineStr">
        <is>
          <t>Rapportens undertitel</t>
        </is>
      </c>
      <c r="E21" s="563" t="inlineStr">
        <is>
          <t>Ondertitel van het rapport</t>
        </is>
      </c>
      <c r="F21" s="563" t="inlineStr">
        <is>
          <t>Sous-titre du rapport</t>
        </is>
      </c>
      <c r="G21" s="366" t="inlineStr">
        <is>
          <t>Untertitel des Berichts</t>
        </is>
      </c>
      <c r="H21" s="366" t="inlineStr">
        <is>
          <t>Fotheideal na tuarascála</t>
        </is>
      </c>
      <c r="I21" s="2" t="inlineStr">
        <is>
          <t xml:space="preserve">Sottotitolo della relazione
</t>
        </is>
      </c>
      <c r="J21" s="357" t="inlineStr">
        <is>
          <t>Ataskaitos antraštė</t>
        </is>
      </c>
      <c r="K21" s="357" t="inlineStr">
        <is>
          <t>Podtytuł sprawozdania</t>
        </is>
      </c>
      <c r="L21" s="357" t="inlineStr">
        <is>
          <t>Subtítulo do relatório</t>
        </is>
      </c>
      <c r="M21" s="357" t="inlineStr">
        <is>
          <t xml:space="preserve">Subtítulo del informe
</t>
        </is>
      </c>
    </row>
    <row r="22" ht="72" customHeight="1">
      <c r="A22" s="563" t="inlineStr">
        <is>
          <t>template_label_subtitle_of_report_text</t>
        </is>
      </c>
      <c r="B22" s="461">
        <f>INDEX(C22:M22,MATCH(template_selected_display_language,$C$3:$M$3,0))</f>
        <v/>
      </c>
      <c r="C22" s="357" t="inlineStr">
        <is>
          <t>Prepared in accordance with the Voluntary Sustainability Reporting Standard for small and medium-sized undertakings (VSME), released by the European Commission on 30 July 2025.</t>
        </is>
      </c>
      <c r="D22" s="563" t="inlineStr">
        <is>
          <t>Udarbejdet i overensstemmelse med den frivillige standard for bæredygtighedsrapportering for ikke-børsnoterede SMV'er (VSME), udgivet af Europa-Kommissionen den 30. juli 2025.</t>
        </is>
      </c>
      <c r="E22" s="563" t="inlineStr">
        <is>
          <t>Opgesteld in overeenstemming met de vrijwillige duurzaamheidsrapportagestandaard voor niet-beursgenoteerde kleine en middelgrote ondernemingen (VSME), uitgebracht door de Europese Commissie op 30 juli 2025.</t>
        </is>
      </c>
      <c r="F22" s="563" t="inlineStr">
        <is>
          <t>Préparé conformément à la norme volontaire d’information en matière de durabilité pour les petites et moyennes entreprises (VSME), publiée par la Commission européenne le 30 juillet 2025</t>
        </is>
      </c>
      <c r="G22" s="366" t="inlineStr">
        <is>
          <t>Erstellt gemäß dem Standard für die freiwillige Nachhaltigkeitsberichterstattung kleiner und mittlerer 
Unternehmen (VSME), veröffentlicht durch die Europäische Kommission am 30. Juli 2025.</t>
        </is>
      </c>
      <c r="H22" s="366" t="inlineStr">
        <is>
          <t>Ullmhaithe i gcomhréir leis an gCaighdeán Deonach um Thuairisciú Inbhuanaitheachta do FBManna Neamhliostaithe (VSME), a d'eisigh an Coimisiún Eorpach an 30 Iúil 2025.</t>
        </is>
      </c>
      <c r="I22" s="2" t="inlineStr">
        <is>
          <t>Redatto in conformità al principio volontario di rendicontazione di sostenibilità per le piccole e medie imprese (PMI) non quotate (VSME), pubblicato dalla Commissione Europea il 30 luglio 2025.</t>
        </is>
      </c>
      <c r="J22" s="357" t="inlineStr">
        <is>
          <t>Parengta laikantis Neįtrauktų į biržos sąrašą mažųjų ir vidutinių įmonių savanoriškojo tvarumo ataskaitų teikimo standarto (VSME), kurį 2025 m. liepos 30 d. paskelbė Europos Komisija.</t>
        </is>
      </c>
      <c r="K22" s="357" t="inlineStr">
        <is>
          <t>Przygotowano zgodnie z Dobrowolnym Standardem Sprawozdawczości Zrównoważonego Rozwoju dla małych i średnich przedsiębiorstw (VSME), opublikowanym przez Komisję Europejską w dniu 30 lipca 2025 r.</t>
        </is>
      </c>
      <c r="L22" s="357" t="inlineStr">
        <is>
          <t>Elaborado de acordo com o modelo de Relato de Sustentabilidade Voluntário para as pequenas e médias 
empresas (VSME), divulgado pela Comissão Europeia em 30 de julho de 2025.</t>
        </is>
      </c>
      <c r="M22" s="357" t="inlineStr">
        <is>
          <t>Preparado de conformidad con la Norma Voluntaria de Información sobre Sostenibilidad para pequeñas y medianas empresas (VSME), publicada por la Comisión Europea el 30 de julio de 2025.</t>
        </is>
      </c>
    </row>
    <row r="23">
      <c r="A23" s="563" t="inlineStr">
        <is>
          <t>template_label_vsme_digital_template</t>
        </is>
      </c>
      <c r="B23" s="461">
        <f>INDEX(C23:M23,MATCH(template_selected_display_language,$C$3:$M$3,0))</f>
        <v/>
      </c>
      <c r="C23" s="357" t="inlineStr">
        <is>
          <t>VSME Digital Template</t>
        </is>
      </c>
      <c r="D23" s="563" t="inlineStr">
        <is>
          <t>VSME Digital Skabelon</t>
        </is>
      </c>
      <c r="E23" s="563" t="inlineStr">
        <is>
          <t>VSME Digitaal Sjabloon</t>
        </is>
      </c>
      <c r="F23" s="563" t="inlineStr">
        <is>
          <t>Format numérique VSME</t>
        </is>
      </c>
      <c r="G23" s="366" t="inlineStr">
        <is>
          <t>Digitale VSME-Vorlage</t>
        </is>
      </c>
      <c r="H23" s="366" t="inlineStr">
        <is>
          <t>Teimpléad Digiteach VSME</t>
        </is>
      </c>
      <c r="I23" s="2" t="inlineStr">
        <is>
          <t>Modello Digitale VSME</t>
        </is>
      </c>
      <c r="J23" s="357" t="inlineStr">
        <is>
          <t>VSME Skaitmeninis šablonas</t>
        </is>
      </c>
      <c r="K23" s="357" t="inlineStr">
        <is>
          <t>Elektroniczny szablon VSME</t>
        </is>
      </c>
      <c r="L23" s="357" t="inlineStr">
        <is>
          <t>Modelo Digital VSME</t>
        </is>
      </c>
      <c r="M23" s="357" t="inlineStr">
        <is>
          <t>Plantilla Digital VSME</t>
        </is>
      </c>
    </row>
    <row r="24" ht="164.4" customHeight="1">
      <c r="A24" s="563" t="inlineStr">
        <is>
          <t>template_label_the_purpose_of_this_digital_template_is_to_illustrate_how_vsme_reporting_can_be_implemented_in_a_digital_template</t>
        </is>
      </c>
      <c r="B24" s="461">
        <f>INDEX(C24:M24,MATCH(template_selected_display_language,$C$3:$M$3,0))</f>
        <v/>
      </c>
      <c r="C24" s="357"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563" t="inlineStr">
        <is>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is>
      </c>
      <c r="E24" s="563" t="inlineStr">
        <is>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is>
      </c>
      <c r="F24" s="563" t="inlineStr">
        <is>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is>
      </c>
      <c r="G24" s="366" t="inlineStr">
        <is>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is>
      </c>
      <c r="H24" s="366" t="inlineStr">
        <is>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is>
      </c>
      <c r="I24" s="2" t="inlineStr">
        <is>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is>
      </c>
      <c r="J24" s="357"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K24" s="357"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L24" s="357"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M24" s="357"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563" t="inlineStr">
        <is>
          <t>template_label_how_to_use_it</t>
        </is>
      </c>
      <c r="B25" s="461">
        <f>INDEX(C25:M25,MATCH(template_selected_display_language,$C$3:$M$3,0))</f>
        <v/>
      </c>
      <c r="C25" s="357" t="inlineStr">
        <is>
          <t>How to use it:</t>
        </is>
      </c>
      <c r="D25" s="563" t="inlineStr">
        <is>
          <t>Sådan bruges den:</t>
        </is>
      </c>
      <c r="E25" s="563" t="inlineStr">
        <is>
          <t>Hoe te gebruiken:</t>
        </is>
      </c>
      <c r="F25" s="563" t="inlineStr">
        <is>
          <t>Comment l'utiliser :</t>
        </is>
      </c>
      <c r="G25" s="366" t="inlineStr">
        <is>
          <t>Anleitung:</t>
        </is>
      </c>
      <c r="H25" s="366" t="inlineStr">
        <is>
          <t>Conas é a úsáid:</t>
        </is>
      </c>
      <c r="I25" s="2" t="inlineStr">
        <is>
          <t>Come usarlo:</t>
        </is>
      </c>
      <c r="J25" s="357" t="inlineStr">
        <is>
          <t>Kaip tai naudoti:</t>
        </is>
      </c>
      <c r="K25" s="357" t="inlineStr">
        <is>
          <t>Jak korzystać:</t>
        </is>
      </c>
      <c r="L25" s="357" t="inlineStr">
        <is>
          <t>Como usar:</t>
        </is>
      </c>
      <c r="M25" s="357" t="inlineStr">
        <is>
          <t>Cómo utilizarlo:</t>
        </is>
      </c>
    </row>
    <row r="26" ht="28.8" customHeight="1">
      <c r="A26" s="563" t="inlineStr">
        <is>
          <t>template_label_0_provide_information_that_is_mandatory_in_order_to_generate_the_vsme_and_xbrl_report</t>
        </is>
      </c>
      <c r="B26" s="461">
        <f>INDEX(C26:M26,MATCH(template_selected_display_language,$C$3:$M$3,0))</f>
        <v/>
      </c>
      <c r="C26" s="357" t="inlineStr">
        <is>
          <t>0. Provide information that is mandatory in order to generate the VSME and XBRL Report.</t>
        </is>
      </c>
      <c r="D26" s="563" t="inlineStr">
        <is>
          <t>0. Indtast de obligatoriske oplysninger for at kunne generere VSME- og XBRL-rapport</t>
        </is>
      </c>
      <c r="E26" s="563" t="inlineStr">
        <is>
          <t>0. Verstrek informatie die verplicht is om het VSME- en XBRL-rapport te genereren.</t>
        </is>
      </c>
      <c r="F26" s="563" t="inlineStr">
        <is>
          <t>0. Fournissez les informations obligatoires pour générer le rapport VSME et XBRL.</t>
        </is>
      </c>
      <c r="G26" s="366" t="inlineStr">
        <is>
          <t>0. Geben Sie die Informationen an, die für die Erstellung des VSME- und XBRL-Berichts verpflichtend anzugeben sind.</t>
        </is>
      </c>
      <c r="H26" s="366" t="inlineStr">
        <is>
          <t>0. Faisnéis atá éigeantach a sholáthar chun an Tuarascáil VSME agus XBRL a ghiniúint.</t>
        </is>
      </c>
      <c r="I26" s="2" t="inlineStr">
        <is>
          <t>0. Fornire le informazioni obbligatorie per poter generare la rendicontazione VSME e XBRL.</t>
        </is>
      </c>
      <c r="J26" s="357" t="inlineStr">
        <is>
          <t>0. Pateikite informaciją, kuri yra privaloma norint sukurti VSME ir XBRL ataskaitą.</t>
        </is>
      </c>
      <c r="K26" s="357" t="inlineStr">
        <is>
          <t>0. Dostarcz informacje, które są obowiązkowe do wygenerowania sprawozdania VSME i XBRL.</t>
        </is>
      </c>
      <c r="L26" s="357" t="inlineStr">
        <is>
          <t>0. Forneça as informações que são obrigatórias para gerar o Relatório VSME e XBRL.</t>
        </is>
      </c>
      <c r="M26" s="357" t="inlineStr">
        <is>
          <t>0. Proporcione la información que es obligatoria para generar el informe VSME y XBRL.</t>
        </is>
      </c>
    </row>
    <row r="27" ht="129.6" customHeight="1">
      <c r="A27" s="563" t="inlineStr">
        <is>
          <t>template_label_1_fill_in_the_disclosures_on_the_four_worksheets</t>
        </is>
      </c>
      <c r="B27" s="461">
        <f>INDEX(C27:M27,MATCH(template_selected_display_language,$C$3:$M$3,0))</f>
        <v/>
      </c>
      <c r="C27" s="357"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563" t="inlineStr">
        <is>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is>
      </c>
      <c r="E27" s="563" t="inlineStr">
        <is>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is>
      </c>
      <c r="F27" s="563" t="inlineStr">
        <is>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is>
      </c>
      <c r="G27" s="366" t="inlineStr">
        <is>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is>
      </c>
      <c r="H27" s="366" t="inlineStr">
        <is>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is>
      </c>
      <c r="I27" s="2" t="inlineStr">
        <is>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is>
      </c>
      <c r="J27" s="357"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K27" s="357"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L27" s="357"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M27" s="357"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ht="100.8" customHeight="1">
      <c r="A28" s="563" t="inlineStr">
        <is>
          <t>template_label_2_find_more_information_on_the_actual_disclosure_requirements_in_the_vsme_standard</t>
        </is>
      </c>
      <c r="B28" s="461">
        <f>INDEX(C28:M28,MATCH(template_selected_display_language,$C$3:$M$3,0))</f>
        <v/>
      </c>
      <c r="C28" s="357" t="inlineStr">
        <is>
          <t>2. Find more information on the actual disclosure requirements in the VSME Standard and the related guidance linked to each cell. Additional or entity-specific disclosures can be provided in each text box at the end of each worksheet.</t>
        </is>
      </c>
      <c r="D28" s="563" t="inlineStr">
        <is>
          <t>2. Find mere information om de faktiske oplysningskrav i VSME-standarden og den relaterede vejledning, der er knyttet til hver celle. Yderligere eller virksomheds-specifikke oplysninger kan gives i hver tekstboks i slutningen af hvert regneark.</t>
        </is>
      </c>
      <c r="E28" s="563" t="inlineStr">
        <is>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is>
      </c>
      <c r="F28" s="563" t="inlineStr">
        <is>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is>
      </c>
      <c r="G28" s="366" t="inlineStr">
        <is>
          <t>2. Weitere Informationen zu den tatsächlichen Angabepflichten finden sich im VSME-Standard sowie über die in den Zellen verlinkten Leitlinien. Zusätzliche oder unternehmensspezifische Angaben können in einem Textfeld am Ende jedes Excel-Arbeitsblatts gemacht werden.</t>
        </is>
      </c>
      <c r="H28" s="366" t="inlineStr">
        <is>
          <t>2. Faigh tuilleadh faisnéise faoi na ceanglais nochta iarbhír i gCaighdeán VSME agus sa treoir ghaolmhar atá nasctha le gach cill. Is féidir nochtadh breise nó eintiteas-shonrach a sholáthar i ngach bosca téacs ag deireadh gach bileog oibre.</t>
        </is>
      </c>
      <c r="I28" s="2" t="inlineStr">
        <is>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is>
      </c>
      <c r="J28" s="357"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K28" s="357"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L28" s="357"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M28" s="357"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ht="115.2" customHeight="1">
      <c r="A29" s="563" t="inlineStr">
        <is>
          <t>template_label_3_for_open_tables_like_the_list_of_subsidizers_sites_please_expand_the_groups_by_clicking_the_plus</t>
        </is>
      </c>
      <c r="B29" s="461">
        <f>INDEX(C29:M29,MATCH(template_selected_display_language,$C$3:$M$3,0))</f>
        <v/>
      </c>
      <c r="C29" s="357"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563" t="inlineStr">
        <is>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is>
      </c>
      <c r="E29" s="563" t="inlineStr">
        <is>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is>
      </c>
      <c r="F29" s="563" t="inlineStr">
        <is>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is>
      </c>
      <c r="G29" s="366" t="inlineStr">
        <is>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is>
      </c>
      <c r="H29" s="366" t="inlineStr">
        <is>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is>
      </c>
      <c r="I29" s="2" t="inlineStr">
        <is>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is>
      </c>
      <c r="J29" s="357"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K29" s="357"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L29" s="357"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M29" s="357"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ht="86.40000000000001" customHeight="1">
      <c r="A30" s="563" t="inlineStr">
        <is>
          <t>template_label_4_validate_the_data_entered_by_checking_the_validation_status</t>
        </is>
      </c>
      <c r="B30" s="461">
        <f>INDEX(C30:M30,MATCH(template_selected_display_language,$C$3:$M$3,0))</f>
        <v/>
      </c>
      <c r="C30" s="357" t="inlineStr">
        <is>
          <t>4. Validate the data entered by checking the validation status. The report is considered incomplete or erroneous if the validation fails, which might result in an invalid XBRL report.</t>
        </is>
      </c>
      <c r="D30" s="563" t="inlineStr">
        <is>
          <t>4. Valider de indtastede data ved at kontrollere valideringsstatus. Rapporten betragtes som ufuldstændig eller fejlagtig, hvis valideringen fejler, hvilket kan resultere i en ugyldig XBRL-rapport.</t>
        </is>
      </c>
      <c r="E30" s="563" t="inlineStr">
        <is>
          <t xml:space="preserve">Valideer de ingevoerde gegevens door de validatiestatus te controleren. Het rapport wordt als onvolledig of foutief beschouwd indien de validatie faalt, wat kan resulteren in een ongeldig XBRL-rapport. 
</t>
        </is>
      </c>
      <c r="F30" s="563" t="inlineStr">
        <is>
          <t>4. Validez les données saisies en vérifiant le statut de validation. Le rapport est considéré comme incomplet ou erroné si la validation échoue, ce qui peut entraîner la génération d’un rapport XBRL non valide.</t>
        </is>
      </c>
      <c r="G30" s="366" t="inlineStr">
        <is>
          <t xml:space="preserve">4. Eingegebene Daten können über den Validierungsstatus überprüft werden. Wenn die Validierung fehlschlägt, gilt der Bericht als unvollständig oder fehlerhaft. Dies kann zu einem ungültigen XBRL-Bericht führen. 
</t>
        </is>
      </c>
      <c r="H30" s="366" t="inlineStr">
        <is>
          <t>4. Bailíochtaigh na sonraí a iontráladh tríd an stádas bailíochtaithe a sheiceáil. Meastar go bhfuil an tuarascáil neamhiomlán nó earráideach má theipeann ar an mbailíochtú, rud a d'fhéadfadh tuarascáil XBRL neamhbhailí a bheith mar thoradh air.</t>
        </is>
      </c>
      <c r="I30" s="2" t="inlineStr">
        <is>
          <t>4. Convalidare i dati inseriti controllando lo stato di convalida. La relazione è considerata incompleta o errata se la convalida fallisce, il che potrebbe comportare una relazione XBRL non valida.</t>
        </is>
      </c>
      <c r="J30" s="357" t="inlineStr">
        <is>
          <t>4. Patvirtinkite įvestus duomenis, patikrindami patikros būseną.
Ataskaita bus laikoma neišsamia arba klaidinga, jei patikra nepavyks, o tai gali lemti netinkamą XBRL ataskaitą.</t>
        </is>
      </c>
      <c r="K30" s="357" t="inlineStr">
        <is>
          <t>4. Zweryfikuj wprowadzone dane, sprawdzając status walidacji. Sprawozdanie jest uznawane za niekompletne lub błędne, jeśli walidacja nie powiedzie się, co może skutkować nieprawidłowym sprawozdaniem XBRL.</t>
        </is>
      </c>
      <c r="L30" s="357" t="inlineStr">
        <is>
          <t>4. Validar os dados introduzidos, verificando o estado da validação. O relatório é considerado incompleto ou incorreto se a validação falhar, podendo resultar num relatório XBRL inválido.</t>
        </is>
      </c>
      <c r="M30" s="357" t="inlineStr">
        <is>
          <t>4. Valide los datos introducidos comprobando el estado de validación. Se considera que el informe está incompleto o contiene errores si la validación falla, lo que podría resultar en un informe XBRL no válido.</t>
        </is>
      </c>
    </row>
    <row r="31" ht="72" customHeight="1">
      <c r="A31" s="563" t="inlineStr">
        <is>
          <t>template_label_5_convert_this_template_to_an_inline_xbrl_report</t>
        </is>
      </c>
      <c r="B31" s="461">
        <f>INDEX(C31:M31,MATCH(template_selected_display_language,$C$3:$M$3,0))</f>
        <v/>
      </c>
      <c r="C31" s="357" t="inlineStr">
        <is>
          <t>5. Convert this template to an Inline XBRL report (or XBRL-JSON, XBRL-CSV), using the online converter: https://xbrl.efrag.org/convert/. Pay attention to the XBRL validation performed by the validator.</t>
        </is>
      </c>
      <c r="D31" s="563" t="inlineStr">
        <is>
          <t>5. Konverter denne skabelon til en Inline XBRL-rapport (eller XBRL-JSON, XBRL-CSV) ved brug af denne online-konverter: https://xbrl.efrag.org/convert/. Vær opmærksom på den XBRL-validering, der udføres af validatoren.</t>
        </is>
      </c>
      <c r="E31" s="563" t="inlineStr">
        <is>
          <t xml:space="preserve">Converteer dit sjabloon naar een Inline XBRL-rapport (of XBRL-JSON, XBRL-CSV) met behulp van deze online converter: https://xbrl.efrag.org/convert/. Let op de uitkomsten van de XBRL-validatie die door de validator wordt uitgevoerd. 
</t>
        </is>
      </c>
      <c r="F31" s="563" t="inlineStr">
        <is>
          <t>5. Convertissez ce format en rapport Inline XBRL (ou XBRL-JSON, XBRL-CSV), en utilisant le convertisseur en ligne: https://xbrl.efrag.org/convert/. Faites attention à la validation XBRL effectuée par l'outil de validation.</t>
        </is>
      </c>
      <c r="G31" s="366" t="inlineStr">
        <is>
          <t>5. Konvertieren Sie diese VSME-Vorlage mit dem Online-Konverter in einen Inline-XBRL-Bericht (oder XBRL-JSON, XBRL-CSV): https://xbrl.efrag.org/convert/. Achten Sie auf die vom Validator durchgeführte XBRL-Validierung.</t>
        </is>
      </c>
      <c r="H31" s="366" t="inlineStr">
        <is>
          <t>5. Tiontaigh an teimpléad seo go tuarascáil XBRL Inlíne (nó XBRL-JSON, XBRL-CSV), ag baint úsáide as an tiontaire ar líne: https://xbrl.efrag.org/convert/. Tabhair aird ar an mbailíochtú XBRL a dhéanann an bailíochtóir.</t>
        </is>
      </c>
      <c r="I31" s="2" t="inlineStr">
        <is>
          <t>5. Converti questo modello in una relazione Inline XBRL (o XBRL-JSON, XBRL-CSV), utilizzando questo convertitore online: https://xbrl.efrag.org/convert/. Presta attenzione alla validazione XBRL eseguita dal validatore.</t>
        </is>
      </c>
      <c r="J31" s="357" t="inlineStr">
        <is>
          <t>5. Šį šabloną konvertuokite į Inline XBRL ataskaitą (arba XBRL-JSON, XBRL-CSV), naudodami šį internetinį konvertavimo įrankį: https://xbrl.efrag.org/convert/. Atkreipkite dėmesį į XBRL patikros rezultatus, kuriuos pateikia tikrinimo įrankis.</t>
        </is>
      </c>
      <c r="K31" s="357" t="inlineStr">
        <is>
          <t>5. Przekonwertuj ten uzupełniony szablon na raport Inline XBRL (lub XBRL-JSON, XBRL-CSV) korzystając z konwertera online: https://xbrl.efrag.org/convert/. Zwróć uwagę na walidację XBRL przeprowadzaną przez walidator.</t>
        </is>
      </c>
      <c r="L31" s="357" t="inlineStr">
        <is>
          <t>5. Converta este modelo para um relatório Inline XBRL (ou XBRL-JSON, XBRL-CSV), utilizando el conversor online: https://xbrl.efrag.org/convert/. Esteja atento à validação XBRL efetuada pelo validador.</t>
        </is>
      </c>
      <c r="M31" s="357" t="inlineStr">
        <is>
          <t>5. Convierte esta plantilla en un informe Inline XBRL (o XBRL-JSON, XBRL-CSV) utilizando el convertidor en línea: https://xbrl.efrag.org/convert/. Presta atención a la validación XBRL realizada por el validador.</t>
        </is>
      </c>
    </row>
    <row r="32" ht="28.8" customHeight="1">
      <c r="A32" s="563" t="inlineStr">
        <is>
          <t>template_label_6_the_undertaking_may_also_upload_the_report_to_public_repositories_or_a_webpage</t>
        </is>
      </c>
      <c r="B32" s="461">
        <f>INDEX(C32:M32,MATCH(template_selected_display_language,$C$3:$M$3,0))</f>
        <v/>
      </c>
      <c r="C32" s="357" t="inlineStr">
        <is>
          <t>6. The undertaking may also upload the report to public repositories or a webpage.</t>
        </is>
      </c>
      <c r="D32" s="563" t="inlineStr">
        <is>
          <t>6. Virksomheden kan også uploade rapporten til offentlige arkiver eller en webside.</t>
        </is>
      </c>
      <c r="E32" s="563" t="inlineStr">
        <is>
          <t>De onderneming mag het rapport ook uploaden naar openbare databases of een webpagina.</t>
        </is>
      </c>
      <c r="F32" s="563" t="inlineStr">
        <is>
          <t>6. L'entreprise peut aussi télécharger le rapport dans des registres publics en ligne ou sur une page web</t>
        </is>
      </c>
      <c r="G32" s="366" t="inlineStr">
        <is>
          <t xml:space="preserve">6. Das Unternehmen kann den Bericht auch in öffentlichen Archiven oder auf einer Webseite hochladen. </t>
        </is>
      </c>
      <c r="H32" s="366" t="inlineStr">
        <is>
          <t>6. Féadfaidh an gnóthas an tuarascáil a uaslódáil freisin chuig stórtha poiblí nó ar leathanach gréasáin.</t>
        </is>
      </c>
      <c r="I32" s="2" t="inlineStr">
        <is>
          <t>6. L'impresa può inoltre caricare la relazione su archivi pubblici o su una pagina web.</t>
        </is>
      </c>
      <c r="J32" s="357" t="inlineStr">
        <is>
          <t>6. Įmonė taip pat gali įkelti ataskaitą į viešai prieinamas saugyklas arba interneto svetainę.</t>
        </is>
      </c>
      <c r="K32" s="357" t="inlineStr">
        <is>
          <t xml:space="preserve">6. Jednostka może również umieścić sprawozdanie w publicznych repozytoriach lub na stronie nternetowej. </t>
        </is>
      </c>
      <c r="L32" s="357" t="inlineStr">
        <is>
          <t>6. A empresa também pode carregar o relatório em repositórios públicos ou numa página web.</t>
        </is>
      </c>
      <c r="M32" s="357" t="inlineStr">
        <is>
          <t>6. El empresario también podrá subir el informe a repositorios públicos o a una página web.</t>
        </is>
      </c>
    </row>
    <row r="33" ht="28.8" customHeight="1">
      <c r="A33" s="563" t="inlineStr">
        <is>
          <t>template_label_cell_background_color_index</t>
        </is>
      </c>
      <c r="B33" s="461">
        <f>INDEX(C33:M33,MATCH(template_selected_display_language,$C$3:$M$3,0))</f>
        <v/>
      </c>
      <c r="C33" s="357" t="inlineStr">
        <is>
          <t>Cell background color index:</t>
        </is>
      </c>
      <c r="D33" s="563" t="inlineStr">
        <is>
          <t>Farveindeks for cellebaggrund:</t>
        </is>
      </c>
      <c r="E33" s="563" t="inlineStr">
        <is>
          <t>Cel achtergrondkleurindex:</t>
        </is>
      </c>
      <c r="F33" s="563" t="inlineStr">
        <is>
          <t>Légende couleur des cellules :</t>
        </is>
      </c>
      <c r="G33" s="366" t="inlineStr">
        <is>
          <t>Die Hintergrundfarben der Zellen haben folgende Bedeutungen:</t>
        </is>
      </c>
      <c r="H33" s="366" t="inlineStr">
        <is>
          <t>Innéacs dath cúlra na cille:</t>
        </is>
      </c>
      <c r="I33" s="2" t="inlineStr">
        <is>
          <t>Indice colore dello sfondo della cella:</t>
        </is>
      </c>
      <c r="J33" s="357" t="inlineStr">
        <is>
          <t>Langelio fono spalvos indeksas:</t>
        </is>
      </c>
      <c r="K33" s="357" t="inlineStr">
        <is>
          <t>Indeks koloru tła komórki:</t>
        </is>
      </c>
      <c r="L33" s="357" t="inlineStr">
        <is>
          <t>Índice da cor de fundo da célula:</t>
        </is>
      </c>
      <c r="M33" s="357" t="inlineStr">
        <is>
          <t>Índice de color de fondo de celda:</t>
        </is>
      </c>
    </row>
    <row r="34" ht="43.2" customHeight="1">
      <c r="A34" s="563" t="inlineStr">
        <is>
          <t>template_label_general_principles</t>
        </is>
      </c>
      <c r="B34" s="461">
        <f>INDEX(C34:M34,MATCH(template_selected_display_language,$C$3:$M$3,0))</f>
        <v/>
      </c>
      <c r="C34" s="357" t="inlineStr">
        <is>
          <t>General Principles</t>
        </is>
      </c>
      <c r="D34" s="563" t="inlineStr">
        <is>
          <t>Generelle principper</t>
        </is>
      </c>
      <c r="E34" s="563" t="inlineStr">
        <is>
          <t>Algemene vereisten</t>
        </is>
      </c>
      <c r="F34" s="563" t="inlineStr">
        <is>
          <t>Principes généraux</t>
        </is>
      </c>
      <c r="G34" s="366" t="inlineStr">
        <is>
          <t>Allgemeine Grundsätze</t>
        </is>
      </c>
      <c r="H34" s="366" t="inlineStr">
        <is>
          <t>Prionsabail Ghinearálta</t>
        </is>
      </c>
      <c r="I34" s="2" t="inlineStr">
        <is>
          <t>Principi Generali</t>
        </is>
      </c>
      <c r="J34" s="357" t="inlineStr">
        <is>
          <t>Bendrieji principai</t>
        </is>
      </c>
      <c r="K34" s="357" t="inlineStr">
        <is>
          <t>Zasady ogólne</t>
        </is>
      </c>
      <c r="L34" s="357" t="inlineStr">
        <is>
          <t>Princípios Gerais</t>
        </is>
      </c>
      <c r="M34" s="357" t="inlineStr">
        <is>
          <t xml:space="preserve">Principios generales
</t>
        </is>
      </c>
    </row>
    <row r="35" ht="28.8" customHeight="1">
      <c r="A35" s="563" t="inlineStr">
        <is>
          <t>template_label_indicates_that_the_disclosure_is_from_the_general_principles_of_the_vsme</t>
        </is>
      </c>
      <c r="B35" s="461">
        <f>INDEX(C35:M35,MATCH(template_selected_display_language,$C$3:$M$3,0))</f>
        <v/>
      </c>
      <c r="C35" s="357" t="inlineStr">
        <is>
          <t>Indicates that the disclosure is from the general principles of the VSME.</t>
        </is>
      </c>
      <c r="D35" s="563" t="inlineStr">
        <is>
          <t>Angiver, at oplysningerne stammer fra de generelle principper for VSME.</t>
        </is>
      </c>
      <c r="E35" s="563" t="inlineStr">
        <is>
          <t>Geeft aan dat de  rapportage afkomstig is van de algemene  vereisten van de VSME.</t>
        </is>
      </c>
      <c r="F35" s="563" t="inlineStr">
        <is>
          <t>Indique que la divulgation relève des principes généraux de VSME</t>
        </is>
      </c>
      <c r="G35" s="366" t="inlineStr">
        <is>
          <t>Bedeutet, dass die Angabe sich auf die allgemeinen Grundsätze des VSME bezieht.</t>
        </is>
      </c>
      <c r="H35" s="366" t="inlineStr">
        <is>
          <t>Tugann sé le fios go bhfuil an nochtadh ó phrionsabail ghinearálta an VSME.</t>
        </is>
      </c>
      <c r="I35" s="2" t="inlineStr">
        <is>
          <t>Indica che l'informativa proviene dai principi generali del VSME.</t>
        </is>
      </c>
      <c r="J35" s="357" t="inlineStr">
        <is>
          <t xml:space="preserve">Nurodo, kad atskleidimas yra iš VSME bendrųjų principų. 
</t>
        </is>
      </c>
      <c r="K35" s="357" t="inlineStr">
        <is>
          <t>Wskazuje, że ujawnienie informacji pochodzi z ogólnych zasad VSME.</t>
        </is>
      </c>
      <c r="L35" s="357" t="inlineStr">
        <is>
          <t>Indica que a divulgação se baseia nos princípios gerais do VSME.</t>
        </is>
      </c>
      <c r="M35" s="357" t="inlineStr">
        <is>
          <t>Indica que la divulgación proviene de los principios generales del VSME.</t>
        </is>
      </c>
    </row>
    <row r="36">
      <c r="A36" s="563" t="inlineStr">
        <is>
          <t>template_label_basic_module</t>
        </is>
      </c>
      <c r="B36" s="461">
        <f>INDEX(C36:M36,MATCH(template_selected_display_language,$C$3:$M$3,0))</f>
        <v/>
      </c>
      <c r="C36" s="357" t="inlineStr">
        <is>
          <t>Basic Module</t>
        </is>
      </c>
      <c r="D36" s="563" t="inlineStr">
        <is>
          <t xml:space="preserve">Basismondul </t>
        </is>
      </c>
      <c r="E36" s="563" t="inlineStr">
        <is>
          <t>Basismodule</t>
        </is>
      </c>
      <c r="F36" s="563" t="inlineStr">
        <is>
          <t>Indique que la divulgation provient du module de base VSME.</t>
        </is>
      </c>
      <c r="G36" s="366" t="inlineStr">
        <is>
          <t>Basismodul</t>
        </is>
      </c>
      <c r="H36" s="366" t="inlineStr">
        <is>
          <t>Modúl Bunúsach</t>
        </is>
      </c>
      <c r="I36" s="2" t="inlineStr">
        <is>
          <t>Modulo base</t>
        </is>
      </c>
      <c r="J36" s="357" t="inlineStr">
        <is>
          <t>Bazinis modulis</t>
        </is>
      </c>
      <c r="K36" s="357" t="inlineStr">
        <is>
          <t>Moduł podstawowy</t>
        </is>
      </c>
      <c r="L36" s="357" t="inlineStr">
        <is>
          <t>Módulo de base</t>
        </is>
      </c>
      <c r="M36" s="357" t="inlineStr">
        <is>
          <t>Módulo básico</t>
        </is>
      </c>
    </row>
    <row r="37" ht="28.8" customHeight="1">
      <c r="A37" s="563" t="inlineStr">
        <is>
          <t>template_label_indicates_that_the_disclosure_is_from_the_vsme_basic_module</t>
        </is>
      </c>
      <c r="B37" s="461">
        <f>INDEX(C37:M37,MATCH(template_selected_display_language,$C$3:$M$3,0))</f>
        <v/>
      </c>
      <c r="C37" s="357" t="inlineStr">
        <is>
          <t>Indicates that the disclosure is from the VSME Basic Module.</t>
        </is>
      </c>
      <c r="D37" s="563" t="inlineStr">
        <is>
          <t>Angiver, at oplysningen stammer fra basismodulet i VSME.</t>
        </is>
      </c>
      <c r="E37" s="563" t="inlineStr">
        <is>
          <t>Geeft aan dat de  rapportage afkomstig is van de VSME basismodule.</t>
        </is>
      </c>
      <c r="F37" s="563" t="inlineStr">
        <is>
          <t>Module complet</t>
        </is>
      </c>
      <c r="G37" s="366" t="inlineStr">
        <is>
          <t>Bedeutet, dass die Angabe aus dem VSME-Basismodul stammt.</t>
        </is>
      </c>
      <c r="H37" s="366" t="inlineStr">
        <is>
          <t>Léiríonn sé go bhfuil an nochtadh ón Modúl Bunúsach VSME.</t>
        </is>
      </c>
      <c r="I37" s="2" t="inlineStr">
        <is>
          <t>Indica che l'informativa proviene dal Modulo base del VSME.</t>
        </is>
      </c>
      <c r="J37" s="357" t="inlineStr">
        <is>
          <t>Nurodo, kad atskleidimas pateiktas pagal VSME pagrindinį modulį.</t>
        </is>
      </c>
      <c r="K37" s="357" t="inlineStr">
        <is>
          <t>Wskazuje, że ujawnienie pochodzi z modułu podstawowego VSME.</t>
        </is>
      </c>
      <c r="L37" s="357" t="inlineStr">
        <is>
          <t>Indica que a divulgação é proveniente do Módulo Básico VSME.</t>
        </is>
      </c>
      <c r="M37" s="357" t="inlineStr">
        <is>
          <t>Indica que la divulgación proviene del Módulo Básico VSME.</t>
        </is>
      </c>
    </row>
    <row r="38" ht="28.8" customHeight="1">
      <c r="A38" s="563" t="inlineStr">
        <is>
          <t>template_label_comprehensive_module</t>
        </is>
      </c>
      <c r="B38" s="461">
        <f>INDEX(C38:M38,MATCH(template_selected_display_language,$C$3:$M$3,0))</f>
        <v/>
      </c>
      <c r="C38" s="357" t="inlineStr">
        <is>
          <t>Comprehensive Module</t>
        </is>
      </c>
      <c r="D38" s="563" t="inlineStr">
        <is>
          <t>Udvidet modul</t>
        </is>
      </c>
      <c r="E38" s="563" t="inlineStr">
        <is>
          <t>Uitgebreide module</t>
        </is>
      </c>
      <c r="F38" s="563" t="inlineStr">
        <is>
          <t>Indique que la divulgation provient du module complet VSME.</t>
        </is>
      </c>
      <c r="G38" s="366" t="inlineStr">
        <is>
          <t>Zusatzmodul</t>
        </is>
      </c>
      <c r="H38" s="366" t="inlineStr">
        <is>
          <t>Modúl Cuimsitheach</t>
        </is>
      </c>
      <c r="I38" s="2" t="inlineStr">
        <is>
          <t>Modulo Onnicomprensivo</t>
        </is>
      </c>
      <c r="J38" s="357" t="inlineStr">
        <is>
          <t>Išsamusis modulis</t>
        </is>
      </c>
      <c r="K38" s="357" t="inlineStr">
        <is>
          <t>Moduł kompleksowy</t>
        </is>
      </c>
      <c r="L38" s="357" t="inlineStr">
        <is>
          <t>Indica que a divulgação é proveniente do Módulo Básico VSME.</t>
        </is>
      </c>
      <c r="M38" s="357" t="inlineStr">
        <is>
          <t>Módulo completo</t>
        </is>
      </c>
    </row>
    <row r="39" ht="28.8" customHeight="1">
      <c r="A39" s="563" t="inlineStr">
        <is>
          <t>template_label_indicates_that_the_disclosure_is_from_the_vsme_comprehensive_module</t>
        </is>
      </c>
      <c r="B39" s="461">
        <f>INDEX(C39:M39,MATCH(template_selected_display_language,$C$3:$M$3,0))</f>
        <v/>
      </c>
      <c r="C39" s="357" t="inlineStr">
        <is>
          <t>Indicates that the disclosure is from the VSME Comprehensive Module.</t>
        </is>
      </c>
      <c r="D39" s="563" t="inlineStr">
        <is>
          <t>Angiver, at oplysningen stammer fra det udvidede modul i VSME.</t>
        </is>
      </c>
      <c r="E39" s="563" t="inlineStr">
        <is>
          <t>Geeft aan dat de  rapportage afkomstig is uit de VSME uitgebreide module.</t>
        </is>
      </c>
      <c r="F39" s="563" t="inlineStr">
        <is>
          <t>Indique que la cellule est calculée automatiquement et qu’aucune saisie de données n’est requise.</t>
        </is>
      </c>
      <c r="G39" s="366" t="inlineStr">
        <is>
          <t>Bedeutet, dass die Angabe aus dem VSME-Zusatzmodul stammt.</t>
        </is>
      </c>
      <c r="H39" s="366" t="inlineStr">
        <is>
          <t>Tugann sé le fios go bhfuil an nochtadh ón Modúl Cuimsitheach VSME.</t>
        </is>
      </c>
      <c r="I39" s="2" t="inlineStr">
        <is>
          <t>Indica che l'informativa proviene dal Modulo Onnicomprensivo del VSME.</t>
        </is>
      </c>
      <c r="J39" s="357" t="inlineStr">
        <is>
          <t>Nurodo, kad atskleidimas pateikiamas pagal VSME Išsamųjį modulį.</t>
        </is>
      </c>
      <c r="K39" s="357" t="inlineStr">
        <is>
          <t>Wskazuje, że ujawnienie pochodzi z modułu kompleksowego VSME.</t>
        </is>
      </c>
      <c r="L39" s="357" t="inlineStr">
        <is>
          <t>Indica que a divulgação é proveniente do Módulo Básico VSME.</t>
        </is>
      </c>
      <c r="M39" s="357" t="inlineStr">
        <is>
          <t>Indica que la divulgación proviene del Módulo Completo VSME.</t>
        </is>
      </c>
    </row>
    <row r="40" ht="57.6" customHeight="1">
      <c r="A40" s="563" t="inlineStr">
        <is>
          <t>template_label_indicates_that_the_cell_is_automatically_calculated_and_that_no_data_entry_is_required</t>
        </is>
      </c>
      <c r="B40" s="461">
        <f>INDEX(C40:M40,MATCH(template_selected_display_language,$C$3:$M$3,0))</f>
        <v/>
      </c>
      <c r="C40" s="357" t="inlineStr">
        <is>
          <t>Indicates that the cell is automatically calculated and that no data entry is required.</t>
        </is>
      </c>
      <c r="D40" s="563" t="inlineStr">
        <is>
          <t>Indikerer, at cellen automatisk beregnes, og at der ikke kræves nogen dataindtastning.</t>
        </is>
      </c>
      <c r="E40" s="563" t="inlineStr">
        <is>
          <t>Geeft aan dat de cel automatisch wordt berekend en dat er geen gegevensinvoer vereist is.</t>
        </is>
      </c>
      <c r="F40" s="563" t="inlineStr">
        <is>
          <t>Indique que la cellule est calculée automatiquement et qu’aucune saisie de données n’est requise.</t>
        </is>
      </c>
      <c r="G40" s="366" t="inlineStr">
        <is>
          <t>Bedeutet, dass die Zelle automatisch berechnet wird und keine Dateneingabe erforderlich ist.</t>
        </is>
      </c>
      <c r="H40" s="366" t="inlineStr">
        <is>
          <t>Léiríonn sé go ríomhtar an chill go huathoibríoch agus nach bhfuil aon iontráil sonraí ag teastáil.</t>
        </is>
      </c>
      <c r="I40" s="2" t="inlineStr">
        <is>
          <t>Indica che la cella è calcolata automaticamente e che non è richiesta alcuna immissione di dati.</t>
        </is>
      </c>
      <c r="J40" s="357" t="inlineStr">
        <is>
          <t>Langelyje automatiškai apskaičiuojama langelio vertė, todėl duomenų įvedimas nėra reikalingas.</t>
        </is>
      </c>
      <c r="K40" s="357" t="inlineStr">
        <is>
          <t>Wskazuje, że komórka jest obliczana automatycznie i nie jest wymagane ręczne wprowadzanie danych.</t>
        </is>
      </c>
      <c r="L40" s="357" t="inlineStr">
        <is>
          <t>Indica que a célula é calculada automaticamente e que não é necessária a introdução de dados.</t>
        </is>
      </c>
      <c r="M40" s="357" t="inlineStr">
        <is>
          <t xml:space="preserve">Indica que la celda se calcula automáticamente y que no se requiere introducir datos. 
</t>
        </is>
      </c>
    </row>
    <row r="41" ht="144" customHeight="1">
      <c r="A41" s="563" t="inlineStr">
        <is>
          <t>template_label_indicates_that_the_datapoint_often_a_condition_will_not_be_included_in_the_vsme_and_digital_xbrl_report</t>
        </is>
      </c>
      <c r="B41" s="461">
        <f>INDEX(C41:M41,MATCH(template_selected_display_language,$C$3:$M$3,0))</f>
        <v/>
      </c>
      <c r="C41" s="357"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563" t="inlineStr">
        <is>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is>
      </c>
      <c r="E41" s="563" t="inlineStr">
        <is>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is>
      </c>
      <c r="F41" s="563" t="inlineStr">
        <is>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is>
      </c>
      <c r="G41" s="366" t="inlineStr">
        <is>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is>
      </c>
      <c r="H41" s="366" t="inlineStr">
        <is>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is>
      </c>
      <c r="I41" s="2" t="inlineStr">
        <is>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is>
      </c>
      <c r="J41" s="357"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K41" s="357"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L41" s="357"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M41" s="357"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ht="57.6" customHeight="1">
      <c r="A42" s="563" t="inlineStr">
        <is>
          <t>template_label_indicates_that_no_data_entry_is_required_unless_certain_logics_are_selected_in_the_disclosure_itself</t>
        </is>
      </c>
      <c r="B42" s="461">
        <f>INDEX(C42:M42,MATCH(template_selected_display_language,$C$3:$M$3,0))</f>
        <v/>
      </c>
      <c r="C42" s="357" t="inlineStr">
        <is>
          <t>Indicates that no data entry is required unless certain logics are selected in the disclosure itself. When one of these logics is selected, then this cell will turn white.</t>
        </is>
      </c>
      <c r="D42" s="563" t="inlineStr">
        <is>
          <t>Angiver, at dataindtastning ikke er nødvendig, medmindre visse logikker vælges i selve oplysningen. Når en af disse logikker vælges, bliver cellen hvid</t>
        </is>
      </c>
      <c r="E42" s="563" t="inlineStr">
        <is>
          <t>Geeft aan dat geen gegevensinvoer vereist is tenzij bepaalde rekenregels in de  rapportage zelf worden geselecteerd. Wanneer een van deze rekenregels wordt geselecteerd, wordt deze cel wit.</t>
        </is>
      </c>
      <c r="F42" s="563" t="inlineStr">
        <is>
          <t xml:space="preserve">Indique qu'aucune donnée n'est à saisir à moins que certains éléments soient sélectionnés dans l'information elle-même. Dans ce cas, la cellule deviendra blanche. </t>
        </is>
      </c>
      <c r="G42" s="366" t="inlineStr">
        <is>
          <t>Bedeutet, dass keine Dateneingabe erforderlich ist, es sei denn, bestimmte Logiken (z.B. "falls zutreffend") werden in der Angabe selbst ausgewählt. Wenn eine dieser Logiken ausgewählt wird, wird diese Zelle weiß.</t>
        </is>
      </c>
      <c r="H42" s="366" t="inlineStr">
        <is>
          <t>Tugann sé le fios nach bhfuil aon iontráil sonraí ag teastáil mura roghnaítear loighic áirithe sa nochtadh féin. Nuair a roghnaítear ceann de na loighicí seo, casfaidh an chill seo bán.</t>
        </is>
      </c>
      <c r="I42" s="2" t="inlineStr">
        <is>
          <t>Indica che non è richiesto alcun inserimento di dati a meno che nella stessa informativa non vengano selezionate determinate logiche. Quando una di queste logiche viene selezionata, allora questa cella diventerà bianca.</t>
        </is>
      </c>
      <c r="J42" s="357" t="inlineStr">
        <is>
          <t>Nurodo, kad duomenų įvestis nereikalinga, nebent pačiame atskleidime pasirenkamos tam tikros loginės sąlygos. Pasirinkus vieną iš jų, šis langelis taps baltas.</t>
        </is>
      </c>
      <c r="K42" s="357" t="inlineStr">
        <is>
          <t>Wskazuje, że nie jest wymagane wprowadzanie danych, chyba że w samym ujawnieniu wybrane zostaną określone formuły logiczne. Gdy jedna z tych formuł logicznych zostanie wybrana, to pole zmieni kolor na biały.</t>
        </is>
      </c>
      <c r="L42" s="357" t="inlineStr">
        <is>
          <t>Indica que não é necessário inserir dados, a menos que certas lógicas sejam selecionadas na própria divulgação. Quando uma dessas lógicas é selecionada, esta célula ficará branca.</t>
        </is>
      </c>
      <c r="M42" s="357" t="inlineStr">
        <is>
          <t>Indica que no se requiere ninguna entrada de datos a menos que se seleccionen ciertas lógicas en la propia divulgación. Cuando se selecciona una de estas lógicas, entonces esta celda se pondrá blanca.</t>
        </is>
      </c>
    </row>
    <row r="43" ht="43.2" customHeight="1">
      <c r="A43" s="563" t="inlineStr">
        <is>
          <t>template_label_validation_missing_value_error_velue_inconsistency_invalid_url</t>
        </is>
      </c>
      <c r="B43" s="461">
        <f>INDEX(C43:M43,MATCH(template_selected_display_language,$C$3:$M$3,0))</f>
        <v/>
      </c>
      <c r="C43" s="461" t="inlineStr">
        <is>
          <t>Validation MISSING VALUE/ERROR/VALUE INCONSISTENCY/INVALID URL</t>
        </is>
      </c>
      <c r="D43" s="563" t="inlineStr">
        <is>
          <t>Validering MANGLENDE VÆRDI/FEJL/UOVERENSSTEMMELSE I VÆRDI/UGYLDIG URL</t>
        </is>
      </c>
      <c r="E43" s="563" t="inlineStr">
        <is>
          <t>Validatie MISSENDE WAARDE/FOUT/WAARDE-INCONSISTENTIE/ONGELDIGE URL</t>
        </is>
      </c>
      <c r="F43" s="563" t="inlineStr">
        <is>
          <t>Validation VALEUR MANQUANTE/ERREUR/VALEUR INCOHERENTE/URL NON VALIDE</t>
        </is>
      </c>
      <c r="G43" s="366" t="inlineStr">
        <is>
          <t>Validierung FEHLENDER WERT/FEHLER/INKONSISTENTER WERT/UNGÜLTIGE URL</t>
        </is>
      </c>
      <c r="H43" s="366" t="inlineStr">
        <is>
          <t>Bailíochtú LUACH IN EASNAMH/BOTÚN/NEAMHRÉIREACHT LUACHA/URL NEAMHBHAILÍ</t>
        </is>
      </c>
      <c r="I43" s="2" t="inlineStr">
        <is>
          <t>Validazione VALORE MANCANTE/ERRORE/INCOERENZA DI VALORE/URL NON VALIDO</t>
        </is>
      </c>
      <c r="J43" s="357" t="inlineStr">
        <is>
          <t xml:space="preserve">Patikrinimas TRŪKSTAMA REIKŠMĖ/KLAIDA/REIKŠMIŲ NESUTAPIMAS/NETEISINGAS URL </t>
        </is>
      </c>
      <c r="K43" s="357" t="inlineStr">
        <is>
          <t>Walidacja BRAK WARTOŚCI/ BŁĄD/ NIESPÓJNOŚĆ WARTOŚCI/ NIEPRAWIDŁOWY ADRES URL</t>
        </is>
      </c>
      <c r="L43" s="357" t="inlineStr">
        <is>
          <t>Validação VALOR EM FALTA/ERRO/INCONSISTÊNCIA DE VALOR/URL INVÁLIDO</t>
        </is>
      </c>
      <c r="M43" s="357" t="inlineStr">
        <is>
          <t>Validación VALOR NO INFORMADO/ERROR/INCONSISTENCIA DE VALOR/URL INVÁLIDA</t>
        </is>
      </c>
    </row>
    <row r="44" ht="57.6" customHeight="1">
      <c r="A44" s="563" t="inlineStr">
        <is>
          <t>template_label_indicates_that_either_data_entry_is_incorrect_in_terms_of_format_or_that_certain_information</t>
        </is>
      </c>
      <c r="B44" s="461">
        <f>INDEX(C44:M44,MATCH(template_selected_display_language,$C$3:$M$3,0))</f>
        <v/>
      </c>
      <c r="C44" s="357" t="inlineStr">
        <is>
          <t>Indicates that either data entry is incorrect in terms of format or that certain information is missing in order to correctly report on the disclosure.</t>
        </is>
      </c>
      <c r="D44" s="563" t="inlineStr">
        <is>
          <t>Angiver, at dataindtastningen enten er forkert i forhold til format, eller at visse oplysninger mangler for at kunne rapportere korrekt.</t>
        </is>
      </c>
      <c r="E44" s="563" t="inlineStr">
        <is>
          <t>Geeft aan dat de gegevensinvoer ofwel onjuist is qua formaat, of dat bepaalde informatie ontbreekt om correct te kunnen rapporteren.</t>
        </is>
      </c>
      <c r="F44" s="563" t="inlineStr">
        <is>
          <t>Indique soit que les données sont saisies dans un format incorrect, soit que certaines informations manquent pour pouvoir correctement remplir les exigences de publication.</t>
        </is>
      </c>
      <c r="G44" s="366" t="inlineStr">
        <is>
          <t>Bedeutet, dass entweder die Dateneingabe im Hinblick auf das Format fehlerhaft ist oder dass bestimmte Informationen fehlen, um die Angabe korrekt zu erfassen.</t>
        </is>
      </c>
      <c r="H44" s="366" t="inlineStr">
        <is>
          <t>Tugann sé le fios go bhfuil iontráil sonraí mícheart ó thaobh na formáide de nó go bhfuil faisnéis áirithe in easnamh chun tuairisciú ceart a dhéanamh ar an nochtadh.</t>
        </is>
      </c>
      <c r="I44" s="2" t="inlineStr">
        <is>
          <t>Indica che l'inserimento dei dati è errato in termini di formato oppure che mancano alcune informazioni necessarie per una corretta rendicontazione dell'informativa.</t>
        </is>
      </c>
      <c r="J44" s="357" t="inlineStr">
        <is>
          <t>Nurodo, kad duomenų įvedimas yra neteisingas (neatitinka formato reikalavimų) arba trūksta tam tikros informacijos, būtinos tinkamai pateikti atskleidimą.</t>
        </is>
      </c>
      <c r="K44" s="357" t="inlineStr">
        <is>
          <t>Wskazuje, że wpisane dane są niepoprawne pod względem formatu lub brakuje pewnych informacji, aby prawidłowo sporządzić sprawozdanie dotyczący ujawnienia.</t>
        </is>
      </c>
      <c r="L44" s="357" t="inlineStr">
        <is>
          <t xml:space="preserve">Indica que a introdução dos dados está incorreta em termos de formato ou que faltam certas informações para relatar corretamente a divulgação. 
</t>
        </is>
      </c>
      <c r="M44" s="357" t="inlineStr">
        <is>
          <t>Indica que la entrada de datos es incorrecta en cuanto al formato o que falta cierta información para informar correctamente sobre la divulgación.</t>
        </is>
      </c>
    </row>
    <row r="45">
      <c r="A45" s="563" t="inlineStr">
        <is>
          <t>template_label_validation_ok</t>
        </is>
      </c>
      <c r="B45" s="461">
        <f>INDEX(C45:M45,MATCH(template_selected_display_language,$C$3:$M$3,0))</f>
        <v/>
      </c>
      <c r="C45" s="357" t="inlineStr">
        <is>
          <t>Validation OK</t>
        </is>
      </c>
      <c r="D45" s="563" t="inlineStr">
        <is>
          <t>Validering OK</t>
        </is>
      </c>
      <c r="E45" s="563" t="inlineStr">
        <is>
          <t>Validatie OK</t>
        </is>
      </c>
      <c r="F45" s="563" t="inlineStr">
        <is>
          <t>Validation OK</t>
        </is>
      </c>
      <c r="G45" s="366" t="inlineStr">
        <is>
          <t>Validierung OK</t>
        </is>
      </c>
      <c r="H45" s="366" t="inlineStr">
        <is>
          <t>Bailíochtú ceart go leor</t>
        </is>
      </c>
      <c r="I45" s="2" t="inlineStr">
        <is>
          <t>Validazione OK</t>
        </is>
      </c>
      <c r="J45" s="357" t="inlineStr">
        <is>
          <t>Patvirtinimas GERAI</t>
        </is>
      </c>
      <c r="K45" s="357" t="inlineStr">
        <is>
          <t>Walidacja OK</t>
        </is>
      </c>
      <c r="L45" s="357" t="inlineStr">
        <is>
          <t>Validação OK</t>
        </is>
      </c>
      <c r="M45" s="357" t="inlineStr">
        <is>
          <t>Validación correcta</t>
        </is>
      </c>
    </row>
    <row r="46" ht="57.6" customHeight="1">
      <c r="A46" s="563" t="inlineStr">
        <is>
          <t>template_label_indicates_that_data_entry_is_ok_and_the_undertaking_can_proceed_to_the_next_disclosure</t>
        </is>
      </c>
      <c r="B46" s="461">
        <f>INDEX(C46:M46,MATCH(template_selected_display_language,$C$3:$M$3,0))</f>
        <v/>
      </c>
      <c r="C46" s="357" t="inlineStr">
        <is>
          <t>Indicates that data entry is OK and the undertaking can proceed to the next disclosure.</t>
        </is>
      </c>
      <c r="D46" s="563" t="inlineStr">
        <is>
          <t>Angiver, at dataindtastningen er korrekt, og virksomheden kan gå videre til næste oplysning.</t>
        </is>
      </c>
      <c r="E46" s="563" t="inlineStr">
        <is>
          <t xml:space="preserve">Geeft aan dat de gegevensinvoer in orde is en dat de onderneming kan doorgaan naar  het volgende rapportagevereiste. 
</t>
        </is>
      </c>
      <c r="F46" s="563" t="inlineStr">
        <is>
          <t>Indique que la saisie des données est OK et que l'entreprise peut passer à la divulgation suivante.</t>
        </is>
      </c>
      <c r="G46" s="366" t="inlineStr">
        <is>
          <t>Bedeutet, dass die Dateneingabe in Ordnung ist und das Unternehmen mit der nächsten Angabe fortfahren kann.</t>
        </is>
      </c>
      <c r="H46" s="366" t="inlineStr">
        <is>
          <t>Tugann sé le fios go bhfuil iontráil sonraí ceart go leor agus gur féidir leis an ngnóthas dul ar aghaidh go dtí an chéad nochtadh eile.</t>
        </is>
      </c>
      <c r="I46" s="2" t="inlineStr">
        <is>
          <t>Indica che l'immissione dei dati è corretta e l'impresa può procedere con la successiva informativa.</t>
        </is>
      </c>
      <c r="J46" s="357" t="inlineStr">
        <is>
          <t>Nurodo, kad duomenų įvedimas yra teisingas ir įmonė gali toliau tęsti atskleidimą.</t>
        </is>
      </c>
      <c r="K46" s="357" t="inlineStr">
        <is>
          <t>Wskazuje, że wprowadzenie danych jest poprawne, a jednostka może przejść do kolejnego ujawnienia.</t>
        </is>
      </c>
      <c r="L46" s="357" t="inlineStr">
        <is>
          <t xml:space="preserve">Indica que a introdução dos dados está correta e que a empresa pode avançar para a próxima divulgação.
</t>
        </is>
      </c>
      <c r="M46" s="357" t="inlineStr">
        <is>
          <t>Indica que la entrada de datos es correcta y que la empresa puede proceder a la siguiente divulgación.</t>
        </is>
      </c>
    </row>
    <row r="47" ht="28.8" customHeight="1">
      <c r="A47" s="563" t="inlineStr">
        <is>
          <t>template_label_validation_classified_or_sensitive_information</t>
        </is>
      </c>
      <c r="B47" s="461">
        <f>INDEX(C47:M47,MATCH(template_selected_display_language,$C$3:$M$3,0))</f>
        <v/>
      </c>
      <c r="C47" s="357" t="inlineStr">
        <is>
          <t>Validation CLASSIFIED OR SENSITIVE INFORMATION</t>
        </is>
      </c>
      <c r="D47" s="563" t="inlineStr">
        <is>
          <t>Validering KLASSIFICEREDE ELLER FØLSOMME OPLYSNINGER</t>
        </is>
      </c>
      <c r="E47" s="563" t="inlineStr">
        <is>
          <t>Validatie GECLASSIFICEERDE OF GEVOELIGE INFORMATIE</t>
        </is>
      </c>
      <c r="F47" s="563" t="inlineStr">
        <is>
          <t>Validation INFORMATIONS CLASSIFIÉES OU SENSIBLES</t>
        </is>
      </c>
      <c r="G47" s="563" t="inlineStr">
        <is>
          <t>Validierung KLASSIFIZIERTE ODER SENSIBLE INFORMATIONEN</t>
        </is>
      </c>
      <c r="H47" s="563" t="inlineStr">
        <is>
          <t>Bailíochtú FAISNÉIS RÚNAICMITHE NÓ ÍOGAIR</t>
        </is>
      </c>
      <c r="I47" s="563" t="inlineStr">
        <is>
          <t>Validazione INFORMAZIONI CLASSIFICATE O SENSIBILI</t>
        </is>
      </c>
      <c r="J47" s="563" t="inlineStr">
        <is>
          <t>Patvirtinimas ĮSLAPTINTA ARBA NESKELBTINA INFORMACIJA</t>
        </is>
      </c>
      <c r="K47" s="563" t="inlineStr">
        <is>
          <t>Walidacja INFORMACJE TAJNE LUB WRAŻLIWE</t>
        </is>
      </c>
      <c r="L47" s="563" t="inlineStr">
        <is>
          <t>Validação INFORMAÇÕES CLASSIFICADAS OU SENSÍVEIS</t>
        </is>
      </c>
      <c r="M47" s="563" t="inlineStr">
        <is>
          <t>Validación INFORMACIÓN CLASIFICADA O SENSIBLE</t>
        </is>
      </c>
    </row>
    <row r="48" ht="43.2" customHeight="1">
      <c r="A48" s="563" t="inlineStr">
        <is>
          <t>template_label_indicates_that_the_undertaking_has_omitted_the_data_entry_as_it_is_deemed_to_be_classified_or_sensitive_information</t>
        </is>
      </c>
      <c r="B48" s="461">
        <f>INDEX(C48:M48,MATCH(template_selected_display_language,$C$3:$M$3,0))</f>
        <v/>
      </c>
      <c r="C48" s="357" t="inlineStr">
        <is>
          <t>Indicates that the undertaking has omitted the data entry as it is deemed to be classified or sensitive information.</t>
        </is>
      </c>
      <c r="D48" s="563" t="inlineStr">
        <is>
          <t>Indikerer, at projektet har udeladt dataindtastningen, da den anses for at være klassificeret eller følsomme oplysninger.</t>
        </is>
      </c>
      <c r="E48" s="563" t="inlineStr">
        <is>
          <t>Geeft aan dat de onderneming de gegevensinvoer heeft weggelaten omdat deze als geclassificeerde of gevoelige informatie wordt beschouwd.</t>
        </is>
      </c>
      <c r="F48" s="563" t="inlineStr">
        <is>
          <t>Indique que l’engagement a omis la saisie de données car elle est considérée comme classifiée ou sensible.</t>
        </is>
      </c>
      <c r="G48" s="563" t="inlineStr">
        <is>
          <t>Zeigt an, dass das Unternehmen die Dateneingabe ausgelassen hat, da diese als klassifizierte oder sensible Informationen gelten.</t>
        </is>
      </c>
      <c r="H48" s="563" t="inlineStr">
        <is>
          <t>Cuirtear in iúl gur fhág an gnóthas an iontráil sonraí ar lár toisc go meastar gur faisnéis rúnaicmithe nó íogair í.</t>
        </is>
      </c>
      <c r="I48" s="563" t="inlineStr">
        <is>
          <t>Indica che l'impegno ha omesso l'inserimento dati in quanto considerato classificato o informazioni sensibili.</t>
        </is>
      </c>
      <c r="J48" s="563" t="inlineStr">
        <is>
          <t>Nurodoma, kad įmonė neįvedė duomenų, nes jie laikomi įslaptinta arba neskelbtina informacija.</t>
        </is>
      </c>
      <c r="K48" s="563" t="inlineStr">
        <is>
          <t>Wskazuje, że zobowiązanie pominęło wprowadzanie danych, ponieważ uznaje się je za informacje tajne lub wrażliwe.</t>
        </is>
      </c>
      <c r="L48" s="563" t="inlineStr">
        <is>
          <t>Indica que o compromisso omitiu a entrada de dados, pois é considerada informação classificada ou sensível.</t>
        </is>
      </c>
      <c r="M48" s="563" t="inlineStr">
        <is>
          <t>Indica que el compromiso ha omitido la entrada de datos ya que se considera información clasificada o sensible.</t>
        </is>
      </c>
    </row>
    <row r="49">
      <c r="A49" s="563" t="inlineStr">
        <is>
          <t>template_label_no_value_can_be_entered_in_the_cell</t>
        </is>
      </c>
      <c r="B49" s="461">
        <f>INDEX(C49:M49,MATCH(template_selected_display_language,$C$3:$M$3,0))</f>
        <v/>
      </c>
      <c r="C49" s="357" t="inlineStr">
        <is>
          <t>No value can be entered in the cell.</t>
        </is>
      </c>
      <c r="D49" s="563" t="inlineStr">
        <is>
          <t>Der kan ikke indtastes nogen værdi i cellen.</t>
        </is>
      </c>
      <c r="E49" s="563" t="inlineStr">
        <is>
          <t>Er kan geen waarde in de cel worden ingevoerd.</t>
        </is>
      </c>
      <c r="F49" s="563" t="inlineStr">
        <is>
          <t>Aucune valeur ne peut être saisie dans la cellule.</t>
        </is>
      </c>
      <c r="G49" s="366" t="inlineStr">
        <is>
          <t>In diese Zelle kann kein Wert eingegeben werden.</t>
        </is>
      </c>
      <c r="H49" s="366" t="inlineStr">
        <is>
          <t>Ní féidir aon luach a iontráil sa chill.</t>
        </is>
      </c>
      <c r="I49" s="2" t="inlineStr">
        <is>
          <t>Non è possibile inserire alcun valore nella cella.</t>
        </is>
      </c>
      <c r="J49" s="357" t="inlineStr">
        <is>
          <t>Į langelį negalima įvesti jokios reikšmės.</t>
        </is>
      </c>
      <c r="K49" s="357" t="inlineStr">
        <is>
          <t>W komórce nie można wprowadzić żadnej wartości.</t>
        </is>
      </c>
      <c r="L49" s="357" t="inlineStr">
        <is>
          <t>Nenhum valor pode ser inserido na célula.</t>
        </is>
      </c>
      <c r="M49" s="357" t="inlineStr">
        <is>
          <t>No se puede introducir ningún valor en la celda.</t>
        </is>
      </c>
    </row>
    <row r="50" ht="216" customHeight="1">
      <c r="A50" s="563" t="inlineStr">
        <is>
          <t>template_label_lists_can_be_expanded_using_the_plus_button_on_the_left</t>
        </is>
      </c>
      <c r="B50" s="461">
        <f>INDEX(C50:M50,MATCH(template_selected_display_language,$C$3:$M$3,0))</f>
        <v/>
      </c>
      <c r="C50" s="357" t="inlineStr">
        <is>
          <t>Lists can be expanded using the plus [+] button on the left. If the number of rows is not sufficient, additional rows can be added by right clicking the second row and selecting "Insert row".</t>
        </is>
      </c>
      <c r="D50" s="563" t="inlineStr">
        <is>
          <t>Lister kan udvides ved hjælp af plustegnet [+] til venstre. Hvis antallet af rækker ikke er tilstrækkeligt, kan der tilføjes ekstra rækker ved at højreklikke på anden række og vælge "Indsæt række".</t>
        </is>
      </c>
      <c r="E50" s="563" t="inlineStr">
        <is>
          <t>Lijsten kunnen worden uitgebreid  door de plus [+] knop aan de linkerkant te gebruiken. Als het aantal rijen niet voldoende is, kunnen extra rijen worden toegevoegd door met de rechtermuisknop op de tweede rij te klikken en "Rij invoegen" te selecteren.</t>
        </is>
      </c>
      <c r="F50" s="563" t="inlineStr">
        <is>
          <t>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50" s="366" t="inlineStr">
        <is>
          <t>Listen können mit der Plus [+] Taste links erweitert werden. Wenn die Anzahl der Zeilen nicht ausreicht, können weitere Zeilen hinzugefügt werden, indem man mit der rechten Maustaste auf die zweite Zeile klickt und „Zeile einfügen“ auswählt.</t>
        </is>
      </c>
      <c r="H50" s="366" t="inlineStr">
        <is>
          <t>Is féidir liostaí a leathnú ag baint úsáide as an gcnaipe móide [+] ar chlé. Mura leor líon na sraitheanna, is féidir sraitheanna breise a chur leis trí chliceáil ar dheis ar an dara sraith agus "Ionsáigh as a chéile" a roghnú.</t>
        </is>
      </c>
      <c r="I50" s="2" t="inlineStr">
        <is>
          <t>Le liste possono essere espanse utilizzando il pulsante più [+] a sinistra. Se il numero di righe non è sufficiente, è possibile aggiungere ulteriori righe facendo clic con il tasto destro sulla seconda riga e selezionando "Inserisci riga".</t>
        </is>
      </c>
      <c r="J50" s="357"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K50" s="357" t="inlineStr">
        <is>
          <t>Listy można rozwijać, używając przycisku plus [+] po lewej stronie. Jeśli liczba wierszy jest niewystarczająca, można dodać dodatkowe wiersze, klikając prawym przyciskiem myszy drugi wiersz i wybierając "Wstaw wiersz".</t>
        </is>
      </c>
      <c r="L50" s="357"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M50" s="357" t="inlineStr">
        <is>
          <t>Las listas se pueden expandir utilizando el botón más [+] situado a la izquierda. Si el número de filas no es suficiente, se pueden añadir filas adicionales haciendo clic con el botón derecho en la segunda fila y seleccionando "Insertar fila".</t>
        </is>
      </c>
    </row>
    <row r="51" ht="201.6" customHeight="1">
      <c r="A51" s="563" t="inlineStr">
        <is>
          <t>template_label_efrag_is_funded_by_the_european_union_through_the_single_market_programme</t>
        </is>
      </c>
      <c r="B51" s="461">
        <f>INDEX(C51:M51,MATCH(template_selected_display_language,$C$3:$M$3,0))</f>
        <v/>
      </c>
      <c r="C51" s="357"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51" s="563" t="inlineStr">
        <is>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is>
      </c>
      <c r="E51" s="563" t="inlineStr">
        <is>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is>
      </c>
      <c r="F51" s="563" t="inlineStr">
        <is>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is>
      </c>
      <c r="G51" s="366" t="inlineStr">
        <is>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is>
      </c>
      <c r="H51" s="366" t="inlineStr">
        <is>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is>
      </c>
      <c r="I51" s="2" t="inlineStr">
        <is>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is>
      </c>
      <c r="J51" s="357"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K51" s="357"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L51" s="357"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M51" s="357"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2" ht="72.59999999999999" customHeight="1" thickBot="1">
      <c r="A52" s="373" t="inlineStr">
        <is>
          <t>template_label_reproduction_and_use_rights_are_strictly_limited</t>
        </is>
      </c>
      <c r="B52" s="462">
        <f>INDEX(C52:M52,MATCH(template_selected_display_language,$C$3:$M$3,0))</f>
        <v/>
      </c>
      <c r="C52" s="371" t="inlineStr">
        <is>
          <t>Reproduction and use rights are strictly limited. For further details please contact efragsecretariat@efrag.org</t>
        </is>
      </c>
      <c r="D52" s="373" t="inlineStr">
        <is>
          <t>Reproduktions- og brugsrettigheder er strengt begrænsede. For yderligere oplysninger bedes du kontakte efragsecretariat@efrag.org</t>
        </is>
      </c>
      <c r="E52" s="373" t="inlineStr">
        <is>
          <t xml:space="preserve">Reproductie- en gebruiksrechten zijn strikt beperkt. Voor meer informatie kunt u contact opnemen met efragsecretariat@efrag.org
</t>
        </is>
      </c>
      <c r="F52" s="373" t="inlineStr">
        <is>
          <t>Les droits de reproduction et d'utilisation sont strictement limités. Pour plus de détails, veuillez contacter efragsecretariat@efrag.org</t>
        </is>
      </c>
      <c r="G52" s="367" t="inlineStr">
        <is>
          <t xml:space="preserve">Die Vervielfältigungs- und Nutzungsrechte sind streng begrenzt. Für weitere Informationen wenden Sie sich bitte an efragsecretariat@efrag.org
</t>
        </is>
      </c>
      <c r="H52" s="367" t="inlineStr">
        <is>
          <t>Tá cearta atáirgthe agus úsáide teoranta go docht. Chun tuilleadh eolais a fháil, déan teagmháil le do thoil efragsecretariat@efrag.org</t>
        </is>
      </c>
      <c r="I52" s="358" t="inlineStr">
        <is>
          <t>Riproduzione e diritti d'uso sono severamente limitati. Per ulteriori dettagli, contattare efragsecretariat@efrag.org</t>
        </is>
      </c>
      <c r="J52" s="371" t="inlineStr">
        <is>
          <t xml:space="preserve">Reprodukcijos ir naudojimo teisės yra griežtai ribotos. Dėl išsamesnės informacijos kreipkitės el. paštu efragsecretariat@efrag.org
</t>
        </is>
      </c>
      <c r="K52" s="371" t="inlineStr">
        <is>
          <t>Prawa do powielania i wykorzystywania są ściśle ograniczone. W celu uzyskania dalszych informacji prosimy o kontakt pod adresem efragsecretariat@efrag.org.</t>
        </is>
      </c>
      <c r="L52" s="371" t="inlineStr">
        <is>
          <t xml:space="preserve">"Os direitos de reprodução e utilização são estritamente limitados. Para mais informações, contacte efragsecretariat@efrag.org" 
</t>
        </is>
      </c>
      <c r="M52" s="371" t="inlineStr">
        <is>
          <t xml:space="preserve">Los derechos de reproducción y uso están estrictamente limitados. Para más detalles, por favor contacte a efragsecretariat@efrag.org
</t>
        </is>
      </c>
    </row>
    <row r="53" ht="57.6" customHeight="1">
      <c r="A53" s="563" t="inlineStr">
        <is>
          <t>template_filling_sensitive_checkboxes</t>
        </is>
      </c>
      <c r="B53" s="461">
        <f>INDEX(C53:M53,MATCH(template_selected_display_language,$C$3:$M$3,0))</f>
        <v/>
      </c>
      <c r="C53" s="563" t="inlineStr">
        <is>
          <t>Filling the checkboxes below will fill automatically the list of omitted disclosures in B1 (from row 123 to 172 within General Information sheet)</t>
        </is>
      </c>
      <c r="D53" s="563" t="inlineStr">
        <is>
          <t>Ved at udfylde afkrydsningsfelterne nedenfor udfyldes automatisk listen over udeladte oplysninger i B1 (fra række 123 til 172 i det generelle informationsark)</t>
        </is>
      </c>
      <c r="E53" s="563" t="inlineStr">
        <is>
          <t>Door de onderstaande selectievakjes in te vullen, vult automatisch de lijst met weggelaten meldingen in B1 (van rij 123 tot 172 in het algemene informatieblad) in.</t>
        </is>
      </c>
      <c r="F53" s="563" t="inlineStr">
        <is>
          <t>Remplir les cases ci-dessous remplira automatiquement la liste des divulgations omises dans B1 (de la ligne 123 à la 172 dans la fiche d’information générale)</t>
        </is>
      </c>
      <c r="G53" s="563" t="inlineStr">
        <is>
          <t>Das Ausfüllen der untenstehenden Kontrollkästchen füllt automatisch die Liste der ausgelassenen Offenlegungen in B1 (von Zeile 123 bis 172 im allgemeinen Informationsblatt) aus.</t>
        </is>
      </c>
      <c r="H53" s="563" t="inlineStr">
        <is>
          <t>Má líontar na boscaí seiceála thíos, líonfar go huathoibríoch liosta na nochtadh ar lár i B1 (ó shraith 123 go 172 laistigh den bhileog faisnéise ginearálta)</t>
        </is>
      </c>
      <c r="I53" s="563" t="inlineStr">
        <is>
          <t>Compilando le caselle di spunta qui sotto si riempirà automaticamente la lista delle dichiarazioni omesse in B1 (dalla riga 123 alla 172 all'interno del foglio informativo generale)</t>
        </is>
      </c>
      <c r="J53" s="563" t="inlineStr">
        <is>
          <t>Užpildžius toliau pateiktus žymimuosius langelius, automatiškai bus užpildytas praleistos informacijos sąrašas B1 (nuo 123 iki 172 eilutės Bendrosios informacijos lape)</t>
        </is>
      </c>
      <c r="K53" s="563" t="inlineStr">
        <is>
          <t>Wypełnienie poniższych pól automatycznie wypełni listę pominiętych ujawnień w formularzu B1 (od wiersza 123 do 172 w arkuszu informacji ogólnych)</t>
        </is>
      </c>
      <c r="L53" s="563" t="inlineStr">
        <is>
          <t>Preenchendo as caixas abaixo, a lista de divulgações omitidas no B1 (da linha 123 à 172 dentro da folha de Informações Gerais) será preenchida automaticamente</t>
        </is>
      </c>
      <c r="M53" s="563" t="inlineStr">
        <is>
          <t>Rellenar las casillas de verificación a continuación se llenará automáticamente la lista de divulgaciones omitidas en B1 (de la fila 123 a la 172 dentro de la hoja de información general)</t>
        </is>
      </c>
    </row>
    <row r="54" ht="43.2" customHeight="1">
      <c r="A54" s="563" t="inlineStr">
        <is>
          <t>template_label_overall_validation_status_validation</t>
        </is>
      </c>
      <c r="B54" s="461">
        <f>INDEX(C54:M54,MATCH(template_selected_display_language,$C$3:$M$3,0))</f>
        <v/>
      </c>
      <c r="C54" s="563" t="inlineStr">
        <is>
          <t>Overall Validation Status</t>
        </is>
      </c>
      <c r="D54" s="563" t="inlineStr">
        <is>
          <t>Samlet valideringsstatus</t>
        </is>
      </c>
      <c r="E54" s="563" t="inlineStr">
        <is>
          <t>Algemene validatiestatus</t>
        </is>
      </c>
      <c r="F54" s="563" t="inlineStr">
        <is>
          <t xml:space="preserve">Statut global de validation
</t>
        </is>
      </c>
      <c r="G54" s="366" t="inlineStr">
        <is>
          <t>Gesamtstatus der Validierung</t>
        </is>
      </c>
      <c r="H54" s="366" t="inlineStr">
        <is>
          <t>Stádas Foriomlán Bailíochtaithe</t>
        </is>
      </c>
      <c r="I54" s="2" t="inlineStr">
        <is>
          <t>Stato complessivo di convalida</t>
        </is>
      </c>
      <c r="J54" s="357" t="inlineStr">
        <is>
          <t>Bendras patikrinimo statusas</t>
        </is>
      </c>
      <c r="K54" s="357" t="inlineStr">
        <is>
          <t>Ogólny status walidacji</t>
        </is>
      </c>
      <c r="L54" s="357" t="inlineStr">
        <is>
          <t>Estado Global da Validação</t>
        </is>
      </c>
      <c r="M54" s="357" t="inlineStr">
        <is>
          <t>Estado general de validación</t>
        </is>
      </c>
    </row>
    <row r="55">
      <c r="A55" s="563" t="inlineStr">
        <is>
          <t>template_label_table_of_contents_validation</t>
        </is>
      </c>
      <c r="B55" s="461">
        <f>INDEX(C55:M55,MATCH(template_selected_display_language,$C$3:$M$3,0))</f>
        <v/>
      </c>
      <c r="C55" s="563" t="inlineStr">
        <is>
          <t>Table of Contents</t>
        </is>
      </c>
      <c r="D55" s="563" t="inlineStr">
        <is>
          <t>Indholdsfortegnelse</t>
        </is>
      </c>
      <c r="E55" s="563" t="inlineStr">
        <is>
          <t>Inhoudsopgave</t>
        </is>
      </c>
      <c r="F55" s="563" t="inlineStr">
        <is>
          <t>Table des matières</t>
        </is>
      </c>
      <c r="G55" s="366" t="inlineStr">
        <is>
          <t>Inhaltsverzeichnis</t>
        </is>
      </c>
      <c r="H55" s="366" t="inlineStr">
        <is>
          <t>Clár Ábhair</t>
        </is>
      </c>
      <c r="I55" s="2" t="inlineStr">
        <is>
          <t>Sommario</t>
        </is>
      </c>
      <c r="J55" s="357" t="inlineStr">
        <is>
          <t>Turinys</t>
        </is>
      </c>
      <c r="K55" s="357" t="inlineStr">
        <is>
          <t>Spis treści</t>
        </is>
      </c>
      <c r="L55" s="357" t="inlineStr">
        <is>
          <t>Índice</t>
        </is>
      </c>
      <c r="M55" s="357" t="inlineStr">
        <is>
          <t>Índice</t>
        </is>
      </c>
    </row>
    <row r="56">
      <c r="A56" s="563" t="inlineStr">
        <is>
          <t>template_classified_or_sensitive_information</t>
        </is>
      </c>
      <c r="B56" s="461">
        <f>INDEX(C56:M56,MATCH(template_selected_display_language,$C$3:$M$3,0))</f>
        <v/>
      </c>
      <c r="C56" s="563" t="inlineStr">
        <is>
          <t>Classified or sensitive information</t>
        </is>
      </c>
      <c r="D56" s="563" t="inlineStr">
        <is>
          <t>Klassificerede eller følsomme oplysninger</t>
        </is>
      </c>
      <c r="E56" s="563" t="inlineStr">
        <is>
          <t>Geheime of gevoelige informatie</t>
        </is>
      </c>
      <c r="F56" s="563" t="inlineStr">
        <is>
          <t>Informations classifiées ou sensibles</t>
        </is>
      </c>
      <c r="G56" s="563" t="inlineStr">
        <is>
          <t>Geheime oder sensible Informationen</t>
        </is>
      </c>
      <c r="H56" s="563" t="inlineStr">
        <is>
          <t>Geheime oder sensible Information</t>
        </is>
      </c>
      <c r="I56" s="563" t="inlineStr">
        <is>
          <t>Informazioni classificate o sensibili</t>
        </is>
      </c>
      <c r="J56" s="563" t="inlineStr">
        <is>
          <t>Įslaptinta arba neskelbtina informacija</t>
        </is>
      </c>
      <c r="K56" s="563" t="inlineStr">
        <is>
          <t>Informacje tajne lub wrażliwe</t>
        </is>
      </c>
      <c r="L56" s="563" t="inlineStr">
        <is>
          <t>Informações classificadas ou sensíveis</t>
        </is>
      </c>
      <c r="M56" s="563" t="inlineStr">
        <is>
          <t>Información clasificada o sensible</t>
        </is>
      </c>
    </row>
    <row r="57" ht="43.2" customHeight="1">
      <c r="A57" s="563" t="inlineStr">
        <is>
          <t>template_label_contents_grouping_follows_templates_framework_validation</t>
        </is>
      </c>
      <c r="B57" s="461">
        <f>INDEX(C57:M57,MATCH(template_selected_display_language,$C$3:$M$3,0))</f>
        <v/>
      </c>
      <c r="C57" s="563" t="inlineStr">
        <is>
          <t>Contents grouping follows template's framework</t>
        </is>
      </c>
      <c r="D57" s="563" t="inlineStr">
        <is>
          <t>Gruppering af indhold følger skabelonens ramme</t>
        </is>
      </c>
      <c r="E57" s="563" t="inlineStr">
        <is>
          <t xml:space="preserve">Inhoudsgroepering volgt het raamwerk van de template
</t>
        </is>
      </c>
      <c r="F57" s="563" t="inlineStr">
        <is>
          <t>Le regroupement des contenus suit le cadre du format</t>
        </is>
      </c>
      <c r="G57" s="366" t="inlineStr">
        <is>
          <t>Die Gruppierung der Inhalte folgt dem Aufbau der VSME-Vorlage</t>
        </is>
      </c>
      <c r="H57" s="366" t="inlineStr">
        <is>
          <t>Leanann grúpáil ábhair creatlach an teimpléid</t>
        </is>
      </c>
      <c r="I57" s="2" t="inlineStr">
        <is>
          <t>Il raggruppamento dei contenuti segue il quadro del modello</t>
        </is>
      </c>
      <c r="J57" s="357" t="inlineStr">
        <is>
          <t>Turinio grupavimas atitinka šablono struktūrą</t>
        </is>
      </c>
      <c r="K57" s="357" t="inlineStr">
        <is>
          <t>Grupowanie treści jest zgodne ze strukturą szablonu</t>
        </is>
      </c>
      <c r="L57" s="357" t="inlineStr">
        <is>
          <t>Agrupamento de conteúdos segue a estrutura do modelo</t>
        </is>
      </c>
      <c r="M57" s="357" t="inlineStr">
        <is>
          <t>La agrupación de contenidos sigue el marco del modelo</t>
        </is>
      </c>
    </row>
    <row r="58">
      <c r="A58" s="563" t="inlineStr">
        <is>
          <t>template_label_specific_content_validation_status_validation</t>
        </is>
      </c>
      <c r="B58" s="461">
        <f>INDEX(C58:M58,MATCH(template_selected_display_language,$C$3:$M$3,0))</f>
        <v/>
      </c>
      <c r="C58" s="563" t="inlineStr">
        <is>
          <t>Specific Content Validation Status</t>
        </is>
      </c>
      <c r="D58" s="563" t="inlineStr">
        <is>
          <t xml:space="preserve">Valideringsstatus for indhold </t>
        </is>
      </c>
      <c r="E58" s="563" t="inlineStr">
        <is>
          <t xml:space="preserve">Validatiestatus van specifieke inhoud </t>
        </is>
      </c>
      <c r="F58" s="563" t="inlineStr">
        <is>
          <t>Statut de validation du contenu spécifique</t>
        </is>
      </c>
      <c r="G58" s="366" t="inlineStr">
        <is>
          <t>Spezifischer Validierungsstatus des Inhalts</t>
        </is>
      </c>
      <c r="H58" s="366" t="inlineStr">
        <is>
          <t>Stádas Bailíochtaithe Ábhair Sonrach</t>
        </is>
      </c>
      <c r="I58" s="2" t="inlineStr">
        <is>
          <t>Stato di convalida specifico del contenuto</t>
        </is>
      </c>
      <c r="J58" s="357" t="inlineStr">
        <is>
          <t>Specifinė turinio tikrinimo būsena</t>
        </is>
      </c>
      <c r="K58" s="357" t="inlineStr">
        <is>
          <t>Status walidacji konkretnej treści</t>
        </is>
      </c>
      <c r="L58" s="357" t="inlineStr">
        <is>
          <t>Estado de Validação de Conteúdo Específico</t>
        </is>
      </c>
      <c r="M58" s="357" t="inlineStr">
        <is>
          <t>Estado de Validación de Contenido Específico</t>
        </is>
      </c>
    </row>
    <row r="59" ht="43.2" customHeight="1">
      <c r="A59" s="563" t="inlineStr">
        <is>
          <t>template_label_general_information_validation</t>
        </is>
      </c>
      <c r="B59" s="461">
        <f>INDEX(C59:M59,MATCH(template_selected_display_language,$C$3:$M$3,0))</f>
        <v/>
      </c>
      <c r="C59" s="563" t="inlineStr">
        <is>
          <t>General Information</t>
        </is>
      </c>
      <c r="D59" s="563" t="inlineStr">
        <is>
          <t>Generel information</t>
        </is>
      </c>
      <c r="E59" s="563" t="inlineStr">
        <is>
          <t xml:space="preserve">Algemene informatie
</t>
        </is>
      </c>
      <c r="F59" s="563" t="inlineStr">
        <is>
          <t>Informations générales</t>
        </is>
      </c>
      <c r="G59" s="366" t="inlineStr">
        <is>
          <t xml:space="preserve">Allgemeine Informationen
</t>
        </is>
      </c>
      <c r="H59" s="366" t="inlineStr">
        <is>
          <t>Eolas Ginearálta</t>
        </is>
      </c>
      <c r="I59" s="2" t="inlineStr">
        <is>
          <t xml:space="preserve">Informazioni generali
</t>
        </is>
      </c>
      <c r="J59" s="357" t="inlineStr">
        <is>
          <t>Bendroji informacija</t>
        </is>
      </c>
      <c r="K59" s="357" t="inlineStr">
        <is>
          <t>Informacje ogólne</t>
        </is>
      </c>
      <c r="L59" s="357" t="inlineStr">
        <is>
          <t xml:space="preserve">Informação Geral
</t>
        </is>
      </c>
      <c r="M59" s="357" t="inlineStr">
        <is>
          <t>Información general</t>
        </is>
      </c>
    </row>
    <row r="60" ht="28.8" customHeight="1">
      <c r="A60" s="563" t="inlineStr">
        <is>
          <t>template_label_information_on_the_report_necessary_for_xbrl_validation</t>
        </is>
      </c>
      <c r="B60" s="461">
        <f>INDEX(C60:M60,MATCH(template_selected_display_language,$C$3:$M$3,0))</f>
        <v/>
      </c>
      <c r="C60" s="563" t="inlineStr">
        <is>
          <t>Information on the report necessary for  XBRL</t>
        </is>
      </c>
      <c r="D60" s="563" t="inlineStr">
        <is>
          <t>Oplysninger i rapporten, der er nødvendige for XBRL</t>
        </is>
      </c>
      <c r="E60" s="563" t="inlineStr">
        <is>
          <t>Informatie over het rapport die noodzakelijk is voor XBRL</t>
        </is>
      </c>
      <c r="F60" s="563" t="inlineStr">
        <is>
          <t>Informations sur le rapport nécessaires pour XBRL</t>
        </is>
      </c>
      <c r="G60" s="366" t="inlineStr">
        <is>
          <t>Informationen über den Bericht, die für XBRL erforderlich sind</t>
        </is>
      </c>
      <c r="H60" s="366" t="inlineStr">
        <is>
          <t>Faisnéis maidir leis an tuarascáil is gá le haghaidh XBRL</t>
        </is>
      </c>
      <c r="I60" s="2" t="inlineStr">
        <is>
          <t>Informazioni sulla relazione necessarie per XBRL</t>
        </is>
      </c>
      <c r="J60" s="357" t="inlineStr">
        <is>
          <t>Informacija apie ataskaitą, reikalinga XBRL</t>
        </is>
      </c>
      <c r="K60" s="357" t="inlineStr">
        <is>
          <t>Informacje o sprawozdaniu niezbędne dla XBRL</t>
        </is>
      </c>
      <c r="L60" s="357" t="inlineStr">
        <is>
          <t>Informações no relatório necessárias para XBRL</t>
        </is>
      </c>
      <c r="M60" s="357" t="inlineStr">
        <is>
          <t>Información del informe necesaria para XBRL</t>
        </is>
      </c>
    </row>
    <row r="61" ht="72" customHeight="1">
      <c r="A61" s="563" t="inlineStr">
        <is>
          <t>template_label_information_on_previous_reporting_period_validation</t>
        </is>
      </c>
      <c r="B61" s="461">
        <f>INDEX(C61:M61,MATCH(template_selected_display_language,$C$3:$M$3,0))</f>
        <v/>
      </c>
      <c r="C61" s="563" t="inlineStr">
        <is>
          <t>Information on previous reporting period</t>
        </is>
      </c>
      <c r="D61" s="563" t="inlineStr">
        <is>
          <t>Oplysninger om den foregående rapporteringsperiode</t>
        </is>
      </c>
      <c r="E61" s="563" t="inlineStr">
        <is>
          <t xml:space="preserve">
"Informatie over de vorige rapportageperiode "
</t>
        </is>
      </c>
      <c r="F61" s="563" t="inlineStr">
        <is>
          <t>Informations sur la période de reporting précédente</t>
        </is>
      </c>
      <c r="G61" s="366" t="inlineStr">
        <is>
          <t>Informationen zum vorherigen Berichtszeitraum</t>
        </is>
      </c>
      <c r="H61" s="366" t="inlineStr">
        <is>
          <t>Faisnéis maidir leis an tréimhse tuairiscithe roimhe seo</t>
        </is>
      </c>
      <c r="I61" s="2" t="inlineStr">
        <is>
          <t>Informazioni sul periodo di riferimento precedente</t>
        </is>
      </c>
      <c r="J61" s="357" t="inlineStr">
        <is>
          <t>Informacija apie ankstesnį ataskaitinį laikotarpį</t>
        </is>
      </c>
      <c r="K61" s="357" t="inlineStr">
        <is>
          <t>Informacje o poprzednim okresie sprawozdawczym</t>
        </is>
      </c>
      <c r="L61" s="357" t="inlineStr">
        <is>
          <t>Informação sobre o período de reporte anterior</t>
        </is>
      </c>
      <c r="M61" s="357" t="inlineStr">
        <is>
          <t>Información sobre el periodo de reporte anterior</t>
        </is>
      </c>
    </row>
    <row r="62">
      <c r="A62" s="563" t="inlineStr">
        <is>
          <t>template_label_basic_module_validation</t>
        </is>
      </c>
      <c r="B62" s="461">
        <f>INDEX(C62:M62,MATCH(template_selected_display_language,$C$3:$M$3,0))</f>
        <v/>
      </c>
      <c r="C62" s="563" t="inlineStr">
        <is>
          <t>Basic Module</t>
        </is>
      </c>
      <c r="D62" s="563" t="inlineStr">
        <is>
          <t>Basismodul</t>
        </is>
      </c>
      <c r="E62" s="563" t="inlineStr">
        <is>
          <t>Basismodule</t>
        </is>
      </c>
      <c r="F62" s="563" t="inlineStr">
        <is>
          <t>Module de base</t>
        </is>
      </c>
      <c r="G62" s="366" t="inlineStr">
        <is>
          <t>Basismodul</t>
        </is>
      </c>
      <c r="H62" s="366" t="inlineStr">
        <is>
          <t>Modúl Bunúsach</t>
        </is>
      </c>
      <c r="I62" s="2" t="inlineStr">
        <is>
          <t>Modulo base</t>
        </is>
      </c>
      <c r="J62" s="357" t="inlineStr">
        <is>
          <t>Bazinis modulis</t>
        </is>
      </c>
      <c r="K62" s="357" t="inlineStr">
        <is>
          <t>Moduł podstawowy</t>
        </is>
      </c>
      <c r="L62" s="357" t="inlineStr">
        <is>
          <t>Módulo de base</t>
        </is>
      </c>
      <c r="M62" s="357" t="inlineStr">
        <is>
          <t>Módulo básico</t>
        </is>
      </c>
    </row>
    <row r="63">
      <c r="A63" s="563" t="inlineStr">
        <is>
          <t>template_label_b1_basis_for_preparation_validation</t>
        </is>
      </c>
      <c r="B63" s="461">
        <f>INDEX(C63:M63,MATCH(template_selected_display_language,$C$3:$M$3,0))</f>
        <v/>
      </c>
      <c r="C63" s="563" t="inlineStr">
        <is>
          <t>B1 - Basis for Preparation</t>
        </is>
      </c>
      <c r="D63" s="563" t="inlineStr">
        <is>
          <t>B1 – Grundlag for udarbejdelse</t>
        </is>
      </c>
      <c r="E63" s="563" t="inlineStr">
        <is>
          <t>B1 - Grondslag voor het opstellen van informatie</t>
        </is>
      </c>
      <c r="F63" s="563" t="inlineStr">
        <is>
          <t>B1 – Base de préparation</t>
        </is>
      </c>
      <c r="G63" s="366" t="inlineStr">
        <is>
          <t>B1 - Grundlagen für die Erstellung</t>
        </is>
      </c>
      <c r="H63" s="366" t="inlineStr">
        <is>
          <t>B1 - Bunús le haghaidh Ullmhúcháin</t>
        </is>
      </c>
      <c r="I63" s="2" t="inlineStr">
        <is>
          <t>B1 – Criteri per la redazione</t>
        </is>
      </c>
      <c r="J63" s="357" t="inlineStr">
        <is>
          <t>B1. Ataskaitos rengimo pagrindas</t>
        </is>
      </c>
      <c r="K63" s="357" t="inlineStr">
        <is>
          <t>B1 – Podstawa sporządzenia</t>
        </is>
      </c>
      <c r="L63" s="357" t="inlineStr">
        <is>
          <t>B1 — Base para a elaboração</t>
        </is>
      </c>
      <c r="M63" s="357" t="inlineStr">
        <is>
          <t>B1 – Base para la elaboración</t>
        </is>
      </c>
    </row>
    <row r="64" ht="43.2" customHeight="1">
      <c r="A64" s="563" t="inlineStr">
        <is>
          <t>template_label_b2_practices_policies_and_future_initiatives_for_transitioning_towards_a_more_sustainable_economy_validation</t>
        </is>
      </c>
      <c r="B64" s="461">
        <f>INDEX(C64:M64,MATCH(template_selected_display_language,$C$3:$M$3,0))</f>
        <v/>
      </c>
      <c r="C64" s="563" t="inlineStr">
        <is>
          <t>B2 - Practices, policies and future initiatives for transitioning towards a more sustainable economy</t>
        </is>
      </c>
      <c r="D64" s="563" t="inlineStr">
        <is>
          <t>B2 - Praksisser, politikker og fremtidige initiativer for omstilling til en mere bæredygtig økonomi</t>
        </is>
      </c>
      <c r="E64" s="563" t="inlineStr">
        <is>
          <t>B2 — Praktijken, beleid en toekomstige initiatieven voor de transitie naar een duurzamere economie</t>
        </is>
      </c>
      <c r="F64" s="563" t="inlineStr">
        <is>
          <t>B2 – Pratiques, politiques et initiatives futures en vue de la transition vers une économie plus durable</t>
        </is>
      </c>
      <c r="G64" s="366" t="inlineStr">
        <is>
          <t>B2 - Verfahrensweisen, Richtlinien und künftige Initiativen für den Übergang zu einer nachhaltigeren Wirtschaft</t>
        </is>
      </c>
      <c r="H64" s="366" t="inlineStr">
        <is>
          <t>B2 - Cleachtais, beartais agus tionscnaimh amach anseo chun aistriú i dtreo geilleagar níos inbhuanaithe</t>
        </is>
      </c>
      <c r="I64" s="2" t="inlineStr">
        <is>
          <t>B2 - Pratiche, politiche e iniziative future per la transizione verso un'economia più sostenibile</t>
        </is>
      </c>
      <c r="J64" s="357" t="inlineStr">
        <is>
          <t>Praktikos, politikos ir būsimos iniciatyvos pereinant prie tvaresnės ekonomikos</t>
        </is>
      </c>
      <c r="K64" s="357" t="inlineStr">
        <is>
          <t>B2 – Praktyki, polityki i przyszłe inicjatywy na rzecz przejścia na bardziej zrównoważoną gospodarkę</t>
        </is>
      </c>
      <c r="L64" s="357" t="inlineStr">
        <is>
          <t>B2 — Práticas, políticas e iniciativas futuras para a transição para uma economia mais sustentável</t>
        </is>
      </c>
      <c r="M64" s="357" t="inlineStr">
        <is>
          <t>B2 – Prácticas, políticas e iniciativas futuras para la transición hacia una economía más sostenible</t>
        </is>
      </c>
    </row>
    <row r="65">
      <c r="A65" s="563" t="inlineStr">
        <is>
          <t>template_label_environmental_disclosures_validation</t>
        </is>
      </c>
      <c r="B65" s="461">
        <f>INDEX(C65:M65,MATCH(template_selected_display_language,$C$3:$M$3,0))</f>
        <v/>
      </c>
      <c r="C65" s="563" t="inlineStr">
        <is>
          <t>Environmental Disclosures</t>
        </is>
      </c>
      <c r="D65" s="563" t="inlineStr">
        <is>
          <t>Miljømæssige oplysninger</t>
        </is>
      </c>
      <c r="E65" s="563" t="inlineStr">
        <is>
          <t>Milieu-rapportage</t>
        </is>
      </c>
      <c r="F65" s="563" t="inlineStr">
        <is>
          <t>Informations environnementales</t>
        </is>
      </c>
      <c r="G65" s="366" t="inlineStr">
        <is>
          <t>Umweltangaben</t>
        </is>
      </c>
      <c r="H65" s="366" t="inlineStr">
        <is>
          <t>Nochtadh Comhshaoil</t>
        </is>
      </c>
      <c r="I65" s="2" t="inlineStr">
        <is>
          <t>Informative ambientali</t>
        </is>
      </c>
      <c r="J65" s="357" t="inlineStr">
        <is>
          <t>Aplinkosaugos atskleidimai</t>
        </is>
      </c>
      <c r="K65" s="357" t="inlineStr">
        <is>
          <t>Ujawnienia środowiskowe</t>
        </is>
      </c>
      <c r="L65" s="357" t="inlineStr">
        <is>
          <t>Divulgações Ambientais</t>
        </is>
      </c>
      <c r="M65" s="357" t="inlineStr">
        <is>
          <t>Divulgaciones Ambientales</t>
        </is>
      </c>
    </row>
    <row r="66" ht="28.8" customHeight="1">
      <c r="A66" s="563" t="inlineStr">
        <is>
          <t>template_label_b3_energy_and_greenhouse_gas_emissions_validation</t>
        </is>
      </c>
      <c r="B66" s="461">
        <f>INDEX(C66:M66,MATCH(template_selected_display_language,$C$3:$M$3,0))</f>
        <v/>
      </c>
      <c r="C66" s="563" t="inlineStr">
        <is>
          <t>B3 - Energy and greenhouse gas emissions</t>
        </is>
      </c>
      <c r="D66" s="563" t="inlineStr">
        <is>
          <t xml:space="preserve">B3 - Energi og drivhusgasudledninger </t>
        </is>
      </c>
      <c r="E66" s="563" t="inlineStr">
        <is>
          <t>B3 - Energie en broeikasgasemissies</t>
        </is>
      </c>
      <c r="F66" s="563" t="inlineStr">
        <is>
          <t>B3 – Énergie et émissions de gaz à effet de serre</t>
        </is>
      </c>
      <c r="G66" s="366" t="inlineStr">
        <is>
          <t>B3 - Energie und Treibhausgasemissionen</t>
        </is>
      </c>
      <c r="H66" s="366" t="inlineStr">
        <is>
          <t>B3 - Fuinneamh agus astaíochtaí gás ceaptha teasa</t>
        </is>
      </c>
      <c r="I66" s="2" t="inlineStr">
        <is>
          <t>B3 - Energia ed emissioni di gas a effetto serra</t>
        </is>
      </c>
      <c r="J66" s="357" t="inlineStr">
        <is>
          <t>B3 – Energija ir šiltnamio efektą sukeliančios dujos</t>
        </is>
      </c>
      <c r="K66" s="357" t="inlineStr">
        <is>
          <t>B3 – Energia i emisje gazów cieplarnianych</t>
        </is>
      </c>
      <c r="L66" s="357" t="inlineStr">
        <is>
          <t>B3 — Energia e emissões de gases com efeito de estufa</t>
        </is>
      </c>
      <c r="M66" s="357" t="inlineStr">
        <is>
          <t>B3 - Energía y emisiones de gases de efecto invernadero</t>
        </is>
      </c>
    </row>
    <row r="67">
      <c r="A67" s="563" t="inlineStr">
        <is>
          <t>template_label_b4_pollution_of_air_water_and_soil_validation</t>
        </is>
      </c>
      <c r="B67" s="461">
        <f>INDEX(C67:M67,MATCH(template_selected_display_language,$C$3:$M$3,0))</f>
        <v/>
      </c>
      <c r="C67" s="563" t="inlineStr">
        <is>
          <t>B4 - Pollution of air, water and soil</t>
        </is>
      </c>
      <c r="D67" s="563" t="inlineStr">
        <is>
          <t>B4 – Forurening af luft, vand og jord</t>
        </is>
      </c>
      <c r="E67" s="563" t="inlineStr">
        <is>
          <t>B4 –  Verontreiniging van lucht, water en bodem</t>
        </is>
      </c>
      <c r="F67" s="563" t="inlineStr">
        <is>
          <t>B4 - Pollution de l’air, de l’eau et des sols</t>
        </is>
      </c>
      <c r="G67" s="366" t="inlineStr">
        <is>
          <t>B4 - Luft-, Wasser- und Bodenverschmutzung</t>
        </is>
      </c>
      <c r="H67" s="366" t="inlineStr">
        <is>
          <t>B4 - Truailliú aeir, uisce agus ithreach</t>
        </is>
      </c>
      <c r="I67" s="2" t="inlineStr">
        <is>
          <t>B4 – Inquinamento di aria, acqua e suolo</t>
        </is>
      </c>
      <c r="J67" s="357" t="inlineStr">
        <is>
          <t>B4. Oro, vandens ir dirvožemio tarša</t>
        </is>
      </c>
      <c r="K67" s="357" t="inlineStr">
        <is>
          <t>B4 – Zanieczyszczenie powietrza, wody i gleby</t>
        </is>
      </c>
      <c r="L67" s="357" t="inlineStr">
        <is>
          <t>B4 — Poluição do ar, da água e do solo</t>
        </is>
      </c>
      <c r="M67" s="357" t="inlineStr">
        <is>
          <t>B4 – Contaminación de la atmósfera, del agua y del suelo</t>
        </is>
      </c>
    </row>
    <row r="68" ht="43.2" customHeight="1">
      <c r="A68" s="563" t="inlineStr">
        <is>
          <t>template_label_b5_biodiversity_validation</t>
        </is>
      </c>
      <c r="B68" s="461">
        <f>INDEX(C68:M68,MATCH(template_selected_display_language,$C$3:$M$3,0))</f>
        <v/>
      </c>
      <c r="C68" s="563" t="inlineStr">
        <is>
          <t>B5 - Biodiversity</t>
        </is>
      </c>
      <c r="D68" s="563" t="inlineStr">
        <is>
          <t>B5 – Biodiversitet</t>
        </is>
      </c>
      <c r="E68" s="563" t="inlineStr">
        <is>
          <t>B5 — Biodiversiteit</t>
        </is>
      </c>
      <c r="F68" s="563" t="inlineStr">
        <is>
          <t xml:space="preserve">B5 – Biodiversité
</t>
        </is>
      </c>
      <c r="G68" s="366" t="inlineStr">
        <is>
          <t>B5 - Biodiversität</t>
        </is>
      </c>
      <c r="H68" s="366" t="inlineStr">
        <is>
          <t>B5 - Bithéagsúlacht</t>
        </is>
      </c>
      <c r="I68" s="2" t="inlineStr">
        <is>
          <t>B5 – Biodiversità</t>
        </is>
      </c>
      <c r="J68" s="357" t="inlineStr">
        <is>
          <t xml:space="preserve">B5. Biologinė įvairovė
</t>
        </is>
      </c>
      <c r="K68" s="357" t="inlineStr">
        <is>
          <t>B5 – Bioróżnorodność</t>
        </is>
      </c>
      <c r="L68" s="357" t="inlineStr">
        <is>
          <t>B5 — Biodiversidade</t>
        </is>
      </c>
      <c r="M68" s="357" t="inlineStr">
        <is>
          <t>B5 – Biodiversidad</t>
        </is>
      </c>
    </row>
    <row r="69">
      <c r="A69" s="563" t="inlineStr">
        <is>
          <t>template_label_b6_water_validation</t>
        </is>
      </c>
      <c r="B69" s="461">
        <f>INDEX(C69:M69,MATCH(template_selected_display_language,$C$3:$M$3,0))</f>
        <v/>
      </c>
      <c r="C69" s="563" t="inlineStr">
        <is>
          <t>B6 - Water</t>
        </is>
      </c>
      <c r="D69" s="563" t="inlineStr">
        <is>
          <t>B6 – Vand</t>
        </is>
      </c>
      <c r="E69" s="563" t="inlineStr">
        <is>
          <t>B6 — Water</t>
        </is>
      </c>
      <c r="F69" s="563" t="inlineStr">
        <is>
          <t>B6 – Eau</t>
        </is>
      </c>
      <c r="G69" s="366" t="inlineStr">
        <is>
          <t>B6 - Wasser</t>
        </is>
      </c>
      <c r="H69" s="366" t="inlineStr">
        <is>
          <t>B6 - Uisce</t>
        </is>
      </c>
      <c r="I69" s="2" t="inlineStr">
        <is>
          <t>B6 –   Acque</t>
        </is>
      </c>
      <c r="J69" s="357" t="inlineStr">
        <is>
          <t>B6 – Vanduo</t>
        </is>
      </c>
      <c r="K69" s="357" t="inlineStr">
        <is>
          <t>B6 – Woda</t>
        </is>
      </c>
      <c r="L69" s="357" t="inlineStr">
        <is>
          <t>B6 – Água</t>
        </is>
      </c>
      <c r="M69" s="357" t="inlineStr">
        <is>
          <t>B6 – Agua</t>
        </is>
      </c>
    </row>
    <row r="70" ht="54" customHeight="1">
      <c r="A70" s="563" t="inlineStr">
        <is>
          <t>template_label_b7_resource_use_circular_economy_and_waste_management_validation</t>
        </is>
      </c>
      <c r="B70" s="461">
        <f>INDEX(C70:M70,MATCH(template_selected_display_language,$C$3:$M$3,0))</f>
        <v/>
      </c>
      <c r="C70" s="563" t="inlineStr">
        <is>
          <t>B7 - Resource use, circular economy and waste management</t>
        </is>
      </c>
      <c r="D70" s="563" t="inlineStr">
        <is>
          <t>B7 –   Ressourceforbrug, cirkulær økonomi og affaldshåndtering</t>
        </is>
      </c>
      <c r="E70" s="563" t="inlineStr">
        <is>
          <t>B7 — Gebruik van hulpbronnen, circulaire economie en afvalbeheer</t>
        </is>
      </c>
      <c r="F70" s="563" t="inlineStr">
        <is>
          <t>B7 - Utilisation des ressources, économie circulaire et gestion des déchets</t>
        </is>
      </c>
      <c r="G70" s="366" t="inlineStr">
        <is>
          <t>B7 - Ressourcennutzung, Kreislaufwirtschaft und Abfallwirtschaft</t>
        </is>
      </c>
      <c r="H70" s="366" t="inlineStr">
        <is>
          <t>B7 - Úsáid acmhainní, geilleagar ciorclach agus bainistiú dramhaíola</t>
        </is>
      </c>
      <c r="I70" s="2" t="inlineStr">
        <is>
          <t>B7 – Uso delle risorse, economia circolare e gestione dei rifiuti</t>
        </is>
      </c>
      <c r="J70" s="357" t="inlineStr">
        <is>
          <t>B7 - Išteklių naudojimas, žiedinė ekonomika ir atliekų tvarkymas</t>
        </is>
      </c>
      <c r="K70" s="357" t="inlineStr">
        <is>
          <t>B7 – Wykorzystanie zasobów, gospodarka o obiegu zamkniętym i gospodarowanie odpadami</t>
        </is>
      </c>
      <c r="L70" s="357" t="inlineStr">
        <is>
          <t>B7 - Utilização dos recursos, economia circular e gestão de resíduos</t>
        </is>
      </c>
      <c r="M70" s="357" t="inlineStr">
        <is>
          <t>B7 - Uso de los recursos, economía circular y gestión de residuos</t>
        </is>
      </c>
    </row>
    <row r="71">
      <c r="A71" s="563" t="inlineStr">
        <is>
          <t>template_label_social_disclosures_validation</t>
        </is>
      </c>
      <c r="B71" s="461">
        <f>INDEX(C71:M71,MATCH(template_selected_display_language,$C$3:$M$3,0))</f>
        <v/>
      </c>
      <c r="C71" s="563" t="inlineStr">
        <is>
          <t>Social Disclosures</t>
        </is>
      </c>
      <c r="D71" s="563" t="inlineStr">
        <is>
          <t>Sociale oplysninger</t>
        </is>
      </c>
      <c r="E71" s="563" t="inlineStr">
        <is>
          <t xml:space="preserve">Sociale rapportage </t>
        </is>
      </c>
      <c r="F71" s="563" t="inlineStr">
        <is>
          <t>Informations sociales</t>
        </is>
      </c>
      <c r="G71" s="366" t="inlineStr">
        <is>
          <t>Sozialangaben</t>
        </is>
      </c>
      <c r="H71" s="366" t="inlineStr">
        <is>
          <t>Nochtaí Sóisialta</t>
        </is>
      </c>
      <c r="I71" s="2" t="inlineStr">
        <is>
          <t>Informative sociali</t>
        </is>
      </c>
      <c r="J71" s="357" t="inlineStr">
        <is>
          <t>Socialinių rodiklių atskleidimai</t>
        </is>
      </c>
      <c r="K71" s="357" t="inlineStr">
        <is>
          <t>Ujawnienia społeczne</t>
        </is>
      </c>
      <c r="L71" s="357" t="inlineStr">
        <is>
          <t>Divulgações Sociais</t>
        </is>
      </c>
      <c r="M71" s="357" t="inlineStr">
        <is>
          <t>Divulgaciones Sociales</t>
        </is>
      </c>
    </row>
    <row r="72" ht="28.8" customHeight="1">
      <c r="A72" s="563" t="inlineStr">
        <is>
          <t>template_label_b8_workforce_general_characteristics_validation</t>
        </is>
      </c>
      <c r="B72" s="461">
        <f>INDEX(C72:M72,MATCH(template_selected_display_language,$C$3:$M$3,0))</f>
        <v/>
      </c>
      <c r="C72" s="563" t="inlineStr">
        <is>
          <t>B8 - Workforce - General characteristics</t>
        </is>
      </c>
      <c r="D72" s="563" t="inlineStr">
        <is>
          <t>B8 - Arbejdsstyrke - Generelle karakteristika</t>
        </is>
      </c>
      <c r="E72" s="563" t="inlineStr">
        <is>
          <t>B8 - Personeel - Algemene kenmerken</t>
        </is>
      </c>
      <c r="F72" s="563" t="inlineStr">
        <is>
          <t>B8 – Personnel – Caractéristiques générales</t>
        </is>
      </c>
      <c r="G72" s="366" t="inlineStr">
        <is>
          <t>B8 - Arbeitskräfte – Allgemeine Merkmale</t>
        </is>
      </c>
      <c r="H72" s="366" t="inlineStr">
        <is>
          <t>B8 - Lucht saothair - Saintréithe ginearálta</t>
        </is>
      </c>
      <c r="I72" s="2" t="inlineStr">
        <is>
          <t>B8 - Forza lavoro - Caratteristiche generali</t>
        </is>
      </c>
      <c r="J72" s="357" t="inlineStr">
        <is>
          <t>B8 - Darbuotojai - Bendrieji rodikliai</t>
        </is>
      </c>
      <c r="K72" s="357" t="inlineStr">
        <is>
          <t>B8 – Zasoby pracownicze – Charakterystyka ogólna</t>
        </is>
      </c>
      <c r="L72" s="357" t="inlineStr">
        <is>
          <t>B8 – Força de trabalho – Características gerais</t>
        </is>
      </c>
      <c r="M72" s="357" t="inlineStr">
        <is>
          <t>B8 – Trabajadores – Características generales</t>
        </is>
      </c>
    </row>
    <row r="73">
      <c r="A73" s="563" t="inlineStr">
        <is>
          <t>template_label_b9_workforce_health_and_safety_validation</t>
        </is>
      </c>
      <c r="B73" s="461">
        <f>INDEX(C73:M73,MATCH(template_selected_display_language,$C$3:$M$3,0))</f>
        <v/>
      </c>
      <c r="C73" s="563" t="inlineStr">
        <is>
          <t>B9 - Workforce - Health and safety</t>
        </is>
      </c>
      <c r="D73" s="563" t="inlineStr">
        <is>
          <t>B9 – Arbejdsstyrke – Sundhed og sikkerhed</t>
        </is>
      </c>
      <c r="E73" s="563" t="inlineStr">
        <is>
          <t>B9 - Personeel – Gezondheid en veiligheid</t>
        </is>
      </c>
      <c r="F73" s="563" t="inlineStr">
        <is>
          <t>B9 – Personnel – Santé et sécurité</t>
        </is>
      </c>
      <c r="G73" s="366" t="inlineStr">
        <is>
          <t>B9 - Arbeitskräfte – Gesundheitsschutz und Sicherheit</t>
        </is>
      </c>
      <c r="H73" s="366" t="inlineStr">
        <is>
          <t>B9 - Lucht saothair – Sláinte agus sábháilteacht</t>
        </is>
      </c>
      <c r="I73" s="2" t="inlineStr">
        <is>
          <t>B9 – Forza lavoro – Salute e sicurezza</t>
        </is>
      </c>
      <c r="J73" s="357" t="inlineStr">
        <is>
          <t>B9 - Darbuotojai - Sveikata ir sauga</t>
        </is>
      </c>
      <c r="K73" s="357" t="inlineStr">
        <is>
          <t>B9 - Zasoby pracownicze – Bezpieczeństwo i higiena pracy</t>
        </is>
      </c>
      <c r="L73" s="357" t="inlineStr">
        <is>
          <t>B9 — Mão-de-obra — Saúde e segurança</t>
        </is>
      </c>
      <c r="M73" s="357" t="inlineStr">
        <is>
          <t>B9 – Trabajadores – Salud y seguridad</t>
        </is>
      </c>
    </row>
    <row r="74" ht="57.6" customHeight="1">
      <c r="A74" s="563" t="inlineStr">
        <is>
          <t>template_label_b10_workforce_remuneration_collective_bargaining_and_training_validation</t>
        </is>
      </c>
      <c r="B74" s="461">
        <f>INDEX(C74:M74,MATCH(template_selected_display_language,$C$3:$M$3,0))</f>
        <v/>
      </c>
      <c r="C74" s="563" t="inlineStr">
        <is>
          <t>B10 - Workforce - Remuneration, collective bargaining and training</t>
        </is>
      </c>
      <c r="D74" s="563" t="inlineStr">
        <is>
          <t>B10 - Arbejdsstyrke - Vederlag, kollektive overenskomster og uddannelse</t>
        </is>
      </c>
      <c r="E74" s="563" t="inlineStr">
        <is>
          <t>B10 – Personeel – Vergoeding, collectieve onderhandelingen en opleiding</t>
        </is>
      </c>
      <c r="F74" s="563" t="inlineStr">
        <is>
          <t>B10 –   Personnel – Rémunération, négociation collective et formation</t>
        </is>
      </c>
      <c r="G74" s="366" t="inlineStr">
        <is>
          <t>B10 - Arbeitskräfte – Vergütung, Tarif-/Kollektivverhandlungen und Schulung</t>
        </is>
      </c>
      <c r="H74" s="366" t="inlineStr">
        <is>
          <t>B10 - Lucht saothair – Luach saothair, cómhargáil agus oiliúint</t>
        </is>
      </c>
      <c r="I74" s="2" t="inlineStr">
        <is>
          <t xml:space="preserve">B10 – Forza lavoro – Retribuzione, contrattazione collettiva e formazione
</t>
        </is>
      </c>
      <c r="J74" s="357" t="inlineStr">
        <is>
          <t>B10 - Darbuotojai – Atlyginimas, kolektyvinės derybos ir mokymai</t>
        </is>
      </c>
      <c r="K74" s="357" t="inlineStr">
        <is>
          <t>B10 – Zasoby pracownicze – wynagrodzenie, rokowania zbiorowe i szkolenia</t>
        </is>
      </c>
      <c r="L74" s="357" t="inlineStr">
        <is>
          <t>B10 - Mão-de-obra – Remuneração, negociação coletiva e formação</t>
        </is>
      </c>
      <c r="M74" s="357" t="inlineStr">
        <is>
          <t>B10 – Trabajadores – Retribución, negociación colectiva y formación</t>
        </is>
      </c>
    </row>
    <row r="75">
      <c r="A75" s="563" t="inlineStr">
        <is>
          <t>template_label_governance_disclosures_validation</t>
        </is>
      </c>
      <c r="B75" s="461">
        <f>INDEX(C75:M75,MATCH(template_selected_display_language,$C$3:$M$3,0))</f>
        <v/>
      </c>
      <c r="C75" s="563" t="inlineStr">
        <is>
          <t>Governance Disclosures</t>
        </is>
      </c>
      <c r="D75" s="563" t="inlineStr">
        <is>
          <t>Ledelsesmæssige oplysninger</t>
        </is>
      </c>
      <c r="E75" s="563" t="inlineStr">
        <is>
          <t xml:space="preserve">Governance rapportage </t>
        </is>
      </c>
      <c r="F75" s="563" t="inlineStr">
        <is>
          <t>Informations de gouvernance</t>
        </is>
      </c>
      <c r="G75" s="366" t="inlineStr">
        <is>
          <t>Governance-Angaben</t>
        </is>
      </c>
      <c r="H75" s="366" t="inlineStr">
        <is>
          <t>Nochtaí Rialachais</t>
        </is>
      </c>
      <c r="I75" s="2" t="inlineStr">
        <is>
          <t>Informative sulla governance</t>
        </is>
      </c>
      <c r="J75" s="357" t="inlineStr">
        <is>
          <t>Valdysenos rodiklių atskleidimai</t>
        </is>
      </c>
      <c r="K75" s="357" t="inlineStr">
        <is>
          <t>Ujawnienia odnoszące się do ładu korporacyjnego</t>
        </is>
      </c>
      <c r="L75" s="357" t="inlineStr">
        <is>
          <t>Divulgações de Governança</t>
        </is>
      </c>
      <c r="M75" s="357" t="inlineStr">
        <is>
          <t>Información sobre Gobernanza</t>
        </is>
      </c>
    </row>
    <row r="76" ht="43.2" customHeight="1">
      <c r="A76" s="563" t="inlineStr">
        <is>
          <t>template_label_b11_convictions_and_fines_for_corruption_and_bribery_validation</t>
        </is>
      </c>
      <c r="B76" s="461">
        <f>INDEX(C76:M76,MATCH(template_selected_display_language,$C$3:$M$3,0))</f>
        <v/>
      </c>
      <c r="C76" s="563" t="inlineStr">
        <is>
          <t>B11 - Convictions and fines for corruption and bribery</t>
        </is>
      </c>
      <c r="D76" s="563" t="inlineStr">
        <is>
          <t>B11 – Domme og bøder for korruption og bestikkelse</t>
        </is>
      </c>
      <c r="E76" s="563" t="inlineStr">
        <is>
          <t>B11 – Veroordelingen en boetes voor corruptie en omkoping</t>
        </is>
      </c>
      <c r="F76" s="563" t="inlineStr">
        <is>
          <t>B11 – Condamnations et amendes pour corruption et pots-de-vin</t>
        </is>
      </c>
      <c r="G76" s="366" t="inlineStr">
        <is>
          <t>B11 - Verurteilungen und Geldstrafen wegen Korruption und Bestechung</t>
        </is>
      </c>
      <c r="H76" s="366" t="inlineStr">
        <is>
          <t>B11 - Ciontuithe agus fíneálacha mar gheall ar éilliú agus breabaireacht</t>
        </is>
      </c>
      <c r="I76" s="2" t="inlineStr">
        <is>
          <t>B11 - Condanne e ammende per corruzione attiva e passiva</t>
        </is>
      </c>
      <c r="J76" s="357" t="inlineStr">
        <is>
          <t>B11 - Nuosprendžiai ir baudos už korupciją ir kyšininkavimą</t>
        </is>
      </c>
      <c r="K76" s="357" t="inlineStr">
        <is>
          <t>B11 – Wyroki skazujące i grzywny za naruszenie przepisów antykorupcyjnych i przepisów w sprawie zwalczania przekupstwa</t>
        </is>
      </c>
      <c r="L76" s="357" t="inlineStr">
        <is>
          <t>B11 — Condenações e multas por corrupção e suborno</t>
        </is>
      </c>
      <c r="M76" s="357" t="inlineStr">
        <is>
          <t>B11 – Condenas y multas por corrupción y soborno</t>
        </is>
      </c>
    </row>
    <row r="77">
      <c r="A77" s="563" t="inlineStr">
        <is>
          <t>template_label_comprehensive_module_validation</t>
        </is>
      </c>
      <c r="B77" s="461">
        <f>INDEX(C77:M77,MATCH(template_selected_display_language,$C$3:$M$3,0))</f>
        <v/>
      </c>
      <c r="C77" s="563" t="inlineStr">
        <is>
          <t>Comprehensive Module</t>
        </is>
      </c>
      <c r="D77" s="563" t="inlineStr">
        <is>
          <t xml:space="preserve">Udvidet Modul </t>
        </is>
      </c>
      <c r="E77" s="563" t="inlineStr">
        <is>
          <t>Uitgebreide module</t>
        </is>
      </c>
      <c r="F77" s="563" t="inlineStr">
        <is>
          <t>Module complet</t>
        </is>
      </c>
      <c r="G77" s="366" t="inlineStr">
        <is>
          <t>Zusatzmodul</t>
        </is>
      </c>
      <c r="H77" s="366" t="inlineStr">
        <is>
          <t>Modúl Cuimsitheach</t>
        </is>
      </c>
      <c r="I77" s="2" t="inlineStr">
        <is>
          <t>Modulo onnicomprensivo</t>
        </is>
      </c>
      <c r="J77" s="357" t="inlineStr">
        <is>
          <t>IŠSAMUSIS MODULIS</t>
        </is>
      </c>
      <c r="K77" s="357" t="inlineStr">
        <is>
          <t>Moduł kompleksowy</t>
        </is>
      </c>
      <c r="L77" s="357" t="inlineStr">
        <is>
          <t>Módulo abrangente</t>
        </is>
      </c>
      <c r="M77" s="357" t="inlineStr">
        <is>
          <t>Módulo completo</t>
        </is>
      </c>
    </row>
    <row r="78" ht="57.6" customHeight="1">
      <c r="A78" s="563" t="inlineStr">
        <is>
          <t>template_label_c1_strategy_business_model_and_sustainability_related_initiatives_validation</t>
        </is>
      </c>
      <c r="B78" s="461">
        <f>INDEX(C78:M78,MATCH(template_selected_display_language,$C$3:$M$3,0))</f>
        <v/>
      </c>
      <c r="C78" s="563" t="inlineStr">
        <is>
          <t>C1 - Strategy: Business Model and Sustainability - Related Initiatives</t>
        </is>
      </c>
      <c r="D78" s="563" t="inlineStr">
        <is>
          <t xml:space="preserve">C1 – Strategi: Forretningsmodel og bæredygtighedsrelaterede initiativer
</t>
        </is>
      </c>
      <c r="E78" s="563" t="inlineStr">
        <is>
          <t>C1 – Strategie: l businessmodel en duurzaamheid – Gerelateerde initiatieven</t>
        </is>
      </c>
      <c r="F78" s="563" t="inlineStr">
        <is>
          <t xml:space="preserve">C1 – Stratégie : modèle économique et durabilité – initiatives associées
</t>
        </is>
      </c>
      <c r="G78" s="366" t="inlineStr">
        <is>
          <t>C1 - Strategie: Geschäftsmodell und Nachhaltigkeit – Zugehörige Initiativen</t>
        </is>
      </c>
      <c r="H78" s="366" t="inlineStr">
        <is>
          <t>C1 - Straitéis: Múnla Gnó agus Inbhuanaitheacht – Tionscnaimh Gaolmhara</t>
        </is>
      </c>
      <c r="I78" s="2" t="inlineStr">
        <is>
          <t>C1 - Strategia: modello aziendale e iniziative connesse alla sostenibilità</t>
        </is>
      </c>
      <c r="J78" s="357" t="inlineStr">
        <is>
          <t>C1. Strategija: verslo modelis ir su tvarumu susijusios iniciatyvos</t>
        </is>
      </c>
      <c r="K78" s="357" t="inlineStr">
        <is>
          <t>C1 – Strategia: model biznesowy i zrównoważony rozwój – powiązane inicjatywy</t>
        </is>
      </c>
      <c r="L78" s="357" t="inlineStr">
        <is>
          <t>C1 - Estratégia: Modelo de negócio e sustentabilidade — Iniciativas conexas</t>
        </is>
      </c>
      <c r="M78" s="357" t="inlineStr">
        <is>
          <t>C1 – Estrategia: modelo de negocio y sostenibilidad – Iniciativas relacionadas</t>
        </is>
      </c>
    </row>
    <row r="79" ht="43.2" customHeight="1">
      <c r="A79" s="563" t="inlineStr">
        <is>
          <t>template_label_c2_description_of_practices_policies_and_future_initiatives_for_transitioning_towards_a_more_sustainable_economy_validation</t>
        </is>
      </c>
      <c r="B79" s="461">
        <f>INDEX(C79:M79,MATCH(template_selected_display_language,$C$3:$M$3,0))</f>
        <v/>
      </c>
      <c r="C79" s="563" t="inlineStr">
        <is>
          <t>C2 - Description of practices, policies and future initiatives for transitioning towards a more sustainable economy</t>
        </is>
      </c>
      <c r="D79" s="563" t="inlineStr">
        <is>
          <t xml:space="preserve">C2 - Beskrivelse af praksisser, politikker og fremtidige initiativer for omstillingen til en mere bæredygtig økonomi </t>
        </is>
      </c>
      <c r="E79" s="563" t="inlineStr">
        <is>
          <t>C2 – Beschrijving van praktijken, beleid en toekomstige initiatieven voor de transitie naar een duurzamere economie</t>
        </is>
      </c>
      <c r="F79" s="563" t="inlineStr">
        <is>
          <t>C2 – Description des pratiques, politiques et initiatives futures en vue de la transition vers une économie plus durable</t>
        </is>
      </c>
      <c r="G79" s="366" t="inlineStr">
        <is>
          <t>C2 - Beschreibung von Verfahrensweisen, Richtlinien und künftigen Initiativen für den Übergang zu einer nachhaltigeren Wirtschaft</t>
        </is>
      </c>
      <c r="H79" s="366" t="inlineStr">
        <is>
          <t>C2 - Cur síos ar chleachtais, ar bheartais agus ar thionscnaimh amach anseo chun aistriú i dtreo geilleagar níos inbhuanaithe</t>
        </is>
      </c>
      <c r="I79" s="2" t="inlineStr">
        <is>
          <t>C2 – Descrizione delle pratiche, delle politiche e delle iniziative future per la transizione verso un'economia più sostenibile</t>
        </is>
      </c>
      <c r="J79" s="357" t="inlineStr">
        <is>
          <t>C2. Perėjimo prie tvaresnės ekonomikos praktikų, politikos ir būsimų iniciatyvų aprašymas</t>
        </is>
      </c>
      <c r="K79" s="357" t="inlineStr">
        <is>
          <t>C2 – Opis praktyk, polityk i przyszłych inicjatyw na rzecz przejścia na bardziej zrównoważoną gospodarkę</t>
        </is>
      </c>
      <c r="L79" s="357" t="inlineStr">
        <is>
          <t>C2 - Descrição das práticas, políticas e iniciativas futuras para a transição para uma economia mais sustentável</t>
        </is>
      </c>
      <c r="M79" s="357" t="inlineStr">
        <is>
          <t>C2 – Descripción de las prácticas, políticas e iniciativas futuras para la transición hacia una economía más sostenible</t>
        </is>
      </c>
    </row>
    <row r="80" ht="28.8" customHeight="1">
      <c r="A80" s="563" t="inlineStr">
        <is>
          <t>template_label_c3_ghg_reduction_targets_and_climate_transition_validation</t>
        </is>
      </c>
      <c r="B80" s="461">
        <f>INDEX(C80:M80,MATCH(template_selected_display_language,$C$3:$M$3,0))</f>
        <v/>
      </c>
      <c r="C80" s="563" t="inlineStr">
        <is>
          <t>C3 - GHG reduction targets and climate transition</t>
        </is>
      </c>
      <c r="D80" s="563" t="inlineStr">
        <is>
          <t>C3 - Mål for reduktion af drivhusgasser og klimaomstilling</t>
        </is>
      </c>
      <c r="E80" s="563" t="inlineStr">
        <is>
          <t>C3 - Streefcijfers voor broeikasgasreductie en klimaattransitie</t>
        </is>
      </c>
      <c r="F80" s="563" t="inlineStr">
        <is>
          <t>C3 –   Cibles de réduction des émissions de GES et transition climatique</t>
        </is>
      </c>
      <c r="G80" s="366" t="inlineStr">
        <is>
          <t>C3 - THG-Reduktionsziele und Übergang für den Klimaschutz</t>
        </is>
      </c>
      <c r="H80" s="366" t="inlineStr">
        <is>
          <t>C3 - Spriocanna laghdaithe gás ceaptha teasa agus aistriú aeráide</t>
        </is>
      </c>
      <c r="I80" s="2" t="inlineStr">
        <is>
          <t>C3 – Obiettivi di riduzione delle emissioni di gas a effetto serra e transizione climatica</t>
        </is>
      </c>
      <c r="J80" s="357" t="inlineStr">
        <is>
          <t>C3 – ŠESD emisijų mažinimo tikslai ir klimato perėjimo planas</t>
        </is>
      </c>
      <c r="K80" s="357" t="inlineStr">
        <is>
          <t>C3 – Cele redukcji emisji gazów cieplarnianych i transformacja klimatyczna</t>
        </is>
      </c>
      <c r="L80" s="357" t="inlineStr">
        <is>
          <t>C3 - Objetivos de redução de GEE e transição climática</t>
        </is>
      </c>
      <c r="M80" s="357" t="inlineStr">
        <is>
          <t>C3 - Metas de reducción de GEI y transición climática</t>
        </is>
      </c>
    </row>
    <row r="81">
      <c r="A81" s="563" t="inlineStr">
        <is>
          <t>template_label_c4_climate_risks_validation</t>
        </is>
      </c>
      <c r="B81" s="461">
        <f>INDEX(C81:M81,MATCH(template_selected_display_language,$C$3:$M$3,0))</f>
        <v/>
      </c>
      <c r="C81" s="563" t="inlineStr">
        <is>
          <t>C4 - Climate risks</t>
        </is>
      </c>
      <c r="D81" s="563" t="inlineStr">
        <is>
          <t>C4 - Klimarisici</t>
        </is>
      </c>
      <c r="E81" s="563" t="inlineStr">
        <is>
          <t>C4 – Klimaatrisico’s</t>
        </is>
      </c>
      <c r="F81" s="563" t="inlineStr">
        <is>
          <t>C4 – Risques climatiques</t>
        </is>
      </c>
      <c r="G81" s="366" t="inlineStr">
        <is>
          <t>C4 - Klimabedingte Risiken</t>
        </is>
      </c>
      <c r="H81" s="366" t="inlineStr">
        <is>
          <t>C4 - Rioscaí aeráide</t>
        </is>
      </c>
      <c r="I81" s="2" t="inlineStr">
        <is>
          <t>C4 - Rischi climatici</t>
        </is>
      </c>
      <c r="J81" s="357" t="inlineStr">
        <is>
          <t>C4 – Klimato rizikos</t>
        </is>
      </c>
      <c r="K81" s="357" t="inlineStr">
        <is>
          <t>C4 – Ryzyka związane z klimatem</t>
        </is>
      </c>
      <c r="L81" s="357" t="inlineStr">
        <is>
          <t>C4 – Riscos climáticos</t>
        </is>
      </c>
      <c r="M81" s="357" t="inlineStr">
        <is>
          <t>C4 - Riesgos climáticos</t>
        </is>
      </c>
    </row>
    <row r="82" ht="28.8" customHeight="1">
      <c r="A82" s="563" t="inlineStr">
        <is>
          <t>template_label_c5_additional_general_workforce_characteristics_validation</t>
        </is>
      </c>
      <c r="B82" s="461">
        <f>INDEX(C82:M82,MATCH(template_selected_display_language,$C$3:$M$3,0))</f>
        <v/>
      </c>
      <c r="C82" s="563" t="inlineStr">
        <is>
          <t>C5 - Additional (general) workforce characteristics</t>
        </is>
      </c>
      <c r="D82" s="563" t="inlineStr">
        <is>
          <t>C5 - Supplerende (generelle) oplysninger om arbejdsstyrken</t>
        </is>
      </c>
      <c r="E82" s="563" t="inlineStr">
        <is>
          <t>C5 - Aanvullende (algemene) kenmerken van het personeelsbestand</t>
        </is>
      </c>
      <c r="F82" s="563" t="inlineStr">
        <is>
          <t>C5 – Caractéristiques supplémentaires (générales) du personnel</t>
        </is>
      </c>
      <c r="G82" s="366" t="inlineStr">
        <is>
          <t>C5 - Zusätzliche (allgemeine) Merkmale der Arbeitskräfte</t>
        </is>
      </c>
      <c r="H82" s="366" t="inlineStr">
        <is>
          <t>C5 - Saintréithe breise (ginearálta) den lucht saothair</t>
        </is>
      </c>
      <c r="I82" s="2" t="inlineStr">
        <is>
          <t>C5 – Altre caratteristiche (generali) della forza lavoro</t>
        </is>
      </c>
      <c r="J82" s="357" t="inlineStr">
        <is>
          <t>C5 - Papildomi (bendrieji) darbuotojų rodikliai</t>
        </is>
      </c>
      <c r="K82" s="357" t="inlineStr">
        <is>
          <t>C5 – Dodatkowa (ogólna) charakterystyka pracowników</t>
        </is>
      </c>
      <c r="L82" s="357" t="inlineStr">
        <is>
          <t>C5 - Características adicionais (gerais) da mão-de-obra</t>
        </is>
      </c>
      <c r="M82" s="357" t="inlineStr">
        <is>
          <t>C5 – Características (generales) adicionales de los trabajadores</t>
        </is>
      </c>
    </row>
    <row r="83" ht="57.6" customHeight="1">
      <c r="A83" s="563" t="inlineStr">
        <is>
          <t>template_label_c6_additional_own_workforce_information_human_rights_policies_and_processes_validation</t>
        </is>
      </c>
      <c r="B83" s="461">
        <f>INDEX(C83:M83,MATCH(template_selected_display_language,$C$3:$M$3,0))</f>
        <v/>
      </c>
      <c r="C83" s="563" t="inlineStr">
        <is>
          <t>C6 - Additional own workforce information - Human rights policies and processes</t>
        </is>
      </c>
      <c r="D83" s="563" t="inlineStr">
        <is>
          <t>C6 - Yderligere oplysninger om egen arbejdsstyrke - Politikker og processer vedrørende menneskerettigheder</t>
        </is>
      </c>
      <c r="E83" s="563" t="inlineStr">
        <is>
          <t>C6 — Aanvullende informatie over het personeel — Mensenrechtenbeleid en -processen</t>
        </is>
      </c>
      <c r="F83" s="563" t="inlineStr">
        <is>
          <t>C6 – Informations supplémentaires sur le personnel – Politiques et procédures en matière de droits de l’homme</t>
        </is>
      </c>
      <c r="G83" s="366" t="inlineStr">
        <is>
          <t>C6 - Zusätzliche Informationen über die Arbeitskräfte des Unternehmens – Richtlinien für die Achtung der Menschenrechte und diesbezügliche Prozesse</t>
        </is>
      </c>
      <c r="H83" s="366" t="inlineStr">
        <is>
          <t>C6 - Faisnéis bhreise faoin lucht saothair féin - Beartais agus próisis chearta an duine</t>
        </is>
      </c>
      <c r="I83" s="2" t="inlineStr">
        <is>
          <t>C6 - Altre informazioni sulla forza lavoro propria – Politiche e procedure in materia di diritti umani</t>
        </is>
      </c>
      <c r="J83" s="357" t="inlineStr">
        <is>
          <t>C6 - Papildoma darbuotojų informacija - Žmogaus teisių politika ir procesai</t>
        </is>
      </c>
      <c r="K83" s="357" t="inlineStr">
        <is>
          <t>C6 – Dodatkowe informacje dotyczące własnych zasobów pracowniczych – polityki i procesy dotyczące praw człowieka</t>
        </is>
      </c>
      <c r="L83" s="357" t="inlineStr">
        <is>
          <t xml:space="preserve">C6 — Informações adicionais sobre a própria mão-de-obra — Políticas e processos em matéria de direitos humanos
  </t>
        </is>
      </c>
      <c r="M83" s="357" t="inlineStr">
        <is>
          <t>C6 – Información adicional sobre el personal propio – Políticas y procesos en materia de derechos humanos</t>
        </is>
      </c>
    </row>
    <row r="84" ht="43.2" customHeight="1">
      <c r="A84" s="563" t="inlineStr">
        <is>
          <t>template_label_c7_severe_negative_human_rights_incidents_validation</t>
        </is>
      </c>
      <c r="B84" s="461">
        <f>INDEX(C84:M84,MATCH(template_selected_display_language,$C$3:$M$3,0))</f>
        <v/>
      </c>
      <c r="C84" s="563" t="inlineStr">
        <is>
          <t>C7 - Severe negative human rights incidents</t>
        </is>
      </c>
      <c r="D84" s="563" t="inlineStr">
        <is>
          <t>C7 – Alvorlige negative menneskerettighedshændelser</t>
        </is>
      </c>
      <c r="E84" s="563" t="inlineStr">
        <is>
          <t>C7 - Ernstige negatieve incidenten met betrekking tot mensenrechten</t>
        </is>
      </c>
      <c r="F84" s="563" t="inlineStr">
        <is>
          <t>C7 – Incidents graves en matière de droits de l’homme</t>
        </is>
      </c>
      <c r="G84" s="366" t="inlineStr">
        <is>
          <t>C7 - Schwerwiegende Vorfälle im Zusammenhang mit Menschenrechten</t>
        </is>
      </c>
      <c r="H84" s="366" t="inlineStr">
        <is>
          <t>C7 – Teagmhais dhiúltacha thromchúiseacha a bhaineann le cearta an duine</t>
        </is>
      </c>
      <c r="I84" s="2" t="inlineStr">
        <is>
          <t xml:space="preserve">C7 - Incidenti gravi in materia di diritti umani
</t>
        </is>
      </c>
      <c r="J84" s="357" t="inlineStr">
        <is>
          <t>C7 - Dideli neigiami incidentai žmogaus teisių srityje</t>
        </is>
      </c>
      <c r="K84" s="357" t="inlineStr">
        <is>
          <t>C7 – Poważne incydenty dotyczące praw człowieka</t>
        </is>
      </c>
      <c r="L84" s="357" t="inlineStr">
        <is>
          <t>C7 - Incidentes negativos graves em matéria de direitos humanos</t>
        </is>
      </c>
      <c r="M84" s="357" t="inlineStr">
        <is>
          <t>C7 - Incidentes graves negativos de derechos humanos</t>
        </is>
      </c>
    </row>
    <row r="85" ht="28.8" customHeight="1">
      <c r="A85" s="563" t="inlineStr">
        <is>
          <t>template_label_c8_revenues_from_certain_sectors_and_exclusion_from_eu_reference_benchmarks_validation</t>
        </is>
      </c>
      <c r="B85" s="461">
        <f>INDEX(C85:M85,MATCH(template_selected_display_language,$C$3:$M$3,0))</f>
        <v/>
      </c>
      <c r="C85" s="563" t="inlineStr">
        <is>
          <t>C8 - Revenues from certain activities and exclusion from EU reference benchmarks</t>
        </is>
      </c>
      <c r="D85" s="563" t="inlineStr">
        <is>
          <t xml:space="preserve">C8 - Indtægter fra bestemte aktiviteter og udelukkelse fra EU-referencebenchmarks </t>
        </is>
      </c>
      <c r="E85" s="563" t="inlineStr">
        <is>
          <t>C8 — Ontvangsten uit bepaalde activiteiten en uitsluiting van EU-referentiebenchmarks</t>
        </is>
      </c>
      <c r="F85" s="563" t="inlineStr">
        <is>
          <t>C8 – Chiffre d’affaires de certains secteurs et exclusion des indices de référence de l’Union européenne</t>
        </is>
      </c>
      <c r="G85" s="366" t="inlineStr">
        <is>
          <t>C8 - Umsatzerlöse aus bestimmten Tätigkeiten und Ausnahme von EU-Referenzwerten</t>
        </is>
      </c>
      <c r="H85" s="366" t="inlineStr">
        <is>
          <t>C8 - Ioncaim ó ghníomhaíochtaí áirithe agus eisiamh ó thagarmharcanna tagartha an AE</t>
        </is>
      </c>
      <c r="I85" s="2" t="inlineStr">
        <is>
          <t>C8 – Ricavi da determinate attività ed esclusione dagli indici di riferimento dell'UE</t>
        </is>
      </c>
      <c r="J85" s="357" t="inlineStr">
        <is>
          <t>C8 – Pajamos iš tam tikrų sektorių ir neįtraukimai į ES lyginamuosius etalonus</t>
        </is>
      </c>
      <c r="K85" s="357" t="inlineStr">
        <is>
          <t>C8 – Przychody z niektórych rodzajów działalności i wykluczenie z unijnych wskaźników referencyjnych</t>
        </is>
      </c>
      <c r="L85" s="357" t="inlineStr">
        <is>
          <t>C8 – Rédito de determinadas atividades e exclusão dos índices de referência da UE</t>
        </is>
      </c>
      <c r="M85" s="357" t="inlineStr">
        <is>
          <t>C8 – Ingresos de determinadas actividades y exclusión de los índices de referencia de la UE</t>
        </is>
      </c>
    </row>
    <row r="86" ht="28.8" customHeight="1">
      <c r="A86" s="563" t="inlineStr">
        <is>
          <t>template_label_c9_gender_diversity_ratio_in_the_governance_body_validation</t>
        </is>
      </c>
      <c r="B86" s="461">
        <f>INDEX(C86:M86,MATCH(template_selected_display_language,$C$3:$M$3,0))</f>
        <v/>
      </c>
      <c r="C86" s="563" t="inlineStr">
        <is>
          <t>C9 - Gender diversity ratio in the governance body</t>
        </is>
      </c>
      <c r="D86" s="563" t="inlineStr">
        <is>
          <t>C9 – Kønsfordeling i ledelsesorganet</t>
        </is>
      </c>
      <c r="E86" s="563" t="inlineStr">
        <is>
          <t>C9 — Genderdiversiteitsverhouding in het bestuursorgaan</t>
        </is>
      </c>
      <c r="F86" s="563" t="inlineStr">
        <is>
          <t>C9 – Ratio de mixité au sein de l’organe de gouvernance</t>
        </is>
      </c>
      <c r="G86" s="366" t="inlineStr">
        <is>
          <t>C9 - Geschlechtervielfalt im Leitungsorgan</t>
        </is>
      </c>
      <c r="H86" s="366" t="inlineStr">
        <is>
          <t>C9 - Cóimheas éagsúlachta inscne sa chomhlacht rialachais</t>
        </is>
      </c>
      <c r="I86" s="2" t="inlineStr">
        <is>
          <t>C9 - Diversità di genere nell'organo di governance</t>
        </is>
      </c>
      <c r="J86" s="357" t="inlineStr">
        <is>
          <t>C9 - Lyčių įvairovės rodiklis valdymo organe</t>
        </is>
      </c>
      <c r="K86" s="357" t="inlineStr">
        <is>
          <t>C9 - Wskaźnik zróżnicowania organu zarządzającego pod względem płci</t>
        </is>
      </c>
      <c r="L86" s="357" t="inlineStr">
        <is>
          <t>C9 - Rácio de diversidade de género no órgão de governação</t>
        </is>
      </c>
      <c r="M86" s="357" t="inlineStr">
        <is>
          <t>C9 – Índice de diversidad de género en el órgano de gobierno</t>
        </is>
      </c>
    </row>
    <row r="87">
      <c r="A87" s="563" t="inlineStr">
        <is>
          <t>template_label_additional_disclosures_validation</t>
        </is>
      </c>
      <c r="B87" s="461">
        <f>INDEX(C87:M87,MATCH(template_selected_display_language,$C$3:$M$3,0))</f>
        <v/>
      </c>
      <c r="C87" s="563" t="inlineStr">
        <is>
          <t>Additional Disclosures</t>
        </is>
      </c>
      <c r="D87" s="563" t="inlineStr">
        <is>
          <t>Yderligere oplysninger</t>
        </is>
      </c>
      <c r="E87" s="563" t="inlineStr">
        <is>
          <t xml:space="preserve">Aanvullende rapportage </t>
        </is>
      </c>
      <c r="F87" s="563" t="inlineStr">
        <is>
          <t>Informations supplémentaires</t>
        </is>
      </c>
      <c r="G87" s="366" t="inlineStr">
        <is>
          <t>Zusätzliche Angaben</t>
        </is>
      </c>
      <c r="H87" s="366" t="inlineStr">
        <is>
          <t>Nochtaí Breise</t>
        </is>
      </c>
      <c r="I87" s="2" t="inlineStr">
        <is>
          <t>Ulteriori informative</t>
        </is>
      </c>
      <c r="J87" s="357" t="inlineStr">
        <is>
          <t>Papildomi atskleidimai</t>
        </is>
      </c>
      <c r="K87" s="357" t="inlineStr">
        <is>
          <t>Dodatkowe ujawnienia</t>
        </is>
      </c>
      <c r="L87" s="357" t="inlineStr">
        <is>
          <t>Divulgações Adicionais</t>
        </is>
      </c>
      <c r="M87" s="357" t="inlineStr">
        <is>
          <t>Divulgaciones adicionales</t>
        </is>
      </c>
    </row>
    <row r="88">
      <c r="A88" s="2" t="inlineStr">
        <is>
          <t>template_label_paragraph_reference</t>
        </is>
      </c>
      <c r="B88" s="461">
        <f>INDEX(C88:M88,MATCH(template_selected_display_language,$C$3:$M$3,0))</f>
        <v/>
      </c>
      <c r="C88" s="2" t="inlineStr">
        <is>
          <t>Paragraph Reference</t>
        </is>
      </c>
      <c r="D88" s="563" t="inlineStr">
        <is>
          <t>Reference til paragraf</t>
        </is>
      </c>
      <c r="E88" s="563" t="inlineStr">
        <is>
          <t>Paragraafverwijzing</t>
        </is>
      </c>
      <c r="F88" s="563" t="inlineStr">
        <is>
          <t>Référence de paragraphe</t>
        </is>
      </c>
      <c r="G88" s="366" t="inlineStr">
        <is>
          <t>Verweis auf Absatz/ Nummer</t>
        </is>
      </c>
      <c r="H88" s="366" t="inlineStr">
        <is>
          <t>Tagairt na Míre</t>
        </is>
      </c>
      <c r="I88" s="2" t="inlineStr">
        <is>
          <t>Riferimento al paragrafo</t>
        </is>
      </c>
      <c r="J88" s="357" t="inlineStr">
        <is>
          <t>Pastraipos nuoroda</t>
        </is>
      </c>
      <c r="K88" s="357" t="inlineStr">
        <is>
          <t>Odniesienie do paragrafu</t>
        </is>
      </c>
      <c r="L88" s="357" t="inlineStr">
        <is>
          <t>Referência do parágrafo</t>
        </is>
      </c>
      <c r="M88" s="357" t="inlineStr">
        <is>
          <t>Referencia de párrafo</t>
        </is>
      </c>
    </row>
    <row r="89" ht="43.2" customHeight="1">
      <c r="A89" s="2" t="inlineStr">
        <is>
          <t>template_label_paragraph_guidance_reference</t>
        </is>
      </c>
      <c r="B89" s="461">
        <f>INDEX(C89:M89,MATCH(template_selected_display_language,$C$3:$M$3,0))</f>
        <v/>
      </c>
      <c r="C89" s="2" t="inlineStr">
        <is>
          <t>Paragraph Guidance Reference</t>
        </is>
      </c>
      <c r="D89" s="563" t="inlineStr">
        <is>
          <t xml:space="preserve">Reference til paragrafvejledning </t>
        </is>
      </c>
      <c r="E89" s="563" t="inlineStr">
        <is>
          <t>Paragraaf  Handreiking Referentie</t>
        </is>
      </c>
      <c r="F89" s="563" t="inlineStr">
        <is>
          <t>Référence de paragraphe des orientations</t>
        </is>
      </c>
      <c r="G89" s="366" t="inlineStr">
        <is>
          <t>Verweis auf Leitlinien-absatz/ -nummer</t>
        </is>
      </c>
      <c r="H89" s="366" t="inlineStr">
        <is>
          <t>Tagairt Threorach do Mhír</t>
        </is>
      </c>
      <c r="I89" s="2" t="inlineStr">
        <is>
          <t xml:space="preserve">Riferimento al paragrafo degli orientamenti
</t>
        </is>
      </c>
      <c r="J89" s="357" t="inlineStr">
        <is>
          <t>Gairių pastaipos nuoroda</t>
        </is>
      </c>
      <c r="K89" s="357" t="inlineStr">
        <is>
          <t>Odniesienie do wytycznych w paragrafie</t>
        </is>
      </c>
      <c r="L89" s="357" t="inlineStr">
        <is>
          <t>Referência de Orientação do Parágrafo</t>
        </is>
      </c>
      <c r="M89" s="357" t="inlineStr">
        <is>
          <t>Referencia al párrafo de la Guía</t>
        </is>
      </c>
    </row>
    <row r="90">
      <c r="A90" s="2" t="inlineStr">
        <is>
          <t>template_label_from</t>
        </is>
      </c>
      <c r="B90" s="461">
        <f>INDEX(C90:M90,MATCH(template_selected_display_language,$C$3:$M$3,0))</f>
        <v/>
      </c>
      <c r="C90" s="2" t="inlineStr">
        <is>
          <t>from</t>
        </is>
      </c>
      <c r="D90" s="563" t="inlineStr">
        <is>
          <t>fra</t>
        </is>
      </c>
      <c r="E90" s="563" t="inlineStr">
        <is>
          <t>van</t>
        </is>
      </c>
      <c r="F90" s="563" t="inlineStr">
        <is>
          <t>du</t>
        </is>
      </c>
      <c r="G90" s="366" t="inlineStr">
        <is>
          <t>vom</t>
        </is>
      </c>
      <c r="H90" s="366" t="inlineStr">
        <is>
          <t>ó</t>
        </is>
      </c>
      <c r="I90" s="2" t="inlineStr">
        <is>
          <t>da</t>
        </is>
      </c>
      <c r="J90" s="357" t="inlineStr">
        <is>
          <t>iš</t>
        </is>
      </c>
      <c r="K90" s="357" t="inlineStr">
        <is>
          <t>z</t>
        </is>
      </c>
      <c r="L90" s="357" t="inlineStr">
        <is>
          <t>de</t>
        </is>
      </c>
      <c r="M90" s="357" t="inlineStr">
        <is>
          <t>de</t>
        </is>
      </c>
    </row>
    <row r="91">
      <c r="A91" s="2" t="inlineStr">
        <is>
          <t>template_label_to</t>
        </is>
      </c>
      <c r="B91" s="461">
        <f>INDEX(C91:M91,MATCH(template_selected_display_language,$C$3:$M$3,0))</f>
        <v/>
      </c>
      <c r="C91" s="2" t="inlineStr">
        <is>
          <t>to</t>
        </is>
      </c>
      <c r="D91" s="563" t="inlineStr">
        <is>
          <t>til</t>
        </is>
      </c>
      <c r="E91" s="563" t="inlineStr">
        <is>
          <t>naar</t>
        </is>
      </c>
      <c r="F91" s="563" t="inlineStr">
        <is>
          <t>au</t>
        </is>
      </c>
      <c r="G91" s="366" t="inlineStr">
        <is>
          <t>bis</t>
        </is>
      </c>
      <c r="H91" s="366" t="inlineStr">
        <is>
          <t>go</t>
        </is>
      </c>
      <c r="I91" s="2" t="inlineStr">
        <is>
          <t>a</t>
        </is>
      </c>
      <c r="J91" s="357" t="inlineStr">
        <is>
          <t>į</t>
        </is>
      </c>
      <c r="K91" s="357" t="inlineStr">
        <is>
          <t>do</t>
        </is>
      </c>
      <c r="L91" s="357" t="inlineStr">
        <is>
          <t>para</t>
        </is>
      </c>
      <c r="M91" s="357" t="inlineStr">
        <is>
          <t>a</t>
        </is>
      </c>
    </row>
    <row r="92" ht="43.8" customHeight="1" thickBot="1">
      <c r="A92" s="358" t="inlineStr">
        <is>
          <t>template_label_at</t>
        </is>
      </c>
      <c r="B92" s="462">
        <f>INDEX(C92:M92,MATCH(template_selected_display_language,$C$3:$M$3,0))</f>
        <v/>
      </c>
      <c r="C92" s="358" t="inlineStr">
        <is>
          <t>at</t>
        </is>
      </c>
      <c r="D92" s="373" t="inlineStr">
        <is>
          <t xml:space="preserve">
Den</t>
        </is>
      </c>
      <c r="E92" s="373" t="inlineStr">
        <is>
          <t>bij</t>
        </is>
      </c>
      <c r="F92" s="373" t="inlineStr">
        <is>
          <t>à</t>
        </is>
      </c>
      <c r="G92" s="367" t="inlineStr">
        <is>
          <t>zum</t>
        </is>
      </c>
      <c r="H92" s="367" t="inlineStr">
        <is>
          <t>ag</t>
        </is>
      </c>
      <c r="I92" s="358" t="inlineStr">
        <is>
          <t>a</t>
        </is>
      </c>
      <c r="J92" s="371" t="inlineStr">
        <is>
          <t>Vietoje:</t>
        </is>
      </c>
      <c r="K92" s="371" t="inlineStr">
        <is>
          <t>w</t>
        </is>
      </c>
      <c r="L92" s="371" t="inlineStr">
        <is>
          <t>em</t>
        </is>
      </c>
      <c r="M92" s="371" t="inlineStr">
        <is>
          <t>en</t>
        </is>
      </c>
    </row>
    <row r="93" ht="43.2" customHeight="1">
      <c r="A93" s="2" t="inlineStr">
        <is>
          <t>template_label_always_to_be_reported</t>
        </is>
      </c>
      <c r="B93" s="461">
        <f>INDEX(C93:M93,MATCH(template_selected_display_language,$C$3:$M$3,0))</f>
        <v/>
      </c>
      <c r="C93" s="2" t="inlineStr">
        <is>
          <t>[Always to be reported]</t>
        </is>
      </c>
      <c r="D93" s="563" t="inlineStr">
        <is>
          <t>[Skal altid rapporteres]</t>
        </is>
      </c>
      <c r="E93" s="563" t="inlineStr">
        <is>
          <t xml:space="preserve"> Verplicht rapporteren</t>
        </is>
      </c>
      <c r="F93" s="563" t="inlineStr">
        <is>
          <t xml:space="preserve">[Toujours à reporter] 
</t>
        </is>
      </c>
      <c r="G93" s="366" t="inlineStr">
        <is>
          <t>[Immer anzugeben]</t>
        </is>
      </c>
      <c r="H93" s="366" t="inlineStr">
        <is>
          <t>[Le tuairisciú i gcónaí]</t>
        </is>
      </c>
      <c r="I93" s="2" t="inlineStr">
        <is>
          <t>[Sempre da riportare]</t>
        </is>
      </c>
      <c r="J93" s="357" t="inlineStr">
        <is>
          <t>[Privaloma visada pateikti]</t>
        </is>
      </c>
      <c r="K93" s="357" t="inlineStr">
        <is>
          <t>[Zawsze do zgłoszenia]</t>
        </is>
      </c>
      <c r="L93" s="357" t="inlineStr">
        <is>
          <t>[Sempre a ser reportado]</t>
        </is>
      </c>
      <c r="M93" s="357" t="inlineStr">
        <is>
          <t>[Siempre debe informarse]</t>
        </is>
      </c>
    </row>
    <row r="94">
      <c r="A94" s="2" t="inlineStr">
        <is>
          <t>template_label_if_applicable</t>
        </is>
      </c>
      <c r="B94" s="461">
        <f>INDEX(C94:M94,MATCH(template_selected_display_language,$C$3:$M$3,0))</f>
        <v/>
      </c>
      <c r="C94" s="2" t="inlineStr">
        <is>
          <t>[If applicable]</t>
        </is>
      </c>
      <c r="D94" s="563" t="inlineStr">
        <is>
          <t>[Hvis relevant]</t>
        </is>
      </c>
      <c r="E94" s="563" t="inlineStr">
        <is>
          <t>Indien van toepassing</t>
        </is>
      </c>
      <c r="F94" s="563" t="inlineStr">
        <is>
          <t>[Le cas échéant]</t>
        </is>
      </c>
      <c r="G94" s="366" t="inlineStr">
        <is>
          <t>[Falls zutreffend]</t>
        </is>
      </c>
      <c r="H94" s="366" t="inlineStr">
        <is>
          <t>[Más infheidhme]</t>
        </is>
      </c>
      <c r="I94" s="2" t="inlineStr">
        <is>
          <t>[Se applicabile]</t>
        </is>
      </c>
      <c r="J94" s="357" t="inlineStr">
        <is>
          <t>[Jei taikytina]</t>
        </is>
      </c>
      <c r="K94" s="357" t="inlineStr">
        <is>
          <t>[Jeśli dotyczy]</t>
        </is>
      </c>
      <c r="L94" s="357" t="inlineStr">
        <is>
          <t>[Se aplicável]</t>
        </is>
      </c>
      <c r="M94" s="357" t="inlineStr">
        <is>
          <t>[Si procede]</t>
        </is>
      </c>
    </row>
    <row r="95">
      <c r="A95" s="2" t="inlineStr">
        <is>
          <t>template_label_may</t>
        </is>
      </c>
      <c r="B95" s="461">
        <f>INDEX(C95:M95,MATCH(template_selected_display_language,$C$3:$M$3,0))</f>
        <v/>
      </c>
      <c r="C95" s="2" t="inlineStr">
        <is>
          <t>[May (optional)]</t>
        </is>
      </c>
      <c r="D95" s="563" t="inlineStr">
        <is>
          <t>[Valgfri]</t>
        </is>
      </c>
      <c r="E95" s="563" t="inlineStr">
        <is>
          <t>[ Kan (optioneel)]</t>
        </is>
      </c>
      <c r="F95" s="563" t="inlineStr">
        <is>
          <t>[peut (facultatif)]</t>
        </is>
      </c>
      <c r="G95" s="366" t="inlineStr">
        <is>
          <t>[Kann (optional)]</t>
        </is>
      </c>
      <c r="H95" s="366" t="inlineStr">
        <is>
          <t>[Is feidir (roghnach)]</t>
        </is>
      </c>
      <c r="I95" s="2" t="inlineStr">
        <is>
          <t>[Facoltà (facoltativo)]</t>
        </is>
      </c>
      <c r="J95" s="357" t="inlineStr">
        <is>
          <t>[Gali būti pateikiama (neprivaloma)]</t>
        </is>
      </c>
      <c r="K95" s="357" t="inlineStr">
        <is>
          <t>[Może (opcjonalnie)]</t>
        </is>
      </c>
      <c r="L95" s="357" t="inlineStr">
        <is>
          <t>Pode ser (opcional)</t>
        </is>
      </c>
      <c r="M95" s="357" t="inlineStr">
        <is>
          <t>[Podrá (opcional)]</t>
        </is>
      </c>
    </row>
    <row r="96">
      <c r="A96" s="2" t="inlineStr">
        <is>
          <t>template_label_may_not_headline</t>
        </is>
      </c>
      <c r="B96" s="461">
        <f>INDEX(C96:M96,MATCH(template_selected_display_language,$C$3:$M$3,0))</f>
        <v/>
      </c>
      <c r="C96" s="2" t="inlineStr">
        <is>
          <t>May (optional)</t>
        </is>
      </c>
      <c r="D96" s="563" t="inlineStr">
        <is>
          <t xml:space="preserve">Valgfri </t>
        </is>
      </c>
      <c r="E96" s="563" t="inlineStr">
        <is>
          <t xml:space="preserve"> Kan (optioneel)</t>
        </is>
      </c>
      <c r="F96" s="563" t="inlineStr">
        <is>
          <t>peut (facultatif)</t>
        </is>
      </c>
      <c r="G96" s="366" t="inlineStr">
        <is>
          <t>Kann (optional)</t>
        </is>
      </c>
      <c r="H96" s="366" t="inlineStr">
        <is>
          <t xml:space="preserve"> Is feidir (roghnach)</t>
        </is>
      </c>
      <c r="I96" s="2" t="inlineStr">
        <is>
          <t>Facoltà (facoltativo)</t>
        </is>
      </c>
      <c r="J96" s="357" t="inlineStr">
        <is>
          <t>Gali būti pateikiama (neprivaloma)</t>
        </is>
      </c>
      <c r="K96" s="357" t="inlineStr">
        <is>
          <t>Może (opcjonalnie)</t>
        </is>
      </c>
      <c r="L96" s="357" t="inlineStr">
        <is>
          <t>Pode ser (opcional)</t>
        </is>
      </c>
      <c r="M96" s="357" t="inlineStr">
        <is>
          <t>Podrá (opcional)</t>
        </is>
      </c>
    </row>
    <row r="97">
      <c r="A97" s="2" t="inlineStr">
        <is>
          <t>template_label_always_to_be_reported_if_applicable</t>
        </is>
      </c>
      <c r="B97" s="461">
        <f>INDEX(C97:M97,MATCH(template_selected_display_language,$C$3:$M$3,0))</f>
        <v/>
      </c>
      <c r="C97" s="2" t="inlineStr">
        <is>
          <t>[Always to be reported + If applicable]</t>
        </is>
      </c>
      <c r="D97" s="563" t="inlineStr">
        <is>
          <t>[Skal altid rapporteres + hvis relevant]</t>
        </is>
      </c>
      <c r="E97" s="563" t="inlineStr">
        <is>
          <t>"[ Verplicht rapporteren + Indien van toepassing]"</t>
        </is>
      </c>
      <c r="F97" s="563" t="inlineStr">
        <is>
          <t>[Toujours à reporter + le cas échéant]</t>
        </is>
      </c>
      <c r="G97" s="366" t="inlineStr">
        <is>
          <t>[Immer anzugeben + falls zutreffend]</t>
        </is>
      </c>
      <c r="H97" s="366" t="inlineStr">
        <is>
          <t>[Le tuairisciú i gcónaí + más infheidhme]</t>
        </is>
      </c>
      <c r="I97" s="2" t="inlineStr">
        <is>
          <t>[Sempre da riportare + se applicabile]</t>
        </is>
      </c>
      <c r="J97" s="357" t="inlineStr">
        <is>
          <t>[Privaloma visada pateikti + jei taikytina]</t>
        </is>
      </c>
      <c r="K97" s="357" t="inlineStr">
        <is>
          <t>[Zawsze do zgłoszenia + Jeśli dotyczy]</t>
        </is>
      </c>
      <c r="L97" s="357" t="inlineStr">
        <is>
          <t>Sempre a ser reportado + Se aplicável</t>
        </is>
      </c>
      <c r="M97" s="357" t="inlineStr">
        <is>
          <t>[Siempre debe informarse + Si procede]</t>
        </is>
      </c>
    </row>
    <row r="98">
      <c r="A98" s="2" t="inlineStr">
        <is>
          <t>template_label_if_applicable_linked_to_b2</t>
        </is>
      </c>
      <c r="B98" s="461">
        <f>INDEX(C98:M98,MATCH(template_selected_display_language,$C$3:$M$3,0))</f>
        <v/>
      </c>
      <c r="C98" s="2" t="inlineStr">
        <is>
          <t>[If applicable linked with B2]</t>
        </is>
      </c>
      <c r="D98" s="563" t="inlineStr">
        <is>
          <t>[Hvis relevant tilkoblet med B2]</t>
        </is>
      </c>
      <c r="E98" s="563" t="inlineStr">
        <is>
          <t>[Indien van toepassing gekoppeld aan B2]</t>
        </is>
      </c>
      <c r="F98" s="563" t="inlineStr">
        <is>
          <t>[S'il y a lieu, lié à B2]</t>
        </is>
      </c>
      <c r="G98" s="366" t="inlineStr">
        <is>
          <t>[Falls angegeben mit B2 verknüpft]</t>
        </is>
      </c>
      <c r="H98" s="366" t="inlineStr">
        <is>
          <t>[Más infheidhme nasctha le B2]</t>
        </is>
      </c>
      <c r="I98" s="2" t="inlineStr">
        <is>
          <t>[Se applicabile collegato a B2]</t>
        </is>
      </c>
      <c r="J98" s="357" t="inlineStr">
        <is>
          <t>[Jei taikytina, susieta su B2]</t>
        </is>
      </c>
      <c r="K98" s="357" t="inlineStr">
        <is>
          <t>[Jeśli dotyczy, powiązane z B2]</t>
        </is>
      </c>
      <c r="L98" s="357" t="inlineStr">
        <is>
          <t>[Se aplicável, ligado ao B2]</t>
        </is>
      </c>
      <c r="M98" s="357" t="inlineStr">
        <is>
          <t>[Si procede, vinculado con B2]</t>
        </is>
      </c>
    </row>
    <row r="99" ht="58.2" customHeight="1" thickBot="1">
      <c r="A99" s="358" t="inlineStr">
        <is>
          <t>template_label_amount_in</t>
        </is>
      </c>
      <c r="B99" s="462">
        <f>INDEX(C99:M99,MATCH(template_selected_display_language,$C$3:$M$3,0))</f>
        <v/>
      </c>
      <c r="C99" s="358" t="inlineStr">
        <is>
          <t>amount in</t>
        </is>
      </c>
      <c r="D99" s="373" t="inlineStr">
        <is>
          <t xml:space="preserve">
beløb i
</t>
        </is>
      </c>
      <c r="E99" s="373" t="inlineStr">
        <is>
          <t>bedrag in</t>
        </is>
      </c>
      <c r="F99" s="373" t="inlineStr">
        <is>
          <t>montant en</t>
        </is>
      </c>
      <c r="G99" s="367" t="inlineStr">
        <is>
          <t>Betrag in</t>
        </is>
      </c>
      <c r="H99" s="367" t="inlineStr">
        <is>
          <t>méid i</t>
        </is>
      </c>
      <c r="I99" s="358" t="inlineStr">
        <is>
          <t>importo in</t>
        </is>
      </c>
      <c r="J99" s="371" t="inlineStr">
        <is>
          <t>kiekis/suma</t>
        </is>
      </c>
      <c r="K99" s="371" t="inlineStr">
        <is>
          <t>kwota w</t>
        </is>
      </c>
      <c r="L99" s="371" t="inlineStr">
        <is>
          <t>montante em</t>
        </is>
      </c>
      <c r="M99" s="371" t="inlineStr">
        <is>
          <t>importe en</t>
        </is>
      </c>
    </row>
    <row r="100">
      <c r="A100" s="2" t="inlineStr">
        <is>
          <t>template_label_information_on_the_report_necessary_for_xbrl</t>
        </is>
      </c>
      <c r="B100" s="461">
        <f>INDEX(C100:M100,MATCH(template_selected_display_language,$C$3:$M$3,0))</f>
        <v/>
      </c>
      <c r="C100" s="2" t="inlineStr">
        <is>
          <t>Information on the report necessary for  XBRL</t>
        </is>
      </c>
      <c r="D100" s="563" t="inlineStr">
        <is>
          <t>Oplysninger i rapporten, der er nødvendige for XBRL</t>
        </is>
      </c>
      <c r="E100" s="563" t="inlineStr">
        <is>
          <t>Informatie over het rapport dat noodzakelijk is voor XBRL</t>
        </is>
      </c>
      <c r="F100" s="563" t="inlineStr">
        <is>
          <t>Informations sur le rapport nécessaires pour XBRL</t>
        </is>
      </c>
      <c r="G100" s="366" t="inlineStr">
        <is>
          <t>Informationen über den Bericht, die für XBRL erforderlich sind</t>
        </is>
      </c>
      <c r="H100" s="366" t="inlineStr">
        <is>
          <t>Faisnéis maidir leis an tuarascáil is gá le haghaidh XBRL</t>
        </is>
      </c>
      <c r="I100" s="2" t="inlineStr">
        <is>
          <t>Informazioni sulla relazione necessarie per XBRL</t>
        </is>
      </c>
      <c r="J100" s="357" t="inlineStr">
        <is>
          <t>Informacija, reikalinga ataskaitai XBRL formatu</t>
        </is>
      </c>
      <c r="K100" s="357" t="inlineStr">
        <is>
          <t>Informacje dotyczące sprawozdania niezbędne dla XBRL</t>
        </is>
      </c>
      <c r="L100" s="357" t="inlineStr">
        <is>
          <t>Informações no relatório necessárias para XBRL</t>
        </is>
      </c>
      <c r="M100" s="357" t="inlineStr">
        <is>
          <t>Información sobre el informe necesaria para XBRL</t>
        </is>
      </c>
    </row>
    <row r="101" ht="28.8" customHeight="1">
      <c r="A101" s="2" t="inlineStr">
        <is>
          <t>template_label_name_of_the_reporting_entity</t>
        </is>
      </c>
      <c r="B101" s="461">
        <f>INDEX(C101:M101,MATCH(template_selected_display_language,$C$3:$M$3,0))</f>
        <v/>
      </c>
      <c r="C101" s="2" t="inlineStr">
        <is>
          <t>Name of the reporting entity</t>
        </is>
      </c>
      <c r="D101" s="563" t="inlineStr">
        <is>
          <t>Navn på den rapporterende virksomhed</t>
        </is>
      </c>
      <c r="E101" s="563" t="inlineStr">
        <is>
          <t>Naam van de rapporterende entiteit</t>
        </is>
      </c>
      <c r="F101" s="563" t="inlineStr">
        <is>
          <t xml:space="preserve">Nom de l'entreprise déclarante
</t>
        </is>
      </c>
      <c r="G101" s="366" t="inlineStr">
        <is>
          <t>Name des berichterstattenden Unternehmens</t>
        </is>
      </c>
      <c r="H101" s="366" t="inlineStr">
        <is>
          <t>Ainm an eintitis tuairiscithe</t>
        </is>
      </c>
      <c r="I101" s="2" t="inlineStr">
        <is>
          <t>Nome dell'impresa che redige la relazione</t>
        </is>
      </c>
      <c r="J101" s="357" t="inlineStr">
        <is>
          <t>Ataskaitą teikiančios įmonės pavadinimas</t>
        </is>
      </c>
      <c r="K101" s="357" t="inlineStr">
        <is>
          <t>Nazwa jednostki sporządzającej sprawozdanie</t>
        </is>
      </c>
      <c r="L101" s="357" t="inlineStr">
        <is>
          <t>Nome da entidade que reporta</t>
        </is>
      </c>
      <c r="M101" s="357" t="inlineStr">
        <is>
          <t>Nombre de la entidad informante</t>
        </is>
      </c>
    </row>
    <row r="102" ht="28.8" customHeight="1">
      <c r="A102" s="2" t="inlineStr">
        <is>
          <t>template_label_identifier_of_the_reporting_entity</t>
        </is>
      </c>
      <c r="B102" s="461">
        <f>INDEX(C102:M102,MATCH(template_selected_display_language,$C$3:$M$3,0))</f>
        <v/>
      </c>
      <c r="C102" s="2" t="inlineStr">
        <is>
          <t>Identifier of the reporting entity (select and specify on the right)</t>
        </is>
      </c>
      <c r="D102" s="563" t="inlineStr">
        <is>
          <t>Identifikator for den rapporterende virksomhed (vælg og angiv til højre)</t>
        </is>
      </c>
      <c r="E102" s="563" t="inlineStr">
        <is>
          <t>KVK Nummer eniteit</t>
        </is>
      </c>
      <c r="F102" s="563" t="inlineStr">
        <is>
          <t>Identifiant de l'entreprise déclarante (sélectionnez et spécifiez à droite)</t>
        </is>
      </c>
      <c r="G102" s="366" t="inlineStr">
        <is>
          <t>Kennung des berichterstattenden Unternehmens (rechts auswählen und angeben)</t>
        </is>
      </c>
      <c r="H102" s="366" t="inlineStr">
        <is>
          <t>Aitheantóir an eintitis tuairiscithe (roghnaigh agus sonraigh ar dheis)</t>
        </is>
      </c>
      <c r="I102" s="2" t="inlineStr">
        <is>
          <t>Identificatore dell'impresa che redige la relazione (selezionare e specificare a destra)</t>
        </is>
      </c>
      <c r="J102" s="357" t="inlineStr">
        <is>
          <t>Ataskaitą teikiančios įmonės identifikatorius (pasirinkti ir nurodyti dešinėje)</t>
        </is>
      </c>
      <c r="K102" s="357" t="inlineStr">
        <is>
          <t>Identyfikator jednostki sporządzającej sprawozdanie (wybierz i określ po prawej)</t>
        </is>
      </c>
      <c r="L102" s="357" t="inlineStr">
        <is>
          <t>Identificador da entidade que reporta (selecione e especifique à direita)</t>
        </is>
      </c>
      <c r="M102" s="357" t="inlineStr">
        <is>
          <t>Identificador de la entidad que presenta el informe (seleccione y especifique a la derecha)</t>
        </is>
      </c>
    </row>
    <row r="103" ht="28.8" customHeight="1">
      <c r="A103" s="2" t="inlineStr">
        <is>
          <t>template_label_currency_of_the_monetary_values_in_the_report</t>
        </is>
      </c>
      <c r="B103" s="461">
        <f>INDEX(C103:M103,MATCH(template_selected_display_language,$C$3:$M$3,0))</f>
        <v/>
      </c>
      <c r="C103" s="2" t="inlineStr">
        <is>
          <t>Currency of the monetary values in the report</t>
        </is>
      </c>
      <c r="D103" s="563" t="inlineStr">
        <is>
          <t>Valuta for de monetære værdier i rapporten</t>
        </is>
      </c>
      <c r="E103" s="563" t="inlineStr">
        <is>
          <t xml:space="preserve">Valuta van de monetaire waarden in het rapport </t>
        </is>
      </c>
      <c r="F103" s="563" t="inlineStr">
        <is>
          <t>Devise utilisée pour les valeurs monétaires dans le rapport</t>
        </is>
      </c>
      <c r="G103" s="366" t="inlineStr">
        <is>
          <t>Währung der monetären Angaben im Bericht</t>
        </is>
      </c>
      <c r="H103" s="366" t="inlineStr">
        <is>
          <t>Airgeadra na luachanna airgeadaíochta sa tuarascáil</t>
        </is>
      </c>
      <c r="I103" s="2" t="inlineStr">
        <is>
          <t>Valuta dei valori monetari nella relazione</t>
        </is>
      </c>
      <c r="J103" s="357" t="inlineStr">
        <is>
          <t>Ataskaitoje naudojama valiuta</t>
        </is>
      </c>
      <c r="K103" s="357" t="inlineStr">
        <is>
          <t>Waluta wartości pieniężnych w sprawozdaniu</t>
        </is>
      </c>
      <c r="L103" s="357" t="inlineStr">
        <is>
          <t>Moeda em que os valores monetários do relatório estão expressos</t>
        </is>
      </c>
      <c r="M103" s="357" t="inlineStr">
        <is>
          <t>Divisa de los valores monetarios en el informe</t>
        </is>
      </c>
    </row>
    <row r="104">
      <c r="A104" s="2" t="inlineStr">
        <is>
          <t>template_label_starting_year</t>
        </is>
      </c>
      <c r="B104" s="461">
        <f>INDEX(C104:M104,MATCH(template_selected_display_language,$C$3:$M$3,0))</f>
        <v/>
      </c>
      <c r="C104" s="2" t="inlineStr">
        <is>
          <t>Starting year</t>
        </is>
      </c>
      <c r="D104" s="563" t="inlineStr">
        <is>
          <t>Startår</t>
        </is>
      </c>
      <c r="E104" s="563" t="inlineStr">
        <is>
          <t>Jaartal startpunt</t>
        </is>
      </c>
      <c r="F104" s="563" t="inlineStr">
        <is>
          <t>Année de début</t>
        </is>
      </c>
      <c r="G104" s="366" t="inlineStr">
        <is>
          <t>Beginn: Jahr</t>
        </is>
      </c>
      <c r="H104" s="366" t="inlineStr">
        <is>
          <t>Bliain tosaigh</t>
        </is>
      </c>
      <c r="I104" s="2" t="inlineStr">
        <is>
          <t>Anno di inizio</t>
        </is>
      </c>
      <c r="J104" s="357" t="inlineStr">
        <is>
          <t>Ataskaitiniai metai, prasidedantys (metai)</t>
        </is>
      </c>
      <c r="K104" s="357" t="inlineStr">
        <is>
          <t>Rok rozpoczęcia</t>
        </is>
      </c>
      <c r="L104" s="357" t="inlineStr">
        <is>
          <t>Ano de início</t>
        </is>
      </c>
      <c r="M104" s="357" t="inlineStr">
        <is>
          <t>Año de inicio</t>
        </is>
      </c>
    </row>
    <row r="105" ht="28.8" customHeight="1">
      <c r="A105" s="2" t="inlineStr">
        <is>
          <t>template_label_starting_month</t>
        </is>
      </c>
      <c r="B105" s="461">
        <f>INDEX(C105:M105,MATCH(template_selected_display_language,$C$3:$M$3,0))</f>
        <v/>
      </c>
      <c r="C105" s="2" t="inlineStr">
        <is>
          <t>Starting month</t>
        </is>
      </c>
      <c r="D105" s="563" t="inlineStr">
        <is>
          <t>Startmåned</t>
        </is>
      </c>
      <c r="E105" s="563" t="inlineStr">
        <is>
          <t xml:space="preserve">Startmaand
</t>
        </is>
      </c>
      <c r="F105" s="563" t="inlineStr">
        <is>
          <t>Mois de début</t>
        </is>
      </c>
      <c r="G105" s="366" t="inlineStr">
        <is>
          <t>Beginn: Monat</t>
        </is>
      </c>
      <c r="H105" s="366" t="inlineStr">
        <is>
          <t>Mí tosaigh</t>
        </is>
      </c>
      <c r="I105" s="2" t="inlineStr">
        <is>
          <t>Mese di inizio</t>
        </is>
      </c>
      <c r="J105" s="357" t="inlineStr">
        <is>
          <t>Ataskaitiniai metai, prasidedantys (mėnuo)</t>
        </is>
      </c>
      <c r="K105" s="357" t="inlineStr">
        <is>
          <t>Miesiąc rozpoczęcia</t>
        </is>
      </c>
      <c r="L105" s="357" t="inlineStr">
        <is>
          <t>Mês de início</t>
        </is>
      </c>
      <c r="M105" s="357" t="inlineStr">
        <is>
          <t>Mes de inicio</t>
        </is>
      </c>
    </row>
    <row r="106">
      <c r="A106" s="2" t="inlineStr">
        <is>
          <t>template_label_starting_day</t>
        </is>
      </c>
      <c r="B106" s="461">
        <f>INDEX(C106:M106,MATCH(template_selected_display_language,$C$3:$M$3,0))</f>
        <v/>
      </c>
      <c r="C106" s="2" t="inlineStr">
        <is>
          <t>Starting day</t>
        </is>
      </c>
      <c r="D106" s="563" t="inlineStr">
        <is>
          <t>Startdato</t>
        </is>
      </c>
      <c r="E106" s="563" t="inlineStr">
        <is>
          <t>Startdag</t>
        </is>
      </c>
      <c r="F106" s="563" t="inlineStr">
        <is>
          <t>Jour de début</t>
        </is>
      </c>
      <c r="G106" s="366" t="inlineStr">
        <is>
          <t>Beginn: Tag</t>
        </is>
      </c>
      <c r="H106" s="366" t="inlineStr">
        <is>
          <t>Lá tosaigh</t>
        </is>
      </c>
      <c r="I106" s="2" t="inlineStr">
        <is>
          <t>Giorno di inizio</t>
        </is>
      </c>
      <c r="J106" s="357" t="inlineStr">
        <is>
          <t>Ataskaitiniai metai, prasidedantys (diena)</t>
        </is>
      </c>
      <c r="K106" s="357" t="inlineStr">
        <is>
          <t>Dzień rozpoczęcia</t>
        </is>
      </c>
      <c r="L106" s="357" t="inlineStr">
        <is>
          <t>Dia de início</t>
        </is>
      </c>
      <c r="M106" s="357" t="inlineStr">
        <is>
          <t>Día de inicio</t>
        </is>
      </c>
    </row>
    <row r="107">
      <c r="A107" s="2" t="inlineStr">
        <is>
          <t>template_label_reporting_period_start_date</t>
        </is>
      </c>
      <c r="B107" s="461">
        <f>INDEX(C107:M107,MATCH(template_selected_display_language,$C$3:$M$3,0))</f>
        <v/>
      </c>
      <c r="C107" s="2" t="inlineStr">
        <is>
          <t>Reporting period start date (yyyy-mm-dd)</t>
        </is>
      </c>
      <c r="D107" s="563" t="inlineStr">
        <is>
          <t>Rapporteringsperiodens startdato (åååå-mm-dd)</t>
        </is>
      </c>
      <c r="E107" s="563" t="inlineStr">
        <is>
          <t xml:space="preserve"> Startdatum rapportageperiode (jjjj-mm-dd)</t>
        </is>
      </c>
      <c r="F107" s="563" t="inlineStr">
        <is>
          <t>Date de début de la période de reporting (aaaa-mm-jj)</t>
        </is>
      </c>
      <c r="G107" s="366" t="inlineStr">
        <is>
          <t>Beginn des Berichtszeitraums (yyyy-mm-dd)</t>
        </is>
      </c>
      <c r="H107" s="366" t="inlineStr">
        <is>
          <t>Dáta tosaigh na tréimhse tuairiscithe (bbbb-mm-ll)</t>
        </is>
      </c>
      <c r="I107" s="2" t="inlineStr">
        <is>
          <t>Data di inizio del periodo di riferimento (gg-mm-aaaa)</t>
        </is>
      </c>
      <c r="J107" s="357" t="inlineStr">
        <is>
          <t>Ataskaitinio laikotarpio pradžia (yyyy-mm-dd)</t>
        </is>
      </c>
      <c r="K107" s="357" t="inlineStr">
        <is>
          <t>Data rozpoczęcia okresu sprawozdawczego (rrrr-mm-dd)</t>
        </is>
      </c>
      <c r="L107" s="357" t="inlineStr">
        <is>
          <t>Data de início do período de reporte (aaaa-mm-dd)</t>
        </is>
      </c>
      <c r="M107" s="357" t="inlineStr">
        <is>
          <t>Fecha de inicio del período informado (aaaa-mm-dd)</t>
        </is>
      </c>
    </row>
    <row r="108" ht="28.8" customHeight="1">
      <c r="A108" s="2" t="inlineStr">
        <is>
          <t>template_label_ending_year</t>
        </is>
      </c>
      <c r="B108" s="461">
        <f>INDEX(C108:M108,MATCH(template_selected_display_language,$C$3:$M$3,0))</f>
        <v/>
      </c>
      <c r="C108" s="2" t="inlineStr">
        <is>
          <t>Ending year</t>
        </is>
      </c>
      <c r="D108" s="563" t="inlineStr">
        <is>
          <t>Slutår</t>
        </is>
      </c>
      <c r="E108" s="563" t="inlineStr">
        <is>
          <t>Jaartal eindpunt</t>
        </is>
      </c>
      <c r="F108" s="563" t="inlineStr">
        <is>
          <t xml:space="preserve">Année de fin
</t>
        </is>
      </c>
      <c r="G108" s="366" t="inlineStr">
        <is>
          <t>Ende: Jahr</t>
        </is>
      </c>
      <c r="H108" s="366" t="inlineStr">
        <is>
          <t>Deireadh na bliana</t>
        </is>
      </c>
      <c r="I108" s="2" t="inlineStr">
        <is>
          <t>Anno di chiusura</t>
        </is>
      </c>
      <c r="J108" s="357" t="inlineStr">
        <is>
          <t>Ataskaitiniai metai, besibaigiantys (metai)</t>
        </is>
      </c>
      <c r="K108" s="357" t="inlineStr">
        <is>
          <t>Rok zakończenia</t>
        </is>
      </c>
      <c r="L108" s="357" t="inlineStr">
        <is>
          <t>Ano de término</t>
        </is>
      </c>
      <c r="M108" s="357" t="inlineStr">
        <is>
          <t>Año de finalización</t>
        </is>
      </c>
    </row>
    <row r="109" ht="28.8" customHeight="1">
      <c r="A109" s="2" t="inlineStr">
        <is>
          <t>template_label_ending_month</t>
        </is>
      </c>
      <c r="B109" s="461">
        <f>INDEX(C109:M109,MATCH(template_selected_display_language,$C$3:$M$3,0))</f>
        <v/>
      </c>
      <c r="C109" s="2" t="inlineStr">
        <is>
          <t>Ending month</t>
        </is>
      </c>
      <c r="D109" s="563" t="inlineStr">
        <is>
          <t xml:space="preserve">Slutmåned
</t>
        </is>
      </c>
      <c r="E109" s="563" t="inlineStr">
        <is>
          <t>Eindmaand</t>
        </is>
      </c>
      <c r="F109" s="563" t="inlineStr">
        <is>
          <t>Mois de fin</t>
        </is>
      </c>
      <c r="G109" s="366" t="inlineStr">
        <is>
          <t>Ende: Monat</t>
        </is>
      </c>
      <c r="H109" s="366" t="inlineStr">
        <is>
          <t>Deireadh na míosa</t>
        </is>
      </c>
      <c r="I109" s="2" t="inlineStr">
        <is>
          <t>Mese di chiusura</t>
        </is>
      </c>
      <c r="J109" s="357" t="inlineStr">
        <is>
          <t>Ataskaitiniai metai, besibaigiantys (mėnuo)</t>
        </is>
      </c>
      <c r="K109" s="357" t="inlineStr">
        <is>
          <t>Miesiąc zakończenia</t>
        </is>
      </c>
      <c r="L109" s="357" t="inlineStr">
        <is>
          <t>Mês final</t>
        </is>
      </c>
      <c r="M109" s="357" t="inlineStr">
        <is>
          <t>Mes de finalización</t>
        </is>
      </c>
    </row>
    <row r="110" ht="43.2" customHeight="1">
      <c r="A110" s="2" t="inlineStr">
        <is>
          <t>template_label_ending_day</t>
        </is>
      </c>
      <c r="B110" s="461">
        <f>INDEX(C110:M110,MATCH(template_selected_display_language,$C$3:$M$3,0))</f>
        <v/>
      </c>
      <c r="C110" s="2" t="inlineStr">
        <is>
          <t>Ending day</t>
        </is>
      </c>
      <c r="D110" s="563" t="inlineStr">
        <is>
          <t>Slutdato</t>
        </is>
      </c>
      <c r="E110" s="563" t="inlineStr">
        <is>
          <t xml:space="preserve">Einddag
</t>
        </is>
      </c>
      <c r="F110" s="563" t="inlineStr">
        <is>
          <t>Jour de fin</t>
        </is>
      </c>
      <c r="G110" s="366" t="inlineStr">
        <is>
          <t>Ende: Tag</t>
        </is>
      </c>
      <c r="H110" s="366" t="inlineStr">
        <is>
          <t>Lá deiridh</t>
        </is>
      </c>
      <c r="I110" s="2" t="inlineStr">
        <is>
          <t>Giorno di chiusura</t>
        </is>
      </c>
      <c r="J110" s="357" t="inlineStr">
        <is>
          <t>Ataskaitiniai metai, besibaigiantys (diena)</t>
        </is>
      </c>
      <c r="K110" s="357" t="inlineStr">
        <is>
          <t>Dzień zakończenia</t>
        </is>
      </c>
      <c r="L110" s="357" t="inlineStr">
        <is>
          <t>Dia final</t>
        </is>
      </c>
      <c r="M110" s="357" t="inlineStr">
        <is>
          <t>Día final</t>
        </is>
      </c>
    </row>
    <row r="111" ht="15" customHeight="1" thickBot="1">
      <c r="A111" s="358" t="inlineStr">
        <is>
          <t>template_label_reporting_period_end_date</t>
        </is>
      </c>
      <c r="B111" s="462">
        <f>INDEX(C111:M111,MATCH(template_selected_display_language,$C$3:$M$3,0))</f>
        <v/>
      </c>
      <c r="C111" s="358" t="inlineStr">
        <is>
          <t>Reporting period end date  (yyyy-mm-dd)</t>
        </is>
      </c>
      <c r="D111" s="373" t="inlineStr">
        <is>
          <t>Rapporteringsperiodens slutdato (åååå-mm-dd)</t>
        </is>
      </c>
      <c r="E111" s="373" t="inlineStr">
        <is>
          <t>Einddatum rapportageperiode  (jjjj-mm-dd)</t>
        </is>
      </c>
      <c r="F111" s="373" t="inlineStr">
        <is>
          <t>Date de fin de la période de reporting (aaaa-mm-jj)</t>
        </is>
      </c>
      <c r="G111" s="367" t="inlineStr">
        <is>
          <t>Ende des Berichtszeitraums (yyyy-mm-dd)</t>
        </is>
      </c>
      <c r="H111" s="367" t="inlineStr">
        <is>
          <t>Dáta deiridh na tréimhse tuairiscithe (bbbb-mm-ll)</t>
        </is>
      </c>
      <c r="I111" s="358" t="inlineStr">
        <is>
          <t>Data di chiusura del periodo di riferimento (gg-mm-aaaa)</t>
        </is>
      </c>
      <c r="J111" s="371" t="inlineStr">
        <is>
          <t>Ataskaitinio laikotarpio pabaiga (yyyy-mm-dd)</t>
        </is>
      </c>
      <c r="K111" s="371" t="inlineStr">
        <is>
          <t>Data zakończenia okresu sprawozdawczego (rrrr-mm-dd)</t>
        </is>
      </c>
      <c r="L111" s="371" t="inlineStr">
        <is>
          <t>Data final do período de reporte (aaaa-mm-dd)</t>
        </is>
      </c>
      <c r="M111" s="371" t="inlineStr">
        <is>
          <t>Fecha de finalización del período de reporte (aaaa-mm-dd)</t>
        </is>
      </c>
    </row>
    <row r="112" ht="43.2" customHeight="1">
      <c r="A112" s="2" t="inlineStr">
        <is>
          <t>template_label_information_on_previous_reporting_period</t>
        </is>
      </c>
      <c r="B112" s="461">
        <f>INDEX(C112:M112,MATCH(template_selected_display_language,$C$3:$M$3,0))</f>
        <v/>
      </c>
      <c r="C112" s="2" t="inlineStr">
        <is>
          <t>Information on previous reporting period</t>
        </is>
      </c>
      <c r="D112" s="563" t="inlineStr">
        <is>
          <t>Oplysninger om forrige rapporteringsperiode</t>
        </is>
      </c>
      <c r="E112" s="563" t="inlineStr">
        <is>
          <t xml:space="preserve">Informatie over de vorige  rapportageperiode
</t>
        </is>
      </c>
      <c r="F112" s="563" t="inlineStr">
        <is>
          <t>Informations sur la période de reporting précédente</t>
        </is>
      </c>
      <c r="G112" s="366" t="inlineStr">
        <is>
          <t>Informationen zum vorherigen Berichtszeitraum</t>
        </is>
      </c>
      <c r="H112" s="366" t="inlineStr">
        <is>
          <t>Faisnéis maidir leis an tréimhse tuairiscithe roimhe seo</t>
        </is>
      </c>
      <c r="I112" s="2" t="inlineStr">
        <is>
          <t>Informazioni sul periodo di riferimento precedente</t>
        </is>
      </c>
      <c r="J112" s="357" t="inlineStr">
        <is>
          <t>Informacija apie ankstesnį ataskaitinį laikotarpį</t>
        </is>
      </c>
      <c r="K112" s="357" t="inlineStr">
        <is>
          <t>Informacje dotyczące poprzedniego okresu sprawozdawczego</t>
        </is>
      </c>
      <c r="L112" s="357" t="inlineStr">
        <is>
          <t>Informação sobre o período de reporte anterior</t>
        </is>
      </c>
      <c r="M112" s="357" t="inlineStr">
        <is>
          <t>Información sobre el periodo de reporte anterior</t>
        </is>
      </c>
    </row>
    <row r="113" ht="43.2" customHeight="1">
      <c r="A113" s="2" t="inlineStr">
        <is>
          <t>template_label_disclosures_from_the_previous_reporting_period_that_remain_unchanged</t>
        </is>
      </c>
      <c r="B113" s="461">
        <f>INDEX(C113:M113,MATCH(template_selected_display_language,$C$3:$M$3,0))</f>
        <v/>
      </c>
      <c r="C113" s="2" t="inlineStr">
        <is>
          <t>This report contains disclosures from the previous reporting period that remain unchanged</t>
        </is>
      </c>
      <c r="D113" s="563" t="inlineStr">
        <is>
          <t>Denne rapport indeholder oplysninger fra den forrige rapporteringsperiode, som forbliver uændrede</t>
        </is>
      </c>
      <c r="E113" s="563" t="inlineStr">
        <is>
          <t>Dit rapport bevat  de rapportages uit de vorige  rapportageperiode die ongewijzigd zijn gebleven.</t>
        </is>
      </c>
      <c r="F113" s="563" t="inlineStr">
        <is>
          <t>Ce rapport contient des informations de la période de reporting précédente qui restent inchangées.</t>
        </is>
      </c>
      <c r="G113" s="366" t="inlineStr">
        <is>
          <t xml:space="preserve">Dieser Bericht enthält Angaben, die sich gegenüber dem vorherigen Berichtszeitraum nicht verändert haben.
</t>
        </is>
      </c>
      <c r="H113" s="366" t="inlineStr">
        <is>
          <t>Cuimsíonn an tuarascáil seo nochtaí ón tréimhse tuairiscithe roimhe sin nach bhfuil athraithe orthu</t>
        </is>
      </c>
      <c r="I113" s="2" t="inlineStr">
        <is>
          <t>Questa relazione contiene informative del periodo di riferimento precedente che rimangono invariate.</t>
        </is>
      </c>
      <c r="J113" s="357" t="inlineStr">
        <is>
          <t>Ši ataskaita įtraukia tuos ankstesnio ataskaitinio laikotarpio atskleidimus, kurie liko nepakitę</t>
        </is>
      </c>
      <c r="K113" s="357" t="inlineStr">
        <is>
          <t>Niniejsze sprawozdanie zawiera ujawnienia z poprzedniego okresu sprawozdawczego, które pozostają niezmienione</t>
        </is>
      </c>
      <c r="L113" s="357" t="inlineStr">
        <is>
          <t>Este relatório contém divulgações do período de relato anterior que permanecem inalteradas</t>
        </is>
      </c>
      <c r="M113" s="357" t="inlineStr">
        <is>
          <t>Este informe contiene divulgaciones del período de reporte anterior que permanecen sin cambios.</t>
        </is>
      </c>
    </row>
    <row r="114" ht="72" customHeight="1">
      <c r="A114" s="2" t="inlineStr">
        <is>
          <t>template_label_disclosures_for_which_no_changes_are_reported_compared_to_the_previous_period_reporting</t>
        </is>
      </c>
      <c r="B114" s="461">
        <f>INDEX(C114:M114,MATCH(template_selected_display_language,$C$3:$M$3,0))</f>
        <v/>
      </c>
      <c r="C114" s="2" t="inlineStr">
        <is>
          <t>List of disclosures for which no changes are reported compared to the previous period reporting</t>
        </is>
      </c>
      <c r="D114" s="563" t="inlineStr">
        <is>
          <t>Liste over oplysninger, der ikke er ændret i forhold til forrige rapporteringsperiode</t>
        </is>
      </c>
      <c r="E114" s="563" t="inlineStr">
        <is>
          <t xml:space="preserve">Lijst van  rapportages waarvoor geen wijzigingen zijn gerapporteerd in vergelijking met de rapportage over de voorgaande periode
</t>
        </is>
      </c>
      <c r="F114" s="563" t="inlineStr">
        <is>
          <t>Liste des informations pour lesquelles aucun changement n’est signalé par rapport à la période de reporting précédente</t>
        </is>
      </c>
      <c r="G114" s="366" t="inlineStr">
        <is>
          <t>Liste der Angaben, für die im Vergleich zum vorherigen Berichtszeitraum keine Änderungen gemeldet werden</t>
        </is>
      </c>
      <c r="H114" s="366" t="inlineStr">
        <is>
          <t>Liosta de nochtaí nach bhfuil aon athruithe tuairiscithe ina leith i gcomparáid leis an tréimhse roimhe sin a thuairiscítear</t>
        </is>
      </c>
      <c r="I114" s="2" t="inlineStr">
        <is>
          <t>Elenco delle informative per le quali non sono riportate variazioni rispetto al periodo di riferimento precedente</t>
        </is>
      </c>
      <c r="J114" s="357" t="inlineStr">
        <is>
          <t>Atskleidimų, dėl kurių nepateikta jokių pakeitimų, palyginti su ankstesnio laikotarpio ataskaita, sąrašas</t>
        </is>
      </c>
      <c r="K114" s="357" t="inlineStr">
        <is>
          <t>Lista ujawnień, dla których nie zgłoszono zmian w porównaniu z poprzednim okresem sprawozdawczym</t>
        </is>
      </c>
      <c r="L114" s="357" t="inlineStr">
        <is>
          <t>Lista de divulgações para as quais não se reportam alterações em relação ao período de relato anterior</t>
        </is>
      </c>
      <c r="M114" s="357" t="inlineStr">
        <is>
          <t>Lista de revelaciones para las cuales no se reportan cambios en comparación con el informe del período anterior</t>
        </is>
      </c>
    </row>
    <row r="115" ht="29.4" customHeight="1" thickBot="1">
      <c r="A115" s="358" t="inlineStr">
        <is>
          <t>template_label_link_to_previous_report_containing_disclosures_that_remain_unchanged</t>
        </is>
      </c>
      <c r="B115" s="462">
        <f>INDEX(C115:M115,MATCH(template_selected_display_language,$C$3:$M$3,0))</f>
        <v/>
      </c>
      <c r="C115" s="358" t="inlineStr">
        <is>
          <t>Link to previous report containing disclosures that remain unchanged</t>
        </is>
      </c>
      <c r="D115" s="373" t="inlineStr">
        <is>
          <t>Link til forrige rapport, som indeholder oplysninger, der forbliver uændrede</t>
        </is>
      </c>
      <c r="E115" s="373" t="inlineStr">
        <is>
          <t>Verwijzing naar vorig  rapport met ongewijzigde rapportages</t>
        </is>
      </c>
      <c r="F115" s="373" t="inlineStr">
        <is>
          <t>Lien vers le rapport précédent contenant des informations inchangées</t>
        </is>
      </c>
      <c r="G115" s="367" t="inlineStr">
        <is>
          <t>Link zum vorherigen Bericht mit Angaben, die unverändert bleiben</t>
        </is>
      </c>
      <c r="H115" s="367" t="inlineStr">
        <is>
          <t>Nasc chuig an tuarascáil roimhe seo ina bhfuil nochtaí nach bhfuil athruithe</t>
        </is>
      </c>
      <c r="I115" s="358" t="inlineStr">
        <is>
          <t>Collegamento alla relazione precedente contenente le informative che rimangono invariate</t>
        </is>
      </c>
      <c r="J115" s="371" t="inlineStr">
        <is>
          <t>Nuoroda į ankstesnę ataskaitą, kurioje yra nepakitę atskleidimai</t>
        </is>
      </c>
      <c r="K115" s="371" t="inlineStr">
        <is>
          <t>Odnośnik do poprzedniego sprawozdania zawierającego ujawnienia, które pozostają niezmienione</t>
        </is>
      </c>
      <c r="L115" s="371" t="inlineStr">
        <is>
          <t>Ligação para o relatório anterior com as divulgações que permanecem inalteradas</t>
        </is>
      </c>
      <c r="M115" s="371" t="inlineStr">
        <is>
          <t>Enlace al informe anterior que contiene divulgaciones que permanecen sin cambios</t>
        </is>
      </c>
    </row>
    <row r="116" ht="28.8" customHeight="1">
      <c r="A116" s="2" t="inlineStr">
        <is>
          <t>template_label_b1_basis_for_preparation</t>
        </is>
      </c>
      <c r="B116" s="461">
        <f>INDEX(C116:M116,MATCH(template_selected_display_language,$C$3:$M$3,0))</f>
        <v/>
      </c>
      <c r="C116" s="2" t="inlineStr">
        <is>
          <t>B1 - Basis for Preparation &amp; Module</t>
        </is>
      </c>
      <c r="D116" s="563" t="inlineStr">
        <is>
          <t>B1 - Grundlag for udarbejdelse &amp; modul</t>
        </is>
      </c>
      <c r="E116" s="563" t="inlineStr">
        <is>
          <t>B1 - Grondslag voor het opstellen van informatie &amp; Module</t>
        </is>
      </c>
      <c r="F116" s="563" t="inlineStr">
        <is>
          <t>B1 - Base de préparation &amp; Module</t>
        </is>
      </c>
      <c r="G116" s="366" t="inlineStr">
        <is>
          <t>B1 – Grundlagen für die Erstellung &amp; modul</t>
        </is>
      </c>
      <c r="H116" s="366" t="inlineStr">
        <is>
          <t>B1 - Bunús Ullmhúcháin &amp; Modúl</t>
        </is>
      </c>
      <c r="I116" s="2" t="inlineStr">
        <is>
          <t>B1 - Criteri per la redazione e informazioni generali dell'impresa &amp; Modulo</t>
        </is>
      </c>
      <c r="J116" s="357" t="inlineStr">
        <is>
          <t>B1 – Ataskaitos rengimo pagrindas &amp; modulis</t>
        </is>
      </c>
      <c r="K116" s="357" t="inlineStr">
        <is>
          <t>B1 – Podstawa sporządzenia &amp; moduł</t>
        </is>
      </c>
      <c r="L116" s="357" t="inlineStr">
        <is>
          <t>B1 - Base de preparação &amp; Módulo</t>
        </is>
      </c>
      <c r="M116" s="357" t="inlineStr">
        <is>
          <t>B1 - Base para la elaboración &amp; Módulo</t>
        </is>
      </c>
    </row>
    <row r="117">
      <c r="A117" s="2" t="inlineStr">
        <is>
          <t>template_label_b1_other_undertakings_general_information</t>
        </is>
      </c>
      <c r="B117" s="461">
        <f>INDEX(C117:M117,MATCH(template_selected_display_language,$C$3:$M$3,0))</f>
        <v/>
      </c>
      <c r="C117" s="2" t="inlineStr">
        <is>
          <t>B1 - Other undertaking's general information</t>
        </is>
      </c>
      <c r="D117" s="563" t="inlineStr">
        <is>
          <t>B1 - Øvrige generelle oplysninger om virksomheden</t>
        </is>
      </c>
      <c r="E117" s="563" t="inlineStr">
        <is>
          <t>B1 - Algemene informatie over andere ondernemingen</t>
        </is>
      </c>
      <c r="F117" s="563" t="inlineStr">
        <is>
          <t>B1 - Autres informations générales de l'entreprise</t>
        </is>
      </c>
      <c r="G117" s="366" t="inlineStr">
        <is>
          <t>B1 – Allgemeine Informationen zum Unternehmen</t>
        </is>
      </c>
      <c r="H117" s="366" t="inlineStr">
        <is>
          <t>B1 - Faisnéis ghinearálta gnóthais eile</t>
        </is>
      </c>
      <c r="I117" s="2" t="inlineStr">
        <is>
          <t>B1 - Informazioni generali dell'impresa</t>
        </is>
      </c>
      <c r="J117" s="357" t="inlineStr">
        <is>
          <t>B1 – Kita įmonės bendroji informacija</t>
        </is>
      </c>
      <c r="K117" s="357" t="inlineStr">
        <is>
          <t>B1 – Ogólne informacje o jednostce</t>
        </is>
      </c>
      <c r="L117" s="357" t="inlineStr">
        <is>
          <t>B1 - Outras informações gerais da entidade</t>
        </is>
      </c>
      <c r="M117" s="357" t="inlineStr">
        <is>
          <t>B1 - Otra información general del empresario</t>
        </is>
      </c>
    </row>
    <row r="118" ht="28.8" customHeight="1">
      <c r="A118" s="2" t="inlineStr">
        <is>
          <t>template_label_basis_for_preparation</t>
        </is>
      </c>
      <c r="B118" s="461">
        <f>INDEX(C118:M118,MATCH(template_selected_display_language,$C$3:$M$3,0))</f>
        <v/>
      </c>
      <c r="C118" s="2" t="inlineStr">
        <is>
          <t>Basis for preparation (Basic Module Only or Basic &amp; Comprehensive Module)</t>
        </is>
      </c>
      <c r="D118" s="563" t="inlineStr">
        <is>
          <t>Grundlag for udarbejdelse (Basismodul alene eller Basismodul &amp; Udvidet modul)</t>
        </is>
      </c>
      <c r="E118" s="563" t="inlineStr">
        <is>
          <t>Grondslag voor het opstellen van informatie (alleen Basismodule of Basismodule &amp; Uitgebreide Module)</t>
        </is>
      </c>
      <c r="F118" s="563" t="inlineStr">
        <is>
          <t>Base de préparation (Module de base uniquement ou Modules de base &amp; complet)</t>
        </is>
      </c>
      <c r="G118" s="366" t="inlineStr">
        <is>
          <t>Grundlagen für die Erstellung (Nur Basismodul oder Basismodul &amp; Zusatzmodul)</t>
        </is>
      </c>
      <c r="H118" s="366" t="inlineStr">
        <is>
          <t>Bunús ullmhúcháin (Modúl Bunúsach Amháin nó Modúl Bunúsach &amp; Cuimsitheach)</t>
        </is>
      </c>
      <c r="I118" s="2" t="inlineStr">
        <is>
          <t>Criteri per la redazione (Solo Modulo Base o Modulo Base &amp; Modulo Onnicomprensivo)</t>
        </is>
      </c>
      <c r="J118" s="357" t="inlineStr">
        <is>
          <t>Ataskaitos rengimo pagrindas (tik Bazinis modulis arba Bazinis ir Išsamusis modulis)</t>
        </is>
      </c>
      <c r="K118" s="357" t="inlineStr">
        <is>
          <t>Podstawa sporządzenia (tylko moduł podstawowy lub moduł podstawowy i kompleksowy)</t>
        </is>
      </c>
      <c r="L118" s="357" t="inlineStr">
        <is>
          <t>Base de preparação (apenas Módulo Básico ou Módulo Básico e Abrangente</t>
        </is>
      </c>
      <c r="M118" s="357" t="inlineStr">
        <is>
          <t>Base para la preparación (Solo Módulo Básico o Módulo Básico y Comprensivo)</t>
        </is>
      </c>
    </row>
    <row r="119" ht="28.8" customHeight="1">
      <c r="A119" s="2" t="inlineStr">
        <is>
          <t>template_label_list_of_omitted_disclosures_deemed_to_be_classified_or_sensitive_information</t>
        </is>
      </c>
      <c r="B119" s="461">
        <f>INDEX(C119:M119,MATCH(template_selected_display_language,$C$3:$M$3,0))</f>
        <v/>
      </c>
      <c r="C119" s="2" t="inlineStr">
        <is>
          <t>List of omitted disclosures deemed to be classified or sensitive information</t>
        </is>
      </c>
      <c r="D119" s="563" t="inlineStr">
        <is>
          <t>Liste over udeladte oplysninger, der anses for at være klassificerede eller følsomme oplysninger</t>
        </is>
      </c>
      <c r="E119" s="563" t="inlineStr">
        <is>
          <t xml:space="preserve">Lijst van  ontbrekende toelichtingen over informatie die wordt beschouwd als concurrentiegevoelig of bedrijfsgeheim </t>
        </is>
      </c>
      <c r="F119" s="563" t="inlineStr">
        <is>
          <t>Liste des informations omises jugées comme informations classifiées ou sensibles</t>
        </is>
      </c>
      <c r="G119" s="366" t="inlineStr">
        <is>
          <t>Liste der weggelassenen Angaben, die als Verschlusssachen oder vertrauliche Informationen eingestuft werden</t>
        </is>
      </c>
      <c r="H119" s="366" t="inlineStr">
        <is>
          <t>Liosta de na nochtaí fágtha ar lár a mheastar a bheith ina faisnéis rúnaicmithe nó faisnéis íogair</t>
        </is>
      </c>
      <c r="I119" s="2" t="inlineStr">
        <is>
          <t>Elenco delle informative omesse considerate come informazioni classificate o sensibili</t>
        </is>
      </c>
      <c r="J119" s="357" t="inlineStr">
        <is>
          <t>Nepateiktų atskleidimų, laikomų konfidencialia ar jautria informacija, sąrašas</t>
        </is>
      </c>
      <c r="K119" s="357" t="inlineStr">
        <is>
          <t>Lista ujawnień pominiętych uznanych za informacje zastrzeżone lub wrażliwe</t>
        </is>
      </c>
      <c r="L119" s="357" t="inlineStr">
        <is>
          <t>Lista de divulgações omitidas consideradas informação classificada ou sensível</t>
        </is>
      </c>
      <c r="M119" s="357" t="inlineStr">
        <is>
          <t>Lista de divulgaciones omitidas consideradas como información clasificada o sensible</t>
        </is>
      </c>
    </row>
    <row r="120" ht="28.8" customHeight="1">
      <c r="A120" s="2" t="inlineStr">
        <is>
          <t>template_label_basis_for_reporting</t>
        </is>
      </c>
      <c r="B120" s="461">
        <f>INDEX(C120:M120,MATCH(template_selected_display_language,$C$3:$M$3,0))</f>
        <v/>
      </c>
      <c r="C120" s="2" t="inlineStr">
        <is>
          <t>Basis for reporting (consolidated or individual basis)</t>
        </is>
      </c>
      <c r="D120" s="563" t="inlineStr">
        <is>
          <t>Grundlag for udarbejdelse af bæredygtighedsrapport (individuelt grundlag eller konsolideret grundlag)</t>
        </is>
      </c>
      <c r="E120" s="563" t="inlineStr">
        <is>
          <t>Grondslag voor rapportage (geconsolideerd of enkelvoudig )</t>
        </is>
      </c>
      <c r="F120" s="563" t="inlineStr">
        <is>
          <t>Base de présentation (consolidée ou individuelle)</t>
        </is>
      </c>
      <c r="G120" s="366" t="inlineStr">
        <is>
          <t>Berichtsgrundlage (konsolidiert oder einzeln)</t>
        </is>
      </c>
      <c r="H120" s="366" t="inlineStr">
        <is>
          <t>An bonn le haghaidh tuairiscithe (bonn comhdhlúite nó ar bhonn aonair)</t>
        </is>
      </c>
      <c r="I120" s="2" t="inlineStr">
        <is>
          <t>Base per la rendicontazione (su base consolidata o individuale)</t>
        </is>
      </c>
      <c r="J120" s="357" t="inlineStr">
        <is>
          <t>Atskaitomybės pagrindas (konsoliduota ar individuali)</t>
        </is>
      </c>
      <c r="K120" s="357" t="inlineStr">
        <is>
          <t>Podstawa sprawozdawczości (w ujęciu skonsolidowanym lub jednostkowym)</t>
        </is>
      </c>
      <c r="L120" s="357" t="inlineStr">
        <is>
          <t>Base de reporte (consolidada ou individual)</t>
        </is>
      </c>
      <c r="M120" s="357" t="inlineStr">
        <is>
          <t>Base para la presentación de informes (base consolidada o individual)</t>
        </is>
      </c>
    </row>
    <row r="121">
      <c r="A121" s="2" t="inlineStr">
        <is>
          <t>template_label_undertakings_legal_form</t>
        </is>
      </c>
      <c r="B121" s="461">
        <f>INDEX(C121:M121,MATCH(template_selected_display_language,$C$3:$M$3,0))</f>
        <v/>
      </c>
      <c r="C121" s="2" t="inlineStr">
        <is>
          <t>Undertakings legal form</t>
        </is>
      </c>
      <c r="D121" s="563" t="inlineStr">
        <is>
          <t>Virksomhedens juridiske form</t>
        </is>
      </c>
      <c r="E121" s="563" t="inlineStr">
        <is>
          <t>Rechtsvorm van de onderneming</t>
        </is>
      </c>
      <c r="F121" s="563" t="inlineStr">
        <is>
          <t>Forme juridique de l’entreprise</t>
        </is>
      </c>
      <c r="G121" s="366" t="inlineStr">
        <is>
          <t>Rechtsform des Unternehmens</t>
        </is>
      </c>
      <c r="H121" s="366" t="inlineStr">
        <is>
          <t>Foirm dhlíthiúil na ngnóthas</t>
        </is>
      </c>
      <c r="I121" s="2" t="inlineStr">
        <is>
          <t>Forma giuridica dell'impresa</t>
        </is>
      </c>
      <c r="J121" s="357" t="inlineStr">
        <is>
          <t>Įmonės teisinė forma</t>
        </is>
      </c>
      <c r="K121" s="357" t="inlineStr">
        <is>
          <t>Forma prawna jednostki</t>
        </is>
      </c>
      <c r="L121" s="357" t="inlineStr">
        <is>
          <t>Forma jurídica da empresa</t>
        </is>
      </c>
      <c r="M121" s="357" t="inlineStr">
        <is>
          <t>Forma jurídica de la entidad</t>
        </is>
      </c>
    </row>
    <row r="122">
      <c r="A122" s="2" t="inlineStr">
        <is>
          <t>template_label_other_undertakings_legal_form_specification</t>
        </is>
      </c>
      <c r="B122" s="461">
        <f>INDEX(C122:M122,MATCH(template_selected_display_language,$C$3:$M$3,0))</f>
        <v/>
      </c>
      <c r="C122" s="2" t="inlineStr">
        <is>
          <t>Other undertaking's legal form specification</t>
        </is>
      </c>
      <c r="D122" s="563" t="inlineStr">
        <is>
          <t>Specifikation af anden juridisk form for virksomheden</t>
        </is>
      </c>
      <c r="E122" s="563" t="inlineStr">
        <is>
          <t>Specificatie van de rechtsvorm van de andere onderneming</t>
        </is>
      </c>
      <c r="F122" s="563" t="inlineStr">
        <is>
          <t>Autre spécification sur la forme juridique de entreprise</t>
        </is>
      </c>
      <c r="G122" s="366" t="inlineStr">
        <is>
          <t>"Sonstige" Rechtsform des Unternehmens</t>
        </is>
      </c>
      <c r="H122" s="366" t="inlineStr">
        <is>
          <t>Foirm dhlíthiúil an ghnóthais eile</t>
        </is>
      </c>
      <c r="I122" s="2" t="inlineStr">
        <is>
          <t>Dettagli sulla forma giuridica dell'impresa "altro"</t>
        </is>
      </c>
      <c r="J122" s="357" t="inlineStr">
        <is>
          <t>Kitos įmonės teisinės formos specifikacija</t>
        </is>
      </c>
      <c r="K122" s="357" t="inlineStr">
        <is>
          <t>Inna specyfikacja formy prawnej jednostki</t>
        </is>
      </c>
      <c r="L122" s="357" t="inlineStr">
        <is>
          <t>Especificação da forma jurídica de outra entidade</t>
        </is>
      </c>
      <c r="M122" s="357" t="inlineStr">
        <is>
          <t>Especificación de la forma jurídica de otra empresa</t>
        </is>
      </c>
    </row>
    <row r="123">
      <c r="A123" s="2" t="inlineStr">
        <is>
          <t>template_label_nace_sector_classification_code</t>
        </is>
      </c>
      <c r="B123" s="461">
        <f>INDEX(C123:M123,MATCH(template_selected_display_language,$C$3:$M$3,0))</f>
        <v/>
      </c>
      <c r="C123" s="2" t="inlineStr">
        <is>
          <t>NACE sector classification code(s)</t>
        </is>
      </c>
      <c r="D123" s="563" t="inlineStr">
        <is>
          <t>NACE sektor klassifikationskode(r)</t>
        </is>
      </c>
      <c r="E123" s="563" t="inlineStr">
        <is>
          <t>NACE-sectorclassificatiecode(s)</t>
        </is>
      </c>
      <c r="F123" s="374" t="inlineStr">
        <is>
          <t>Code(s) de la nomenclature sectorielle NACE</t>
        </is>
      </c>
      <c r="G123" s="366" t="inlineStr">
        <is>
          <t>NACE-Code(s) zur Klassifikation der Wirtschaftszweige</t>
        </is>
      </c>
      <c r="H123" s="366" t="inlineStr">
        <is>
          <t>Cód aicmithe earnála NACE</t>
        </is>
      </c>
      <c r="I123" s="2" t="inlineStr">
        <is>
          <t>Codice(i) di classificazione settoriale NACE</t>
        </is>
      </c>
      <c r="J123" s="357" t="inlineStr">
        <is>
          <t>NACE sektoriaus klasifikacijos kodas(-ai)</t>
        </is>
      </c>
      <c r="K123" s="357" t="inlineStr">
        <is>
          <t>Kod(y) klasyfikacji sektorowej NACE</t>
        </is>
      </c>
      <c r="L123" s="357" t="inlineStr">
        <is>
          <t xml:space="preserve">Código(s) NACE de classificação setorial </t>
        </is>
      </c>
      <c r="M123" s="357" t="inlineStr">
        <is>
          <t>Códigos de clasificación sectorial NACE</t>
        </is>
      </c>
    </row>
    <row r="124">
      <c r="A124" s="2" t="inlineStr">
        <is>
          <t>template_label_size_of_balance_sheet_in</t>
        </is>
      </c>
      <c r="B124" s="461">
        <f>INDEX(C124:M124,MATCH(template_selected_display_language,$C$3:$M$3,0))</f>
        <v/>
      </c>
      <c r="C124" s="2" t="inlineStr">
        <is>
          <t>Size of balance sheet (total assets) in</t>
        </is>
      </c>
      <c r="D124" s="563" t="inlineStr">
        <is>
          <t xml:space="preserve">Balancens størrelse (samlede aktiver) i </t>
        </is>
      </c>
      <c r="E124" s="563" t="inlineStr">
        <is>
          <t>Omvang van de balans (totale activa) in</t>
        </is>
      </c>
      <c r="F124" s="374" t="inlineStr">
        <is>
          <t>Total du bilan (total des actifs) en</t>
        </is>
      </c>
      <c r="G124" s="366" t="inlineStr">
        <is>
          <t>Bilanzsumme in</t>
        </is>
      </c>
      <c r="H124" s="366" t="inlineStr">
        <is>
          <t>Méid an chláir chomhardaithe (sócmhainní iomlána) i</t>
        </is>
      </c>
      <c r="I124" s="2" t="inlineStr">
        <is>
          <t>Entità dello stato patrimoniale (totale degli attivi)</t>
        </is>
      </c>
      <c r="J124" s="357" t="inlineStr">
        <is>
          <t>Balanso dydis (turtas iš viso), matavimo vienetai</t>
        </is>
      </c>
      <c r="K124" s="357" t="inlineStr">
        <is>
          <t>Wielkość bilansu (aktywa ogółem) w</t>
        </is>
      </c>
      <c r="L124" s="357" t="inlineStr">
        <is>
          <t>Valor do balanço (total de ativos) em</t>
        </is>
      </c>
      <c r="M124" s="357" t="inlineStr">
        <is>
          <t>Volumen del balance (total de activos) en</t>
        </is>
      </c>
    </row>
    <row r="125">
      <c r="A125" s="2" t="inlineStr">
        <is>
          <t>template_label_turnover_in</t>
        </is>
      </c>
      <c r="B125" s="461">
        <f>INDEX(C125:M125,MATCH(template_selected_display_language,$C$3:$M$3,0))</f>
        <v/>
      </c>
      <c r="C125" s="2" t="inlineStr">
        <is>
          <t>Turnover in</t>
        </is>
      </c>
      <c r="D125" s="563" t="inlineStr">
        <is>
          <t>Omsætning (i)</t>
        </is>
      </c>
      <c r="E125" s="563" t="inlineStr">
        <is>
          <t>Omzet in</t>
        </is>
      </c>
      <c r="F125" s="563" t="inlineStr">
        <is>
          <t>Chiffre d'affaires en</t>
        </is>
      </c>
      <c r="G125" s="366" t="inlineStr">
        <is>
          <t>Umsatzerlöse in</t>
        </is>
      </c>
      <c r="H125" s="366" t="inlineStr">
        <is>
          <t>Láimhdeachas i</t>
        </is>
      </c>
      <c r="I125" s="2" t="inlineStr">
        <is>
          <t>Ricavi delle vendite e delle prestazioni</t>
        </is>
      </c>
      <c r="J125" s="357" t="inlineStr">
        <is>
          <t>Apyvarta (matavimo vienetai)</t>
        </is>
      </c>
      <c r="K125" s="357" t="inlineStr">
        <is>
          <t xml:space="preserve">Obrót w </t>
        </is>
      </c>
      <c r="L125" s="357" t="inlineStr">
        <is>
          <t>Volume de negócios em</t>
        </is>
      </c>
      <c r="M125" s="357" t="inlineStr">
        <is>
          <t>Volumen de negocios en</t>
        </is>
      </c>
    </row>
    <row r="126">
      <c r="A126" s="2" t="inlineStr">
        <is>
          <t>template_label_number_of_employees</t>
        </is>
      </c>
      <c r="B126" s="461">
        <f>INDEX(C126:M126,MATCH(template_selected_display_language,$C$3:$M$3,0))</f>
        <v/>
      </c>
      <c r="C126" s="2" t="inlineStr">
        <is>
          <t>Number of employees</t>
        </is>
      </c>
      <c r="D126" s="563" t="inlineStr">
        <is>
          <t>Antal ansatte</t>
        </is>
      </c>
      <c r="E126" s="563" t="inlineStr">
        <is>
          <t>Aantal werknemers</t>
        </is>
      </c>
      <c r="F126" s="563" t="inlineStr">
        <is>
          <t>Nombre de salariés</t>
        </is>
      </c>
      <c r="G126" s="366" t="inlineStr">
        <is>
          <t>Anzahl der Beschäftigten</t>
        </is>
      </c>
      <c r="H126" s="366" t="inlineStr">
        <is>
          <t>Líon na bhfostaithe</t>
        </is>
      </c>
      <c r="I126" s="2" t="inlineStr">
        <is>
          <t>Numero di dipendenti</t>
        </is>
      </c>
      <c r="J126" s="357" t="inlineStr">
        <is>
          <t>Darbuotojų skaičius</t>
        </is>
      </c>
      <c r="K126" s="357" t="inlineStr">
        <is>
          <t>Liczba pracowników</t>
        </is>
      </c>
      <c r="L126" s="357" t="inlineStr">
        <is>
          <t>Número de trabalhadores</t>
        </is>
      </c>
      <c r="M126" s="357" t="inlineStr">
        <is>
          <t>Número de asalariados</t>
        </is>
      </c>
    </row>
    <row r="127" ht="43.2" customHeight="1">
      <c r="A127" s="2" t="inlineStr">
        <is>
          <t>template_label_employee_counting_methodology_end_of_reporting_period_or_average_during_the_reporting_period</t>
        </is>
      </c>
      <c r="B127" s="461">
        <f>INDEX(C127:M127,MATCH(template_selected_display_language,$C$3:$M$3,0))</f>
        <v/>
      </c>
      <c r="C127" s="2" t="inlineStr">
        <is>
          <t>Employee counting methodology (At the end of reporting period or as an average during the reporting period)</t>
        </is>
      </c>
      <c r="D127" s="563" t="inlineStr">
        <is>
          <t>Metode til optælling af ansatte (ved udgangen af rapporteringsperioden eller som gennemsnit for rapporteringsperioden)</t>
        </is>
      </c>
      <c r="E127" s="563" t="inlineStr">
        <is>
          <t>Methodologie voor het tellen van werknemers (Aan het einde van de verslagperiode of als een gemiddelde gedurende de verslagperiode)</t>
        </is>
      </c>
      <c r="F127" s="563" t="inlineStr">
        <is>
          <t>Méthodologie de comptage des salariés (à la fin de la période de reporting, ou en moyenne pendant la période de reporting)</t>
        </is>
      </c>
      <c r="G127" s="366" t="inlineStr">
        <is>
          <t>Art der Zählung von Beschäftigten (am Ende des Berichtszeitraums oder als Durchschnitt während des Berichtszeitraums)</t>
        </is>
      </c>
      <c r="H127" s="366" t="inlineStr">
        <is>
          <t>Modheolaíocht comhairimh fostaithe (Ag deireadh na tréimhse tuairiscithe nó mar mheán le linn na tréimhse tuairiscithe)</t>
        </is>
      </c>
      <c r="I127" s="2" t="inlineStr">
        <is>
          <t>Metodologia di conteggio dei dipendenti (Alla fine del periodo di riferimento o come media durante il periodo di riferimento)</t>
        </is>
      </c>
      <c r="J127" s="357" t="inlineStr">
        <is>
          <t>Darbuotojų skaičiavimo metodika (skaičiuojama ataskaitinio laikotarpio pabaigoje ar išvedamas vidurkis per ataskaitinį laikotarpį)</t>
        </is>
      </c>
      <c r="K127" s="357" t="inlineStr">
        <is>
          <t>Metodologia liczenia pracowników (na koniec okresu sprawozdawczego lub jako średnia w trakcie okresu sprawozdawczego)</t>
        </is>
      </c>
      <c r="L127" s="357" t="inlineStr">
        <is>
          <t>Metodologia de contagem de trabalhadores (No final do período de relato ou como média durante o período de relato)</t>
        </is>
      </c>
      <c r="M127" s="357" t="inlineStr">
        <is>
          <t>Metodología para el recuento de empleados (Al final del período de informe o como promedio durante el período de informe)</t>
        </is>
      </c>
    </row>
    <row r="128" ht="28.8" customHeight="1">
      <c r="A128" s="2" t="inlineStr">
        <is>
          <t>template_label_employee_counting_methodology_headcount_or_fulltime_equivalent</t>
        </is>
      </c>
      <c r="B128" s="461">
        <f>INDEX(C128:M128,MATCH(template_selected_display_language,$C$3:$M$3,0))</f>
        <v/>
      </c>
      <c r="C128" s="2" t="inlineStr">
        <is>
          <t>Employee counting methodology (Headcount or Full-time equivalent)</t>
        </is>
      </c>
      <c r="D128" s="563" t="inlineStr">
        <is>
          <t>Metode til optælling af ansatte (antal personer eller fuldtidsækvivalenter)</t>
        </is>
      </c>
      <c r="E128" s="563" t="inlineStr">
        <is>
          <t>Werknemers telmethode (aantal personen of voltijdsequivalent - FTE)</t>
        </is>
      </c>
      <c r="F128" s="563" t="inlineStr">
        <is>
          <t>Méthodologie de comptage des salariés (effectif ou équivalent temps plein)</t>
        </is>
      </c>
      <c r="G128" s="366" t="inlineStr">
        <is>
          <t>Art der Zählung von Beschäftigten (Beschäftigtenzahl oder Vollzeitäquivalente)</t>
        </is>
      </c>
      <c r="H128" s="366" t="inlineStr">
        <is>
          <t>Modheolaíocht comhairimh fostaithe (Líon na nDaoine nó Coibhéis Lánaimseartha)</t>
        </is>
      </c>
      <c r="I128" s="2" t="inlineStr">
        <is>
          <t>Metodologia di conteggio dei dipendenti (Effettivi o equivalenti a tempo pieno)</t>
        </is>
      </c>
      <c r="J128" s="357" t="inlineStr">
        <is>
          <t>Darbuotojų skaičiavimo metodika (faktinis darbuotojų skaičius arba viso etato ekvivalentas)</t>
        </is>
      </c>
      <c r="K128" s="357" t="inlineStr">
        <is>
          <t>Metodologia liczenia pracowników (liczba zatrudnionych lubliczba ekwiwalentów pełnego czasu pracy)</t>
        </is>
      </c>
      <c r="L128" s="357" t="inlineStr">
        <is>
          <t>Metodologia de contagem de trabalhadores (Número de efetivos ou Equivalente a tempo completo)</t>
        </is>
      </c>
      <c r="M128" s="357" t="inlineStr">
        <is>
          <t>Metodología para el recuento de empleados (Número de personas o equivalente a jornada completa)</t>
        </is>
      </c>
    </row>
    <row r="129" ht="29.4" customHeight="1" thickBot="1">
      <c r="A129" s="358" t="inlineStr">
        <is>
          <t>template_label_country_of_primary_operations_and_location_of_significant_asset</t>
        </is>
      </c>
      <c r="B129" s="462">
        <f>INDEX(C129:M129,MATCH(template_selected_display_language,$C$3:$M$3,0))</f>
        <v/>
      </c>
      <c r="C129" s="358" t="inlineStr">
        <is>
          <t>Country of primary operations and location of significant asset(s)</t>
        </is>
      </c>
      <c r="D129" s="373" t="inlineStr">
        <is>
          <t>Land for primære aktiviteter og placering af væsentlige aktiver</t>
        </is>
      </c>
      <c r="E129" s="373" t="inlineStr">
        <is>
          <t>Land waar de primaire bedrijfsactiviteiten plaatsvinden en de locatie van materiële activa</t>
        </is>
      </c>
      <c r="F129" s="373" t="inlineStr">
        <is>
          <t>Pays où sont exercées les activités principales et localisation d'un ou de plusieurs actifs présentant un intérêt significatif</t>
        </is>
      </c>
      <c r="G129" s="367" t="inlineStr">
        <is>
          <t>Land der Hauptgeschäftstätigkeit und Standort des/der wesentlichen Vermögenswerte(s)</t>
        </is>
      </c>
      <c r="H129" s="367" t="inlineStr">
        <is>
          <t>Tír príomhoibríochtaí agus suíomh sócmhainn(í) suntasacha</t>
        </is>
      </c>
      <c r="I129" s="358" t="inlineStr">
        <is>
          <t>Paese delle operazioni primarie e ubicazione degli attivi significativi</t>
        </is>
      </c>
      <c r="J129" s="371" t="inlineStr">
        <is>
          <t>Šalis, kurioje vykdoma pagrindinė veikla ir reikšmingo turto buvimo vieta(-os)</t>
        </is>
      </c>
      <c r="K129" s="371" t="inlineStr">
        <is>
          <t>Kraj, w którym jednostka prowadzi główną działalność i w którym są zlokalizowane jej znaczące aktywa</t>
        </is>
      </c>
      <c r="L129" s="371" t="inlineStr">
        <is>
          <t>País das operações principais e localização do(s) ativo(s) significativo(s)</t>
        </is>
      </c>
      <c r="M129" s="371" t="inlineStr">
        <is>
          <t>País de las operaciones principales y ubicación del activo o activos significativos</t>
        </is>
      </c>
    </row>
    <row r="130">
      <c r="A130" s="2" t="inlineStr">
        <is>
          <t>template_label_b1_list_of_subsidiaries</t>
        </is>
      </c>
      <c r="B130" s="461">
        <f>INDEX(C130:M130,MATCH(template_selected_display_language,$C$3:$M$3,0))</f>
        <v/>
      </c>
      <c r="C130" s="2" t="inlineStr">
        <is>
          <t>B1 - List of subsidiaries</t>
        </is>
      </c>
      <c r="D130" s="563" t="inlineStr">
        <is>
          <t>B1 - Liste over datterselskaber</t>
        </is>
      </c>
      <c r="E130" s="563" t="inlineStr">
        <is>
          <t>B1 - Lijst van dochterondernemingen</t>
        </is>
      </c>
      <c r="F130" s="563" t="inlineStr">
        <is>
          <t>B1 - Liste des filiales</t>
        </is>
      </c>
      <c r="G130" s="366" t="inlineStr">
        <is>
          <t>B1 - Liste der Tochterunternehmen</t>
        </is>
      </c>
      <c r="H130" s="366" t="inlineStr">
        <is>
          <t>B1 - Liosta na bhfochuideachtaí</t>
        </is>
      </c>
      <c r="I130" s="2" t="inlineStr">
        <is>
          <t>B1 - Elenco delle imprese figlie</t>
        </is>
      </c>
      <c r="J130" s="357" t="inlineStr">
        <is>
          <t>B1 - Dukterinių įmonių sąrašas</t>
        </is>
      </c>
      <c r="K130" s="357" t="inlineStr">
        <is>
          <t>B1 – Lista jednostek zależnych</t>
        </is>
      </c>
      <c r="L130" s="357" t="inlineStr">
        <is>
          <t>B1 - Lista de subsidiárias</t>
        </is>
      </c>
      <c r="M130" s="357" t="inlineStr">
        <is>
          <t>B1 - Lista de filiales</t>
        </is>
      </c>
    </row>
    <row r="131">
      <c r="A131" s="2" t="inlineStr">
        <is>
          <t>template_label_id</t>
        </is>
      </c>
      <c r="B131" s="461">
        <f>INDEX(C131:M131,MATCH(template_selected_display_language,$C$3:$M$3,0))</f>
        <v/>
      </c>
      <c r="C131" s="2" t="inlineStr">
        <is>
          <t>ID</t>
        </is>
      </c>
      <c r="D131" s="563" t="inlineStr">
        <is>
          <t>ID</t>
        </is>
      </c>
      <c r="E131" s="563" t="inlineStr">
        <is>
          <t>ID</t>
        </is>
      </c>
      <c r="F131" s="563" t="inlineStr">
        <is>
          <t>ID</t>
        </is>
      </c>
      <c r="G131" s="366" t="inlineStr">
        <is>
          <t>Nr.</t>
        </is>
      </c>
      <c r="H131" s="366" t="inlineStr">
        <is>
          <t>Aitheantas</t>
        </is>
      </c>
      <c r="I131" s="2" t="inlineStr">
        <is>
          <t>ID</t>
        </is>
      </c>
      <c r="J131" s="357" t="inlineStr">
        <is>
          <t>ID</t>
        </is>
      </c>
      <c r="K131" s="357" t="inlineStr">
        <is>
          <t>ID</t>
        </is>
      </c>
      <c r="L131" s="357" t="inlineStr">
        <is>
          <t>ID</t>
        </is>
      </c>
      <c r="M131" s="357" t="inlineStr">
        <is>
          <t>ID</t>
        </is>
      </c>
    </row>
    <row r="132">
      <c r="A132" s="2" t="inlineStr">
        <is>
          <t>template_label_name</t>
        </is>
      </c>
      <c r="B132" s="461">
        <f>INDEX(C132:M132,MATCH(template_selected_display_language,$C$3:$M$3,0))</f>
        <v/>
      </c>
      <c r="C132" s="2" t="inlineStr">
        <is>
          <t>Name</t>
        </is>
      </c>
      <c r="D132" s="563" t="inlineStr">
        <is>
          <t>Navn</t>
        </is>
      </c>
      <c r="E132" s="563" t="inlineStr">
        <is>
          <t>Naam</t>
        </is>
      </c>
      <c r="F132" s="563" t="inlineStr">
        <is>
          <t>Nom</t>
        </is>
      </c>
      <c r="G132" s="366" t="inlineStr">
        <is>
          <t>Name</t>
        </is>
      </c>
      <c r="H132" s="366" t="inlineStr">
        <is>
          <t>Ainm</t>
        </is>
      </c>
      <c r="I132" s="2" t="inlineStr">
        <is>
          <t>Nome</t>
        </is>
      </c>
      <c r="J132" s="357" t="inlineStr">
        <is>
          <t>Pavadinimas</t>
        </is>
      </c>
      <c r="K132" s="357" t="inlineStr">
        <is>
          <t>Nazwa</t>
        </is>
      </c>
      <c r="L132" s="357" t="inlineStr">
        <is>
          <t>Nome</t>
        </is>
      </c>
      <c r="M132" s="357" t="inlineStr">
        <is>
          <t>Nombre</t>
        </is>
      </c>
    </row>
    <row r="133" ht="29.4" customHeight="1" thickBot="1">
      <c r="A133" s="358" t="inlineStr">
        <is>
          <t>template_label_registered_address</t>
        </is>
      </c>
      <c r="B133" s="462">
        <f>INDEX(C133:M133,MATCH(template_selected_display_language,$C$3:$M$3,0))</f>
        <v/>
      </c>
      <c r="C133" s="358" t="inlineStr">
        <is>
          <t>Registered Address</t>
        </is>
      </c>
      <c r="D133" s="373" t="inlineStr">
        <is>
          <t>Registreret adresse</t>
        </is>
      </c>
      <c r="E133" s="373" t="inlineStr">
        <is>
          <t>Geregistreerd adres</t>
        </is>
      </c>
      <c r="F133" s="373" t="inlineStr">
        <is>
          <t>Adresse du siège social</t>
        </is>
      </c>
      <c r="G133" s="367" t="inlineStr">
        <is>
          <t>eingetragene Adresse (=offizielle Anschrift des Unternehmens)</t>
        </is>
      </c>
      <c r="H133" s="367" t="inlineStr">
        <is>
          <t>Seoladh Cláraithe</t>
        </is>
      </c>
      <c r="I133" s="358" t="inlineStr">
        <is>
          <t>Sede legale</t>
        </is>
      </c>
      <c r="J133" s="371" t="inlineStr">
        <is>
          <t>Registruotas adresas</t>
        </is>
      </c>
      <c r="K133" s="371" t="inlineStr">
        <is>
          <t>Adres siedziby</t>
        </is>
      </c>
      <c r="L133" s="371" t="inlineStr">
        <is>
          <t>Sede social</t>
        </is>
      </c>
      <c r="M133" s="371" t="inlineStr">
        <is>
          <t>Domicilio social</t>
        </is>
      </c>
    </row>
    <row r="134" ht="28.8" customHeight="1">
      <c r="A134" s="2" t="inlineStr">
        <is>
          <t>template_label_b1_disclosure_of_sustainability_related_certification_or_label</t>
        </is>
      </c>
      <c r="B134" s="461">
        <f>INDEX(C134:M134,MATCH(template_selected_display_language,$C$3:$M$3,0))</f>
        <v/>
      </c>
      <c r="C134" s="2" t="inlineStr">
        <is>
          <t>B1 - Disclosure of sustainability-related certification(s) or label(s)</t>
        </is>
      </c>
      <c r="D134" s="563" t="inlineStr">
        <is>
          <t>B1 - Oplysning om bæredygtighedsrelaterede certificeringer eller mærker</t>
        </is>
      </c>
      <c r="E134" s="563" t="inlineStr">
        <is>
          <t>B1 -  Rapportage van duurzaamheidsgerelateerde certificering(en) of label(s)</t>
        </is>
      </c>
      <c r="F134" s="563" t="inlineStr">
        <is>
          <t>B1 - Publication de la ou des certification(s) ou label(s) liés à la durabilité</t>
        </is>
      </c>
      <c r="G134" s="366" t="inlineStr">
        <is>
          <t>B1 - Angabe von nachhaltigkeitsbezogenen Zertifizierung(en) oder Siegel(n)</t>
        </is>
      </c>
      <c r="H134" s="366" t="inlineStr">
        <is>
          <t>Aon deimhniú nó lipéad i ndáil le hinbhuanaitheacht a nochtadh</t>
        </is>
      </c>
      <c r="I134" s="2" t="inlineStr">
        <is>
          <t>B1 - Informativa delle certificazioni o marchi di sostenibilità</t>
        </is>
      </c>
      <c r="J134" s="357" t="inlineStr">
        <is>
          <t>B1 - Su tvarumu susijusių sertifikatų ar ženklų atskleidimas</t>
        </is>
      </c>
      <c r="K134" s="357" t="inlineStr">
        <is>
          <t>B1 - Ujawnienie certyfikatów lub oznaczeń związanych ze zrównoważonym rozwojem</t>
        </is>
      </c>
      <c r="L134" s="357" t="inlineStr">
        <is>
          <t>B1 - Divulgação de certificação(ões) ou selo(s) relacionados com a sustentabilidade</t>
        </is>
      </c>
      <c r="M134" s="357" t="inlineStr">
        <is>
          <t>B1 - Divulgación de certificación(es) o etiqueta(s) relacionada(s) con la sostenibilidad</t>
        </is>
      </c>
    </row>
    <row r="135" ht="43.2" customHeight="1">
      <c r="A135" s="2" t="inlineStr">
        <is>
          <t>template_label_has_the_undertaking_obtained_any_sustainability_related_certification_or_label</t>
        </is>
      </c>
      <c r="B135" s="461">
        <f>INDEX(C135:M135,MATCH(template_selected_display_language,$C$3:$M$3,0))</f>
        <v/>
      </c>
      <c r="C135" s="2" t="inlineStr">
        <is>
          <t>Has the undertaking obtained any sustainability-related certification(s) or label(s) ?</t>
        </is>
      </c>
      <c r="D135" s="563" t="inlineStr">
        <is>
          <t>Har virksomheden opnået nogen bæredygtighedsrelaterede certificering(er) eller mærke(r)?</t>
        </is>
      </c>
      <c r="E135" s="563" t="inlineStr">
        <is>
          <t>Heeft de onderneming een of meer duurzaamheidsgerelateerde certificering(en) of label(s) verkregen?</t>
        </is>
      </c>
      <c r="F135" s="563" t="inlineStr">
        <is>
          <t>L'entreprise a-t-elle obtenu une ou plusieurs certification(s) ou label(s) liés à la durabilité ?</t>
        </is>
      </c>
      <c r="G135" s="366" t="inlineStr">
        <is>
          <t>Hat das Unternehmen nachhaltigkeitsbezogene Zertifizierung(en) oder Siegel erhalten?</t>
        </is>
      </c>
      <c r="H135" s="366" t="inlineStr">
        <is>
          <t>An bhfuair an gnóthas aon deimhniú nó lipéad i ndáil le hinbhuanaitheacht?</t>
        </is>
      </c>
      <c r="I135" s="2" t="inlineStr">
        <is>
          <t>L'impresa ha ottenuto una o più certificazioni o marchi di sostenibilità?</t>
        </is>
      </c>
      <c r="J135" s="357" t="inlineStr">
        <is>
          <t>Ar įmonė gavo kokių nors su tvarumu susijusių sertifikatų ar ženklų?</t>
        </is>
      </c>
      <c r="K135" s="357" t="inlineStr">
        <is>
          <t>Czy jednostka uzyskała jakikolwiek certyfikat lub oznaczenie związane ze zrównoważonym rozwojem?</t>
        </is>
      </c>
      <c r="L135" s="357" t="inlineStr">
        <is>
          <t>A empresa obteve alguma certificação ou selo relacionado com a sustentabilidade?</t>
        </is>
      </c>
      <c r="M135" s="357" t="inlineStr">
        <is>
          <t>¿Ha obtenido la empresa alguna certificación o etiqueta relacionada con la sostenibilidad?</t>
        </is>
      </c>
    </row>
    <row r="136" ht="72.59999999999999" customHeight="1" thickBot="1">
      <c r="A136" s="358" t="inlineStr">
        <is>
          <t>template_label_description_of_sustainability_related_certification_or_label</t>
        </is>
      </c>
      <c r="B136" s="462">
        <f>INDEX(C136:M136,MATCH(template_selected_display_language,$C$3:$M$3,0))</f>
        <v/>
      </c>
      <c r="C136" s="358" t="inlineStr">
        <is>
          <t>Description of sustainability-related certification(s) or label(s) including where relevant the issuers of the certification or label date and rating score</t>
        </is>
      </c>
      <c r="D136" s="373" t="inlineStr">
        <is>
          <t>Beskrivelse af bæredygtighedsrelaterede certificeringer eller mærker (herunder, hvis det er relevant, udstederne af certificeringen eller mærket, dato og vurderingsscore)</t>
        </is>
      </c>
      <c r="E136" s="373" t="inlineStr">
        <is>
          <t>Indien de onderneming een duurzaamheidscertificering of -keurmerk heeft verkregen, verstrekt zij een korte beschrijving daarvan (met inbegrip van, in voorkomend geval, de instelling die de certificering of het keurmerk heeft afgegeven, de datum en de score).</t>
        </is>
      </c>
      <c r="F136" s="373" t="inlineStr">
        <is>
          <t>Si l’entreprise a obtenu une certification ou un label lié à la durabilité, elle en fournit une brève description (y compris, le cas échéant, les organismes qui délivrent la certification ou le label, la date et la notation).</t>
        </is>
      </c>
      <c r="G136" s="367" t="inlineStr">
        <is>
          <t>Beschreibung der nachhaltigkeitsbezogenen Zertifizierung(en) oder des/der Siegel(s), einschließlich, falls relevant, unter Angabe der Aussteller der Zertifizierung oder des Siegels, des Datums und der entsprechenden Einstufung</t>
        </is>
      </c>
      <c r="H136" s="367" t="inlineStr">
        <is>
          <t>Tuairisc ar dheimhniú(í) nó ar lipéad a bhaineann le hinbhuanaitheacht, lena n-áirítear, i gcás inarb ábhartha, eisitheoirí an deimhniúcháin nó an lipéad, dáta agus scór rátála</t>
        </is>
      </c>
      <c r="I136" s="358" t="inlineStr">
        <is>
          <t>Descrizione della/e certificazione/i o marchio/i di sostenibilità, includendo, se del caso, i soggetti che hanno rilasciato la certificazione o il marchio, la datadi rilascio e il punteggio di valutazione</t>
        </is>
      </c>
      <c r="J136" s="371" t="inlineStr">
        <is>
          <t>Jeigu įmonė gavo kokį nors su tvarumu susijusį sertifikatą arba ženklą, ji turi pateikti trumpą jų aprašymą (įskaitant, kur tai aktualu, sertifikato arba ženklo išdavėjų, datą ir vertinimo balą).</t>
        </is>
      </c>
      <c r="K136" s="371" t="inlineStr">
        <is>
          <t>Opis certyfikatu lub oznaczenia związanego ze zrównoważonym rozwojem, w tym, w stosownych przypadkach, wystawców certyfikatu lub oznaczenia, datę i wynik oceny</t>
        </is>
      </c>
      <c r="L136" s="371" t="inlineStr">
        <is>
          <t xml:space="preserve">Descrição das certificações ou selos relacionados com a sustentabilidade, incluindo, quando relevante, os emissores das certificações ou selos, a data e a pontuação atribuída.
</t>
        </is>
      </c>
      <c r="M136" s="371" t="inlineStr">
        <is>
          <t>Descripción de certificación(es) o etiqueta(s) relacionada(s) con la sostenibilidad, incluyendo, cuando proceda, las entidades emisoras de la certificación o etiqueta, la fecha y la puntuación de la valoración</t>
        </is>
      </c>
    </row>
    <row r="137" ht="28.8" customHeight="1">
      <c r="A137" s="2" t="inlineStr">
        <is>
          <t>template_label_b1_list_of_site</t>
        </is>
      </c>
      <c r="B137" s="461">
        <f>INDEX(C137:M137,MATCH(template_selected_display_language,$C$3:$M$3,0))</f>
        <v/>
      </c>
      <c r="C137" s="2" t="inlineStr">
        <is>
          <t>B1 - List of site(s)</t>
        </is>
      </c>
      <c r="D137" s="563" t="inlineStr">
        <is>
          <t>B1 - Liste over adresser og geolokation på væsentlige aktiver og anlæg, som virksomheden ejer, lejer eller forvalter</t>
        </is>
      </c>
      <c r="E137" s="563" t="inlineStr">
        <is>
          <t>B1 - Lijst van  bedrijfslocaties</t>
        </is>
      </c>
      <c r="F137" s="563" t="inlineStr">
        <is>
          <t>B1 - Liste des site(s)</t>
        </is>
      </c>
      <c r="G137" s="366" t="inlineStr">
        <is>
          <t>B1 - Liste der Standorte</t>
        </is>
      </c>
      <c r="H137" s="366" t="inlineStr">
        <is>
          <t>B1 - Liosta láithreáin/láithreán</t>
        </is>
      </c>
      <c r="I137" s="2" t="inlineStr">
        <is>
          <t>Elenco del/i sito(i) B1</t>
        </is>
      </c>
      <c r="J137" s="357" t="inlineStr">
        <is>
          <t>B1 - Objektų sąrašas</t>
        </is>
      </c>
      <c r="K137" s="357" t="inlineStr">
        <is>
          <t>B1 - Lista lokalizacji</t>
        </is>
      </c>
      <c r="L137" s="357" t="inlineStr">
        <is>
          <t>B1 - Lista de locais</t>
        </is>
      </c>
      <c r="M137" s="357" t="inlineStr">
        <is>
          <t>B1 - Listado de emplazamiento(s)</t>
        </is>
      </c>
    </row>
    <row r="138">
      <c r="A138" s="2" t="inlineStr">
        <is>
          <t>template_label_address</t>
        </is>
      </c>
      <c r="B138" s="461">
        <f>INDEX(C138:M138,MATCH(template_selected_display_language,$C$3:$M$3,0))</f>
        <v/>
      </c>
      <c r="C138" s="2" t="inlineStr">
        <is>
          <t>Address</t>
        </is>
      </c>
      <c r="D138" s="563" t="inlineStr">
        <is>
          <t>Adresse</t>
        </is>
      </c>
      <c r="E138" s="563" t="inlineStr">
        <is>
          <t>Adres</t>
        </is>
      </c>
      <c r="F138" s="563" t="inlineStr">
        <is>
          <t>Adresse</t>
        </is>
      </c>
      <c r="G138" s="366" t="inlineStr">
        <is>
          <t>Adresse</t>
        </is>
      </c>
      <c r="H138" s="366" t="inlineStr">
        <is>
          <t>Seoladh</t>
        </is>
      </c>
      <c r="I138" s="2" t="inlineStr">
        <is>
          <t>Indirizzo</t>
        </is>
      </c>
      <c r="J138" s="357" t="inlineStr">
        <is>
          <t>Adresas</t>
        </is>
      </c>
      <c r="K138" s="357" t="inlineStr">
        <is>
          <t>Adres</t>
        </is>
      </c>
      <c r="L138" s="357" t="inlineStr">
        <is>
          <t>Morada</t>
        </is>
      </c>
      <c r="M138" s="357" t="inlineStr">
        <is>
          <t>Dirección</t>
        </is>
      </c>
    </row>
    <row r="139">
      <c r="A139" s="2" t="inlineStr">
        <is>
          <t>template_label_postal_code</t>
        </is>
      </c>
      <c r="B139" s="461">
        <f>INDEX(C139:M139,MATCH(template_selected_display_language,$C$3:$M$3,0))</f>
        <v/>
      </c>
      <c r="C139" s="2" t="inlineStr">
        <is>
          <t>Postal code</t>
        </is>
      </c>
      <c r="D139" s="563" t="inlineStr">
        <is>
          <t>Postnummer</t>
        </is>
      </c>
      <c r="E139" s="563" t="inlineStr">
        <is>
          <t>Postcode</t>
        </is>
      </c>
      <c r="F139" s="563" t="inlineStr">
        <is>
          <t>Code postal</t>
        </is>
      </c>
      <c r="G139" s="366" t="inlineStr">
        <is>
          <t>Postleitzahl</t>
        </is>
      </c>
      <c r="H139" s="366" t="inlineStr">
        <is>
          <t>Cód poist / Éirchód</t>
        </is>
      </c>
      <c r="I139" s="2" t="inlineStr">
        <is>
          <t>Codice postale</t>
        </is>
      </c>
      <c r="J139" s="357" t="inlineStr">
        <is>
          <t>Pašto kodas</t>
        </is>
      </c>
      <c r="K139" s="357" t="inlineStr">
        <is>
          <t>Kod pocztowy</t>
        </is>
      </c>
      <c r="L139" s="357" t="inlineStr">
        <is>
          <t>Código postal</t>
        </is>
      </c>
      <c r="M139" s="357" t="inlineStr">
        <is>
          <t>Código postal</t>
        </is>
      </c>
    </row>
    <row r="140" ht="43.2" customHeight="1">
      <c r="A140" s="2" t="inlineStr">
        <is>
          <t>template_label_city</t>
        </is>
      </c>
      <c r="B140" s="461">
        <f>INDEX(C140:M140,MATCH(template_selected_display_language,$C$3:$M$3,0))</f>
        <v/>
      </c>
      <c r="C140" s="2" t="inlineStr">
        <is>
          <t>City</t>
        </is>
      </c>
      <c r="D140" s="563" t="inlineStr">
        <is>
          <t>By</t>
        </is>
      </c>
      <c r="E140" s="563" t="inlineStr">
        <is>
          <t>Stad</t>
        </is>
      </c>
      <c r="F140" s="563" t="inlineStr">
        <is>
          <t>Ville</t>
        </is>
      </c>
      <c r="G140" s="366" t="inlineStr">
        <is>
          <t xml:space="preserve">Stadt
</t>
        </is>
      </c>
      <c r="H140" s="366" t="inlineStr">
        <is>
          <t>Cathair</t>
        </is>
      </c>
      <c r="I140" s="2" t="inlineStr">
        <is>
          <t>Città</t>
        </is>
      </c>
      <c r="J140" s="357" t="inlineStr">
        <is>
          <t xml:space="preserve">Miestas
</t>
        </is>
      </c>
      <c r="K140" s="357" t="inlineStr">
        <is>
          <t>Miasto</t>
        </is>
      </c>
      <c r="L140" s="357" t="inlineStr">
        <is>
          <t>Cidade</t>
        </is>
      </c>
      <c r="M140" s="357" t="inlineStr">
        <is>
          <t>Ciudad</t>
        </is>
      </c>
    </row>
    <row r="141">
      <c r="A141" s="2" t="inlineStr">
        <is>
          <t>template_label_country</t>
        </is>
      </c>
      <c r="B141" s="461">
        <f>INDEX(C141:M141,MATCH(template_selected_display_language,$C$3:$M$3,0))</f>
        <v/>
      </c>
      <c r="C141" s="2" t="inlineStr">
        <is>
          <t>Country</t>
        </is>
      </c>
      <c r="D141" s="563" t="inlineStr">
        <is>
          <t>Land</t>
        </is>
      </c>
      <c r="E141" s="563" t="inlineStr">
        <is>
          <t>Land</t>
        </is>
      </c>
      <c r="F141" s="563" t="inlineStr">
        <is>
          <t>Pays</t>
        </is>
      </c>
      <c r="G141" s="366" t="inlineStr">
        <is>
          <t>Land</t>
        </is>
      </c>
      <c r="H141" s="366" t="inlineStr">
        <is>
          <t>Tír</t>
        </is>
      </c>
      <c r="I141" s="2" t="inlineStr">
        <is>
          <t>Paese</t>
        </is>
      </c>
      <c r="J141" s="357" t="inlineStr">
        <is>
          <t>Šalis</t>
        </is>
      </c>
      <c r="K141" s="357" t="inlineStr">
        <is>
          <t>Kraj</t>
        </is>
      </c>
      <c r="L141" s="357" t="inlineStr">
        <is>
          <t>País</t>
        </is>
      </c>
      <c r="M141" s="357" t="inlineStr">
        <is>
          <t>País</t>
        </is>
      </c>
    </row>
    <row r="142">
      <c r="A142" s="2" t="inlineStr">
        <is>
          <t>template_label_gps_coordinates</t>
        </is>
      </c>
      <c r="B142" s="461">
        <f>INDEX(C142:M142,MATCH(template_selected_display_language,$C$3:$M$3,0))</f>
        <v/>
      </c>
      <c r="C142" s="2" t="inlineStr">
        <is>
          <t>GPS Coordinates (geolocation)</t>
        </is>
      </c>
      <c r="D142" s="563" t="inlineStr">
        <is>
          <t>GPS-koordinater (geolokation)</t>
        </is>
      </c>
      <c r="E142" s="563" t="inlineStr">
        <is>
          <t>GPS Coördinaten (geolocatie)</t>
        </is>
      </c>
      <c r="F142" s="563" t="inlineStr">
        <is>
          <t>Coordonnées (géolocalisation)</t>
        </is>
      </c>
      <c r="G142" s="366" t="inlineStr">
        <is>
          <t>GPS-Koordinaten (Geoposition)</t>
        </is>
      </c>
      <c r="H142" s="366" t="inlineStr">
        <is>
          <t>Comhordanáidí GPS (geoshuíomh)</t>
        </is>
      </c>
      <c r="I142" s="2" t="inlineStr">
        <is>
          <t>Coordinate GPS (geolocalizzazione)</t>
        </is>
      </c>
      <c r="J142" s="357" t="inlineStr">
        <is>
          <t>GPS koordinatės (geolokacija)</t>
        </is>
      </c>
      <c r="K142" s="357" t="inlineStr">
        <is>
          <t>Współrzędne GPS (położenie geograficzne)</t>
        </is>
      </c>
      <c r="L142" s="357" t="inlineStr">
        <is>
          <t>Coordenadas GPS (geolocalização)</t>
        </is>
      </c>
      <c r="M142" s="357" t="inlineStr">
        <is>
          <t>Coordenadas GPS (geolocalización)</t>
        </is>
      </c>
    </row>
    <row r="143" ht="13.95" customHeight="1" thickBot="1">
      <c r="A143" s="358" t="inlineStr">
        <is>
          <t>template_label_automatic_geolocation</t>
        </is>
      </c>
      <c r="B143" s="462">
        <f>INDEX(C143:M143,MATCH(template_selected_display_language,$C$3:$M$3,0))</f>
        <v/>
      </c>
      <c r="C143" s="358"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43" s="373" t="inlineStr">
        <is>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is>
      </c>
      <c r="E143" s="373" t="inlineStr">
        <is>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is>
      </c>
      <c r="F143" s="373" t="inlineStr">
        <is>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is>
      </c>
      <c r="G143" s="367" t="inlineStr">
        <is>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is>
      </c>
      <c r="H143" s="367" t="inlineStr">
        <is>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is>
      </c>
      <c r="I143" s="358" t="inlineStr">
        <is>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is>
      </c>
      <c r="J143" s="371"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K143" s="371"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L143" s="371"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M143" s="371"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44" ht="28.8" customHeight="1">
      <c r="A144" s="2" t="inlineStr">
        <is>
          <t>template_label_b2_practices_policies_and_future_initiatives_for_transitioning_towards_a_more_sustainable_economy</t>
        </is>
      </c>
      <c r="B144" s="461">
        <f>INDEX(C144:M144,MATCH(template_selected_display_language,$C$3:$M$3,0))</f>
        <v/>
      </c>
      <c r="C144" s="2" t="inlineStr">
        <is>
          <t>B2 - Practices policies and future initiatives for transitioning towards a more sustainable economy</t>
        </is>
      </c>
      <c r="D144" s="563" t="inlineStr">
        <is>
          <t>B2 – Praksisser, politikker og fremtidige initiativer for omstilling til en mere bæredygtig økonomi</t>
        </is>
      </c>
      <c r="E144" s="563" t="inlineStr">
        <is>
          <t>B2 — Praktijken, beleid en toekomstige initiatieven voor de transitie naar een duurzamere economie</t>
        </is>
      </c>
      <c r="F144" s="563" t="inlineStr">
        <is>
          <t>B2 – Pratiques, politiques et initiatives futures en vue de la transition vers une économie plus durable</t>
        </is>
      </c>
      <c r="G144" s="366" t="inlineStr">
        <is>
          <t>B2 – Verfahrensweisen, Richtlinien und künftige Initiativen für den Übergang zu einer nachhaltigeren Wirtschaft</t>
        </is>
      </c>
      <c r="H144" s="366" t="inlineStr">
        <is>
          <t>B2 – Cleachtais, beartais agus tionscnaimh amach anseo chun aistriú i dtreo geilleagar níos inbhuanaithe</t>
        </is>
      </c>
      <c r="I144" s="2" t="inlineStr">
        <is>
          <t>B2 –   Pratiche, politiche e iniziative future per la transizione verso un'economia più sostenibile</t>
        </is>
      </c>
      <c r="J144" s="357" t="inlineStr">
        <is>
          <t>B2 - Praktikos, politikos priemonės ir būsimos iniciatyvos, skirtos perėjimui prie tvaresnės ekonomikos</t>
        </is>
      </c>
      <c r="K144" s="357" t="inlineStr">
        <is>
          <t>B2 – Praktyki, polityki i przyszłe inicjatywy na rzecz przejścia na bardziej zrównoważoną gospodarkę</t>
        </is>
      </c>
      <c r="L144" s="357" t="inlineStr">
        <is>
          <t>B2 — Práticas, políticas e iniciativas futuras para a transição para uma economia mais sustentável</t>
        </is>
      </c>
      <c r="M144" s="357" t="inlineStr">
        <is>
          <t>B2 – Prácticas, políticas e iniciativas futuras para la transición hacia una economía más sostenible</t>
        </is>
      </c>
    </row>
    <row r="145" ht="43.2" customHeight="1">
      <c r="A145" s="2" t="inlineStr">
        <is>
          <t>template_label_has_the_undertaking_put_in_place_specific_practices_policies_and_or_future</t>
        </is>
      </c>
      <c r="B145" s="461">
        <f>INDEX(C145:M145,MATCH(template_selected_display_language,$C$3:$M$3,0))</f>
        <v/>
      </c>
      <c r="C145" s="2" t="inlineStr">
        <is>
          <t>Has the undertaking put in place specific practices policies and or future initiatives for transitioning towards a more sustainable economy?</t>
        </is>
      </c>
      <c r="D145" s="563" t="inlineStr">
        <is>
          <t>Har virksomheden indført specifikke praksisser, politikker og/eller fremtidige initiativer til at støtte omstillingen mod en mere bæredygtig økonomi?</t>
        </is>
      </c>
      <c r="E145" s="563" t="inlineStr">
        <is>
          <t>Heeft de onderneming specifieke praktijken, beleidsmaatregelen en/of toekomstige initiatieven ingevoerd voor de transitie naar een duurzamere economie?</t>
        </is>
      </c>
      <c r="F145" s="563" t="inlineStr">
        <is>
          <t>L’entreprise a-t-elle mis en place des pratiques, des politiques ou des initiatives futures spécifiques en vue de la transition vers une économie plus durable ?</t>
        </is>
      </c>
      <c r="G145" s="366" t="inlineStr">
        <is>
          <t>Hat das Unternehmen spezifische Verfahrensweisen, Richtlinien oder künftige Initiativen für den Übergang zu einer nachhaltigeren Wirtschaft eingeführt?</t>
        </is>
      </c>
      <c r="H145" s="366" t="inlineStr">
        <is>
          <t>An bhfuil cleachtais shonracha, beartais agus/nó tionscnaimh amach anseo curtha i bhfeidhm ag an ngnóthas chun aistriú i dtreo geilleagar níos inbhuanaithe?</t>
        </is>
      </c>
      <c r="I145" s="2" t="inlineStr">
        <is>
          <t>L'impresa ha predisposto pratiche, politiche e/o iniziative future specifiche per la transizione verso un'economia più sostenibile?</t>
        </is>
      </c>
      <c r="J145" s="357" t="inlineStr">
        <is>
          <t>Ar įmonė yra įdiegusi konkrečias praktikas, politikas arba būsimas iniciatyvas siekiant pereiti prie tvaresnės ekonomikos?</t>
        </is>
      </c>
      <c r="K145" s="357" t="inlineStr">
        <is>
          <t>Czy jednostka wprowadziła konkretne praktyki, polityki i/lub przyszłe inicjatywy na rzecz przejścia na bardziej zrównoważoną gospodarkę?</t>
        </is>
      </c>
      <c r="L145" s="357" t="inlineStr">
        <is>
          <t>A empresa adotou práticas específicas, políticas e/ou iniciativas futuras para a transição para uma economia mais sustentável?</t>
        </is>
      </c>
      <c r="M145" s="357" t="inlineStr">
        <is>
          <t>¿Ha establecido la empresa prácticas, políticas y/o iniciativas futuras específicas para la transición hacia una economía más sostenible?</t>
        </is>
      </c>
    </row>
    <row r="146" ht="57.6" customHeight="1">
      <c r="A146" s="2" t="inlineStr">
        <is>
          <t>template_label_sustainability_issues_addressed_by_a_practice_policy_and_or_future_initiatives_put_in_place</t>
        </is>
      </c>
      <c r="B146" s="461">
        <f>INDEX(C146:M146,MATCH(template_selected_display_language,$C$3:$M$3,0))</f>
        <v/>
      </c>
      <c r="C146" s="2" t="inlineStr">
        <is>
          <t>Sustainability issues addressed by a practice policy and or future initiatives that the undertaking has put in place</t>
        </is>
      </c>
      <c r="D146" s="563" t="inlineStr">
        <is>
          <t xml:space="preserve">Bæredygtighedsrelateret udfordring, der håndteres gennem en praksis, politik og/eller fremtidige initiativer, som virksomheden har indført </t>
        </is>
      </c>
      <c r="E146" s="563" t="inlineStr">
        <is>
          <t>Duurzaamheidskwesties die worden aangepakt door een praktijkbeleid en/of toekomstige initiatieven die de onderneming heeft ingevoerd</t>
        </is>
      </c>
      <c r="F146" s="563" t="inlineStr">
        <is>
          <t>Enjeux de durabilité traités par des pratiques, politiques, et/ou initiatives futures mises en place par l’entreprise</t>
        </is>
      </c>
      <c r="G146" s="366" t="inlineStr">
        <is>
          <t>Nachhaltigkeitsaspekte, die durch eine Verfahrensweise, Richtlinie und/oder künftige Initiativen, die das Unternehmen eingeführt hat, adressiert werden</t>
        </is>
      </c>
      <c r="H146" s="366" t="inlineStr">
        <is>
          <t>Saincheisteanna inbhuanaitheachta a thugtar aghaidh ar bheartas cleachtais agus/nó tionscnaimh a bheidh ann amach anseo atá curtha i bhfeidhm ag an ngnóthas</t>
        </is>
      </c>
      <c r="I146" s="2" t="inlineStr">
        <is>
          <t xml:space="preserve">Questioni attinenti alla sostenibilità affrontate da una pratica, politica e/o iniziative future che l'impresa ha predisposto
</t>
        </is>
      </c>
      <c r="J146" s="357" t="inlineStr">
        <is>
          <t xml:space="preserve">Tvarumo klausimai, kuriuos sprendžia praktikos politika ir (arba) būsimos iniciatyvos, kurias įmonė įgyvendino
</t>
        </is>
      </c>
      <c r="K146" s="357" t="inlineStr">
        <is>
          <t>Kwestie zrównoważonego rozwoju uwzględnione w praktykach, politykach i/lub przyszłych inicjatywach wprowadzonych przez jednostkę</t>
        </is>
      </c>
      <c r="L146" s="357" t="inlineStr">
        <is>
          <t>Questões de sustentabilidade abordadas por uma política prática e/ou iniciativas futuras que a empresa tenha implementado</t>
        </is>
      </c>
      <c r="M146" s="357" t="inlineStr">
        <is>
          <t>Cuestiones de sostenibilidad abordadas por prácticas, políticas y/o futuras iniciativas que la empresa ha implementado</t>
        </is>
      </c>
    </row>
    <row r="147" ht="57.6" customHeight="1">
      <c r="A147" s="2" t="inlineStr">
        <is>
          <t>template_label_undertaking_has_a_practice_policy_and_or_future_initiative_that_is_publicly_available</t>
        </is>
      </c>
      <c r="B147" s="461">
        <f>INDEX(C147:M147,MATCH(template_selected_display_language,$C$3:$M$3,0))</f>
        <v/>
      </c>
      <c r="C147" s="2" t="inlineStr">
        <is>
          <t>Undertaking has a practice policy and or future initiative that is publicly available</t>
        </is>
      </c>
      <c r="D147" s="563" t="inlineStr">
        <is>
          <t>Virksomheden har en indsats, politik og/eller et fremtidigt initiativ, der er offentligt tilgængeligt</t>
        </is>
      </c>
      <c r="E147" s="563" t="inlineStr">
        <is>
          <t>Indien de onderneming een praktijkbeleid en/of toekomstig initiatief heeft dat publiek beschikbaar is</t>
        </is>
      </c>
      <c r="F147" s="563" t="inlineStr">
        <is>
          <t>L'entreprise dispose d'une pratique, d'une politique et/ou d'une initiative future qui est accessible au public.</t>
        </is>
      </c>
      <c r="G147" s="366" t="inlineStr">
        <is>
          <t>Das Unternehmen verfügt über eine Verfahrensweise, Richtlinie und/oder eine zukünftige Initiative, die öffentlich verfügbar ist.</t>
        </is>
      </c>
      <c r="H147" s="366" t="inlineStr">
        <is>
          <t>Tá beartas cleachtais agus/nó tionscnamh a bheidh ann amach anseo ag gnóthas atá ar fáil go poiblí</t>
        </is>
      </c>
      <c r="I147" s="2" t="inlineStr">
        <is>
          <t xml:space="preserve">L'impresa ha una pratica, politica e/o un'iniziativa futura che è disponibile al pubblico
</t>
        </is>
      </c>
      <c r="J147" s="357" t="inlineStr">
        <is>
          <t>Įmonė turi šiam tikslui skirtą praktikos politiką ir (arba) būsimą iniciatyvą, kuri yra viešai prieinama</t>
        </is>
      </c>
      <c r="K147" s="357" t="inlineStr">
        <is>
          <t>Jednostka posiada praktykę, politykę i/lub przyszłą inicjatywę, która jest publicznie dostępna</t>
        </is>
      </c>
      <c r="L147" s="357" t="inlineStr">
        <is>
          <t>A empresa tem uma política prática e/ou iniciativa futura que está disponível publicamente</t>
        </is>
      </c>
      <c r="M147" s="357" t="inlineStr">
        <is>
          <t>La empresa tiene una política de prácticas y/o una iniciativa futura que está disponible públicamente.</t>
        </is>
      </c>
    </row>
    <row r="148" ht="28.8" customHeight="1">
      <c r="A148" s="2" t="inlineStr">
        <is>
          <t>template_label_undertaking_has_set_a_target_which_is_related_to_a_policy</t>
        </is>
      </c>
      <c r="B148" s="461">
        <f>INDEX(C148:M148,MATCH(template_selected_display_language,$C$3:$M$3,0))</f>
        <v/>
      </c>
      <c r="C148" s="2" t="inlineStr">
        <is>
          <t>Undertaking has set a target which is related to a policy</t>
        </is>
      </c>
      <c r="D148" s="563" t="inlineStr">
        <is>
          <t>Virksomheden har fastsat et mål, der relaterer sig til en politik</t>
        </is>
      </c>
      <c r="E148" s="563" t="inlineStr">
        <is>
          <t>De onderneming heeft een streefdoel gesteld dat verband houdt met een beleid</t>
        </is>
      </c>
      <c r="F148" s="563" t="inlineStr">
        <is>
          <t xml:space="preserve">L’entreprise a fixé une cible qui est liée à une politique. </t>
        </is>
      </c>
      <c r="G148" s="366" t="inlineStr">
        <is>
          <t>Das Unternehmen hat ein Ziel festgelegt, das mit einer Richtlinie zusammenhängt.</t>
        </is>
      </c>
      <c r="H148" s="366" t="inlineStr">
        <is>
          <t>Tá sprioc leagtha síos ag an ngnóthas a bhaineann le beartas</t>
        </is>
      </c>
      <c r="I148" s="2" t="inlineStr">
        <is>
          <t>L'impresa ha stabilito un obiettivo che è collegato a una politica</t>
        </is>
      </c>
      <c r="J148" s="357" t="inlineStr">
        <is>
          <t>Įmonė yra nustačiusi tikslą, susijusį su šia politika</t>
        </is>
      </c>
      <c r="K148" s="357" t="inlineStr">
        <is>
          <t>Jednostka wyznaczyła cel związany z polityką</t>
        </is>
      </c>
      <c r="L148" s="357" t="inlineStr">
        <is>
          <t>A empresa fixou um objetivo relacionado com uma política</t>
        </is>
      </c>
      <c r="M148" s="357" t="inlineStr">
        <is>
          <t>La empresa ha establecido un objetivo que está relacionado con una política</t>
        </is>
      </c>
    </row>
    <row r="149">
      <c r="A149" s="2" t="inlineStr">
        <is>
          <t>template_label_climate_change</t>
        </is>
      </c>
      <c r="B149" s="461">
        <f>INDEX(C149:M149,MATCH(template_selected_display_language,$C$3:$M$3,0))</f>
        <v/>
      </c>
      <c r="C149" s="2" t="inlineStr">
        <is>
          <t>Climate change</t>
        </is>
      </c>
      <c r="D149" s="563" t="inlineStr">
        <is>
          <t>Klimaforandringer</t>
        </is>
      </c>
      <c r="E149" s="563" t="inlineStr">
        <is>
          <t>Klimaatverandering</t>
        </is>
      </c>
      <c r="F149" s="563" t="inlineStr">
        <is>
          <t>Changement climatique</t>
        </is>
      </c>
      <c r="G149" s="366" t="inlineStr">
        <is>
          <t>Klimawandel</t>
        </is>
      </c>
      <c r="H149" s="366" t="inlineStr">
        <is>
          <t>Athrú aeráide</t>
        </is>
      </c>
      <c r="I149" s="2" t="inlineStr">
        <is>
          <t>Cambiamenti climatici</t>
        </is>
      </c>
      <c r="J149" s="357" t="inlineStr">
        <is>
          <t>Klimato kaita</t>
        </is>
      </c>
      <c r="K149" s="357" t="inlineStr">
        <is>
          <t>Zmiana klimatu</t>
        </is>
      </c>
      <c r="L149" s="357" t="inlineStr">
        <is>
          <t>Alterações climáticas</t>
        </is>
      </c>
      <c r="M149" s="357" t="inlineStr">
        <is>
          <t>Cambio climático</t>
        </is>
      </c>
    </row>
    <row r="150">
      <c r="A150" s="2" t="inlineStr">
        <is>
          <t>template_label_pollution</t>
        </is>
      </c>
      <c r="B150" s="461">
        <f>INDEX(C150:M150,MATCH(template_selected_display_language,$C$3:$M$3,0))</f>
        <v/>
      </c>
      <c r="C150" s="2" t="inlineStr">
        <is>
          <t>Pollution</t>
        </is>
      </c>
      <c r="D150" s="563" t="inlineStr">
        <is>
          <t xml:space="preserve">Forurening </t>
        </is>
      </c>
      <c r="E150" s="563" t="inlineStr">
        <is>
          <t>Verontreiniging</t>
        </is>
      </c>
      <c r="F150" s="563" t="inlineStr">
        <is>
          <t>Pollution</t>
        </is>
      </c>
      <c r="G150" s="366" t="inlineStr">
        <is>
          <t>Umweltverschmutzung</t>
        </is>
      </c>
      <c r="H150" s="366" t="inlineStr">
        <is>
          <t>Truailliú</t>
        </is>
      </c>
      <c r="I150" s="2" t="inlineStr">
        <is>
          <t>Inquinamento</t>
        </is>
      </c>
      <c r="J150" s="357" t="inlineStr">
        <is>
          <t>Tarša</t>
        </is>
      </c>
      <c r="K150" s="357" t="inlineStr">
        <is>
          <t>Zanieczyszczenie</t>
        </is>
      </c>
      <c r="L150" s="357" t="inlineStr">
        <is>
          <t>Poluição</t>
        </is>
      </c>
      <c r="M150" s="357" t="inlineStr">
        <is>
          <t>Contaminación</t>
        </is>
      </c>
    </row>
    <row r="151">
      <c r="A151" s="2" t="inlineStr">
        <is>
          <t>template_label_water_and_marine_resources</t>
        </is>
      </c>
      <c r="B151" s="461">
        <f>INDEX(C151:M151,MATCH(template_selected_display_language,$C$3:$M$3,0))</f>
        <v/>
      </c>
      <c r="C151" s="2" t="inlineStr">
        <is>
          <t>Water and marine resources</t>
        </is>
      </c>
      <c r="D151" s="563" t="inlineStr">
        <is>
          <t>Vand- og havressourcer</t>
        </is>
      </c>
      <c r="E151" s="563" t="inlineStr">
        <is>
          <t>Water en mariene hulpbronnen</t>
        </is>
      </c>
      <c r="F151" s="563" t="inlineStr">
        <is>
          <t>Ressources hydriques et marines</t>
        </is>
      </c>
      <c r="G151" s="366" t="inlineStr">
        <is>
          <t>Wasser- und Meeresressourcen</t>
        </is>
      </c>
      <c r="H151" s="366" t="inlineStr">
        <is>
          <t>Acmhainní uisce agus mara</t>
        </is>
      </c>
      <c r="I151" s="2" t="inlineStr">
        <is>
          <t>Acque e risorse marine</t>
        </is>
      </c>
      <c r="J151" s="357" t="inlineStr">
        <is>
          <t>Vandens ir jūrų ištekliai</t>
        </is>
      </c>
      <c r="K151" s="357" t="inlineStr">
        <is>
          <t>Woda i zasoby morskie</t>
        </is>
      </c>
      <c r="L151" s="357" t="inlineStr">
        <is>
          <t>Água e recursos marinhos</t>
        </is>
      </c>
      <c r="M151" s="357" t="inlineStr">
        <is>
          <t>Agua y recursos marinos</t>
        </is>
      </c>
    </row>
    <row r="152">
      <c r="A152" s="2" t="inlineStr">
        <is>
          <t>template_label_biodiversity_and_ecosystems</t>
        </is>
      </c>
      <c r="B152" s="461">
        <f>INDEX(C152:M152,MATCH(template_selected_display_language,$C$3:$M$3,0))</f>
        <v/>
      </c>
      <c r="C152" s="2" t="inlineStr">
        <is>
          <t>Biodiversity and ecosystems</t>
        </is>
      </c>
      <c r="D152" s="563" t="inlineStr">
        <is>
          <t>Biodiversitet og økosystemer</t>
        </is>
      </c>
      <c r="E152" s="563" t="inlineStr">
        <is>
          <t>Biodiversiteit en ecosystemen</t>
        </is>
      </c>
      <c r="F152" s="563" t="inlineStr">
        <is>
          <t>Biodiversité et écosystèmes</t>
        </is>
      </c>
      <c r="G152" s="366" t="inlineStr">
        <is>
          <t>Biodiversität und Ökosysteme</t>
        </is>
      </c>
      <c r="H152" s="366" t="inlineStr">
        <is>
          <t>Bithéagsúlacht agus éiceachórais</t>
        </is>
      </c>
      <c r="I152" s="2" t="inlineStr">
        <is>
          <t>Biodiversità ed ecosistemi</t>
        </is>
      </c>
      <c r="J152" s="357" t="inlineStr">
        <is>
          <t>Biologinė įvairovė ir ekosistemos</t>
        </is>
      </c>
      <c r="K152" s="357" t="inlineStr">
        <is>
          <t>Bioróżnorodność i ekosystemy</t>
        </is>
      </c>
      <c r="L152" s="357" t="inlineStr">
        <is>
          <t>Biodiversidade e ecossistemas</t>
        </is>
      </c>
      <c r="M152" s="357" t="inlineStr">
        <is>
          <t>Biodiversidad y ecosistemas</t>
        </is>
      </c>
    </row>
    <row r="153">
      <c r="A153" s="2" t="inlineStr">
        <is>
          <t>template_label_circular_economy</t>
        </is>
      </c>
      <c r="B153" s="461">
        <f>INDEX(C153:M153,MATCH(template_selected_display_language,$C$3:$M$3,0))</f>
        <v/>
      </c>
      <c r="C153" s="2" t="inlineStr">
        <is>
          <t>Circular economy</t>
        </is>
      </c>
      <c r="D153" s="563" t="inlineStr">
        <is>
          <t>Cirkulær økonomi</t>
        </is>
      </c>
      <c r="E153" s="563" t="inlineStr">
        <is>
          <t>Circulaire economie</t>
        </is>
      </c>
      <c r="F153" s="563" t="inlineStr">
        <is>
          <t>Économie circulaire</t>
        </is>
      </c>
      <c r="G153" s="366" t="inlineStr">
        <is>
          <t>Kreislaufwirtschaft</t>
        </is>
      </c>
      <c r="H153" s="366" t="inlineStr">
        <is>
          <t>Geilleagar ciorclach</t>
        </is>
      </c>
      <c r="I153" s="2" t="inlineStr">
        <is>
          <t>Economia circolare</t>
        </is>
      </c>
      <c r="J153" s="357" t="inlineStr">
        <is>
          <t>Žiedinė ekonomika</t>
        </is>
      </c>
      <c r="K153" s="357" t="inlineStr">
        <is>
          <t>Gospodarka o obiegu zamkniętym</t>
        </is>
      </c>
      <c r="L153" s="357" t="inlineStr">
        <is>
          <t>Economia circular</t>
        </is>
      </c>
      <c r="M153" s="357" t="inlineStr">
        <is>
          <t>Economía circular</t>
        </is>
      </c>
    </row>
    <row r="154">
      <c r="A154" s="2" t="inlineStr">
        <is>
          <t>template_label_own_workforce</t>
        </is>
      </c>
      <c r="B154" s="461">
        <f>INDEX(C154:M154,MATCH(template_selected_display_language,$C$3:$M$3,0))</f>
        <v/>
      </c>
      <c r="C154" s="2" t="inlineStr">
        <is>
          <t>Own workforce</t>
        </is>
      </c>
      <c r="D154" s="563" t="inlineStr">
        <is>
          <t>Egen arbejdsstyrke</t>
        </is>
      </c>
      <c r="E154" s="563" t="inlineStr">
        <is>
          <t>Eigen personeel</t>
        </is>
      </c>
      <c r="F154" s="563" t="inlineStr">
        <is>
          <t>Personnel de l'entreprise</t>
        </is>
      </c>
      <c r="G154" s="366" t="inlineStr">
        <is>
          <t>Eigene Arbeitskräfte</t>
        </is>
      </c>
      <c r="H154" s="366" t="inlineStr">
        <is>
          <t>Lucht saothair féin</t>
        </is>
      </c>
      <c r="I154" s="2" t="inlineStr">
        <is>
          <t>Forza lavoro propria</t>
        </is>
      </c>
      <c r="J154" s="357" t="inlineStr">
        <is>
          <t>Sava darbo jėga</t>
        </is>
      </c>
      <c r="K154" s="357" t="inlineStr">
        <is>
          <t>Własne zasoby pracownicze</t>
        </is>
      </c>
      <c r="L154" s="357" t="inlineStr">
        <is>
          <t>Mão de obra própria</t>
        </is>
      </c>
      <c r="M154" s="357" t="inlineStr">
        <is>
          <t>Personal propio</t>
        </is>
      </c>
    </row>
    <row r="155" ht="43.2" customHeight="1">
      <c r="A155" s="2" t="inlineStr">
        <is>
          <t>template_label_workers_in_the_value_chain</t>
        </is>
      </c>
      <c r="B155" s="461">
        <f>INDEX(C155:M155,MATCH(template_selected_display_language,$C$3:$M$3,0))</f>
        <v/>
      </c>
      <c r="C155" s="2" t="inlineStr">
        <is>
          <t>Workers in the value chain</t>
        </is>
      </c>
      <c r="D155" s="563" t="inlineStr">
        <is>
          <t>Arbejdstagere i værdikæden</t>
        </is>
      </c>
      <c r="E155" s="563" t="inlineStr">
        <is>
          <t>Werknemers in de waardeketen</t>
        </is>
      </c>
      <c r="F155" s="563" t="inlineStr">
        <is>
          <t>Travailleurs de la chaîne de valeur</t>
        </is>
      </c>
      <c r="G155" s="366" t="inlineStr">
        <is>
          <t>Arbeitskräfte in der Wertschöpfungskette</t>
        </is>
      </c>
      <c r="H155" s="366" t="inlineStr">
        <is>
          <t>Oibrithe sa slabhra luacha</t>
        </is>
      </c>
      <c r="I155" s="2" t="inlineStr">
        <is>
          <t xml:space="preserve">Lavoratori nella catena del valore
</t>
        </is>
      </c>
      <c r="J155" s="357" t="inlineStr">
        <is>
          <t>Vertės grandinės darbuotojai</t>
        </is>
      </c>
      <c r="K155" s="357" t="inlineStr">
        <is>
          <t>Osoby wykonujące pracę w łańcuchu wartości</t>
        </is>
      </c>
      <c r="L155" s="357" t="inlineStr">
        <is>
          <t>Trabalhadores na cadeia de valor</t>
        </is>
      </c>
      <c r="M155" s="357" t="inlineStr">
        <is>
          <t>Trabajadores en la cadena de valor</t>
        </is>
      </c>
    </row>
    <row r="156" ht="43.2" customHeight="1">
      <c r="A156" s="2" t="inlineStr">
        <is>
          <t>template_label_affected_communities</t>
        </is>
      </c>
      <c r="B156" s="461">
        <f>INDEX(C156:M156,MATCH(template_selected_display_language,$C$3:$M$3,0))</f>
        <v/>
      </c>
      <c r="C156" s="2" t="inlineStr">
        <is>
          <t>Affected communities</t>
        </is>
      </c>
      <c r="D156" s="563" t="inlineStr">
        <is>
          <t>Berørte samfund</t>
        </is>
      </c>
      <c r="E156" s="563" t="inlineStr">
        <is>
          <t>Getroffen gemeenschappen</t>
        </is>
      </c>
      <c r="F156" s="563" t="inlineStr">
        <is>
          <t>Communautés affectées</t>
        </is>
      </c>
      <c r="G156" s="366" t="inlineStr">
        <is>
          <t>Betroffene Gemeinschaften</t>
        </is>
      </c>
      <c r="H156" s="366" t="inlineStr">
        <is>
          <t>Pobail atá buailte</t>
        </is>
      </c>
      <c r="I156" s="2" t="inlineStr">
        <is>
          <t xml:space="preserve">Comunità interessate
</t>
        </is>
      </c>
      <c r="J156" s="357" t="inlineStr">
        <is>
          <t>Paveiktos bendruomenės</t>
        </is>
      </c>
      <c r="K156" s="357" t="inlineStr">
        <is>
          <t>Dotknięte społeczności</t>
        </is>
      </c>
      <c r="L156" s="357" t="inlineStr">
        <is>
          <t>Comunidades afetadas</t>
        </is>
      </c>
      <c r="M156" s="357" t="inlineStr">
        <is>
          <t>Comunidades afectadas</t>
        </is>
      </c>
    </row>
    <row r="157">
      <c r="A157" s="2" t="inlineStr">
        <is>
          <t>template_label_consumers_and_endusers</t>
        </is>
      </c>
      <c r="B157" s="461">
        <f>INDEX(C157:M157,MATCH(template_selected_display_language,$C$3:$M$3,0))</f>
        <v/>
      </c>
      <c r="C157" s="2" t="inlineStr">
        <is>
          <t>Consumers and end-users</t>
        </is>
      </c>
      <c r="D157" s="563" t="inlineStr">
        <is>
          <t>Forbrugere og slutbrugere</t>
        </is>
      </c>
      <c r="E157" s="563" t="inlineStr">
        <is>
          <t>Consumenten en eindgebruikers</t>
        </is>
      </c>
      <c r="F157" s="563" t="inlineStr">
        <is>
          <t>Consommateurs et utilisateurs finaux</t>
        </is>
      </c>
      <c r="G157" s="366" t="inlineStr">
        <is>
          <t>Verbraucher und Endnutzer</t>
        </is>
      </c>
      <c r="H157" s="366" t="inlineStr">
        <is>
          <t>Tomhaltóirí agus úsáideoirí deiridh</t>
        </is>
      </c>
      <c r="I157" s="2" t="inlineStr">
        <is>
          <t>Consumatori e utilizzatori finali</t>
        </is>
      </c>
      <c r="J157" s="357" t="inlineStr">
        <is>
          <t>Vartotojai ir galutiniai naudotojai</t>
        </is>
      </c>
      <c r="K157" s="357" t="inlineStr">
        <is>
          <t>Konsumenci i użytkownicy końcowi</t>
        </is>
      </c>
      <c r="L157" s="357" t="inlineStr">
        <is>
          <t>Consumidores e utilizadores finais</t>
        </is>
      </c>
      <c r="M157" s="357" t="inlineStr">
        <is>
          <t>Consumidores y usuarios finales</t>
        </is>
      </c>
    </row>
    <row r="158" ht="15" customHeight="1" thickBot="1">
      <c r="A158" s="358" t="inlineStr">
        <is>
          <t>template_label_business_conduct</t>
        </is>
      </c>
      <c r="B158" s="462">
        <f>INDEX(C158:M158,MATCH(template_selected_display_language,$C$3:$M$3,0))</f>
        <v/>
      </c>
      <c r="C158" s="358" t="inlineStr">
        <is>
          <t>Business conduct</t>
        </is>
      </c>
      <c r="D158" s="373" t="inlineStr">
        <is>
          <t xml:space="preserve">Virksomhedsledelse </t>
        </is>
      </c>
      <c r="E158" s="373" t="inlineStr">
        <is>
          <t>Zakelijik gedrag</t>
        </is>
      </c>
      <c r="F158" s="373" t="inlineStr">
        <is>
          <t>Conduite des affaires</t>
        </is>
      </c>
      <c r="G158" s="367" t="inlineStr">
        <is>
          <t>Unternehmenspolitik</t>
        </is>
      </c>
      <c r="H158" s="367" t="inlineStr">
        <is>
          <t>Iompar gnó</t>
        </is>
      </c>
      <c r="I158" s="358" t="inlineStr">
        <is>
          <t>Condotta delle imprese</t>
        </is>
      </c>
      <c r="J158" s="371" t="inlineStr">
        <is>
          <t>Verslo etika</t>
        </is>
      </c>
      <c r="K158" s="371" t="inlineStr">
        <is>
          <t>Postępowanie w biznesie</t>
        </is>
      </c>
      <c r="L158" s="371" t="inlineStr">
        <is>
          <t>Conduta empresarial</t>
        </is>
      </c>
      <c r="M158" s="371" t="inlineStr">
        <is>
          <t>Conducta empresarial</t>
        </is>
      </c>
    </row>
    <row r="159">
      <c r="A159" s="2" t="inlineStr">
        <is>
          <t>template_label_b2_cooperative_specific_disclosures</t>
        </is>
      </c>
      <c r="B159" s="461">
        <f>INDEX(C159:M159,MATCH(template_selected_display_language,$C$3:$M$3,0))</f>
        <v/>
      </c>
      <c r="C159" s="2" t="inlineStr">
        <is>
          <t>B2 - Cooperative specific disclosures</t>
        </is>
      </c>
      <c r="D159" s="563" t="inlineStr">
        <is>
          <t>B2 - Samarbejdsspecifikke oplysninger</t>
        </is>
      </c>
      <c r="E159" s="563" t="inlineStr">
        <is>
          <t>B2 - Coöperatieve specifieke openbaarmakingen</t>
        </is>
      </c>
      <c r="F159" s="357" t="inlineStr">
        <is>
          <t>B2 - Divulgations propres aux coopératives</t>
        </is>
      </c>
      <c r="G159" s="366" t="inlineStr">
        <is>
          <t>B2 - Genossenschaftsspezifische Angaben</t>
        </is>
      </c>
      <c r="H159" s="366" t="inlineStr">
        <is>
          <t>B2 - Nochtadh sonrach do chomharchumann</t>
        </is>
      </c>
      <c r="I159" s="2" t="inlineStr">
        <is>
          <t>B2 - Informative specifiche per cooperative</t>
        </is>
      </c>
      <c r="J159" s="357" t="inlineStr">
        <is>
          <t>B2 - Konkrečios kooperatyvų informacijos atskleidimas</t>
        </is>
      </c>
      <c r="K159" s="357" t="inlineStr">
        <is>
          <t>B2 - Ujawnianie informacji na temat współpracy</t>
        </is>
      </c>
      <c r="L159" s="357" t="inlineStr">
        <is>
          <t>B2 - Divulgações específicas da cooperativa</t>
        </is>
      </c>
      <c r="M159" s="357" t="inlineStr">
        <is>
          <t>B2 - Información específica de la cooperativa</t>
        </is>
      </c>
    </row>
    <row r="160" ht="43.2" customHeight="1">
      <c r="A160" s="2" t="inlineStr">
        <is>
          <t>template_label_effective_participation_of_workers_users_or_other_interested_parties_or_communities_in_governance</t>
        </is>
      </c>
      <c r="B160" s="461">
        <f>INDEX(C160:M160,MATCH(template_selected_display_language,$C$3:$M$3,0))</f>
        <v/>
      </c>
      <c r="C160" s="2" t="inlineStr">
        <is>
          <t>Effective participation of workers users or other interested parties or communities in governance</t>
        </is>
      </c>
      <c r="D160" s="563" t="inlineStr">
        <is>
          <t>Effektiv deltagelse af arbejdstagere, brugere eller andre interesserede parter eller lokalsamfund i ledelsen</t>
        </is>
      </c>
      <c r="E160" s="563" t="inlineStr">
        <is>
          <t>Effectieve participatie van werknemers, gebruikers of andere belanghebbenden of gemeenschappen in governance</t>
        </is>
      </c>
      <c r="F160" s="563" t="inlineStr">
        <is>
          <t>Participation effective des travailleurs, des utilisateurs ou d'autres parties ou communautés intéressées à la gouvernance</t>
        </is>
      </c>
      <c r="G160" s="366" t="inlineStr">
        <is>
          <t>Die wirksame Beteiligung von Arbeitskräften, Nutzern oder anderen interessierten Parteien oder Gemeinschaften an der Governance</t>
        </is>
      </c>
      <c r="H160" s="366" t="inlineStr">
        <is>
          <t>Rannpháirtíocht éifeachtach oibrithe, úsáideoirí nó páirtithe leasmhara eile nó pobail leasmhara i rialachas</t>
        </is>
      </c>
      <c r="I160" s="2" t="inlineStr">
        <is>
          <t>Se l'impresa è una cooperativa, può comunicare: la partecipazione effettiva alla governance dei lavoratori, utilizzatori e altre parti o comunità interessate.</t>
        </is>
      </c>
      <c r="J160" s="357" t="inlineStr">
        <is>
          <t>Aktyvus darbuotojų, naudotojų ar kitų suinteresuotųjų šalių ar bendruomenių dalyvavimas valdymo procesuose</t>
        </is>
      </c>
      <c r="K160" s="357" t="inlineStr">
        <is>
          <t>Efektywny udział pracowników, użytkowników lub innych zainteresowanych stron lub społeczności w ładzie korporacyjnym</t>
        </is>
      </c>
      <c r="L160" s="357" t="inlineStr">
        <is>
          <t>A participação efetiva dos trabalhadores, utilizadores ou outras partes interessadas ou comunidades na governação</t>
        </is>
      </c>
      <c r="M160" s="357" t="inlineStr">
        <is>
          <t>La participación efectiva de los trabajadores, usuarios u otras partes interesadas o colectivos en la gobernanza</t>
        </is>
      </c>
    </row>
    <row r="161" ht="57.6" customHeight="1">
      <c r="A161" s="2" t="inlineStr">
        <is>
          <t>template_label_financial_investment_in_the_capital_or_assets_of_social_economy_entities</t>
        </is>
      </c>
      <c r="B161" s="461">
        <f>INDEX(C161:M161,MATCH(template_selected_display_language,$C$3:$M$3,0))</f>
        <v/>
      </c>
      <c r="C161" s="2" t="inlineStr">
        <is>
          <t>Financial investment in the capital or assets of social economy entities referred to in the Council Recommendation of 29 September 2023 (excluding donations and contributions)</t>
        </is>
      </c>
      <c r="D161" s="563" t="inlineStr">
        <is>
          <t>Finansielle investeringer i kapital eller aktiver i sociale økonomi-enheder, jf. Rådets anbefaling af 29. september 2023 (eksklusive donationer og bidrag)</t>
        </is>
      </c>
      <c r="E161" s="563" t="inlineStr">
        <is>
          <t>De financiële investering in het kapitaal of de activa van " Social enterprises" (entiteiten actief in het sociale domein), als bedoeld in de aanbeveling van de Raad van 29 september 2023 (met uitzondering van donaties en bijdragen)</t>
        </is>
      </c>
      <c r="F161" s="563" t="inlineStr">
        <is>
          <t>Investissements financiers dans le capital ou les actifs des entités de l’économie sociale visées par la recommandation du Conseil du 29 septembre 2023 (à l’exclusion des dons et contributions)</t>
        </is>
      </c>
      <c r="G161" s="366" t="inlineStr">
        <is>
          <t>Die finanzielle Investition in das Kapital oder die Vermögenswerte sozialwirtschaftlicher Einrichtungen, auf die sich die Empfehlung des Rates vom 29. September 2023 bezieht (ausgenommen Spenden und Zuwendungen)</t>
        </is>
      </c>
      <c r="H161" s="366" t="inlineStr">
        <is>
          <t>Infheistíocht airgeadais i gcaipiteal nó i sócmhainní eintiteas aonán geilleagair shóisialta dá dtagraítear i Moladh ón gComhairle an 29 Meán Fómhair 2023 (gan síntiúis agus ranníocaíochtaí a áireamh)</t>
        </is>
      </c>
      <c r="I161" s="2" t="inlineStr">
        <is>
          <t>L'investimento finanziario nel capitale o negli attivi dei soggetti dell'economia sociale di cui alla Raccomandazione del Consiglio del 29 settembre 2023 (escluse le donazioni e i contributi)</t>
        </is>
      </c>
      <c r="J161" s="357" t="inlineStr">
        <is>
          <t>Finansinės investicijos į socialinės ekonomikos subjektų kapitalą ar turtą, nurodytą 2023 m. rugsėjo 29 d. Tarybos rekomendacijoje (išskyrus dovanas ir įnašus)</t>
        </is>
      </c>
      <c r="K161" s="357" t="inlineStr">
        <is>
          <t>Inwestycje finansowe w kapitał lub aktywa podmiotów gospodarki społecznej, o których mowa w zaleceniu Rady z dnia 29 września 2023 r. (z wyłączeniem darowizn i składek)</t>
        </is>
      </c>
      <c r="L161" s="357" t="inlineStr">
        <is>
          <t>O investimento financeiro no capital ou nos ativos das entidades da economia social a que se refere a Recomendação do Conselho de 29 de setembro de 2023 (excluindo donativos e contribuições)</t>
        </is>
      </c>
      <c r="M161" s="357" t="inlineStr">
        <is>
          <t>la inversión financiera en el capital o los activos de las entidades de economía social a que se refiere la Recomendación del Consejo de 29 de septiembre de 2023 (excluidas las donaciones y las contribuciones)</t>
        </is>
      </c>
    </row>
    <row r="162" ht="58.2" customHeight="1" thickBot="1">
      <c r="A162" s="358" t="inlineStr">
        <is>
          <t>template_label_limits_to_the_distribution_of_profits</t>
        </is>
      </c>
      <c r="B162" s="462">
        <f>INDEX(C162:M162,MATCH(template_selected_display_language,$C$3:$M$3,0))</f>
        <v/>
      </c>
      <c r="C162" s="358" t="inlineStr">
        <is>
          <t>Any limits to the distribution of profits connected to the mutualistic nature or to the nature of the activities consisting in services of general economic interest (SGEI)</t>
        </is>
      </c>
      <c r="D162" s="373" t="inlineStr">
        <is>
          <t>Eventuelle begrænsninger i udbytteudlodning, der relaterer sig til den mutualistiske karakter eller til aktiviteter bestående i tjenester af almen økonomisk interesse (SGEI)</t>
        </is>
      </c>
      <c r="E162" s="373" t="inlineStr">
        <is>
          <t>Eventuele beperkingen van de winstuitkering in verband met het wederzijdse karakter of de aard van de activiteiten die bestaan uit diensten van algemeen economisch belang (DAEB)</t>
        </is>
      </c>
      <c r="F162" s="373" t="inlineStr">
        <is>
          <t>Limites à la distribution des bénéfices du fait du caractère mutualiste ou de la nature des activités exercées valant services d’intérêt économique général</t>
        </is>
      </c>
      <c r="G162" s="367" t="inlineStr">
        <is>
          <t>Beschränkungen der Gewinnausschüttung im Zusammenhang mit dem gegenseitigen Charakter oder der Art der Tätigkeiten, die in Dienstleistungen von allgemeinem wirtschaftlichem Interesse (DAWI) bestehen</t>
        </is>
      </c>
      <c r="H162" s="367" t="inlineStr">
        <is>
          <t>Aon teorainn le dáileadh na mbrabús atá bainteach le cineál comharaíochta nó le cineál na ngníomhaíochtaí atá comhdhéanta de sheirbhísí lena ngabhann leas eacnamaíoch ginearálta (SGEI)</t>
        </is>
      </c>
      <c r="I162" s="358" t="inlineStr">
        <is>
          <t>Eventuali limiti alla distribuzione degli utili connessi alla natura mutualistica o alla natura delle attività che consistono in servizi di interesse economico generale (SIEG)</t>
        </is>
      </c>
      <c r="J162" s="371" t="inlineStr">
        <is>
          <t>Bet kokie pelno paskirstymo apribojimai, susiję su viešuoju interesu arba su veikla, kuria teikiamos bendrojo ekonominio intereso paslaugos (SGEI)</t>
        </is>
      </c>
      <c r="K162" s="371" t="inlineStr">
        <is>
          <t>Wszelkie ograniczenia w podziale zysków związane z wzajemnym charakterem lub specyfiką działalności polegającej na świadczeniu usług świadczonych w ogólnym interesie gospodarczym (UOIG).</t>
        </is>
      </c>
      <c r="L162" s="371" t="inlineStr">
        <is>
          <t>Quaisquer limites à distribuição de lucros ligados à natureza mutualista ou à natureza das atividades que consistem em serviços de interesse económico geral (SIEG)</t>
        </is>
      </c>
      <c r="M162" s="371" t="inlineStr">
        <is>
          <t>Cualquier límite a la distribución de beneficios vinculado a la naturaleza mutualista o a la naturaleza de las actividades consistentes en servicios de interés económico general (SGEI)</t>
        </is>
      </c>
    </row>
    <row r="163" ht="43.2" customHeight="1">
      <c r="A163" s="2" t="inlineStr">
        <is>
          <t>template_label_c2_description_of_practices_policies_and_future_initiatives_for_transitioning_towards_a_more_sustainable_economy</t>
        </is>
      </c>
      <c r="B163" s="461">
        <f>INDEX(C163:M163,MATCH(template_selected_display_language,$C$3:$M$3,0))</f>
        <v/>
      </c>
      <c r="C163" s="2" t="inlineStr">
        <is>
          <t>C2 - Description of practices policies and future initiatives for transitioning towards a more sustainable economy</t>
        </is>
      </c>
      <c r="D163" s="563" t="inlineStr">
        <is>
          <t>C2 – Beskrivelse af praksisser, politikker og fremtidige initiativer for omstillingen til en mere bæredygtig økonomi</t>
        </is>
      </c>
      <c r="E163" s="563" t="inlineStr">
        <is>
          <t>C2 – Beschrijving van praktijken, beleid en toekomstige initiatieven voor de transitie naar een duurzamere economie</t>
        </is>
      </c>
      <c r="F163" s="563" t="inlineStr">
        <is>
          <t>C2 – Description des pratiques, politiques et initiatives futures en vue de la transition vers une économie plus durable</t>
        </is>
      </c>
      <c r="G163" s="366" t="inlineStr">
        <is>
          <t>C2 – Beschreibung von Verfahrensweisen, Richtlinien und künftigen Initiativen für den Übergang zu einer nachhaltigeren Wirtschaft</t>
        </is>
      </c>
      <c r="H163" s="366" t="inlineStr">
        <is>
          <t>C2 – Tuairisc ar chleachtais, beartais agus tionscnaimh amach anseo chun aistriú i dtreo geilleagar níos inbhuanaithe</t>
        </is>
      </c>
      <c r="I163" s="2" t="inlineStr">
        <is>
          <t>C2 – Descrizione delle pratiche, delle politiche e delle iniziative future per la transizione verso un'economia più sostenibile</t>
        </is>
      </c>
      <c r="J163" s="357" t="inlineStr">
        <is>
          <t>C2 - Perėjimo prie tvaresnės ekonomikos praktikos, politikos ir būsimų iniciatyvų aprašymas</t>
        </is>
      </c>
      <c r="K163" s="357" t="inlineStr">
        <is>
          <t>C2 – Opis praktyk, polityk i przyszłych inicjatyw na rzecz przejścia na bardziej zrównoważoną gospodarkę</t>
        </is>
      </c>
      <c r="L163" s="357" t="inlineStr">
        <is>
          <t>C2 — Descrição das práticas, políticas e iniciativas futuras para a transição para uma economia mais sustentável</t>
        </is>
      </c>
      <c r="M163" s="357" t="inlineStr">
        <is>
          <t>C2 – Descripción de las prácticas, políticas e iniciativas futuras para la transición hacia una economía más sostenible</t>
        </is>
      </c>
    </row>
    <row r="164" ht="72" customHeight="1">
      <c r="A164" s="2" t="inlineStr">
        <is>
          <t>template_label_description_of_a_practice_policy_and_or_future_initiative_towards_a_more_sustainable_future</t>
        </is>
      </c>
      <c r="B164" s="461">
        <f>INDEX(C164:M164,MATCH(template_selected_display_language,$C$3:$M$3,0))</f>
        <v/>
      </c>
      <c r="C164" s="2" t="inlineStr">
        <is>
          <t>Description of a practice policy and or future initiative towards a more sustainable future (In case the practice  policy  future initiative covers suppliers or clients the undertaking shall mention it)</t>
        </is>
      </c>
      <c r="D164" s="563" t="inlineStr">
        <is>
          <t>Beskrivelse af en praksis, politik eller fremtidigt initiativ for omstillingen mod en mere bæredygtig økonomi
(I tilfælde hvor praksis/politik/fremtidigt initiativ omfatter leverandører eller kunder, skal virksomheden nævne dette)</t>
        </is>
      </c>
      <c r="E164" s="563" t="inlineStr">
        <is>
          <t>Beschrijving van een praktijkbeleid en/of toekomstige initiatief richting een duurzamere toekomst (indien het praktijkbeleid of toekomstige initiatief leveranciers of klanten betreft, dient de onderneming dit te vermelden)</t>
        </is>
      </c>
      <c r="F164" s="563" t="inlineStr">
        <is>
          <t>Description d'une pratique, d'une politique et/ou d'une initiative future en vue d'un avenir plus durable (Si la pratique, la politique ou l'initiative future concerne des fournisseurs ou des clients, l'entreprise doit le mentionner)</t>
        </is>
      </c>
      <c r="G164" s="366" t="inlineStr">
        <is>
          <t>Beschreibung einer Verfahrensweisen, Richtlinie und/oder zukünftigen Initiative für eine nachhaltigere Zukunft (falls die Unternehmensleitlinie oder zukünftige Initiative Lieferanten oder Kunden umfasst, ist dies durch das Unternehmen anzugeben)</t>
        </is>
      </c>
      <c r="H164" s="366" t="inlineStr">
        <is>
          <t>Cur síos ar bheartas cleachtais agus/nó tionscnamh amach anseo i dtreo todhchaí níos inbhuanaithe (I gcás ina gcumhdaíonn an tionscnamh beartais cleachtais sa todhchaí soláthraithe nó cliaint, luafaidh an gnóthas é)</t>
        </is>
      </c>
      <c r="I164" s="2" t="inlineStr">
        <is>
          <t>Descrizione di una pratica, politica e/o iniziativa futura verso un futuro più sostenibile (nel caso in cui la pratica, politica o iniziativa futura riguardi fornitori o clienti, l'impresa dovrà menzionarlo)</t>
        </is>
      </c>
      <c r="J164" s="357" t="inlineStr">
        <is>
          <t>Aprašymas apie praktikos politiką ir/ar būsimą iniciatyvą siekiant tvaresnės ateities (jei praktikos politika ar būsimą iniciatyvą apima tiekėjai ar klientai, įmonė privalo apie tai nurodyti)</t>
        </is>
      </c>
      <c r="K164" s="357" t="inlineStr">
        <is>
          <t>Opis polityki, praktyki i/lub przyszłej inicjatywy na rzecz bardziej zrównoważonej przyszłości (jeśli praktyka, polityka lub przyszła inicjatywa obejmuje dostawców lub klientów, należy to zaznaczyć)</t>
        </is>
      </c>
      <c r="L164" s="357" t="inlineStr">
        <is>
          <t>Descrição de uma prática, política e/ou iniciativa futura para um futuro mais sustentável (Caso a prática, política ou iniciativa futura abranja fornecedores ou clientes, a empresa deve mencioná-lo)</t>
        </is>
      </c>
      <c r="M164" s="357" t="inlineStr">
        <is>
          <t>Descripción de una práctica, política y/o iniciativa futura hacia un futuro más sostenible (En caso de que la práctica, política o iniciativa futura incluya a proveedores o clientes, la entidad deberá mencionarlo)</t>
        </is>
      </c>
    </row>
    <row r="165" ht="43.2" customHeight="1">
      <c r="A165" s="2" t="inlineStr">
        <is>
          <t>template_label_description_of_target_related_to_a_policy</t>
        </is>
      </c>
      <c r="B165" s="461">
        <f>INDEX(C165:M165,MATCH(template_selected_display_language,$C$3:$M$3,0))</f>
        <v/>
      </c>
      <c r="C165" s="2" t="inlineStr">
        <is>
          <t>Description of target related to a policy</t>
        </is>
      </c>
      <c r="D165" s="563" t="inlineStr">
        <is>
          <t xml:space="preserve">Beskrivelse af mål relateret til en politik
</t>
        </is>
      </c>
      <c r="E165" s="563" t="inlineStr">
        <is>
          <t>Beschrijving van het doel gerelateerd aan een beleidsmaatregel</t>
        </is>
      </c>
      <c r="F165" s="563" t="inlineStr">
        <is>
          <t>Description de la cible liée à une politique</t>
        </is>
      </c>
      <c r="G165" s="366" t="inlineStr">
        <is>
          <t>Beschreibung des auf eine Richtlinie bezogenen Ziels</t>
        </is>
      </c>
      <c r="H165" s="366" t="inlineStr">
        <is>
          <t>Cur síos ar sprioc a bhaineann le beartas</t>
        </is>
      </c>
      <c r="I165" s="2" t="inlineStr">
        <is>
          <t>Descrizione dell'obiettivo relativo a una politica</t>
        </is>
      </c>
      <c r="J165" s="357" t="inlineStr">
        <is>
          <t>Su politika susijusio tikslo aprašymas</t>
        </is>
      </c>
      <c r="K165" s="357" t="inlineStr">
        <is>
          <t>Opis celu związanego z polityką</t>
        </is>
      </c>
      <c r="L165" s="357" t="inlineStr">
        <is>
          <t>Descrição do objetivo relacionado com uma política</t>
        </is>
      </c>
      <c r="M165" s="357" t="inlineStr">
        <is>
          <t>Descripción del objetivo relacionado con una política</t>
        </is>
      </c>
    </row>
    <row r="166" ht="43.8" customHeight="1" thickBot="1">
      <c r="A166" s="358" t="inlineStr">
        <is>
          <t>template_label_most_senior_level_accountable_for_implementing_practices_policies_and_or_future_initiatives</t>
        </is>
      </c>
      <c r="B166" s="462">
        <f>INDEX(C166:M166,MATCH(template_selected_display_language,$C$3:$M$3,0))</f>
        <v/>
      </c>
      <c r="C166" s="358" t="inlineStr">
        <is>
          <t>Most senior level within its employees that is accountable for implementing the policies when this has been determined by the undertaking</t>
        </is>
      </c>
      <c r="D166" s="373" t="inlineStr">
        <is>
          <t xml:space="preserve">Det højeste ledelsesniveau blandt sine ansatte, der er ansvarligt for gennemførelsen af 
politikkerne, når dette er fastlagt af virksomheden </t>
        </is>
      </c>
      <c r="E166" s="373" t="inlineStr">
        <is>
          <t>Het hoogste leiderschapsniveau binnen haar werknemers dat verantwoordelijk is voor de uitvoering van het beleid wanneer dit door de onderneming is vastgesteld.</t>
        </is>
      </c>
      <c r="F166" s="373" t="inlineStr">
        <is>
          <t>Niveau hiérarchique le plus élevé parmi les salariés qui est responsable de la mise en œuvre des politiques, lorsque cela a été déterminé par l’entreprise</t>
        </is>
      </c>
      <c r="G166" s="367" t="inlineStr">
        <is>
          <t>Höchste Personalebene, die für die Umsetzung der Richtlinien verantwortlich ist, sofern im Unternehmen Festlegungen dazu bestehen.</t>
        </is>
      </c>
      <c r="H166" s="367" t="inlineStr">
        <is>
          <t>An leibhéal is sinsearaí laistigh dá fhostaithe atá cuntasach as na beartais a chur i bhfeidhm nuair a chinneann an gnóthas é sin</t>
        </is>
      </c>
      <c r="I166" s="358" t="inlineStr">
        <is>
          <t>Il livello gerarchico più elevato tra i suoi dipendenticui spetta la responsabilità dell'attuazione delle politiche, laddove l'impresa lo abbia stabilito</t>
        </is>
      </c>
      <c r="J166" s="371" t="inlineStr">
        <is>
          <t>Aukščiausias darbuotojų hierarchijos lygmuo, atsakingas už politikų įgyvendinimą (jei tai yra įmonės nustatyta).</t>
        </is>
      </c>
      <c r="K166" s="371" t="inlineStr">
        <is>
          <t>Najwyższy szczebel w jednostce, który jest odpowiedzialny za wdrożenie polityk, jeśli został określony przez jednostkę</t>
        </is>
      </c>
      <c r="L166" s="371" t="inlineStr">
        <is>
          <t>O nível mais senior dentro dos seus empregados que é responsável pela implementação das políticas quando tal tenha sido determinado pela empresa</t>
        </is>
      </c>
      <c r="M166" s="371" t="inlineStr">
        <is>
          <t>El nivel más alto dentro de sus empleados que es responsable de implementar las políticas cuando esto ha sido determinado por la empresa.</t>
        </is>
      </c>
    </row>
    <row r="167" ht="57.6" customHeight="1">
      <c r="A167" s="2" t="inlineStr">
        <is>
          <t>template_label_c1_strategy_business_model_and_sustainability_related_initiatives</t>
        </is>
      </c>
      <c r="B167" s="461">
        <f>INDEX(C167:M167,MATCH(template_selected_display_language,$C$3:$M$3,0))</f>
        <v/>
      </c>
      <c r="C167" s="2" t="inlineStr">
        <is>
          <t>C1 - Strategy: Business Model and Sustainability - Related Initiatives</t>
        </is>
      </c>
      <c r="D167" s="563" t="inlineStr">
        <is>
          <t>C1 – Strategi: Forretningsmodel og bæredygtighedsrelaterede initiativer</t>
        </is>
      </c>
      <c r="E167" s="563" t="inlineStr">
        <is>
          <t xml:space="preserve">C1 — Strategie:   Businessmodel en duurzaamheid — Gerelateerde initiatieven
</t>
        </is>
      </c>
      <c r="F167" s="563" t="inlineStr">
        <is>
          <t>C1 – Stratégie : modèle économique et durabilité – initiatives associées</t>
        </is>
      </c>
      <c r="G167" s="366" t="inlineStr">
        <is>
          <t>C1 – Strategie: Geschäftsmodell und Nachhaltigkeit – Zugehörige Initiativen</t>
        </is>
      </c>
      <c r="H167" s="366" t="inlineStr">
        <is>
          <t>C1 – Straitéis: Múnla Gnó agus Inbhuanaitheacht – Tionscnaimh Gaolmhara</t>
        </is>
      </c>
      <c r="I167" s="2" t="inlineStr">
        <is>
          <t>C1 – Strategia: modello aziendale e iniziative connesse alla sostenibilità</t>
        </is>
      </c>
      <c r="J167" s="357" t="inlineStr">
        <is>
          <t>C1 – Strategija: verslo modelis ir su tvarumu susijusios iniciatyvos</t>
        </is>
      </c>
      <c r="K167" s="357" t="inlineStr">
        <is>
          <t>Strategia: model biznesowy i zrównoważony rozwój – powiązane inicjatywy</t>
        </is>
      </c>
      <c r="L167" s="357" t="inlineStr">
        <is>
          <t>C1 — Estratégia: Modelo de negócio e sustentabilidade — Iniciativas conexas</t>
        </is>
      </c>
      <c r="M167" s="357" t="inlineStr">
        <is>
          <t>C1 – Estrategia: modelo de negocio y sostenibilidad – Iniciativas relacionadas</t>
        </is>
      </c>
    </row>
    <row r="168" ht="28.8" customHeight="1">
      <c r="A168" s="2" t="inlineStr">
        <is>
          <t>template_label_description_of_significant_groups_of_products_and_or_services_offered</t>
        </is>
      </c>
      <c r="B168" s="461">
        <f>INDEX(C168:M168,MATCH(template_selected_display_language,$C$3:$M$3,0))</f>
        <v/>
      </c>
      <c r="C168" s="2" t="inlineStr">
        <is>
          <t>Description of significant groups of products and or services offered</t>
        </is>
      </c>
      <c r="D168" s="563" t="inlineStr">
        <is>
          <t>Beskrivelse af væsentlige grupper af produkter og/eller tjenesteydelser, som virksomheden tilbyder</t>
        </is>
      </c>
      <c r="E168" s="563" t="inlineStr">
        <is>
          <t>Beschrijving van belangrijke groepen aangeboden producten en/of diensten</t>
        </is>
      </c>
      <c r="F168" s="563" t="inlineStr">
        <is>
          <t>Description des grands groupes de produits et/ou services proposés</t>
        </is>
      </c>
      <c r="G168" s="366" t="inlineStr">
        <is>
          <t>Beschreibung bedeutender Gruppen von angebotenen Produkten und/oder Dienstleistungen</t>
        </is>
      </c>
      <c r="H168" s="366" t="inlineStr">
        <is>
          <t>Cur síos ar ghrúpaí suntasacha táirgí agus/nó seirbhísí a thairgtear</t>
        </is>
      </c>
      <c r="I168" s="2" t="inlineStr">
        <is>
          <t>Descrizione dei gruppi significativi di prodotti e/o servizi offerti</t>
        </is>
      </c>
      <c r="J168" s="357" t="inlineStr">
        <is>
          <t>Siūlomų reikšmingų produktų ir (ar) paslaugų grupių aprašymas</t>
        </is>
      </c>
      <c r="K168" s="357" t="inlineStr">
        <is>
          <t>Opis znaczących grup oferowanych produktów i/lub usług</t>
        </is>
      </c>
      <c r="L168" s="357" t="inlineStr">
        <is>
          <t>Descrição dos grupos significativos de produtos disponibilizados e/ou serviços prestados</t>
        </is>
      </c>
      <c r="M168" s="357" t="inlineStr">
        <is>
          <t>Descripción de los grupos significativos de productos o servicios ofrecidos</t>
        </is>
      </c>
    </row>
    <row r="169" ht="57.6" customHeight="1">
      <c r="A169" s="2" t="inlineStr">
        <is>
          <t>template_label_description_of_significant_market_the_undertaking_operates_in</t>
        </is>
      </c>
      <c r="B169" s="461">
        <f>INDEX(C169:M169,MATCH(template_selected_display_language,$C$3:$M$3,0))</f>
        <v/>
      </c>
      <c r="C169" s="2" t="inlineStr">
        <is>
          <t>Description of significant market(s) the undertaking operates in (e.g. B2B, wholesale, retail, countries)</t>
        </is>
      </c>
      <c r="D169" s="563" t="inlineStr">
        <is>
          <t>Beskrivelse af det eller de væsentlige markeder, som virksomheden operer på (f.eks. B2B, engros, detail, lande)</t>
        </is>
      </c>
      <c r="E169" s="563" t="inlineStr">
        <is>
          <t>Beschrijving van de belangrijke markt(en) waarin de onderneming actief is (bijv. B2B, groothandel, detailhandel, landen)</t>
        </is>
      </c>
      <c r="F169" s="563" t="inlineStr">
        <is>
          <t>Description du ou des grands marchés sur lesquels l'entreprise exerce ses activités (par ex. commerce interentreprises, commerce de gros, commerce de détail, pays)</t>
        </is>
      </c>
      <c r="G169" s="366" t="inlineStr">
        <is>
          <t>Beschreibung des bedeutenden Marktes bzw. der bedeutenden Märkte, auf denen das Unternehmen tätig ist (z.B. B2B, Großhandel, Einzelhandel, Länder)</t>
        </is>
      </c>
      <c r="H169" s="366" t="inlineStr">
        <is>
          <t>Tuairisc ar mhargadh suntasach (ar mhargaí suntasacha) ina n-oibríonn an gnóthas (amhail Gnólacht le 
Gnólacht, mórdhíolachán, miondíolachán, tíortha)</t>
        </is>
      </c>
      <c r="I169" s="2" t="inlineStr">
        <is>
          <t>Descrizione del/i mercato/i significativo/i in cui opera l'impresa (ad esempio da impresa a impresa (B2B), all'ingrosso, al dettaglio, paesi)</t>
        </is>
      </c>
      <c r="J169" s="357" t="inlineStr">
        <is>
          <t xml:space="preserve">Reikšmingų rinkų, kuriose įmonė veikia (pvz., B2B, didmeninė prekyba, mažmeninė prekyba, šalys), aprašymas
</t>
        </is>
      </c>
      <c r="K169" s="357" t="inlineStr">
        <is>
          <t>Opis istotnych rynków, na których jednostka prowadzi działalność (np. B2B, handel hurtowy, detaliczny, kraje)</t>
        </is>
      </c>
      <c r="L169" s="357" t="inlineStr">
        <is>
          <t>Descrição dos mercados significativos em que a empresa atua (por exemplo, B2B, venda por grosso, venda a retalho, países)</t>
        </is>
      </c>
      <c r="M169" s="357" t="inlineStr">
        <is>
          <t>Descripción de los mercados significativos en los que opera la empresa (por ejemplo, B2B, mayorista, minorista, países)</t>
        </is>
      </c>
    </row>
    <row r="170" ht="29.4" customHeight="1" thickBot="1">
      <c r="A170" s="358" t="inlineStr">
        <is>
          <t>template_label_description_of_main_business_relationships</t>
        </is>
      </c>
      <c r="B170" s="462">
        <f>INDEX(C170:M170,MATCH(template_selected_display_language,$C$3:$M$3,0))</f>
        <v/>
      </c>
      <c r="C170" s="358" t="inlineStr">
        <is>
          <t>Description of main business relationships (such as key suppliers, customers, distribution channels)</t>
        </is>
      </c>
      <c r="D170" s="373" t="inlineStr">
        <is>
          <t>Beskrivelse af de vigtigste forretningsforbindelser (f.eks. nøgleleverandører, kunder, distributionskanaler)</t>
        </is>
      </c>
      <c r="E170" s="373" t="inlineStr">
        <is>
          <t>Een beschrijving van de belangrijkste zakelijke relaties (zoals belangrijke leveranciers, klanten, distributiekanalen)</t>
        </is>
      </c>
      <c r="F170" s="373" t="inlineStr">
        <is>
          <t>Description des principales relations d’affaires (telles que les principaux fournisseurs, clients, canaux de distribution)</t>
        </is>
      </c>
      <c r="G170" s="367" t="inlineStr">
        <is>
          <t>Beschreibung der wesentlichen Geschäftsbeziehungen (z.B.  zentrale Lieferanten, Kunden, Vertriebskanäle)</t>
        </is>
      </c>
      <c r="H170" s="367" t="inlineStr">
        <is>
          <t>Tuairisc ar na príomhghaolmhaireachtaí gnó (amhail príomhsholáthróirí, custaiméirí, bealaí dáileacháin)</t>
        </is>
      </c>
      <c r="I170" s="358" t="inlineStr">
        <is>
          <t>Descrizione dei principali rapporti commerciali (ad esempio fornitori, clienti, canali di distribuzione chiave)</t>
        </is>
      </c>
      <c r="J170" s="371" t="inlineStr">
        <is>
          <t>Pagrindinių verslo santykių aprašymas (pvz., pagrindiniai tiekėjai, klientai, paskirstymo kanalai)</t>
        </is>
      </c>
      <c r="K170" s="371" t="inlineStr">
        <is>
          <t>Opis głównych relacji biznesowych (np. kluczowi dostawcy, klienci, kanały dystrybucji)</t>
        </is>
      </c>
      <c r="L170" s="371" t="inlineStr">
        <is>
          <t>Descrição das principais relações comerciais (como os principais fornecedores, clientes, canais de distribuição)</t>
        </is>
      </c>
      <c r="M170" s="371" t="inlineStr">
        <is>
          <t>Una descripción de las principales relaciones comerciales (proveedores clave, clientes, canales de distribución)</t>
        </is>
      </c>
    </row>
    <row r="171" ht="43.2" customHeight="1">
      <c r="A171" s="2" t="inlineStr">
        <is>
          <t>template_label_has_the_strategy_key_elements_that_relate_to_or_affect_sustainability_issues</t>
        </is>
      </c>
      <c r="B171" s="461">
        <f>INDEX(C171:M171,MATCH(template_selected_display_language,$C$3:$M$3,0))</f>
        <v/>
      </c>
      <c r="C171" s="2" t="inlineStr">
        <is>
          <t>Has the strategy key elements that relate to or affect sustainability issues?</t>
        </is>
      </c>
      <c r="D171" s="563" t="inlineStr">
        <is>
          <t>Har strategien nøgleelementer, der relaterer til eller påvirker bæredygtighedsspørgsmål?</t>
        </is>
      </c>
      <c r="E171" s="563" t="inlineStr">
        <is>
          <t>Bevat de strategie essentiële elementen die betrekking hebben op of invloed hebben op duurzaamheidskwesties?</t>
        </is>
      </c>
      <c r="F171" s="563" t="inlineStr">
        <is>
          <t xml:space="preserve">	
La stratégie comporte-t-elle des éléments principaux qui se rattachent à des enjeux de durabilité ou qui les influencent ?</t>
        </is>
      </c>
      <c r="G171" s="366" t="inlineStr">
        <is>
          <t>Enthält die Strategie Kernelemente, die Nachhaltigkeitsaspekte betreffen oder beeinflussen?</t>
        </is>
      </c>
      <c r="H171" s="366" t="inlineStr">
        <is>
          <t>An bhfuil príomhghnéithe ag an straitéis a bhaineann le saincheisteanna inbhuanaitheachta nó a théann i bhfeidhm orthu?</t>
        </is>
      </c>
      <c r="I171" s="2" t="inlineStr">
        <is>
          <t>La strategia presenta elementi chiave che riguardano o hanno ripercussioni su questioni attinenti alla sostenibilità?</t>
        </is>
      </c>
      <c r="J171" s="357" t="inlineStr">
        <is>
          <t>Ar strategijoje yra pagrindinių elementų, susijusių su tvarumo klausimais arba darančių jiems įtaką?</t>
        </is>
      </c>
      <c r="K171" s="357" t="inlineStr">
        <is>
          <t>Czy strategia zawiera kluczowe elementy, które odnoszą się do kwestii związanych ze zrównoważonym rozwojem lub mają na nie wpływ?</t>
        </is>
      </c>
      <c r="L171" s="357" t="inlineStr">
        <is>
          <t>A estratégia tem elementos fundamentais que estão relacionados com, ou que afetam, questões de sustentabilidade?</t>
        </is>
      </c>
      <c r="M171" s="357" t="inlineStr">
        <is>
          <t>¿Tiene la estrategia elementos clave que se relacionan o afectan a cuestiones de sostenibilidad?</t>
        </is>
      </c>
    </row>
    <row r="172" ht="43.2" customHeight="1">
      <c r="A172" s="2" t="inlineStr">
        <is>
          <t>template_label_description_of_those_key_elements_in_the_strategy_that_relate_or_affect_sustainability_issues</t>
        </is>
      </c>
      <c r="B172" s="461">
        <f>INDEX(C172:M172,MATCH(template_selected_display_language,$C$3:$M$3,0))</f>
        <v/>
      </c>
      <c r="C172" s="2" t="inlineStr">
        <is>
          <t>Description of those key elements in the strategy that relate or affect sustainability issues</t>
        </is>
      </c>
      <c r="D172" s="563" t="inlineStr">
        <is>
          <t xml:space="preserve">Beskrivelse af de centrale elementer fra virksomhedens strategi, der vedrører eller påvirker bæredygtighedsspørgsmål </t>
        </is>
      </c>
      <c r="E172" s="563" t="inlineStr">
        <is>
          <t>Beschrijving van die essentiële elementen in de strategie die verband houden met of van invloed zijn op duurzaamheidskwesties</t>
        </is>
      </c>
      <c r="F172" s="563" t="inlineStr">
        <is>
          <t>Description des principaux éléments de la stratégie qui se rattachent à des enjeux de durabilité ou qui les influencent</t>
        </is>
      </c>
      <c r="G172" s="366" t="inlineStr">
        <is>
          <t>Beschreibung jener Kernelemente in der Strategie, die Nachhaltigkeitsaspekte betreffen oder beeinflussen</t>
        </is>
      </c>
      <c r="H172" s="366" t="inlineStr">
        <is>
          <t>Cur síos ar na príomhghnéithe sin sa straitéis a bhaineann le saincheisteanna inbhuanaitheachta nó a mbíonn tionchar acu ar shaincheisteanna inbhuanaitheachta</t>
        </is>
      </c>
      <c r="I172" s="2" t="inlineStr">
        <is>
          <t>Se la strategia presenta elementi chiave che riguardano o hanno ripercussioni su questioni attinenti alla sostenibilità, una breve descrizione di tali elementi chiave.</t>
        </is>
      </c>
      <c r="J172" s="357" t="inlineStr">
        <is>
          <t>Strategijos pagrindinių elementų, susijusių su tvarumu arba darančių jam įtaką, aprašymas</t>
        </is>
      </c>
      <c r="K172" s="357" t="inlineStr">
        <is>
          <t>Opis kluczowych elementów, które odnoszą się do kwestii związanych ze zrównoważonym rozwojem lub mają na nie wpływ</t>
        </is>
      </c>
      <c r="L172" s="357" t="inlineStr">
        <is>
          <t>Descrição desses elementos fundamentais da estratégia que se relacionam com, ou que afetam, questões de sustentabilidade</t>
        </is>
      </c>
      <c r="M172" s="357" t="inlineStr">
        <is>
          <t>Descripción de aquellos elementos clave en la estrategia que se relacionan o afecten a cuestiones de sostenibilidad</t>
        </is>
      </c>
    </row>
    <row r="173" ht="58.2" customHeight="1" thickBot="1">
      <c r="A173" s="358" t="inlineStr">
        <is>
          <t>template_label_disclosure_of_any_other_general_and_or_entity_specific_information_on_the_reporting_period</t>
        </is>
      </c>
      <c r="B173" s="462">
        <f>INDEX(C173:M173,MATCH(template_selected_display_language,$C$3:$M$3,0))</f>
        <v/>
      </c>
      <c r="C173" s="358" t="inlineStr">
        <is>
          <t>Disclosure of any other general and or entity specific information on the reporting period</t>
        </is>
      </c>
      <c r="D173" s="373" t="inlineStr">
        <is>
          <t>Oplysning om enhver anden generel og/eller enhedsspecific information for rapporteringsperioden</t>
        </is>
      </c>
      <c r="E173" s="373" t="inlineStr">
        <is>
          <t xml:space="preserve"> Rapportage van eventuele andere algemene en/of entiteitsspecifieke informatie over de rapportageperiode 
</t>
        </is>
      </c>
      <c r="F173" s="373" t="inlineStr">
        <is>
          <t>Publication de toute autre information environnementale et/ou spécifique à l'entité sur la période de reporting</t>
        </is>
      </c>
      <c r="G173" s="367" t="inlineStr">
        <is>
          <t>Angabe weiterer allgemeiner und/oder unternehmensspezifischer Informationen zum Berichtszeitraum</t>
        </is>
      </c>
      <c r="H173" s="367" t="inlineStr">
        <is>
          <t>Nochtadh aon fhaisnéis ghinearálta eile agus/nó a bhaineann go sonrach le gnóthas maidir leis an tréimhse tuairiscithe</t>
        </is>
      </c>
      <c r="I173" s="358" t="inlineStr">
        <is>
          <t>Comunicazione di qualsiasi altra informazione generale e/o specifica per soggetto riguardante il periodo di riferimento</t>
        </is>
      </c>
      <c r="J173" s="371" t="inlineStr">
        <is>
          <t>Bet kokios kitos bendrosios ir (ar) įmonei specifinės informacijos apie ataskaitinį laikotarpį atskleidimas</t>
        </is>
      </c>
      <c r="K173" s="371" t="inlineStr">
        <is>
          <t>Ujawnienie innych informacji ogólnych i/lub specyficznych dla jednostki dotyczących okresu sprawozdawczego</t>
        </is>
      </c>
      <c r="L173" s="371" t="inlineStr">
        <is>
          <t>Divulgação de qualquer outra informação geral e/ou específica da entidade sobre o período de relato</t>
        </is>
      </c>
      <c r="M173" s="371" t="inlineStr">
        <is>
          <t>Divulgación de cualquier otra información general y/o específica de la entidad sobre el periodo de informe</t>
        </is>
      </c>
    </row>
    <row r="174">
      <c r="A174" s="2" t="inlineStr">
        <is>
          <t>template_label_b3_total_energy_consumption</t>
        </is>
      </c>
      <c r="B174" s="461">
        <f>INDEX(C174:M174,MATCH(template_selected_display_language,$C$3:$M$3,0))</f>
        <v/>
      </c>
      <c r="C174" s="2" t="inlineStr">
        <is>
          <t>B3 - Total Energy Consumption (in MWh)</t>
        </is>
      </c>
      <c r="D174" s="563" t="inlineStr">
        <is>
          <t>B3 – Samlet energiforbrug (i MWh)</t>
        </is>
      </c>
      <c r="E174" s="563" t="inlineStr">
        <is>
          <t>B3 — Totaal energieverbruik (in MWh)</t>
        </is>
      </c>
      <c r="F174" s="563" t="inlineStr">
        <is>
          <t>B3 - Consommation totale d’énergie (en MWh)</t>
        </is>
      </c>
      <c r="G174" s="366" t="inlineStr">
        <is>
          <t>B3 – Gesamtenergieverbrauch (in MWh)</t>
        </is>
      </c>
      <c r="H174" s="366" t="inlineStr">
        <is>
          <t>B3 - Tomhaltas Iomlán Fuinnimh (i MWh)</t>
        </is>
      </c>
      <c r="I174" s="2" t="inlineStr">
        <is>
          <t>B3 - Consumo totale di energia (in MWh)</t>
        </is>
      </c>
      <c r="J174" s="357" t="inlineStr">
        <is>
          <t>B3 – Bendras energijos suvartojimas (MWh)</t>
        </is>
      </c>
      <c r="K174" s="357" t="inlineStr">
        <is>
          <t>B3 - Całkowite zużycie energii (w MWh)</t>
        </is>
      </c>
      <c r="L174" s="357" t="inlineStr">
        <is>
          <t>B3 — Consumo total de energia (em MWh)</t>
        </is>
      </c>
      <c r="M174" s="357" t="inlineStr">
        <is>
          <t>B3 – Consumo total de energía (en MWh)</t>
        </is>
      </c>
    </row>
    <row r="175" ht="29.4" customHeight="1" thickBot="1">
      <c r="A175" s="358" t="inlineStr">
        <is>
          <t>template_label_total_energy_consumption</t>
        </is>
      </c>
      <c r="B175" s="462">
        <f>INDEX(C175:M175,MATCH(template_selected_display_language,$C$3:$M$3,0))</f>
        <v/>
      </c>
      <c r="C175" s="358" t="inlineStr">
        <is>
          <t>Total Energy Consumption</t>
        </is>
      </c>
      <c r="D175" s="373" t="inlineStr">
        <is>
          <t>Samlet energiforbrug</t>
        </is>
      </c>
      <c r="E175" s="373" t="inlineStr">
        <is>
          <t>Totaal energieverbruik</t>
        </is>
      </c>
      <c r="F175" s="373" t="inlineStr">
        <is>
          <t>Consommation totale d’énergie</t>
        </is>
      </c>
      <c r="G175" s="367" t="inlineStr">
        <is>
          <t>Gesamtenergieverbrauch</t>
        </is>
      </c>
      <c r="H175" s="367" t="inlineStr">
        <is>
          <t>Tomhaltas Iomlán Fuinnimh</t>
        </is>
      </c>
      <c r="I175" s="358" t="inlineStr">
        <is>
          <t>Consumo totale di energia</t>
        </is>
      </c>
      <c r="J175" s="371" t="inlineStr">
        <is>
          <t>Bendras energijos suvartojimas</t>
        </is>
      </c>
      <c r="K175" s="371" t="inlineStr">
        <is>
          <t>Całkowite zużycie energii</t>
        </is>
      </c>
      <c r="L175" s="371" t="inlineStr">
        <is>
          <t>Consumo total de energia</t>
        </is>
      </c>
      <c r="M175" s="371" t="inlineStr">
        <is>
          <t xml:space="preserve">Consumo total de energía
</t>
        </is>
      </c>
    </row>
    <row r="176">
      <c r="A176" s="2" t="inlineStr">
        <is>
          <t>template_label_b3_breakdown_of_energy_consumption</t>
        </is>
      </c>
      <c r="B176" s="461">
        <f>INDEX(C176:M176,MATCH(template_selected_display_language,$C$3:$M$3,0))</f>
        <v/>
      </c>
      <c r="C176" s="2" t="inlineStr">
        <is>
          <t>B3 - Breakdown of energy consumption (in MWh)</t>
        </is>
      </c>
      <c r="D176" s="563" t="inlineStr">
        <is>
          <t>B3 – Opdeling af energiforbrug (i MWh)</t>
        </is>
      </c>
      <c r="E176" s="563" t="inlineStr">
        <is>
          <t>B3 — Uitsplitsing van het energieverbruik (in MWh)</t>
        </is>
      </c>
      <c r="F176" s="563" t="inlineStr">
        <is>
          <t>B3 - Ventilation de la consommation d'énergie (en MWh)</t>
        </is>
      </c>
      <c r="G176" s="366" t="inlineStr">
        <is>
          <t>B3 - Aufschlüsselung des Energieverbrauchs (in MWh)</t>
        </is>
      </c>
      <c r="H176" s="366" t="inlineStr">
        <is>
          <t>B3 - Miondealú ar ídiú fuinnimh (i MWh)</t>
        </is>
      </c>
      <c r="I176" s="2" t="inlineStr">
        <is>
          <t>B3 - Ripartizione del consumo di energia (in MWh)</t>
        </is>
      </c>
      <c r="J176" s="357" t="inlineStr">
        <is>
          <t>B3 - Energijos suvartojimo (MWh) išskaidymas</t>
        </is>
      </c>
      <c r="K176" s="357" t="inlineStr">
        <is>
          <t>B3 - Podział zużycia energii (w MWh)</t>
        </is>
      </c>
      <c r="L176" s="357" t="inlineStr">
        <is>
          <t>B3 — Repartição do consumo de energia (em MWh)</t>
        </is>
      </c>
      <c r="M176" s="357" t="inlineStr">
        <is>
          <t>B3 - Desglose del consumo de energía (en MWh)</t>
        </is>
      </c>
    </row>
    <row r="177" ht="43.2" customHeight="1">
      <c r="A177" s="2" t="inlineStr">
        <is>
          <t>template_label_has_the_undertaking_obtained_the_necessary_information_to_provide_an_energy_consumption_breakdown</t>
        </is>
      </c>
      <c r="B177" s="461">
        <f>INDEX(C177:M177,MATCH(template_selected_display_language,$C$3:$M$3,0))</f>
        <v/>
      </c>
      <c r="C177" s="2" t="inlineStr">
        <is>
          <t>Has the undertaking obtained the necessary information to provide an energy consumption breakdown?</t>
        </is>
      </c>
      <c r="D177" s="563" t="inlineStr">
        <is>
          <t>Har virksomheden indhentet de nødvendige oplysninger for at kunne opdele energiforbruget?</t>
        </is>
      </c>
      <c r="E177" s="563" t="inlineStr">
        <is>
          <t>Heeft de onderneming de nodige informatie verkregen om een specificatie van het energieverbruik te geven?</t>
        </is>
      </c>
      <c r="F177" s="563" t="inlineStr">
        <is>
          <t>L’entreprise a-t-elle obtenu les informations nécessaires pour fournir une ventilation de la consommation d’énergie ?</t>
        </is>
      </c>
      <c r="G177" s="366" t="inlineStr">
        <is>
          <t>Hat das Unternehmen die notwendigen Informationen beschaffen können, um eine Aufschlüsselung des Energieverbrauchs bereitzustellen?</t>
        </is>
      </c>
      <c r="H177" s="366" t="inlineStr">
        <is>
          <t>An bhfuair an gnóthas an fhaisnéis is gá chun miondealú ar thomhaltas fuinnimh a sholáthar?</t>
        </is>
      </c>
      <c r="I177" s="2" t="inlineStr">
        <is>
          <t>L'impresa ha ottenuto le informazioni necessarie per fornire una ripartizione del consumo di energia?</t>
        </is>
      </c>
      <c r="J177" s="357" t="inlineStr">
        <is>
          <t>Ar įmonė gavo reikalingą informaciją energijos suvartojimo išskaidymui pateikti?</t>
        </is>
      </c>
      <c r="K177" s="357" t="inlineStr">
        <is>
          <t>Czy jednostka uzyskała niezbędne informacje pozwalające na przedstawienie podziału zużycia energii?</t>
        </is>
      </c>
      <c r="L177" s="357" t="inlineStr">
        <is>
          <t>A empresa obteve a informação necessária para fornecer uma discriminação do consumo de energia?</t>
        </is>
      </c>
      <c r="M177" s="357" t="inlineStr">
        <is>
          <t>¿Ha obtenido la empresa la información necesaria para proporcionar un desglose del consumo de energía?</t>
        </is>
      </c>
    </row>
    <row r="178">
      <c r="A178" s="2" t="inlineStr">
        <is>
          <t>template_label_renewable</t>
        </is>
      </c>
      <c r="B178" s="461">
        <f>INDEX(C178:M178,MATCH(template_selected_display_language,$C$3:$M$3,0))</f>
        <v/>
      </c>
      <c r="C178" s="2" t="inlineStr">
        <is>
          <t>Renewable</t>
        </is>
      </c>
      <c r="D178" s="563" t="inlineStr">
        <is>
          <t>Vedvarende</t>
        </is>
      </c>
      <c r="E178" s="563" t="inlineStr">
        <is>
          <t>Hernieuwbaar</t>
        </is>
      </c>
      <c r="F178" s="563" t="inlineStr">
        <is>
          <t>Renouvelable</t>
        </is>
      </c>
      <c r="G178" s="366" t="inlineStr">
        <is>
          <t>Erneuerbar</t>
        </is>
      </c>
      <c r="H178" s="366" t="inlineStr">
        <is>
          <t>In-athnuaite</t>
        </is>
      </c>
      <c r="I178" s="2" t="inlineStr">
        <is>
          <t>Rinnovabile</t>
        </is>
      </c>
      <c r="J178" s="357" t="inlineStr">
        <is>
          <t xml:space="preserve">Atsinaujinanti energija </t>
        </is>
      </c>
      <c r="K178" s="357" t="inlineStr">
        <is>
          <t>Odnawialny</t>
        </is>
      </c>
      <c r="L178" s="357" t="inlineStr">
        <is>
          <t>Renovável</t>
        </is>
      </c>
      <c r="M178" s="357" t="inlineStr">
        <is>
          <t>Renovable</t>
        </is>
      </c>
    </row>
    <row r="179">
      <c r="A179" s="2" t="inlineStr">
        <is>
          <t>template_label_non_renewable</t>
        </is>
      </c>
      <c r="B179" s="461">
        <f>INDEX(C179:M179,MATCH(template_selected_display_language,$C$3:$M$3,0))</f>
        <v/>
      </c>
      <c r="C179" s="2" t="inlineStr">
        <is>
          <t>Non-renewable</t>
        </is>
      </c>
      <c r="D179" s="563" t="inlineStr">
        <is>
          <t>Ikke-vedvarende</t>
        </is>
      </c>
      <c r="E179" s="563" t="inlineStr">
        <is>
          <t>Niet-hernieuwbaar</t>
        </is>
      </c>
      <c r="F179" s="563" t="inlineStr">
        <is>
          <t>Non renouvelable</t>
        </is>
      </c>
      <c r="G179" s="366" t="inlineStr">
        <is>
          <t>Nicht erneuerbar</t>
        </is>
      </c>
      <c r="H179" s="366" t="inlineStr">
        <is>
          <t>Neamh-inathnuaite</t>
        </is>
      </c>
      <c r="I179" s="2" t="inlineStr">
        <is>
          <t>Non rinnovabile</t>
        </is>
      </c>
      <c r="J179" s="357" t="inlineStr">
        <is>
          <t>Neatsinaujinanti energija</t>
        </is>
      </c>
      <c r="K179" s="357" t="inlineStr">
        <is>
          <t>Nieodnawialny</t>
        </is>
      </c>
      <c r="L179" s="357" t="inlineStr">
        <is>
          <t>Não renovável</t>
        </is>
      </c>
      <c r="M179" s="357" t="inlineStr">
        <is>
          <t>No renovable</t>
        </is>
      </c>
    </row>
    <row r="180" ht="28.8" customHeight="1">
      <c r="A180" s="2" t="inlineStr">
        <is>
          <t>template_label_total_renewable_and_nonrenewable</t>
        </is>
      </c>
      <c r="B180" s="461">
        <f>INDEX(C180:M180,MATCH(template_selected_display_language,$C$3:$M$3,0))</f>
        <v/>
      </c>
      <c r="C180" s="2" t="inlineStr">
        <is>
          <t>Total renewable and non-renewable</t>
        </is>
      </c>
      <c r="D180" s="563" t="inlineStr">
        <is>
          <t>Samlet vedvarende og ikke-vedvarende</t>
        </is>
      </c>
      <c r="E180" s="563" t="inlineStr">
        <is>
          <t>Totaal hernieuwbaar en niet-hernieuwbaar</t>
        </is>
      </c>
      <c r="F180" s="563" t="inlineStr">
        <is>
          <t>Total renouvelable et non renouvelable</t>
        </is>
      </c>
      <c r="G180" s="366" t="inlineStr">
        <is>
          <t>Gesamte erneuerbare und nicht erneuerbare Energie</t>
        </is>
      </c>
      <c r="H180" s="366" t="inlineStr">
        <is>
          <t>Iomlán in-athnuaite agus neamh-inathnuaite</t>
        </is>
      </c>
      <c r="I180" s="2" t="inlineStr">
        <is>
          <t>Totale rinnovabile e non rinnovabile</t>
        </is>
      </c>
      <c r="J180" s="357" t="inlineStr">
        <is>
          <t>Bendras atsinaujinančių ir neatsinaujinančių energijos šaltinių energijos kiekis</t>
        </is>
      </c>
      <c r="K180" s="357" t="inlineStr">
        <is>
          <t>Całkowite odnawialne i nieodnawialne</t>
        </is>
      </c>
      <c r="L180" s="357" t="inlineStr">
        <is>
          <t>Total renovável e não renovável</t>
        </is>
      </c>
      <c r="M180" s="357" t="inlineStr">
        <is>
          <t>Total renovable y no renovable</t>
        </is>
      </c>
    </row>
    <row r="181" ht="28.8" customHeight="1">
      <c r="A181" s="2" t="inlineStr">
        <is>
          <t>template_label_electricity</t>
        </is>
      </c>
      <c r="B181" s="461">
        <f>INDEX(C181:M181,MATCH(template_selected_display_language,$C$3:$M$3,0))</f>
        <v/>
      </c>
      <c r="C181" s="2" t="inlineStr">
        <is>
          <t>Electricity (as reflected in utility billings)</t>
        </is>
      </c>
      <c r="D181" s="563" t="inlineStr">
        <is>
          <t>Elektricitet (som det fremgår af forbrugsregninger)</t>
        </is>
      </c>
      <c r="E181" s="563" t="inlineStr">
        <is>
          <t>Elektriciteit (zoals weergegeven in de nutsfacturen)</t>
        </is>
      </c>
      <c r="F181" s="374" t="inlineStr">
        <is>
          <t>Électricité (telle qu’indiquée sur les factures de consommation courante)</t>
        </is>
      </c>
      <c r="G181" s="366" t="inlineStr">
        <is>
          <t>Strom (wie in den Rechnungen der Versorgungsunternehmen angegeben)</t>
        </is>
      </c>
      <c r="H181" s="366" t="inlineStr">
        <is>
          <t>Leictreachas (mar a léirítear i mbileálacha fóntais)</t>
        </is>
      </c>
      <c r="I181" s="2" t="inlineStr">
        <is>
          <t>Energia elettrica (secondo quanto risulta dalle bollette)</t>
        </is>
      </c>
      <c r="J181" s="357" t="inlineStr">
        <is>
          <t>Elektra (kaip nurodyta komunalinių paslaugų sąskaitose)</t>
        </is>
      </c>
      <c r="K181" s="357" t="inlineStr">
        <is>
          <t>Energia elektryczna (według danych zawartych w rachunkach za media)</t>
        </is>
      </c>
      <c r="L181" s="357" t="inlineStr">
        <is>
          <t>Eletricidade (conforme refletida nas faturas de serviços públicos)</t>
        </is>
      </c>
      <c r="M181" s="357" t="inlineStr">
        <is>
          <t>Electricidad (según se refleja en las facturas de servicios)</t>
        </is>
      </c>
    </row>
    <row r="182">
      <c r="A182" s="2" t="inlineStr">
        <is>
          <t>template_label_selfgenerated_electricity</t>
        </is>
      </c>
      <c r="B182" s="461">
        <f>INDEX(C182:M182,MATCH(template_selected_display_language,$C$3:$M$3,0))</f>
        <v/>
      </c>
      <c r="C182" s="2" t="inlineStr">
        <is>
          <t>Self-generated electricity</t>
        </is>
      </c>
      <c r="D182" s="563" t="inlineStr">
        <is>
          <t>Egenproduceret elektricitet</t>
        </is>
      </c>
      <c r="E182" s="563" t="inlineStr">
        <is>
          <t>Zelf opgewekte elektriciteit</t>
        </is>
      </c>
      <c r="F182" s="563" t="inlineStr">
        <is>
          <t>Électricité auto-produite</t>
        </is>
      </c>
      <c r="G182" s="366" t="inlineStr">
        <is>
          <t>Selbst erzeugter Strom</t>
        </is>
      </c>
      <c r="H182" s="366" t="inlineStr">
        <is>
          <t>Leictreachas féinghinte</t>
        </is>
      </c>
      <c r="I182" s="2" t="inlineStr">
        <is>
          <t>Energia elettrica autoprodotta</t>
        </is>
      </c>
      <c r="J182" s="357" t="inlineStr">
        <is>
          <t>Įmonės pasigaminta elektra</t>
        </is>
      </c>
      <c r="K182" s="357" t="inlineStr">
        <is>
          <t>Samodzielnie produkowana energia elektryczna</t>
        </is>
      </c>
      <c r="L182" s="357" t="inlineStr">
        <is>
          <t>Eletricidade de produção própria</t>
        </is>
      </c>
      <c r="M182" s="357" t="inlineStr">
        <is>
          <t>Electricidad autoproducida</t>
        </is>
      </c>
    </row>
    <row r="183" ht="29.4" customHeight="1" thickBot="1">
      <c r="A183" s="358" t="inlineStr">
        <is>
          <t>template_label_fuels</t>
        </is>
      </c>
      <c r="B183" s="462">
        <f>INDEX(C183:M183,MATCH(template_selected_display_language,$C$3:$M$3,0))</f>
        <v/>
      </c>
      <c r="C183" s="358" t="inlineStr">
        <is>
          <t>Fuels (see Fuel Converter on Fuels worksheet)</t>
        </is>
      </c>
      <c r="D183" s="373" t="inlineStr">
        <is>
          <t xml:space="preserve">Brændstoffer (se brændstofs-konverteringen i brændstof-fanen) </t>
        </is>
      </c>
      <c r="E183" s="373" t="inlineStr">
        <is>
          <t>Brandstoffen (zie Brandstofomzetter op het werkblad Brandstoffen)</t>
        </is>
      </c>
      <c r="F183" s="373" t="inlineStr">
        <is>
          <t>Combustibles (voir Convertisseur de combustible dans la feuille Combustible)</t>
        </is>
      </c>
      <c r="G183" s="367" t="inlineStr">
        <is>
          <t>Brennstoffe (siehe Brennstoffumrechner im Arbeitsblatt Brennstoffe)</t>
        </is>
      </c>
      <c r="H183" s="367" t="inlineStr">
        <is>
          <t>Breoslaí (féach Tiontaire Breosla ar Bhileog oibre Breoslaí)</t>
        </is>
      </c>
      <c r="I183" s="358" t="inlineStr">
        <is>
          <t>Combustibili (vedere Convertitore di carburante nel foglio Combustibili)</t>
        </is>
      </c>
      <c r="J183" s="371" t="inlineStr">
        <is>
          <t>Kuras (žr. „Kuro konverterį / konvertavimo skaičiuoklę“ darbalapyje „Kuras“)</t>
        </is>
      </c>
      <c r="K183" s="371" t="inlineStr">
        <is>
          <t>Paliwa (zobacz Konwerter Paliw na arkuszu Paliwa)</t>
        </is>
      </c>
      <c r="L183" s="371" t="inlineStr">
        <is>
          <t>Combustíveis (ver Conversor de Combustíveis na folha Combustíveis)</t>
        </is>
      </c>
      <c r="M183" s="371" t="inlineStr">
        <is>
          <t>Combustibles (ver Convertidor de Combustibles en la hoja Combustibles)</t>
        </is>
      </c>
    </row>
    <row r="184" ht="57.6" customHeight="1">
      <c r="A184" s="2" t="inlineStr">
        <is>
          <t>template_label_b3_estimated_greenhouse_gas_emissions</t>
        </is>
      </c>
      <c r="B184" s="461">
        <f>INDEX(C184:M184,MATCH(template_selected_display_language,$C$3:$M$3,0))</f>
        <v/>
      </c>
      <c r="C184" s="2" t="inlineStr">
        <is>
          <t>B3 - Estimated Greenhouse Gas Emissions considering the GHG Protocol Version 2004 (in tCO2e)</t>
        </is>
      </c>
      <c r="D184" s="563" t="inlineStr">
        <is>
          <t>B3 - Anslåede drivhusgasudledninger under hensyntagen til GHG-protokollen version 2004 (i tCO2e)</t>
        </is>
      </c>
      <c r="E184" s="563" t="inlineStr">
        <is>
          <t>B3 - Geraamde broeikasgasemissies rekening houdend met het GHG Protocol versie 2004 (in tCO2e)</t>
        </is>
      </c>
      <c r="F184" s="563" t="inlineStr">
        <is>
          <t>B3 - Estimations des émissions de gaz à effet de serre en prenant en considération la norme du protocole des GES relative aux entreprises (GHG Protocol) (version 2004) (en tCO₂e)</t>
        </is>
      </c>
      <c r="G184" s="366" t="inlineStr">
        <is>
          <t>B3 - Geschätzte Treibhausgasemissionen gemäß des THG-Protokolls Version 2004 (in tCO2e)</t>
        </is>
      </c>
      <c r="H184" s="366" t="inlineStr">
        <is>
          <t>B3 - Astaíochtaí Measta Gás Ceaptha Teasa ag smaoineamh ar Phrótacal GCT Leagan 2004 (i tCO2e)</t>
        </is>
      </c>
      <c r="I184" s="2" t="inlineStr">
        <is>
          <t>B3 - Emissioni stimate di gas a effetto serra considerando il Greenhouse Gas Protocol versione 2004 (in tCO2e)</t>
        </is>
      </c>
      <c r="J184" s="357" t="inlineStr">
        <is>
          <t>B3 – Apskaičiuotos šiltnamio efektą sukeliančių dujų emisijos, atsižvelgiant į 2004 m. ŠESD protokolo versiją (tCO2e)</t>
        </is>
      </c>
      <c r="K184" s="357" t="inlineStr">
        <is>
          <t>B3 – Szacunkowa emisja gazów cieplarnianych z uwzględnieniem wymogów GHG Protocol Corporate Standard w wersji z 2004 r. (w tCO2e)</t>
        </is>
      </c>
      <c r="L184" s="357" t="inlineStr">
        <is>
          <t xml:space="preserve">B3 – Emissões estimadas de gases com efeito de estufa considerando o Protocolo GEE Versão 2004 (em teCO2) 
</t>
        </is>
      </c>
      <c r="M184" s="357" t="inlineStr">
        <is>
          <t>B3 – Emisiones brutas estimadas de gases de efecto invernadero considerando el Protocolo GEI versión 2004 (en tCO2e)</t>
        </is>
      </c>
    </row>
    <row r="185" ht="28.8" customHeight="1">
      <c r="A185" s="2" t="inlineStr">
        <is>
          <t>template_label_c3_ghg_reduction_targets</t>
        </is>
      </c>
      <c r="B185" s="461">
        <f>INDEX(C185:M185,MATCH(template_selected_display_language,$C$3:$M$3,0))</f>
        <v/>
      </c>
      <c r="C185" s="2" t="inlineStr">
        <is>
          <t>C3 - GHG reduction targets (in tC02e)</t>
        </is>
      </c>
      <c r="D185" s="563" t="inlineStr">
        <is>
          <t>C3 – Mål for reduktion af drivhusgasudledninger (i tCO2e)</t>
        </is>
      </c>
      <c r="E185" s="563" t="inlineStr">
        <is>
          <t>C3 - Streefcijfers voor broeikasgasreductie (in tCO2e)</t>
        </is>
      </c>
      <c r="F185" s="563" t="inlineStr">
        <is>
          <t>Cibles de réduction des émissions de GES (en tCO₂e)</t>
        </is>
      </c>
      <c r="G185" s="366" t="inlineStr">
        <is>
          <t>C3 – THG-Reduktionsziele (in tCO2e)</t>
        </is>
      </c>
      <c r="H185" s="366" t="inlineStr">
        <is>
          <t>C3 - Spriocanna laghdaithe gás ceaptha teasa (i tC02e)</t>
        </is>
      </c>
      <c r="I185" s="2" t="inlineStr">
        <is>
          <t>C3 - Obiettivi di riduzione delle emissioni di gas a effetto serra (in tCO2e)</t>
        </is>
      </c>
      <c r="J185" s="357" t="inlineStr">
        <is>
          <t>C3 – Šiltnamio efektą sukeliančių dujų mažinimo tikslai (tCO2e)</t>
        </is>
      </c>
      <c r="K185" s="357" t="inlineStr">
        <is>
          <t>C3 – Cele redukcji emisji gazów cieplarnianych (w tCO2e)</t>
        </is>
      </c>
      <c r="L185" s="357" t="inlineStr">
        <is>
          <t>C3 - Metas de redução de GEE (em tCO2e)</t>
        </is>
      </c>
      <c r="M185" s="357" t="inlineStr">
        <is>
          <t>C3 - Metas de reducción de GEI (en tCO2e)</t>
        </is>
      </c>
    </row>
    <row r="186" ht="28.8" customHeight="1">
      <c r="A186" s="2" t="inlineStr">
        <is>
          <t>template_label_has_the_undertaking_has_established_ghg_emission_reduction_targets</t>
        </is>
      </c>
      <c r="B186" s="461">
        <f>INDEX(C186:M186,MATCH(template_selected_display_language,$C$3:$M$3,0))</f>
        <v/>
      </c>
      <c r="C186" s="2" t="inlineStr">
        <is>
          <t>Has  the undertaking has established GHG emission reduction targets?</t>
        </is>
      </c>
      <c r="D186" s="563" t="inlineStr">
        <is>
          <t>Har virksomheden fastsat mål for reduktion af drivhusgasudledninger?</t>
        </is>
      </c>
      <c r="E186" s="563" t="inlineStr">
        <is>
          <t>Heeft de onderneming streefcijfers voor de vermindering van de GHG-uitstoot vastgesteld?</t>
        </is>
      </c>
      <c r="F186" s="563" t="inlineStr">
        <is>
          <t>L'entreprise a-t-elle établi des cibles de réduction des émissions de GES ?</t>
        </is>
      </c>
      <c r="G186" s="366" t="inlineStr">
        <is>
          <t>Hat das Unternehmen Ziele zur Reduktion der THG-Emissionen festgelegt?</t>
        </is>
      </c>
      <c r="H186" s="366" t="inlineStr">
        <is>
          <t>An bhfuil spriocanna laghdaithe astaíochtaí gás ceaptha teasa leagtha síos ag an ngnóthas?</t>
        </is>
      </c>
      <c r="I186" s="2" t="inlineStr">
        <is>
          <t>L'impresa ha stabilito obiettivi di riduzione delle emissioni di gas a effetto serra?</t>
        </is>
      </c>
      <c r="J186" s="357" t="inlineStr">
        <is>
          <t>Ar įmonė nusistatė ŠESD mažinimo tikslus?</t>
        </is>
      </c>
      <c r="K186" s="357" t="inlineStr">
        <is>
          <t>Czy jednostka ustanowiła cele redukcji emisji gazów cieplarnianych?</t>
        </is>
      </c>
      <c r="L186" s="357" t="inlineStr">
        <is>
          <t>A empresa estabeleceu metas de redução das emissões de GEE?</t>
        </is>
      </c>
      <c r="M186" s="357" t="inlineStr">
        <is>
          <t>¿La empresa ha establecido objetivos de reducción de emisiones de gases de efecto invernadero (GHG)?</t>
        </is>
      </c>
    </row>
    <row r="187">
      <c r="A187" s="2" t="inlineStr">
        <is>
          <t>template_label_current_reporting_period</t>
        </is>
      </c>
      <c r="B187" s="461">
        <f>INDEX(C187:M187,MATCH(template_selected_display_language,$C$3:$M$3,0))</f>
        <v/>
      </c>
      <c r="C187" s="2" t="inlineStr">
        <is>
          <t>Current Reporting Period</t>
        </is>
      </c>
      <c r="D187" s="563" t="inlineStr">
        <is>
          <t>Nuværende rapporteringsperiode</t>
        </is>
      </c>
      <c r="E187" s="563" t="inlineStr">
        <is>
          <t xml:space="preserve">Huidige rapportageperiode </t>
        </is>
      </c>
      <c r="F187" s="563" t="inlineStr">
        <is>
          <t>Période de reporting actuelle</t>
        </is>
      </c>
      <c r="G187" s="366" t="inlineStr">
        <is>
          <t>Aktueller Berichtszeitraum</t>
        </is>
      </c>
      <c r="H187" s="366" t="inlineStr">
        <is>
          <t>An Tréimhse Tuairiscithe Reatha</t>
        </is>
      </c>
      <c r="I187" s="2" t="inlineStr">
        <is>
          <t>Periodo di riferimento corrente</t>
        </is>
      </c>
      <c r="J187" s="357" t="inlineStr">
        <is>
          <t>Ataskaitinis laikotarpis</t>
        </is>
      </c>
      <c r="K187" s="357" t="inlineStr">
        <is>
          <t>Bieżący okres sprawozdawczy</t>
        </is>
      </c>
      <c r="L187" s="357" t="inlineStr">
        <is>
          <t>Período de Relato Atual</t>
        </is>
      </c>
      <c r="M187" s="357" t="inlineStr">
        <is>
          <t>Periodo de informe actual</t>
        </is>
      </c>
    </row>
    <row r="188">
      <c r="A188" s="2" t="inlineStr">
        <is>
          <t>template_label_base_year</t>
        </is>
      </c>
      <c r="B188" s="461">
        <f>INDEX(C188:M188,MATCH(template_selected_display_language,$C$3:$M$3,0))</f>
        <v/>
      </c>
      <c r="C188" s="2" t="inlineStr">
        <is>
          <t>Base Year</t>
        </is>
      </c>
      <c r="D188" s="563" t="inlineStr">
        <is>
          <t>Basisår</t>
        </is>
      </c>
      <c r="E188" s="563" t="inlineStr">
        <is>
          <t>Basisjaar</t>
        </is>
      </c>
      <c r="F188" s="563" t="inlineStr">
        <is>
          <t>Année de référence</t>
        </is>
      </c>
      <c r="G188" s="366" t="inlineStr">
        <is>
          <t>Basisjahr</t>
        </is>
      </c>
      <c r="H188" s="366" t="inlineStr">
        <is>
          <t>Bonnbhliain</t>
        </is>
      </c>
      <c r="I188" s="2" t="inlineStr">
        <is>
          <t>Anno base</t>
        </is>
      </c>
      <c r="J188" s="357" t="inlineStr">
        <is>
          <t>Baziniai (atskaitos) metai</t>
        </is>
      </c>
      <c r="K188" s="357" t="inlineStr">
        <is>
          <t>Rok bazowy</t>
        </is>
      </c>
      <c r="L188" s="357" t="inlineStr">
        <is>
          <t>Ano base</t>
        </is>
      </c>
      <c r="M188" s="357" t="inlineStr">
        <is>
          <t>Año de referencia</t>
        </is>
      </c>
    </row>
    <row r="189">
      <c r="A189" s="2" t="inlineStr">
        <is>
          <t>template_label_target_year</t>
        </is>
      </c>
      <c r="B189" s="461">
        <f>INDEX(C189:M189,MATCH(template_selected_display_language,$C$3:$M$3,0))</f>
        <v/>
      </c>
      <c r="C189" s="2" t="inlineStr">
        <is>
          <t>Target Year</t>
        </is>
      </c>
      <c r="D189" s="563" t="inlineStr">
        <is>
          <t>Målår</t>
        </is>
      </c>
      <c r="E189" s="563" t="inlineStr">
        <is>
          <t>Doeljaar</t>
        </is>
      </c>
      <c r="F189" s="563" t="inlineStr">
        <is>
          <t>Année cible</t>
        </is>
      </c>
      <c r="G189" s="366" t="inlineStr">
        <is>
          <t>Zieljahr</t>
        </is>
      </c>
      <c r="H189" s="366" t="inlineStr">
        <is>
          <t>Spriocbhliain</t>
        </is>
      </c>
      <c r="I189" s="2" t="inlineStr">
        <is>
          <t>Anno-obiettivo</t>
        </is>
      </c>
      <c r="J189" s="357" t="inlineStr">
        <is>
          <t>Tiksliniai metai</t>
        </is>
      </c>
      <c r="K189" s="357" t="inlineStr">
        <is>
          <t>Rok docelowy</t>
        </is>
      </c>
      <c r="L189" s="357" t="inlineStr">
        <is>
          <t>Ano-alvo</t>
        </is>
      </c>
      <c r="M189" s="357" t="inlineStr">
        <is>
          <t>Año objetivo</t>
        </is>
      </c>
    </row>
    <row r="190">
      <c r="A190" s="2" t="inlineStr">
        <is>
          <t>template_label_percentage_reduction_from_base_year</t>
        </is>
      </c>
      <c r="B190" s="461">
        <f>INDEX(C190:M190,MATCH(template_selected_display_language,$C$3:$M$3,0))</f>
        <v/>
      </c>
      <c r="C190" s="2" t="inlineStr">
        <is>
          <t>Percentage reduction from base year</t>
        </is>
      </c>
      <c r="D190" s="563" t="inlineStr">
        <is>
          <t>Procentvis reduktion i relation til basisår</t>
        </is>
      </c>
      <c r="E190" s="563" t="inlineStr">
        <is>
          <t>Percentage reductie ten opzichte van het basisjaar</t>
        </is>
      </c>
      <c r="F190" s="563" t="inlineStr">
        <is>
          <t>Réduction en pourcentage par rapport à l’année de référence</t>
        </is>
      </c>
      <c r="G190" s="366" t="inlineStr">
        <is>
          <t>Prozentuale Reduktion gegenüber dem Basisjahr</t>
        </is>
      </c>
      <c r="H190" s="366" t="inlineStr">
        <is>
          <t>Laghdú céatadáin ón mbonnbhliain</t>
        </is>
      </c>
      <c r="I190" s="2" t="inlineStr">
        <is>
          <t>Percentuale di riduzione rispetto all'anno base</t>
        </is>
      </c>
      <c r="J190" s="357" t="inlineStr">
        <is>
          <t>Procentinis sumažėjimas nuo atskaitos metų lygio</t>
        </is>
      </c>
      <c r="K190" s="357" t="inlineStr">
        <is>
          <t>Procentowa redukcja względem roku bazowego</t>
        </is>
      </c>
      <c r="L190" s="357" t="inlineStr">
        <is>
          <t>Redução percentual em relação ao ano base</t>
        </is>
      </c>
      <c r="M190" s="357" t="inlineStr">
        <is>
          <t>Reducción porcentual respecto al año base</t>
        </is>
      </c>
    </row>
    <row r="191">
      <c r="A191" s="2" t="inlineStr">
        <is>
          <t>template_label_year_date</t>
        </is>
      </c>
      <c r="B191" s="461">
        <f>INDEX(C191:M191,MATCH(template_selected_display_language,$C$3:$M$3,0))</f>
        <v/>
      </c>
      <c r="C191" s="2" t="inlineStr">
        <is>
          <t>Year (date)</t>
        </is>
      </c>
      <c r="D191" s="563" t="inlineStr">
        <is>
          <t>År (dato)</t>
        </is>
      </c>
      <c r="E191" s="563" t="inlineStr">
        <is>
          <t>Jaar (datum)</t>
        </is>
      </c>
      <c r="F191" s="563" t="inlineStr">
        <is>
          <t>Année (date)</t>
        </is>
      </c>
      <c r="G191" s="366" t="inlineStr">
        <is>
          <t>Jahr (Datum)</t>
        </is>
      </c>
      <c r="H191" s="366" t="inlineStr">
        <is>
          <t>Bliain (dáta)</t>
        </is>
      </c>
      <c r="I191" s="2" t="inlineStr">
        <is>
          <t>Anno (data)</t>
        </is>
      </c>
      <c r="J191" s="357" t="inlineStr">
        <is>
          <t>Metai (data)</t>
        </is>
      </c>
      <c r="K191" s="357" t="inlineStr">
        <is>
          <t>Rok (data)</t>
        </is>
      </c>
      <c r="L191" s="357" t="inlineStr">
        <is>
          <t>Ano (data)</t>
        </is>
      </c>
      <c r="M191" s="357" t="inlineStr">
        <is>
          <t>Año (fecha)</t>
        </is>
      </c>
    </row>
    <row r="192" ht="28.8" customHeight="1">
      <c r="A192" s="2" t="inlineStr">
        <is>
          <t>template_label_gross_scope_1_ghg_emissions</t>
        </is>
      </c>
      <c r="B192" s="461">
        <f>INDEX(C192:M192,MATCH(template_selected_display_language,$C$3:$M$3,0))</f>
        <v/>
      </c>
      <c r="C192" s="2" t="inlineStr">
        <is>
          <t>Gross Scope 1 GHG Emissions</t>
        </is>
      </c>
      <c r="D192" s="563" t="inlineStr">
        <is>
          <t xml:space="preserve">Brutto Scope 1 drivhusgasudledninger i  tCO2eq </t>
        </is>
      </c>
      <c r="E192" s="563" t="inlineStr">
        <is>
          <t>Bruto Scope 1 GHG-uitstoot</t>
        </is>
      </c>
      <c r="F192" s="563" t="inlineStr">
        <is>
          <t>Émissions brutes de GES du scope 1</t>
        </is>
      </c>
      <c r="G192" s="366" t="inlineStr">
        <is>
          <t>Scope 1-Brutto-Treibhausgasemissionen</t>
        </is>
      </c>
      <c r="H192" s="366" t="inlineStr">
        <is>
          <t>Ollastaíochtaí gás ceaptha teasa Scóip 1</t>
        </is>
      </c>
      <c r="I192" s="2" t="inlineStr">
        <is>
          <t>Emissioni lorde di gas a effetto serra di ambito 1</t>
        </is>
      </c>
      <c r="J192" s="357" t="inlineStr">
        <is>
          <t>Bendrosios pirmos apimties  ŠESD emisijos</t>
        </is>
      </c>
      <c r="K192" s="357" t="inlineStr">
        <is>
          <t>Emisje brutto gazów cieplarnianych zakresu 1 (GHG)</t>
        </is>
      </c>
      <c r="L192" s="357" t="inlineStr">
        <is>
          <t>Emissões brutas de gases com efeito de estufa (GEE) de âmbito 1</t>
        </is>
      </c>
      <c r="M192" s="357" t="inlineStr">
        <is>
          <t>Emisiones brutas de GEI de Alcance 1</t>
        </is>
      </c>
    </row>
    <row r="193" ht="28.8" customHeight="1">
      <c r="A193" s="2" t="inlineStr">
        <is>
          <t>template_label_gross_scope_2_location_based_ghg_emissions</t>
        </is>
      </c>
      <c r="B193" s="461">
        <f>INDEX(C193:M193,MATCH(template_selected_display_language,$C$3:$M$3,0))</f>
        <v/>
      </c>
      <c r="C193" s="2" t="inlineStr">
        <is>
          <t>Gross Scope 2 location-based GHG Emissions</t>
        </is>
      </c>
      <c r="D193" s="563" t="inlineStr">
        <is>
          <t>Brutto Scope 2 drivhusgasudledninger i tCO2eq (lokationsbaseret)</t>
        </is>
      </c>
      <c r="E193" s="563" t="inlineStr">
        <is>
          <t>Bruto Scope 2 locatiegebonden broeikasgasemissies</t>
        </is>
      </c>
      <c r="F193" s="563" t="inlineStr">
        <is>
          <t>Émissions brutes de GES du scope 2 basées sur la localisation</t>
        </is>
      </c>
      <c r="G193" s="366" t="inlineStr">
        <is>
          <t>Standortbezogene Scope 2-Brutto-Treibhausgasemissionen</t>
        </is>
      </c>
      <c r="H193" s="366" t="inlineStr">
        <is>
          <t xml:space="preserve">Astaíochtaí comhlána GCT Raon Feidhme 2 bunaithe ar shuíomh </t>
        </is>
      </c>
      <c r="I193" s="2" t="inlineStr">
        <is>
          <t>Emissioni lorde di gas a effetto serra di ambito 2 basate sulla posizione</t>
        </is>
      </c>
      <c r="J193" s="357" t="inlineStr">
        <is>
          <t>Bendrosios antros apimties ŠESD emisijos (vietos metodas)</t>
        </is>
      </c>
      <c r="K193" s="357" t="inlineStr">
        <is>
          <t>Emisje brutto gazów cieplarnianych zakresu 2 według metody opartej na lokalizacji</t>
        </is>
      </c>
      <c r="L193" s="357" t="inlineStr">
        <is>
          <t>Emissões brutas de âmbito 2 de GEE  baseadas na localização</t>
        </is>
      </c>
      <c r="M193" s="357" t="inlineStr">
        <is>
          <t>Emisiones brutas de GEI de alcance 2 basadas en la ubicación</t>
        </is>
      </c>
    </row>
    <row r="194" ht="28.8" customHeight="1">
      <c r="A194" s="2" t="inlineStr">
        <is>
          <t>template_label_gross_scope_2_market_based_ghg_emissions</t>
        </is>
      </c>
      <c r="B194" s="461">
        <f>INDEX(C194:M194,MATCH(template_selected_display_language,$C$3:$M$3,0))</f>
        <v/>
      </c>
      <c r="C194" s="2" t="inlineStr">
        <is>
          <t>Gross scope 2 market-based GHG Emissions</t>
        </is>
      </c>
      <c r="D194" s="563" t="inlineStr">
        <is>
          <t xml:space="preserve">Brutto Scope 2 drivhusgasudledninger i tCO2eq (markedsbaseret) </t>
        </is>
      </c>
      <c r="E194" s="563" t="inlineStr">
        <is>
          <t>Bruto scope 2 marktbasis GHG-uitstoot</t>
        </is>
      </c>
      <c r="F194" s="563" t="inlineStr">
        <is>
          <t>Émissions brutes de GES du scope 2 basées sur le marché</t>
        </is>
      </c>
      <c r="G194" s="366" t="inlineStr">
        <is>
          <t>Marktbasierte Scope 2-Brutto-Treibhausgasemissionen</t>
        </is>
      </c>
      <c r="H194" s="366" t="inlineStr">
        <is>
          <t>Astaíochtaí comhlána GCT Raon Feidhme 2 bunaithe ar an margadh</t>
        </is>
      </c>
      <c r="I194" s="2" t="inlineStr">
        <is>
          <t>Emissioni lorde di gas a effetto serra di ambito 2 basate sul mercato</t>
        </is>
      </c>
      <c r="J194" s="357" t="inlineStr">
        <is>
          <t>Bendrosios antros apimties ŠESD emisijos (rinkos metodas)</t>
        </is>
      </c>
      <c r="K194" s="357" t="inlineStr">
        <is>
          <t>Emisje brutto gazów cieplarnianych zakresu 2 według metody opartej na rynku</t>
        </is>
      </c>
      <c r="L194" s="357" t="inlineStr">
        <is>
          <t>Emissões brutas de âmbito 2 de GEE  baseadas no mercado</t>
        </is>
      </c>
      <c r="M194" s="357" t="inlineStr">
        <is>
          <t>Emisiones brutas de gases de efecto invernadero (GEI) de alcance 2 basadas en el mercado</t>
        </is>
      </c>
    </row>
    <row r="195" ht="28.8" customHeight="1">
      <c r="A195" s="2" t="inlineStr">
        <is>
          <t>template_label_total_scope_1_and_scope_2_ghg_emissions_location_based</t>
        </is>
      </c>
      <c r="B195" s="461">
        <f>INDEX(C195:M195,MATCH(template_selected_display_language,$C$3:$M$3,0))</f>
        <v/>
      </c>
      <c r="C195" s="2" t="inlineStr">
        <is>
          <t>Total Scope 1 and Scope 2 GHG Emissions (location-based)</t>
        </is>
      </c>
      <c r="D195" s="563" t="inlineStr">
        <is>
          <t>Samlede Scope 1 og Scope 2 drivhusgasudledninger i tCO2eq (lokationsbaseret)</t>
        </is>
      </c>
      <c r="E195" s="563" t="inlineStr">
        <is>
          <t>Totale broeikasgasemissies Scope 1 en Scope 2 (locatiegebaseerd)</t>
        </is>
      </c>
      <c r="F195" s="563" t="inlineStr">
        <is>
          <t>Émissions totales de GES des scopes 1 et 2 (approche basée sur la localisation)</t>
        </is>
      </c>
      <c r="G195" s="366" t="inlineStr">
        <is>
          <t>Gesamte Scope 1- und Scope 2-Treibhausgasemissionen (standortbezogen)</t>
        </is>
      </c>
      <c r="H195" s="366" t="inlineStr">
        <is>
          <t>Astaíochtaí comhlána GCT Raon Feidhme 1 agus Raon Feidhme 2 (bunaithe ar shuíomh)</t>
        </is>
      </c>
      <c r="I195" s="2" t="inlineStr">
        <is>
          <t>Emissioni totali di gas a effetto serra di ambito 1 e ambito 2 (basate sulla posizione)</t>
        </is>
      </c>
      <c r="J195" s="357" t="inlineStr">
        <is>
          <t>Bendrosios pirmos apimties ir antros apimties (vietos metodas) ŠESD emisijos</t>
        </is>
      </c>
      <c r="K195" s="357" t="inlineStr">
        <is>
          <t>Całkowite emisje gazów cieplarnianych zakresu 1 i zakresu 2 (według metody opartej na lokalizacji)</t>
        </is>
      </c>
      <c r="L195" s="357" t="inlineStr">
        <is>
          <t>Emissões Totais de GEE de Âmbito 1 e Âmbito 2 (baseadas na localização)</t>
        </is>
      </c>
      <c r="M195" s="357" t="inlineStr">
        <is>
          <t>Emisiones totales de GEI de Alcance 1 y Alcance 2 (basadas en la ubicación)</t>
        </is>
      </c>
    </row>
    <row r="196" ht="28.8" customHeight="1">
      <c r="A196" s="2" t="inlineStr">
        <is>
          <t>template_label_total_scope_1_and_scope_2_ghg_emissions_market_based</t>
        </is>
      </c>
      <c r="B196" s="461">
        <f>INDEX(C196:M196,MATCH(template_selected_display_language,$C$3:$M$3,0))</f>
        <v/>
      </c>
      <c r="C196" s="2" t="inlineStr">
        <is>
          <t>Total Scope 1 and Scope 2 GHG emissions  (market-based)</t>
        </is>
      </c>
      <c r="D196" s="563" t="inlineStr">
        <is>
          <t xml:space="preserve">Samlet Scope 1 og Scope 2 drivhusgasudledninger i tCO2eq (markedsbaseret) </t>
        </is>
      </c>
      <c r="E196" s="563" t="inlineStr">
        <is>
          <t>Totaal Scope 1 en Scope 2 broeikasgasemissies (marktgebaseerd)</t>
        </is>
      </c>
      <c r="F196" s="563" t="inlineStr">
        <is>
          <t>Émissions totales de GES des scopes 1 et 2 (approche basée sur le marché)</t>
        </is>
      </c>
      <c r="G196" s="366" t="inlineStr">
        <is>
          <t>Gesamte Scope 1- und Scope 2-Treibhausgasemissionen (marktbasiert)</t>
        </is>
      </c>
      <c r="H196" s="366" t="inlineStr">
        <is>
          <t>Astaíochtaí comhlána GCT Raon Feidhme 1 agus Raon Feidhme 2 (bunaithe ar an margadh)</t>
        </is>
      </c>
      <c r="I196" s="2" t="inlineStr">
        <is>
          <t>Emissioni totali di gas a effetto serra di ambito 1 e ambito 2 (basate sul mercato)</t>
        </is>
      </c>
      <c r="J196" s="357" t="inlineStr">
        <is>
          <t>Bendrosios pirmos apimties ir antros apimties (vietos metodas) ŠESD emisijos</t>
        </is>
      </c>
      <c r="K196" s="357" t="inlineStr">
        <is>
          <t>Całkowite emisje gazów cieplarnianych zakresu 1 i zakresu 2 (według metody opartej na rynku)</t>
        </is>
      </c>
      <c r="L196" s="357" t="inlineStr">
        <is>
          <t>Emissões totais de GEE de Âmbito 1 e Âmbito 2 (baseadas no mercado)</t>
        </is>
      </c>
      <c r="M196" s="357" t="inlineStr">
        <is>
          <t>Emisiones totales de GEI de Alcance 1 y Alcance 2 (basadas en el mercado)</t>
        </is>
      </c>
    </row>
    <row r="197" ht="28.8" customHeight="1">
      <c r="A197" s="2" t="inlineStr">
        <is>
          <t>template_label_is_the_undertaking_disclosing_entity_specific_information_on_scope_3_emissions</t>
        </is>
      </c>
      <c r="B197" s="461">
        <f>INDEX(C197:M197,MATCH(template_selected_display_language,$C$3:$M$3,0))</f>
        <v/>
      </c>
      <c r="C197" s="2" t="inlineStr">
        <is>
          <t>Is the undertaking disclosing entity-specific information on Scope 3 emissions (in tCO2e)?</t>
        </is>
      </c>
      <c r="D197" s="563" t="inlineStr">
        <is>
          <t>Oplyser virksomheden om enhedsspecifik information vedrørende Scope 3-udledninger (i tCO₂e)?</t>
        </is>
      </c>
      <c r="E197" s="563" t="inlineStr">
        <is>
          <t>Geeft de onderneming entiteitsspecifieke informatie over Scope 3-emissies (uitgedrukt in tCO2e)?</t>
        </is>
      </c>
      <c r="F197" s="563" t="inlineStr">
        <is>
          <t>L'entreprise publie-t-elle des informations spécifiques à l’entité sur les émissions du scope 3 (en tCO₂e) ?</t>
        </is>
      </c>
      <c r="G197" s="366" t="inlineStr">
        <is>
          <t>Macht das Unternehmen unternehmensspezifische Angaben zu Scope 3-Emissionen (in tCO2e)?</t>
        </is>
      </c>
      <c r="H197" s="366" t="inlineStr">
        <is>
          <t>An bhfuil an gnóthas ag nochtadh faisnéise a bhaineann go sonrach le heintitis ar astaíochtaí Raon Feidhme 3 (i tCO2e)?</t>
        </is>
      </c>
      <c r="I197" s="2" t="inlineStr">
        <is>
          <t>L'impresa comunica informazioni specifiche per soggetto sulle emissioni di ambito 3 (in tCO2e)?</t>
        </is>
      </c>
      <c r="J197" s="357" t="inlineStr">
        <is>
          <t>Ar įmonė atskleidžia specifinę informaciją apie 3 apimties emisijas (tCO2e)?</t>
        </is>
      </c>
      <c r="K197" s="357" t="inlineStr">
        <is>
          <t>Czy jednostka ujawnia informacje specyficzne dla jednostki na temat emisji z zakresie 3 (w tCO2e)?</t>
        </is>
      </c>
      <c r="L197" s="357" t="inlineStr">
        <is>
          <t>A empresa está a divulgar informações específicas sobre emissões do Âmbito 3 (em tCO2e)?</t>
        </is>
      </c>
      <c r="M197" s="357" t="inlineStr">
        <is>
          <t>¿La empresa divulga información específica sobre las emisiones de Alcance 3 (en tCO2e)?</t>
        </is>
      </c>
    </row>
    <row r="198" ht="28.8" customHeight="1">
      <c r="A198" s="2" t="inlineStr">
        <is>
          <t>template_label_1_purchased_goods_and_services</t>
        </is>
      </c>
      <c r="B198" s="461">
        <f>INDEX(C198:M198,MATCH(template_selected_display_language,$C$3:$M$3,0))</f>
        <v/>
      </c>
      <c r="C198" s="2" t="inlineStr">
        <is>
          <t>1. Purchased Goods and Services</t>
        </is>
      </c>
      <c r="D198" s="563" t="inlineStr">
        <is>
          <t>1. Indkøbte varer og tjenesteydelser</t>
        </is>
      </c>
      <c r="E198" s="563" t="inlineStr">
        <is>
          <t xml:space="preserve">"1. Aangekochte Goederen en Diensten" 
</t>
        </is>
      </c>
      <c r="F198" s="563" t="inlineStr">
        <is>
          <t>1. Biens et services achetés</t>
        </is>
      </c>
      <c r="G198" s="366" t="inlineStr">
        <is>
          <t>1. Eingekaufte Waren und Dienstleistungen</t>
        </is>
      </c>
      <c r="H198" s="366" t="inlineStr">
        <is>
          <t>1. Earraí agus Seirbhísí Ceannaithe</t>
        </is>
      </c>
      <c r="I198" s="2" t="inlineStr">
        <is>
          <t>1. Beni e servizi acquistati</t>
        </is>
      </c>
      <c r="J198" s="357" t="inlineStr">
        <is>
          <t>1. Pirktos prekės ir paslaugos</t>
        </is>
      </c>
      <c r="K198" s="357" t="inlineStr">
        <is>
          <t>1. Zakupione towary i usługi</t>
        </is>
      </c>
      <c r="L198" s="357" t="inlineStr">
        <is>
          <t>1. Bens e Serviços Adquiridos</t>
        </is>
      </c>
      <c r="M198" s="357" t="inlineStr">
        <is>
          <t>1. Bienes y servicios adquiridos</t>
        </is>
      </c>
    </row>
    <row r="199">
      <c r="A199" s="2" t="inlineStr">
        <is>
          <t>template_label_2_capital_goods</t>
        </is>
      </c>
      <c r="B199" s="461">
        <f>INDEX(C199:M199,MATCH(template_selected_display_language,$C$3:$M$3,0))</f>
        <v/>
      </c>
      <c r="C199" s="2" t="inlineStr">
        <is>
          <t>2. Capital Goods</t>
        </is>
      </c>
      <c r="D199" s="563" t="inlineStr">
        <is>
          <t>2. Kapitalgoder</t>
        </is>
      </c>
      <c r="E199" s="563" t="inlineStr">
        <is>
          <t>2. Kapitaalgoederen</t>
        </is>
      </c>
      <c r="F199" s="563" t="inlineStr">
        <is>
          <t>2. Biens d'investissement</t>
        </is>
      </c>
      <c r="G199" s="366" t="inlineStr">
        <is>
          <t>2. Investitionsgüter</t>
        </is>
      </c>
      <c r="H199" s="366" t="inlineStr">
        <is>
          <t>Earraí Caipitil</t>
        </is>
      </c>
      <c r="I199" s="2" t="inlineStr">
        <is>
          <t>2. Beni strumentali</t>
        </is>
      </c>
      <c r="J199" s="357" t="inlineStr">
        <is>
          <t>2. Kapitalinės prekės</t>
        </is>
      </c>
      <c r="K199" s="357" t="inlineStr">
        <is>
          <t>2. Dobra inwestycyjne</t>
        </is>
      </c>
      <c r="L199" s="357" t="inlineStr">
        <is>
          <t>2. Bens de Equipamento</t>
        </is>
      </c>
      <c r="M199" s="357" t="inlineStr">
        <is>
          <t>2. Bienes de capital</t>
        </is>
      </c>
    </row>
    <row r="200" ht="43.2" customHeight="1">
      <c r="A200" s="2" t="inlineStr">
        <is>
          <t>template_label_3_fuel__and_energy_related_activities</t>
        </is>
      </c>
      <c r="B200" s="461">
        <f>INDEX(C200:M200,MATCH(template_selected_display_language,$C$3:$M$3,0))</f>
        <v/>
      </c>
      <c r="C200" s="2" t="inlineStr">
        <is>
          <t>3. Fuel- and Energy-Related Activities (Not Included in Scope 1 or Scope 2)</t>
        </is>
      </c>
      <c r="D200" s="563" t="inlineStr">
        <is>
          <t>3. Brændstof- og energi-relaterede aktiviteter (ikke inkluderet i scope 1 eller scope 2)</t>
        </is>
      </c>
      <c r="E200" s="563" t="inlineStr">
        <is>
          <t>3. Brandstof- en energiegerelateerde activiteiten (niet inbegrepen in Scope 1 of Scope 2)</t>
        </is>
      </c>
      <c r="F200" s="563" t="inlineStr">
        <is>
          <t>3. Activités relevant des secteurs des combustibles et de l’énergie (non incluses dans les scopes 1 et 2)</t>
        </is>
      </c>
      <c r="G200" s="366" t="inlineStr">
        <is>
          <t>3. Brennstoff- und energiebezogene Tätigkeiten (nicht in Scope 1 oder Scope 2 enthalten)</t>
        </is>
      </c>
      <c r="H200" s="366" t="inlineStr">
        <is>
          <t>3. Gníomhaíochtaí a bhaineann le breosla agus fuinneamh (nach bhfuil san áireamh i Raon Feidhme 1 nó i Raon Feidhme 2)</t>
        </is>
      </c>
      <c r="I200" s="2" t="inlineStr">
        <is>
          <t>3. Attività legate ai combustibili e all'energia (non incluse nell'ambito 1 o ambito 2)</t>
        </is>
      </c>
      <c r="J200" s="357" t="inlineStr">
        <is>
          <t>3. Su kuru ir energija susijusi veikla (neįtraukta į pirmą ar antrą ŠESD emisijų apimtį)</t>
        </is>
      </c>
      <c r="K200" s="357" t="inlineStr">
        <is>
          <t>3. Działalność związana z paliwami i energią (niezawarta w zakresie 1 i zakresie 2)</t>
        </is>
      </c>
      <c r="L200" s="357" t="inlineStr">
        <is>
          <t>3. Atividades Relacionadas com Combustíveis e Energia (Não Incluídas no Âmbito 1 ou Âmbito 2)</t>
        </is>
      </c>
      <c r="M200" s="357" t="inlineStr">
        <is>
          <t>3. Actividades relacionadas con el combustible y la energía (no incluidas en el Alcance 1 ni en el Alcance 2)</t>
        </is>
      </c>
    </row>
    <row r="201" ht="28.8" customHeight="1">
      <c r="A201" s="2" t="inlineStr">
        <is>
          <t>template_label_4_upstream_transportation_and_distribution</t>
        </is>
      </c>
      <c r="B201" s="461">
        <f>INDEX(C201:M201,MATCH(template_selected_display_language,$C$3:$M$3,0))</f>
        <v/>
      </c>
      <c r="C201" s="2" t="inlineStr">
        <is>
          <t>4. Upstream Transportation and Distribution</t>
        </is>
      </c>
      <c r="D201" s="563" t="inlineStr">
        <is>
          <t>4. Opstrøms transport og distribution</t>
        </is>
      </c>
      <c r="E201" s="563" t="inlineStr">
        <is>
          <t>Upstream transport en distributie</t>
        </is>
      </c>
      <c r="F201" s="563" t="inlineStr">
        <is>
          <t xml:space="preserve">4. Transport et distribution en amont </t>
        </is>
      </c>
      <c r="G201" s="366" t="inlineStr">
        <is>
          <t>4. Vorgelageter Transport und Vertrieb</t>
        </is>
      </c>
      <c r="H201" s="366" t="inlineStr">
        <is>
          <t xml:space="preserve"> Iompar agus Dáileadh Réamhtheachtach</t>
        </is>
      </c>
      <c r="I201" s="2" t="inlineStr">
        <is>
          <t>4. Trasporto e distribuzione a monte</t>
        </is>
      </c>
      <c r="J201" s="357" t="inlineStr">
        <is>
          <t>4. Priešsrovinis transportavimas ir paskirstymas</t>
        </is>
      </c>
      <c r="K201" s="357" t="inlineStr">
        <is>
          <t>4. Transport i dystrybucja na wyższym szczeblu łańcucha dostaw</t>
        </is>
      </c>
      <c r="L201" s="357" t="inlineStr">
        <is>
          <t>4. Transporte e Distribuição a Montante</t>
        </is>
      </c>
      <c r="M201" s="357" t="inlineStr">
        <is>
          <t>4. Transporte y distribución aguas arriba</t>
        </is>
      </c>
    </row>
    <row r="202">
      <c r="A202" s="2" t="inlineStr">
        <is>
          <t>template_label_5_waste_generated_in_operations</t>
        </is>
      </c>
      <c r="B202" s="461">
        <f>INDEX(C202:M202,MATCH(template_selected_display_language,$C$3:$M$3,0))</f>
        <v/>
      </c>
      <c r="C202" s="2" t="inlineStr">
        <is>
          <t>5. Waste Generated in Operations</t>
        </is>
      </c>
      <c r="D202" s="563" t="inlineStr">
        <is>
          <t>5. Affald genereret i driften</t>
        </is>
      </c>
      <c r="E202" s="563" t="inlineStr">
        <is>
          <t>5. Afval gegenereerd in de bedrijfsvoering</t>
        </is>
      </c>
      <c r="F202" s="563" t="inlineStr">
        <is>
          <t>5. Déchets produits lors de l’exploitation</t>
        </is>
      </c>
      <c r="G202" s="366" t="inlineStr">
        <is>
          <t>5. Im Rahmen der Geschäftstätigkeiten anfallender Abfall</t>
        </is>
      </c>
      <c r="H202" s="366" t="inlineStr">
        <is>
          <t>5. Dramhaíl a Ghintear in Oibríochtaí</t>
        </is>
      </c>
      <c r="I202" s="2" t="inlineStr">
        <is>
          <t>5. Rifiuti generati nel corso delle operazioni</t>
        </is>
      </c>
      <c r="J202" s="357" t="inlineStr">
        <is>
          <t>5. Atliekos, susidarančios vykdant veiklą</t>
        </is>
      </c>
      <c r="K202" s="357" t="inlineStr">
        <is>
          <t>5. Odpady powstałe w trakcie działalności operacyjnej</t>
        </is>
      </c>
      <c r="L202" s="357" t="inlineStr">
        <is>
          <t>5. Resíduos Gerados nas Operações</t>
        </is>
      </c>
      <c r="M202" s="357" t="inlineStr">
        <is>
          <t>5. Residuos generados en las operaciones</t>
        </is>
      </c>
    </row>
    <row r="203">
      <c r="A203" s="2" t="inlineStr">
        <is>
          <t>template_label_6_business_travel</t>
        </is>
      </c>
      <c r="B203" s="461">
        <f>INDEX(C203:M203,MATCH(template_selected_display_language,$C$3:$M$3,0))</f>
        <v/>
      </c>
      <c r="C203" s="2" t="inlineStr">
        <is>
          <t>6. Business Travel</t>
        </is>
      </c>
      <c r="D203" s="563" t="inlineStr">
        <is>
          <t>6. Forretningsrejser</t>
        </is>
      </c>
      <c r="E203" s="563" t="inlineStr">
        <is>
          <t>"6. Zakenreizen"</t>
        </is>
      </c>
      <c r="F203" s="563" t="inlineStr">
        <is>
          <t>6. Voyages d’affaires</t>
        </is>
      </c>
      <c r="G203" s="366" t="inlineStr">
        <is>
          <t>6. Geschäftsreisen</t>
        </is>
      </c>
      <c r="H203" s="366" t="inlineStr">
        <is>
          <t>6. Taisteal Gnó</t>
        </is>
      </c>
      <c r="I203" s="2" t="inlineStr">
        <is>
          <t>6. Viaggi d'affari</t>
        </is>
      </c>
      <c r="J203" s="357" t="inlineStr">
        <is>
          <t>6. Verslo kelionės</t>
        </is>
      </c>
      <c r="K203" s="357" t="inlineStr">
        <is>
          <t>6. Podróże służbowe</t>
        </is>
      </c>
      <c r="L203" s="357" t="inlineStr">
        <is>
          <t>6. Viagens de Negócios</t>
        </is>
      </c>
      <c r="M203" s="357" t="inlineStr">
        <is>
          <t>6. Viajes de negocios</t>
        </is>
      </c>
    </row>
    <row r="204">
      <c r="A204" s="2" t="inlineStr">
        <is>
          <t>template_label_7_employee_commuting</t>
        </is>
      </c>
      <c r="B204" s="461">
        <f>INDEX(C204:M204,MATCH(template_selected_display_language,$C$3:$M$3,0))</f>
        <v/>
      </c>
      <c r="C204" s="2" t="inlineStr">
        <is>
          <t>7. Employee Commuting</t>
        </is>
      </c>
      <c r="D204" s="563" t="inlineStr">
        <is>
          <t>7. medarbejderpendling</t>
        </is>
      </c>
      <c r="E204" s="563" t="inlineStr">
        <is>
          <t>7. Woon-werkverkeer van werknemers</t>
        </is>
      </c>
      <c r="F204" s="563" t="inlineStr">
        <is>
          <t>7. Déplacements domicile-travail des salariés</t>
        </is>
      </c>
      <c r="G204" s="366" t="inlineStr">
        <is>
          <t>7. Pendeln der Arbeitskräfte</t>
        </is>
      </c>
      <c r="H204" s="366" t="inlineStr">
        <is>
          <t>Timaistear tráthrialta fostaí</t>
        </is>
      </c>
      <c r="I204" s="2" t="inlineStr">
        <is>
          <t>7. Pendolarismo dei dipendenti</t>
        </is>
      </c>
      <c r="J204" s="357" t="inlineStr">
        <is>
          <t>7. Darbuotojų kelionės į ir iš darbo</t>
        </is>
      </c>
      <c r="K204" s="357" t="inlineStr">
        <is>
          <t>7. Dojazdy pracowników</t>
        </is>
      </c>
      <c r="L204" s="357" t="inlineStr">
        <is>
          <t>7. Deslocação dos Empregados</t>
        </is>
      </c>
      <c r="M204" s="357" t="inlineStr">
        <is>
          <t>7. Desplazamiento de empleados</t>
        </is>
      </c>
    </row>
    <row r="205" ht="28.8" customHeight="1">
      <c r="A205" s="2" t="inlineStr">
        <is>
          <t>template_label_8_upstream_leased_assets</t>
        </is>
      </c>
      <c r="B205" s="461">
        <f>INDEX(C205:M205,MATCH(template_selected_display_language,$C$3:$M$3,0))</f>
        <v/>
      </c>
      <c r="C205" s="2" t="inlineStr">
        <is>
          <t>8. Upstream Leased Assets</t>
        </is>
      </c>
      <c r="D205" s="563" t="inlineStr">
        <is>
          <t>8. Opstrøms lejede aktiver</t>
        </is>
      </c>
      <c r="E205" s="563" t="inlineStr">
        <is>
          <t>8. Upstream geleasede activa</t>
        </is>
      </c>
      <c r="F205" s="563" t="inlineStr">
        <is>
          <t>8. Actifs loués en amont</t>
        </is>
      </c>
      <c r="G205" s="366" t="inlineStr">
        <is>
          <t>8. Vorgelagerte Leasinggüter</t>
        </is>
      </c>
      <c r="H205" s="366" t="inlineStr">
        <is>
          <t>Sócmhainní Léasaithe Réamhtheachtach</t>
        </is>
      </c>
      <c r="I205" s="2" t="inlineStr">
        <is>
          <t>8. Attivi in leasing a monte</t>
        </is>
      </c>
      <c r="J205" s="357" t="inlineStr">
        <is>
          <t>8.  Priešsrovinis išnuomotas turtas</t>
        </is>
      </c>
      <c r="K205" s="357" t="inlineStr">
        <is>
          <t>8. Dzierżawione aktywa na wyższym szczeblu łańcucha wartości</t>
        </is>
      </c>
      <c r="L205" s="357" t="inlineStr">
        <is>
          <t>8. Ativos Arrendados a Montante</t>
        </is>
      </c>
      <c r="M205" s="357" t="inlineStr">
        <is>
          <t>Activos arrendados aguas arriba</t>
        </is>
      </c>
    </row>
    <row r="206" ht="28.8" customHeight="1">
      <c r="A206" s="2" t="inlineStr">
        <is>
          <t>template_label_9_downstream_transportation_and_distribution</t>
        </is>
      </c>
      <c r="B206" s="461">
        <f>INDEX(C206:M206,MATCH(template_selected_display_language,$C$3:$M$3,0))</f>
        <v/>
      </c>
      <c r="C206" s="2" t="inlineStr">
        <is>
          <t>9. Downstream Transportation and Distribution</t>
        </is>
      </c>
      <c r="D206" s="563" t="inlineStr">
        <is>
          <t>9. Nedstrøms transport og distribution</t>
        </is>
      </c>
      <c r="E206" s="563" t="inlineStr">
        <is>
          <t>9. Downstream transport en distributie</t>
        </is>
      </c>
      <c r="F206" s="563" t="inlineStr">
        <is>
          <t>9. Acheminement en aval</t>
        </is>
      </c>
      <c r="G206" s="366" t="inlineStr">
        <is>
          <t>9. Nachgelagerter Transport und Vertrieb</t>
        </is>
      </c>
      <c r="H206" s="366" t="inlineStr">
        <is>
          <t>9. Iompar agus Dáileadh Iartheachtach</t>
        </is>
      </c>
      <c r="I206" s="2" t="inlineStr">
        <is>
          <t>9. Trasporto a valle</t>
        </is>
      </c>
      <c r="J206" s="357" t="inlineStr">
        <is>
          <t>9. Pasrovinis transportavimas ir paskirstymas</t>
        </is>
      </c>
      <c r="K206" s="357" t="inlineStr">
        <is>
          <t>9. Transport i dystrybucja na niższym szczeblu łańcucha wartości</t>
        </is>
      </c>
      <c r="L206" s="357" t="inlineStr">
        <is>
          <t>9. Transporte e Distribuição a Jusante</t>
        </is>
      </c>
      <c r="M206" s="357" t="inlineStr">
        <is>
          <t>9. Transporte y distribución aguas abajo</t>
        </is>
      </c>
    </row>
    <row r="207">
      <c r="A207" s="2" t="inlineStr">
        <is>
          <t>template_label_10_processing_of_sold_products</t>
        </is>
      </c>
      <c r="B207" s="461">
        <f>INDEX(C207:M207,MATCH(template_selected_display_language,$C$3:$M$3,0))</f>
        <v/>
      </c>
      <c r="C207" s="2" t="inlineStr">
        <is>
          <t>10. Processing of Sold Products</t>
        </is>
      </c>
      <c r="D207" s="563" t="inlineStr">
        <is>
          <t>10. Forarbejdning af solgte produkter</t>
        </is>
      </c>
      <c r="E207" s="563" t="inlineStr">
        <is>
          <t>10. Verwerking van verkochte producten</t>
        </is>
      </c>
      <c r="F207" s="563" t="inlineStr">
        <is>
          <t>10. Transformation des produits vendus</t>
        </is>
      </c>
      <c r="G207" s="366" t="inlineStr">
        <is>
          <t>10. Verarbeitung verkaufter Produkte</t>
        </is>
      </c>
      <c r="H207" s="366" t="inlineStr">
        <is>
          <t>10. Próiseáil táirgí díolta</t>
        </is>
      </c>
      <c r="I207" s="2" t="inlineStr">
        <is>
          <t>10. Trasformazione dei prodotti venduti</t>
        </is>
      </c>
      <c r="J207" s="357" t="inlineStr">
        <is>
          <t>10. Parduotų produktų apdorojimas</t>
        </is>
      </c>
      <c r="K207" s="357" t="inlineStr">
        <is>
          <t>10. Przetwarzanie sprzedanych produktów</t>
        </is>
      </c>
      <c r="L207" s="357" t="inlineStr">
        <is>
          <t>10. Processamento dos Produtos Vendidos</t>
        </is>
      </c>
      <c r="M207" s="357" t="inlineStr">
        <is>
          <t>10. Procesamiento de productos vendidos</t>
        </is>
      </c>
    </row>
    <row r="208">
      <c r="A208" s="2" t="inlineStr">
        <is>
          <t>template_label_11_use_of_sold_products</t>
        </is>
      </c>
      <c r="B208" s="461">
        <f>INDEX(C208:M208,MATCH(template_selected_display_language,$C$3:$M$3,0))</f>
        <v/>
      </c>
      <c r="C208" s="2" t="inlineStr">
        <is>
          <t>11. Use of Sold Products</t>
        </is>
      </c>
      <c r="D208" s="563" t="inlineStr">
        <is>
          <t>11. Brug af solgte produkter</t>
        </is>
      </c>
      <c r="E208" s="563" t="inlineStr">
        <is>
          <t>Gebruik van verkochte producten</t>
        </is>
      </c>
      <c r="F208" s="563" t="inlineStr">
        <is>
          <t>11. Utilisation des produits vendus</t>
        </is>
      </c>
      <c r="G208" s="366" t="inlineStr">
        <is>
          <t>11. Verwendung verkaufter Produkte</t>
        </is>
      </c>
      <c r="H208" s="366" t="inlineStr">
        <is>
          <t>11. Úsáid táirgí díolta</t>
        </is>
      </c>
      <c r="I208" s="2" t="inlineStr">
        <is>
          <t>11. Uso dei prodotti venduti</t>
        </is>
      </c>
      <c r="J208" s="357" t="inlineStr">
        <is>
          <t>11. Parduotų produktų naudojimas</t>
        </is>
      </c>
      <c r="K208" s="357" t="inlineStr">
        <is>
          <t>11. Wykorzystanie sprzedanych produktów</t>
        </is>
      </c>
      <c r="L208" s="357" t="inlineStr">
        <is>
          <t>11. Uso de Produtos Vendidos</t>
        </is>
      </c>
      <c r="M208" s="357" t="inlineStr">
        <is>
          <t>11. Uso de productos vendidos</t>
        </is>
      </c>
    </row>
    <row r="209" ht="28.8" customHeight="1">
      <c r="A209" s="2" t="inlineStr">
        <is>
          <t>template_label_12_end_of_life_treatment_of_sold_products</t>
        </is>
      </c>
      <c r="B209" s="461">
        <f>INDEX(C209:M209,MATCH(template_selected_display_language,$C$3:$M$3,0))</f>
        <v/>
      </c>
      <c r="C209" s="2" t="inlineStr">
        <is>
          <t>12. End-of-Life Treatment of Sold Products</t>
        </is>
      </c>
      <c r="D209" s="563" t="inlineStr">
        <is>
          <t>12. Behandling ved slutningen af levetiden for solgte produkter</t>
        </is>
      </c>
      <c r="E209" s="563" t="inlineStr">
        <is>
          <t xml:space="preserve">12. Behandeling van verkochte producten aan het einde van de levensduur </t>
        </is>
      </c>
      <c r="F209" s="563" t="inlineStr">
        <is>
          <t>12. Traitement en fin de vie des produits vendus</t>
        </is>
      </c>
      <c r="G209" s="366" t="inlineStr">
        <is>
          <t>12. Behandlung verkaufter Produkte am Ende der Lebensdauer</t>
        </is>
      </c>
      <c r="H209" s="366" t="inlineStr">
        <is>
          <t xml:space="preserve"> Cóireáil Deireadh Ré ar Tháirgí Díolta</t>
        </is>
      </c>
      <c r="I209" s="2" t="inlineStr">
        <is>
          <t>12. Trattamento di fine vita dei prodotti venduti</t>
        </is>
      </c>
      <c r="J209" s="357" t="inlineStr">
        <is>
          <t>12. Parduotų produktų tvarkymas gyvavimo ciklo pabaigoje</t>
        </is>
      </c>
      <c r="K209" s="357" t="inlineStr">
        <is>
          <t>12. Wycofanie z eksploatacji sprzedanych produktów</t>
        </is>
      </c>
      <c r="L209" s="357" t="inlineStr">
        <is>
          <t>12. Tratamento de Fim de Vida dos Produtos Vendidos</t>
        </is>
      </c>
      <c r="M209" s="357" t="inlineStr">
        <is>
          <t>12. Tratamiento al final de la vida útil de los productos vendidos</t>
        </is>
      </c>
    </row>
    <row r="210" ht="28.8" customHeight="1">
      <c r="A210" s="2" t="inlineStr">
        <is>
          <t>template_label_13_downstream_leased_assets</t>
        </is>
      </c>
      <c r="B210" s="461">
        <f>INDEX(C210:M210,MATCH(template_selected_display_language,$C$3:$M$3,0))</f>
        <v/>
      </c>
      <c r="C210" s="2" t="inlineStr">
        <is>
          <t>13. Downstream Leased Assets</t>
        </is>
      </c>
      <c r="D210" s="563" t="inlineStr">
        <is>
          <t>13. Nedstrøms lejede aktiviteter</t>
        </is>
      </c>
      <c r="E210" s="563" t="inlineStr">
        <is>
          <t>13. Downstream  geleaste activa</t>
        </is>
      </c>
      <c r="F210" s="563" t="inlineStr">
        <is>
          <t>13. Actifs loués en aval</t>
        </is>
      </c>
      <c r="G210" s="366" t="inlineStr">
        <is>
          <t>13. Nachgelagerte Leasinggüter</t>
        </is>
      </c>
      <c r="H210" s="366" t="inlineStr">
        <is>
          <t>13. Sócmhainní Léasaithe Iartheachtacha</t>
        </is>
      </c>
      <c r="I210" s="2" t="inlineStr">
        <is>
          <t>13. Attivi in leasing a valle</t>
        </is>
      </c>
      <c r="J210" s="357" t="inlineStr">
        <is>
          <t>13. Pasrovinis išnuomotas turtas</t>
        </is>
      </c>
      <c r="K210" s="357" t="inlineStr">
        <is>
          <t>13. Aktywa dzierżawione na niższym szczeblu łańcucha wartości</t>
        </is>
      </c>
      <c r="L210" s="357" t="inlineStr">
        <is>
          <t>13. Ativos Arrendados a Jusante</t>
        </is>
      </c>
      <c r="M210" s="357" t="inlineStr">
        <is>
          <t>13. Activos arrendados aguas abajo</t>
        </is>
      </c>
    </row>
    <row r="211">
      <c r="A211" s="2" t="inlineStr">
        <is>
          <t>template_label_14_franchises</t>
        </is>
      </c>
      <c r="B211" s="461">
        <f>INDEX(C211:M211,MATCH(template_selected_display_language,$C$3:$M$3,0))</f>
        <v/>
      </c>
      <c r="C211" s="2" t="inlineStr">
        <is>
          <t>14. Franchises</t>
        </is>
      </c>
      <c r="D211" s="563" t="inlineStr">
        <is>
          <t>14. Franchiseaftaler</t>
        </is>
      </c>
      <c r="E211" s="563" t="inlineStr">
        <is>
          <t>14. Franchises</t>
        </is>
      </c>
      <c r="F211" s="563" t="inlineStr">
        <is>
          <t>14. Franchises</t>
        </is>
      </c>
      <c r="G211" s="366" t="inlineStr">
        <is>
          <t>14. Franchises</t>
        </is>
      </c>
      <c r="H211" s="366" t="inlineStr">
        <is>
          <t>14. Saincheadúnais</t>
        </is>
      </c>
      <c r="I211" s="2" t="inlineStr">
        <is>
          <t>14. Franchising</t>
        </is>
      </c>
      <c r="J211" s="357" t="inlineStr">
        <is>
          <t>14. Franšizės</t>
        </is>
      </c>
      <c r="K211" s="357" t="inlineStr">
        <is>
          <t>14. Franczyzy</t>
        </is>
      </c>
      <c r="L211" s="357" t="inlineStr">
        <is>
          <t>14. Franquias</t>
        </is>
      </c>
      <c r="M211" s="357" t="inlineStr">
        <is>
          <t>14. Franquicias</t>
        </is>
      </c>
    </row>
    <row r="212">
      <c r="A212" s="2" t="inlineStr">
        <is>
          <t>template_label_15_investments</t>
        </is>
      </c>
      <c r="B212" s="461">
        <f>INDEX(C212:M212,MATCH(template_selected_display_language,$C$3:$M$3,0))</f>
        <v/>
      </c>
      <c r="C212" s="2" t="inlineStr">
        <is>
          <t>15. Investments</t>
        </is>
      </c>
      <c r="D212" s="563" t="inlineStr">
        <is>
          <t>15. Investeringer</t>
        </is>
      </c>
      <c r="E212" s="563" t="inlineStr">
        <is>
          <t>15. Investeringen</t>
        </is>
      </c>
      <c r="F212" s="563" t="inlineStr">
        <is>
          <t>15. Investissements</t>
        </is>
      </c>
      <c r="G212" s="366" t="inlineStr">
        <is>
          <t>15. Investitionen</t>
        </is>
      </c>
      <c r="H212" s="366" t="inlineStr">
        <is>
          <t>15. Infheistíochtaí</t>
        </is>
      </c>
      <c r="I212" s="2" t="inlineStr">
        <is>
          <t>15. Investimenti</t>
        </is>
      </c>
      <c r="J212" s="357" t="inlineStr">
        <is>
          <t>Investicijos</t>
        </is>
      </c>
      <c r="K212" s="357" t="inlineStr">
        <is>
          <t>15. Inwestycje</t>
        </is>
      </c>
      <c r="L212" s="357" t="inlineStr">
        <is>
          <t>15. Investimentos</t>
        </is>
      </c>
      <c r="M212" s="357" t="inlineStr">
        <is>
          <t>15. Inversiones</t>
        </is>
      </c>
    </row>
    <row r="213">
      <c r="A213" s="2" t="inlineStr">
        <is>
          <t>template_label_total_scope_3_ghg_emissions</t>
        </is>
      </c>
      <c r="B213" s="461">
        <f>INDEX(C213:M213,MATCH(template_selected_display_language,$C$3:$M$3,0))</f>
        <v/>
      </c>
      <c r="C213" s="2" t="inlineStr">
        <is>
          <t>Total Scope 3 GHG  emissions</t>
        </is>
      </c>
      <c r="D213" s="563" t="inlineStr">
        <is>
          <t>Total Scope 3 drivhusgasudledninger</t>
        </is>
      </c>
      <c r="E213" s="563" t="inlineStr">
        <is>
          <t>Totale broeikasgasemissies van Scope 3</t>
        </is>
      </c>
      <c r="F213" s="563" t="inlineStr">
        <is>
          <t>Émissions totales de GES du scope 3</t>
        </is>
      </c>
      <c r="G213" s="366" t="inlineStr">
        <is>
          <t>Gesamte Scope 3-Treibhausgasemissionen</t>
        </is>
      </c>
      <c r="H213" s="366" t="inlineStr">
        <is>
          <t>Comhlán astaíochtaí comhlána GCT Raon Feidhme 3</t>
        </is>
      </c>
      <c r="I213" s="2" t="inlineStr">
        <is>
          <t>Emissioni totali di gas a effetto serra di ambito 3</t>
        </is>
      </c>
      <c r="J213" s="357" t="inlineStr">
        <is>
          <t>Bedrosiosios trečios apimties (ŠESD) emisijos</t>
        </is>
      </c>
      <c r="K213" s="357" t="inlineStr">
        <is>
          <t>Całkowite emisje gazów cieplarnianych zakresu 3</t>
        </is>
      </c>
      <c r="L213" s="357" t="inlineStr">
        <is>
          <t>Emissões totais de GEE de Âmbito 3</t>
        </is>
      </c>
      <c r="M213" s="357" t="inlineStr">
        <is>
          <t>Emisiones totales de GEI de Alcance 3</t>
        </is>
      </c>
    </row>
    <row r="214" ht="28.8" customHeight="1">
      <c r="A214" s="2" t="inlineStr">
        <is>
          <t>template_label_total_scope_1_scope_2_and_scope_3_ghg_emissions_location_based</t>
        </is>
      </c>
      <c r="B214" s="461">
        <f>INDEX(C214:M214,MATCH(template_selected_display_language,$C$3:$M$3,0))</f>
        <v/>
      </c>
      <c r="C214" s="2" t="inlineStr">
        <is>
          <t>Total Scope 1 Scope 2 and Scope 3 GHG Emissions (location-based)</t>
        </is>
      </c>
      <c r="D214" s="563" t="inlineStr">
        <is>
          <t>Total Scope 1, Scope 2 og Scope 3 drivhusgasudledninger (lokationsbaseret)</t>
        </is>
      </c>
      <c r="E214" s="563" t="inlineStr">
        <is>
          <t>Totale Scope 1, Scope 2 en Scope 3  broeikasgasemissies (locatiegebaseerd)</t>
        </is>
      </c>
      <c r="F214" s="563" t="inlineStr">
        <is>
          <t>Émissions totales de GES des scopes 1, 2 et 3 (approche basée sur la localisation)</t>
        </is>
      </c>
      <c r="G214" s="366" t="inlineStr">
        <is>
          <t>Gesamte Scope 1-, Scope 2- und Scope 3-Treibhausgasemissionen (standortbezogen)</t>
        </is>
      </c>
      <c r="H214" s="366" t="inlineStr">
        <is>
          <t>Astaíochtaí comhlána GCT Raon Feidhme 1 Raon Feidhme 2 agus Raon Feidhme 3 (bunaithe ar shuíomh)</t>
        </is>
      </c>
      <c r="I214" s="2" t="inlineStr">
        <is>
          <t>Emissioni totali di gas a effetto serra di ambito 1, ambito 2 e ambito 3 (basate sulla posizione)</t>
        </is>
      </c>
      <c r="J214" s="357" t="inlineStr">
        <is>
          <t>Bendrosios pirmos, antros (vietos metodu) ir trečios apimties ŠESD emisijos</t>
        </is>
      </c>
      <c r="K214" s="357" t="inlineStr">
        <is>
          <t>Całkowite emisje gazów cieplarnianych zakresu 1, zakresu 2 i zakresu 3 (według metody opartej na lokalizacji)</t>
        </is>
      </c>
      <c r="L214" s="357" t="inlineStr">
        <is>
          <t>Emissões brutas totais de GEE de Âmbito 1, Âmbito 2 e Âmbito 3 (baseadas na localização)</t>
        </is>
      </c>
      <c r="M214" s="357" t="inlineStr">
        <is>
          <t>Emisiones totales de GEI de Alcance 1, Alcance 2 y Alcance 3 (basadas en la ubicación)</t>
        </is>
      </c>
    </row>
    <row r="215" ht="29.4" customHeight="1" thickBot="1">
      <c r="A215" s="358" t="inlineStr">
        <is>
          <t>template_label_total_scope_1_scope_2_and_scope_3_ghg_emissions_market_based</t>
        </is>
      </c>
      <c r="B215" s="462">
        <f>INDEX(C215:M215,MATCH(template_selected_display_language,$C$3:$M$3,0))</f>
        <v/>
      </c>
      <c r="C215" s="358" t="inlineStr">
        <is>
          <t>Total Scope 1 Scope 2 and Scope 3 GHG Emissions (market-based)</t>
        </is>
      </c>
      <c r="D215" s="373" t="inlineStr">
        <is>
          <t xml:space="preserve">Total Scope 1, Scope 2 og Scope 3  drivhusgasudledninger (markedsbaseret) </t>
        </is>
      </c>
      <c r="E215" s="373" t="inlineStr">
        <is>
          <t>Totale broeikasgasemissies van scope 1, scope 2 en scope 3 (marktgebaseerd)</t>
        </is>
      </c>
      <c r="F215" s="373" t="inlineStr">
        <is>
          <t>Émissions totales de GES des scopes 1, 2 et 3 (approche basée sur le marché)</t>
        </is>
      </c>
      <c r="G215" s="367" t="inlineStr">
        <is>
          <t>Gesamte Scope 1-, Scope 2- und Scope 3-Treibhausgasemissionen (marktbasiert)</t>
        </is>
      </c>
      <c r="H215" s="367" t="inlineStr">
        <is>
          <t>Astaíochtaí comhlána GCT Raon Feidhme 1 Raon Feidhme 2 agus Raon Feidhme 3 (bunaithe ar an margadh)</t>
        </is>
      </c>
      <c r="I215" s="358" t="inlineStr">
        <is>
          <t>Emissioni totali di gas a effetto serra di ambito 1, ambito 2 e ambito 3 (basate sul mercato)</t>
        </is>
      </c>
      <c r="J215" s="371" t="inlineStr">
        <is>
          <t>Bendrosios pirmos, antros (rinkos metodu) ir trečios apimties ŠESD emisijos</t>
        </is>
      </c>
      <c r="K215" s="371" t="inlineStr">
        <is>
          <t>Całkowite emisje gazów cieplarnianych zakresu 1, zakresu 2 i zakresu 3 (według metody opartej na rynku)</t>
        </is>
      </c>
      <c r="L215" s="371" t="inlineStr">
        <is>
          <t>Emissões totais de GEE de Âmbito 1, Âmbito 2 e Âmbito 3 (baseadas no mercado)</t>
        </is>
      </c>
      <c r="M215" s="371" t="inlineStr">
        <is>
          <t>Emisiones totales de gases de efecto invernadero de Alcance 1, Alcance 2 y Alcance 3 (basadas en el mercado)</t>
        </is>
      </c>
    </row>
    <row r="216" ht="43.2" customHeight="1">
      <c r="A216" s="2" t="inlineStr">
        <is>
          <t>template_label_c3_disclosure_of_list_of_main_actions_the_entity_seeks_in_order_to_achieve_its_targets</t>
        </is>
      </c>
      <c r="B216" s="461">
        <f>INDEX(C216:M216,MATCH(template_selected_display_language,$C$3:$M$3,0))</f>
        <v/>
      </c>
      <c r="C216" s="2" t="inlineStr">
        <is>
          <t>C3 - Disclosure of list of main actions the entity seeks in order to achieve its targets</t>
        </is>
      </c>
      <c r="D216" s="563" t="inlineStr">
        <is>
          <t>C3 - Liste over de vigtigste foranstaltninger, som virksomheden søger at gennemføre for at nå sine mål</t>
        </is>
      </c>
      <c r="E216" s="563" t="inlineStr">
        <is>
          <t>C3 -  Rapportage van de lijst van belangrijkste acties die de entiteit nastreeft om haar doelstellingen te bereiken</t>
        </is>
      </c>
      <c r="F216" s="563" t="inlineStr">
        <is>
          <t>C3 - Publication de la liste des principales actions que l'entreprise entend mettre en œuvre pour atteindre ses cibles</t>
        </is>
      </c>
      <c r="G216" s="366" t="inlineStr">
        <is>
          <t>C3 – Angabe der wesentlichen Maßnahmen, die das Unternehmen zur Erreichung seiner Ziele durchzuführen beabsichtigt</t>
        </is>
      </c>
      <c r="H216" s="366" t="inlineStr">
        <is>
          <t>C3 - Nochtadh liosta de na príomhghníomhartha a fhéachann an gnóthas lena gcur chun feidhme chun a spriocanna a bhaint amach</t>
        </is>
      </c>
      <c r="I216" s="2" t="inlineStr">
        <is>
          <t>C3 - Comunicazione dell'elenco delle principali azioni che l'impresa intende attuare per raggiungere i propri obiettivi</t>
        </is>
      </c>
      <c r="J216" s="357" t="inlineStr">
        <is>
          <t>C3 – Pagrindinių veiksmų, kuriuos įmonė numato įgyvendinti siekdama savo tikslų, sąrašo atskleidimas</t>
        </is>
      </c>
      <c r="K216" s="357" t="inlineStr">
        <is>
          <t>C3 - wykaz głównych działań, które jednostka zamierza wdrożyć, aby osiągnąć swoje cele</t>
        </is>
      </c>
      <c r="L216" s="357" t="inlineStr">
        <is>
          <t>C3 - Divulgação da lista das principais ações que a entidade pretende implementar para atingir os seus objetivos</t>
        </is>
      </c>
      <c r="M216" s="357" t="inlineStr">
        <is>
          <t>C3 - Divulgación de la lista de principales actuaciones que la entidad busca llevar a cabo para alcanzar sus metas</t>
        </is>
      </c>
    </row>
    <row r="217" ht="28.8" customHeight="1">
      <c r="A217" s="2" t="inlineStr">
        <is>
          <t>template_label_c3_transition_plan_for_undertakings_operating_in_high_climate_impact_sectors</t>
        </is>
      </c>
      <c r="B217" s="461">
        <f>INDEX(C217:M217,MATCH(template_selected_display_language,$C$3:$M$3,0))</f>
        <v/>
      </c>
      <c r="C217" s="2" t="inlineStr">
        <is>
          <t>C3 - Transition plan for undertakings operating in high climate impact sectors</t>
        </is>
      </c>
      <c r="D217" s="563" t="inlineStr">
        <is>
          <t>C3 - Omstillingsplan for virksomheder, der opererer i sektorer med stor klimaindvirkning</t>
        </is>
      </c>
      <c r="E217" s="563" t="inlineStr">
        <is>
          <t>C3 – Transitieplan voor ondernemingen die actief zijn in sectoren met een hoge klimaatimpact</t>
        </is>
      </c>
      <c r="F217" s="563" t="inlineStr">
        <is>
          <t>C3 - Plan de transition pour les entreprises opérant dans des secteurs à fort impact climatique</t>
        </is>
      </c>
      <c r="G217" s="366" t="inlineStr">
        <is>
          <t>C3 – Übergangsplan für Unternehmen, die in klimaintensiven Sektoren tätig sind</t>
        </is>
      </c>
      <c r="H217" s="366" t="inlineStr">
        <is>
          <t>C3 - Plean aistrithe do ghnóthais atá ag feidhmiú in earnálacha ardtionchair aeráide</t>
        </is>
      </c>
      <c r="I217" s="2" t="inlineStr">
        <is>
          <t>C3 - Piano di transizione per le imprese che operano in settori ad alto impatto climatico</t>
        </is>
      </c>
      <c r="J217" s="357" t="inlineStr">
        <is>
          <t>C3 – Perėjimo planas įmonėms, veikiančioms didelio poveikio klimatui sektoriuose</t>
        </is>
      </c>
      <c r="K217" s="357" t="inlineStr">
        <is>
          <t>C3 – Plan transformacji dla jednostek prowadzących działalność w sektorach o znacznym oddziaływaniu na klimat</t>
        </is>
      </c>
      <c r="L217" s="357" t="inlineStr">
        <is>
          <t>C3 - Plano de transição para empresas que operam em setores com elevado impacto climático</t>
        </is>
      </c>
      <c r="M217" s="357" t="inlineStr">
        <is>
          <t>C3 - Plan de transición para empresas que operan en sectores de alto impacto climático</t>
        </is>
      </c>
    </row>
    <row r="218" ht="28.8" customHeight="1">
      <c r="A218" s="2" t="inlineStr">
        <is>
          <t>template_label_is_the_undertaking_operating_in_high_impact_sectors</t>
        </is>
      </c>
      <c r="B218" s="461">
        <f>INDEX(C218:M218,MATCH(template_selected_display_language,$C$3:$M$3,0))</f>
        <v/>
      </c>
      <c r="C218" s="2" t="inlineStr">
        <is>
          <t>Is the undertaking operating in high impact sectors?</t>
        </is>
      </c>
      <c r="D218" s="563" t="inlineStr">
        <is>
          <t xml:space="preserve">Opererer virksomheden i en sektor med stor klimaindvirkning? </t>
        </is>
      </c>
      <c r="E218" s="563" t="inlineStr">
        <is>
          <t>Is de onderneming actief in sectoren met een grote impact?</t>
        </is>
      </c>
      <c r="F218" s="563" t="inlineStr">
        <is>
          <t>L'entreprise opère-t-elle dans des secteurs à fort impact ?</t>
        </is>
      </c>
      <c r="G218" s="366" t="inlineStr">
        <is>
          <t>Ist das Unternehmen in klimaintensiven Sektoren tätig?</t>
        </is>
      </c>
      <c r="H218" s="366" t="inlineStr">
        <is>
          <t>An bhfuil an gnóthas ag feidhmiú in earnálacha ardtionchair?</t>
        </is>
      </c>
      <c r="I218" s="2" t="inlineStr">
        <is>
          <t>L'impresa opera in settori ad alto impatto?</t>
        </is>
      </c>
      <c r="J218" s="357" t="inlineStr">
        <is>
          <t>Ar įmonė veikia didelio poveikio klimatui sektoriuose?</t>
        </is>
      </c>
      <c r="K218" s="357" t="inlineStr">
        <is>
          <t>Czy jednostka prowadzi działalność w sektorach o znacznym oddziaływaniu na klimat?</t>
        </is>
      </c>
      <c r="L218" s="357" t="inlineStr">
        <is>
          <t>A Empresa opera em setores de elevado impacto?</t>
        </is>
      </c>
      <c r="M218" s="357" t="inlineStr">
        <is>
          <t>¿La empresa opera en sectores de alto impacto?</t>
        </is>
      </c>
    </row>
    <row r="219" ht="28.8" customHeight="1">
      <c r="A219" s="2" t="inlineStr">
        <is>
          <t>template_label_status_of_implementation_of_a_transition_plan_in_relation_to_climate_change_mitigation</t>
        </is>
      </c>
      <c r="B219" s="461">
        <f>INDEX(C219:M219,MATCH(template_selected_display_language,$C$3:$M$3,0))</f>
        <v/>
      </c>
      <c r="C219" s="2" t="inlineStr">
        <is>
          <t>Status of implementation of a transition plan in relation to climate change mitigation</t>
        </is>
      </c>
      <c r="D219" s="563" t="inlineStr">
        <is>
          <t>Status for implementering af en omstillingsplan i relation til modvirkning af klimaændringer</t>
        </is>
      </c>
      <c r="E219" s="563" t="inlineStr">
        <is>
          <t>Status van de uitvoering van een transitieplan in relatie tot mitigatie van klimaatverandering</t>
        </is>
      </c>
      <c r="F219" s="563" t="inlineStr">
        <is>
          <t>Statut de la mise en œuvre d’un plan de transition en relation avec l’atténuation du changement climatique</t>
        </is>
      </c>
      <c r="G219" s="366" t="inlineStr">
        <is>
          <t>Status der Umsetzung eines Übergangsplans zur Minderung des Klimawandels</t>
        </is>
      </c>
      <c r="H219" s="366" t="inlineStr">
        <is>
          <t>Stádas cur chun feidhme plean aistrithe i ndáil le maolú ar an athrú aeráide</t>
        </is>
      </c>
      <c r="I219" s="2" t="inlineStr">
        <is>
          <t>Stato di attuazione di un piano di transizione per la mitigazione dei cambiamenti climatici</t>
        </is>
      </c>
      <c r="J219" s="357" t="inlineStr">
        <is>
          <t>Perėjimo plano įgyvendinimo statusas klimato kaitos švelninimo atžvilgiu</t>
        </is>
      </c>
      <c r="K219" s="357" t="inlineStr">
        <is>
          <t>Status wdrożenia planu transformacji w związku z łagodzeniem zmian klimatu</t>
        </is>
      </c>
      <c r="L219" s="357" t="inlineStr">
        <is>
          <t>Estado da implementação de um plano de transição relacionado com a mitigação das alterações climáticas</t>
        </is>
      </c>
      <c r="M219" s="357" t="inlineStr">
        <is>
          <t>Estado de implementación de un plan de transición en relación con la mitigación del cambio climático</t>
        </is>
      </c>
    </row>
    <row r="220" ht="72" customHeight="1">
      <c r="A220" s="2" t="inlineStr">
        <is>
          <t>template_label_description_of_a_transition_plan_for_climate_change_mitigation</t>
        </is>
      </c>
      <c r="B220" s="461">
        <f>INDEX(C220:M220,MATCH(template_selected_display_language,$C$3:$M$3,0))</f>
        <v/>
      </c>
      <c r="C220" s="2" t="inlineStr">
        <is>
          <t>Description of a transition plan for climate change mitigation including an explanation of how it is contributing to reduce GHG emissions</t>
        </is>
      </c>
      <c r="D220" s="563" t="inlineStr">
        <is>
          <t>Beskrivelse af en overgangsplan for modvirkning af klimaændringer, herunder en redegørelse for, hvordan den bidrager til at reducere drivhusgasudledninger (GHG)</t>
        </is>
      </c>
      <c r="E220" s="563" t="inlineStr">
        <is>
          <t>Beschrijving van een transitieplan voor klimaatmitigatie, inclusief een toelichting op hoe het bijdraagt aan het verminderen van broeikasgasemissies.</t>
        </is>
      </c>
      <c r="F220" s="563" t="inlineStr">
        <is>
          <t>Description d’un plan de transition pour l’atténuation du changement climatique comprenant une explication de la manière dont il contribue à réduire les émissions de GES</t>
        </is>
      </c>
      <c r="G220" s="366" t="inlineStr">
        <is>
          <t>Beschreibung eines Übergangsplans für den Klimaschutz, einschließlich einer Erläuterung, wie dieser dazu beiträgt, die THG-Emissionen zu verringern</t>
        </is>
      </c>
      <c r="H220" s="366" t="inlineStr">
        <is>
          <t>Cur síos ar phlean aistrithe chun an t-athrú aeráide a mhaolú, lena n-áirítear míniú ar an gcaoi a bhfuil sé ag cur le hastaíochtaí gás ceaptha teasa a laghdú</t>
        </is>
      </c>
      <c r="I220" s="2" t="inlineStr">
        <is>
          <t>Descrizione di un piano di transizione per la mitigazione dei cambiamenti climatici, comprensa una spiegazione del modo in cui il piano sta contribuendo a ridurre le emissioni di gas a effetto serra.</t>
        </is>
      </c>
      <c r="J220" s="357" t="inlineStr">
        <is>
          <t xml:space="preserve">Kklimato kaitos sušvelninimo pereinamojo laikotarpio plano aprašymas, įskaitant paaiškinimą, kaip jis prisideda prie ŠESD emisijų mažinimo
</t>
        </is>
      </c>
      <c r="K220" s="357" t="inlineStr">
        <is>
          <t>Opis planu transformacji na rzecz łagodzenia zmian klimatu wraz z wyjaśnieniem, w jaki sposób przyczynia się on do redukcji emisji gazów cieplarnianych</t>
        </is>
      </c>
      <c r="L220" s="357" t="inlineStr">
        <is>
          <t>Descrição de um plano de transição para a mitigação das alterações climáticas, incluindo uma explicação de como está a contribuir para a redução das emissões de GEE</t>
        </is>
      </c>
      <c r="M220" s="357" t="inlineStr">
        <is>
          <t>Descripción de un plan de transición para la mitigación del cambio climático, incluida una explicación de cómo contribuye a reducir las emisiones de gases de efecto invernadero (GEI)</t>
        </is>
      </c>
    </row>
    <row r="221" ht="43.2" customHeight="1">
      <c r="A221" s="2" t="inlineStr">
        <is>
          <t>template_label_date_of_foreseen_adoption_of_transition_plan_for_undertaking_not_having_adopted_transition_plan_yet</t>
        </is>
      </c>
      <c r="B221" s="461">
        <f>INDEX(C221:M221,MATCH(template_selected_display_language,$C$3:$M$3,0))</f>
        <v/>
      </c>
      <c r="C221" s="2" t="inlineStr">
        <is>
          <t>Date of foreseen adoption of transition plan for undertaking not having adopted transition plan yet</t>
        </is>
      </c>
      <c r="D221" s="563" t="inlineStr">
        <is>
          <t>Dato for forventet vedtagelse af omstillingsplan hvis endnu ikke vedtaget</t>
        </is>
      </c>
      <c r="E221" s="563" t="inlineStr">
        <is>
          <t>Datum van verwachte vaststelling van het transitieplan voor ondernemingen die nog geen transitieplan hebben vastgesteld</t>
        </is>
      </c>
      <c r="F221" s="563" t="inlineStr">
        <is>
          <t>Date prévue d’adoption du plan de transition pour l’entreprise n’ayant pas encore adopté de plan de transition</t>
        </is>
      </c>
      <c r="G221" s="366" t="inlineStr">
        <is>
          <t>Datum der vorgesehenen Annahme des Übergangsplans für Unternehmen, die noch keinen Übergangsplan angenommen haben</t>
        </is>
      </c>
      <c r="H221" s="366" t="inlineStr">
        <is>
          <t>Dáta réamh-mheasta glacadh leis an bplean idirthréimhseach do ghnóthais nach bhfuil glactha fós ag an bplean idirthréimhseach</t>
        </is>
      </c>
      <c r="I221" s="2" t="inlineStr">
        <is>
          <t>Data prevista per l'adozione del piano di transizione per l'impresa che non ha ancora adottato un piano di transizione</t>
        </is>
      </c>
      <c r="J221" s="357" t="inlineStr">
        <is>
          <t>Numatoma pereinamojo plano patvirtinimo data įmonei, kuri dar nėra pasitvirtinusi pereinamojo plano</t>
        </is>
      </c>
      <c r="K221" s="357" t="inlineStr">
        <is>
          <t>Data przewidywanego przyjęcia planu transformacji dla jednostki, która jeszcze nie przyjęła planu transformacji</t>
        </is>
      </c>
      <c r="L221" s="357" t="inlineStr">
        <is>
          <t>Data de adoção prevista do plano de transição para a entidade que ainda não adotou um plano de transição</t>
        </is>
      </c>
      <c r="M221" s="357" t="inlineStr">
        <is>
          <t>Fecha prevista de adopción del plan de transición para la empresa que aún no ha adoptado un plan de transición</t>
        </is>
      </c>
    </row>
    <row r="222" ht="28.8" customHeight="1">
      <c r="A222" s="2" t="inlineStr">
        <is>
          <t>template_label_year</t>
        </is>
      </c>
      <c r="B222" s="461">
        <f>INDEX(C222:M222,MATCH(template_selected_display_language,$C$3:$M$3,0))</f>
        <v/>
      </c>
      <c r="C222" s="2" t="inlineStr">
        <is>
          <t>Year</t>
        </is>
      </c>
      <c r="D222" s="563" t="inlineStr">
        <is>
          <t>År</t>
        </is>
      </c>
      <c r="E222" s="563" t="inlineStr">
        <is>
          <t>Jaar</t>
        </is>
      </c>
      <c r="F222" s="563" t="inlineStr">
        <is>
          <t>Année</t>
        </is>
      </c>
      <c r="G222" s="366" t="inlineStr">
        <is>
          <t>Jahr</t>
        </is>
      </c>
      <c r="H222" s="366" t="inlineStr">
        <is>
          <t>Dáta réamh-mheasta glacadh leis an bplean aistrithe do ghnóthais nach bhfuil glactha fós ag an bplean aistrithe</t>
        </is>
      </c>
      <c r="I222" s="2" t="inlineStr">
        <is>
          <t>Anno</t>
        </is>
      </c>
      <c r="J222" s="357" t="inlineStr">
        <is>
          <t>Metai</t>
        </is>
      </c>
      <c r="K222" s="357" t="inlineStr">
        <is>
          <t>Rok</t>
        </is>
      </c>
      <c r="L222" s="357" t="inlineStr">
        <is>
          <t>Ano</t>
        </is>
      </c>
      <c r="M222" s="357" t="inlineStr">
        <is>
          <t>Año</t>
        </is>
      </c>
    </row>
    <row r="223">
      <c r="A223" s="2" t="inlineStr">
        <is>
          <t>template_label_month</t>
        </is>
      </c>
      <c r="B223" s="461">
        <f>INDEX(C223:M223,MATCH(template_selected_display_language,$C$3:$M$3,0))</f>
        <v/>
      </c>
      <c r="C223" s="2" t="inlineStr">
        <is>
          <t>Month</t>
        </is>
      </c>
      <c r="D223" s="563" t="inlineStr">
        <is>
          <t>Måned</t>
        </is>
      </c>
      <c r="E223" s="563" t="inlineStr">
        <is>
          <t>Maand</t>
        </is>
      </c>
      <c r="F223" s="563" t="inlineStr">
        <is>
          <t>Mois</t>
        </is>
      </c>
      <c r="G223" s="366" t="inlineStr">
        <is>
          <t>Monat</t>
        </is>
      </c>
      <c r="H223" s="366" t="inlineStr">
        <is>
          <t>Mí</t>
        </is>
      </c>
      <c r="I223" s="2" t="inlineStr">
        <is>
          <t>Mese</t>
        </is>
      </c>
      <c r="J223" s="357" t="inlineStr">
        <is>
          <t>Mėnuo</t>
        </is>
      </c>
      <c r="K223" s="357" t="inlineStr">
        <is>
          <t>Miesiąc</t>
        </is>
      </c>
      <c r="L223" s="357" t="inlineStr">
        <is>
          <t>Mês</t>
        </is>
      </c>
      <c r="M223" s="357" t="inlineStr">
        <is>
          <t>Mes</t>
        </is>
      </c>
    </row>
    <row r="224">
      <c r="A224" s="2" t="inlineStr">
        <is>
          <t>template_label_day</t>
        </is>
      </c>
      <c r="B224" s="461">
        <f>INDEX(C224:M224,MATCH(template_selected_display_language,$C$3:$M$3,0))</f>
        <v/>
      </c>
      <c r="C224" s="2" t="inlineStr">
        <is>
          <t>Day</t>
        </is>
      </c>
      <c r="D224" s="563" t="inlineStr">
        <is>
          <t>Dag</t>
        </is>
      </c>
      <c r="E224" s="563" t="inlineStr">
        <is>
          <t>Dag</t>
        </is>
      </c>
      <c r="F224" s="563" t="inlineStr">
        <is>
          <t>Jour</t>
        </is>
      </c>
      <c r="G224" s="366" t="inlineStr">
        <is>
          <t>Tag</t>
        </is>
      </c>
      <c r="H224" s="366" t="inlineStr">
        <is>
          <t>Lá</t>
        </is>
      </c>
      <c r="I224" s="2" t="inlineStr">
        <is>
          <t>Giorno</t>
        </is>
      </c>
      <c r="J224" s="357" t="inlineStr">
        <is>
          <t>Diena</t>
        </is>
      </c>
      <c r="K224" s="357" t="inlineStr">
        <is>
          <t>Dzień</t>
        </is>
      </c>
      <c r="L224" s="357" t="inlineStr">
        <is>
          <t>Dia</t>
        </is>
      </c>
      <c r="M224" s="357" t="inlineStr">
        <is>
          <t>Día</t>
        </is>
      </c>
    </row>
    <row r="225" ht="28.8" customHeight="1">
      <c r="A225" s="2" t="inlineStr">
        <is>
          <t>template_label_b3_greenhouse_gas_emission_intensity_per_turnover</t>
        </is>
      </c>
      <c r="B225" s="461">
        <f>INDEX(C225:M225,MATCH(template_selected_display_language,$C$3:$M$3,0))</f>
        <v/>
      </c>
      <c r="C225" s="2" t="inlineStr">
        <is>
          <t>B3 - Greenhouse gas emission intensity per turnover (in tCO2e)</t>
        </is>
      </c>
      <c r="D225" s="563" t="inlineStr">
        <is>
          <t>B3 - Drivhusgasintensitet</t>
        </is>
      </c>
      <c r="E225" s="563" t="inlineStr">
        <is>
          <t>B3 - Intensiteit van de broeikasgasemissies per omzet (in tCO2e)</t>
        </is>
      </c>
      <c r="F225" s="563" t="inlineStr">
        <is>
          <t>B3 - Intensité des émissions de gaz à effet de serre sur la base du chiffre d'affaires (en  tCO₂e)</t>
        </is>
      </c>
      <c r="G225" s="366" t="inlineStr">
        <is>
          <t>B3 - Treibhausgas-Emissionsintensität bezogen auf Umsatzerlöse (in tCO2e)</t>
        </is>
      </c>
      <c r="H225" s="366" t="inlineStr">
        <is>
          <t>B3 - Déine astaíochtaí gás ceaptha teasa in aghaidh an láimhdeachas (i tCO2e)</t>
        </is>
      </c>
      <c r="I225" s="2" t="inlineStr">
        <is>
          <t>B3 - Intensità delle emissioni di gas a effetto serra per ricavi delle vendite e delle prestazioni (in tCO2e)</t>
        </is>
      </c>
      <c r="J225" s="357" t="inlineStr">
        <is>
          <t>B3 - Šiltnamio efektą sukeliančių dujų (ŠESD) intensyvumas pagal apyvartą (tCO2e)</t>
        </is>
      </c>
      <c r="K225" s="357" t="inlineStr">
        <is>
          <t>B3 - Intensywność emisji gazów cieplarnianych na jednostkę obrotu (w tCO2e)</t>
        </is>
      </c>
      <c r="L225" s="357" t="inlineStr">
        <is>
          <t>B3 - Intensidade das emissões de gases com efeito de estufa por volume de negócios (em teCO2)</t>
        </is>
      </c>
      <c r="M225" s="357" t="inlineStr">
        <is>
          <t>B3 - Intensidad de las emisiones de gases de efecto invernadero por facturación (en tCO2e)</t>
        </is>
      </c>
    </row>
    <row r="226" ht="28.8" customHeight="1">
      <c r="A226" s="2" t="inlineStr">
        <is>
          <t>template_label_scope_1_and_scope_2_ghg_emissions_intensity_location_based</t>
        </is>
      </c>
      <c r="B226" s="461">
        <f>INDEX(C226:M226,MATCH(template_selected_display_language,$C$3:$M$3,0))</f>
        <v/>
      </c>
      <c r="C226" s="2" t="inlineStr">
        <is>
          <t>Scope 1 and Scope 2 GHG Emissions intensity (location-based)</t>
        </is>
      </c>
      <c r="D226" s="563" t="inlineStr">
        <is>
          <t>Scope 1 og Scope 2 drivhusgasintensitet (lokationsbaseret)</t>
        </is>
      </c>
      <c r="E226" s="563" t="inlineStr">
        <is>
          <t>Scope 1 en Scope 2 Broeikasgasemissie-intensiteit (locatiegebaseerd)</t>
        </is>
      </c>
      <c r="F226" s="563" t="inlineStr">
        <is>
          <t>Intensité des émissions de GES des scopes 1 et 2 (approche basée sur la localisation)</t>
        </is>
      </c>
      <c r="G226" s="366" t="inlineStr">
        <is>
          <t>Scope 1- und Scope 2-THG-Emissionsintensität (standortbezogen)</t>
        </is>
      </c>
      <c r="H226" s="366" t="inlineStr">
        <is>
          <t>Déine astaíochtaí GCT Raon Feidhme 1 agus Raon Feidhme 2 (bunaithe ar shuíomh)</t>
        </is>
      </c>
      <c r="I226" s="2" t="inlineStr">
        <is>
          <t>Intensità delle emissioni di gas a effetto serra di ambito 1 e ambito 2 (basate sulla posizione)</t>
        </is>
      </c>
      <c r="J226" s="357" t="inlineStr">
        <is>
          <t>Pirmos ir antros apimties (vietos metodu) ŠESD emisijų intensyvumas</t>
        </is>
      </c>
      <c r="K226" s="357" t="inlineStr">
        <is>
          <t>Intensywność emisji gazów cieplarnianych z zakresu 1 i zakresu 2 (według metody opartej na lokalizacji)</t>
        </is>
      </c>
      <c r="L226" s="357" t="inlineStr">
        <is>
          <t>Intensidade das emissões de GEE do Âmbito 1 e 2 (baseadas na localização)</t>
        </is>
      </c>
      <c r="M226" s="357" t="inlineStr">
        <is>
          <t>Intensidad de las emisiones de GEI de Alcance 1 y Alcance 2 (basada en la ubicación)</t>
        </is>
      </c>
    </row>
    <row r="227" ht="28.8" customHeight="1">
      <c r="A227" s="2" t="inlineStr">
        <is>
          <t>template_label_scope_1_and_scope_2_ghg_emissions_intensity_market_based</t>
        </is>
      </c>
      <c r="B227" s="461">
        <f>INDEX(C227:M227,MATCH(template_selected_display_language,$C$3:$M$3,0))</f>
        <v/>
      </c>
      <c r="C227" s="2" t="inlineStr">
        <is>
          <t>Scope 1 and Scope 2 GHG Emissions intensity (market-based)</t>
        </is>
      </c>
      <c r="D227" s="563" t="inlineStr">
        <is>
          <t>Scope 1 og Scope 2 drivhusgasintensitet (markedsbaseret)</t>
        </is>
      </c>
      <c r="E227" s="563" t="inlineStr">
        <is>
          <t>Scope 1 en Scope 2 Broeikasgasemissie-intensiteit  (marktgebaseerd)</t>
        </is>
      </c>
      <c r="F227" s="563" t="inlineStr">
        <is>
          <t>Intensité des émissions de GES des scopes 1 et 2 (approche basée sur le marché)</t>
        </is>
      </c>
      <c r="G227" s="366" t="inlineStr">
        <is>
          <t>Scope 1- und Scope 2-THG-Emissionsintensität (marktbasiert)</t>
        </is>
      </c>
      <c r="H227" s="366" t="inlineStr">
        <is>
          <t>Déine astaíochtaí GCT Raon Feidhme 1 agus Raon Feidhme 2 (bunaithe ar an margadh)</t>
        </is>
      </c>
      <c r="I227" s="2" t="inlineStr">
        <is>
          <t>Intensità delle emissioni di gas a effetto serra di ambito 1 e ambito 2 (basate sul mercato)</t>
        </is>
      </c>
      <c r="J227" s="357" t="inlineStr">
        <is>
          <t>Pirmos ir antros apimties (rinkos metodu) ŠESD emisijų intensyvumas</t>
        </is>
      </c>
      <c r="K227" s="357" t="inlineStr">
        <is>
          <t>Intensywność emisji gazów cieplarnianych z zakresu 1 i zakresu 2 (według metody opartej na rynku)</t>
        </is>
      </c>
      <c r="L227" s="357" t="inlineStr">
        <is>
          <t>Intensidade das emissões de GEE do Âmbito 1 e 2 (baseadas no mercado)</t>
        </is>
      </c>
      <c r="M227" s="357" t="inlineStr">
        <is>
          <t>Intensidad de las emisiones de GEI de Alcance 1 y Alcance 2 (basado en el mercado)</t>
        </is>
      </c>
    </row>
    <row r="228" ht="28.8" customHeight="1">
      <c r="A228" s="2" t="inlineStr">
        <is>
          <t>template_label_total_scope_1_scope_2_and_scope_3_ghg_emissions_intensity_location_based</t>
        </is>
      </c>
      <c r="B228" s="461">
        <f>INDEX(C228:M228,MATCH(template_selected_display_language,$C$3:$M$3,0))</f>
        <v/>
      </c>
      <c r="C228" s="2" t="inlineStr">
        <is>
          <t>Total Scope 1 Scope 2 and Scope 3 GHG Emissions intensity (location-based)</t>
        </is>
      </c>
      <c r="D228" s="563" t="inlineStr">
        <is>
          <t>Samlet Scope 1, Scope 2 og Scope 3 drivhusgasintensitet (lokationsbaseret)</t>
        </is>
      </c>
      <c r="E228" s="563" t="inlineStr">
        <is>
          <t>Totale Scope 1, Scope 2 en Scope 3 broeikasgasemissies-intensiteit  (locatiegebonden)</t>
        </is>
      </c>
      <c r="F228" s="563" t="inlineStr">
        <is>
          <t>Intensité des émissions totales de GES des scopes 1, 2 et 3 (approche basée sur la localisation)</t>
        </is>
      </c>
      <c r="G228" s="366" t="inlineStr">
        <is>
          <t>Gesamte Scope 1-, Scope 2- und Scope-3-THG-Emissionsintensität (standortbezogen)</t>
        </is>
      </c>
      <c r="H228" s="366" t="inlineStr">
        <is>
          <t xml:space="preserve">Déine astaíochtaí comhlána GCT Raon Feidhme 1, Raon Feidhme 2 agus Raon Feidhme 3 (bunaithe ar shuíomh) </t>
        </is>
      </c>
      <c r="I228" s="2" t="inlineStr">
        <is>
          <t>Intensità totale delle emissioni di gas a effetto serra di ambito 1, ambito 2 e ambito 3 (basate sulla posizione)</t>
        </is>
      </c>
      <c r="J228" s="357" t="inlineStr">
        <is>
          <t>Bendras pirmos, antros (vietos metodu) ir trečios apimties ŠESD emisijų intensyvumas</t>
        </is>
      </c>
      <c r="K228" s="357" t="inlineStr">
        <is>
          <t>Całkowita intensywność emisji gazów cieplarnianych z zakresu 1 i zakresu 2 (według metody opartej na lokalizacji)</t>
        </is>
      </c>
      <c r="L228" s="357" t="inlineStr">
        <is>
          <t>Intensidade total das emissões de GEE do Âmbito 1, Âmbito 2 e Âmbito 3 (baseadas na localização)</t>
        </is>
      </c>
      <c r="M228" s="357" t="inlineStr">
        <is>
          <t>Intensidad total de emisiones de GEI Alcance 1, Alcance 2 y Alcance 3 (basada en la ubicación)</t>
        </is>
      </c>
    </row>
    <row r="229" ht="29.4" customHeight="1" thickBot="1">
      <c r="A229" s="358" t="inlineStr">
        <is>
          <t>template_label_total_scope_1_scope_2_and_scope_3_ghg_emissions_intensity_market_based</t>
        </is>
      </c>
      <c r="B229" s="462">
        <f>INDEX(C229:M229,MATCH(template_selected_display_language,$C$3:$M$3,0))</f>
        <v/>
      </c>
      <c r="C229" s="358" t="inlineStr">
        <is>
          <t>Total Scope 1 Scope 2 and Scope 3 GHG Emissions intensity (market-based)</t>
        </is>
      </c>
      <c r="D229" s="373" t="inlineStr">
        <is>
          <t xml:space="preserve">Samlet Scope 1, Scope 2 og Scope 3 drivhusgasintensitet (markedsbaseret) </t>
        </is>
      </c>
      <c r="E229" s="373" t="inlineStr">
        <is>
          <t>Totale Scope 1, Scope 2 en Scope 3 broeikasgasemissies-intensiteit (marktgebaseerd)</t>
        </is>
      </c>
      <c r="F229" s="373" t="inlineStr">
        <is>
          <t>Intensité des émissions totales de GES des scopes 1, 2 et 3 (approche basée sur le marché)</t>
        </is>
      </c>
      <c r="G229" s="367" t="inlineStr">
        <is>
          <t>Gesamte Scope 1-, Scope 2- und Scope-3-THG-Emissionsintensität (marktbasiert)</t>
        </is>
      </c>
      <c r="H229" s="367" t="inlineStr">
        <is>
          <t xml:space="preserve">Déine astaíochtaí comhlána GCT Raon Feidhme 1, Raon Feidhme 2 agus Raon Feidhme 3 (bunaithe ar an margadh) </t>
        </is>
      </c>
      <c r="I229" s="358" t="inlineStr">
        <is>
          <t>Intensità totale delle emissioni di gas a effetto serra di ambito 1, ambito 2 e ambito 3 (basate sul mercato)</t>
        </is>
      </c>
      <c r="J229" s="371" t="inlineStr">
        <is>
          <t>Bendras pirmos, antros (rinkos metodu) ir trečios apimties ŠESD emisijų intensyvumas</t>
        </is>
      </c>
      <c r="K229" s="371" t="inlineStr">
        <is>
          <t>Całkowita intensywność emisji gazów cieplarnianych zakresu 1, zakresu 2 i zakresu 3 (według metody opartej na rynku)</t>
        </is>
      </c>
      <c r="L229" s="371" t="inlineStr">
        <is>
          <t>Intensidade total das emissões de GEE do Âmbito 1, Âmbito 2 e Âmbito 3 (baseadas no mercado)</t>
        </is>
      </c>
      <c r="M229" s="371" t="inlineStr">
        <is>
          <t>Intensidad total de emisiones de GEI de Alcance 1, Alcance 2 y Alcance 3 (basada en el mercado)</t>
        </is>
      </c>
    </row>
    <row r="230">
      <c r="A230" s="2" t="inlineStr">
        <is>
          <t>template_label_b4_pollution_of_air_water_and_soil</t>
        </is>
      </c>
      <c r="B230" s="461">
        <f>INDEX(C230:M230,MATCH(template_selected_display_language,$C$3:$M$3,0))</f>
        <v/>
      </c>
      <c r="C230" s="2" t="inlineStr">
        <is>
          <t>B4 - Pollution of air water and soil</t>
        </is>
      </c>
      <c r="D230" s="563" t="inlineStr">
        <is>
          <t>B4 – Forurening af luft, vand og jord</t>
        </is>
      </c>
      <c r="E230" s="563" t="inlineStr">
        <is>
          <t>B4 – Verontreiniging van lucht, water en bodem</t>
        </is>
      </c>
      <c r="F230" s="563" t="inlineStr">
        <is>
          <t>Pollution de l'air, de l'eau et des sols</t>
        </is>
      </c>
      <c r="G230" s="366" t="inlineStr">
        <is>
          <t>B4 – Luft-, Wasser- und Bodenverschmutzung</t>
        </is>
      </c>
      <c r="H230" s="366" t="inlineStr">
        <is>
          <t>B4 – Truailliú aeir, uisce agus ithreach</t>
        </is>
      </c>
      <c r="I230" s="2" t="inlineStr">
        <is>
          <t>B4 – Inquinamento di aria, acqua e suolo</t>
        </is>
      </c>
      <c r="J230" s="357" t="inlineStr">
        <is>
          <t>B4 – Oro, vandens ir dirvožemio tarša</t>
        </is>
      </c>
      <c r="K230" s="357" t="inlineStr">
        <is>
          <t>B4 – Zanieczyszczenie powietrza, wody i gleby</t>
        </is>
      </c>
      <c r="L230" s="357" t="inlineStr">
        <is>
          <t>B4 — Poluição do ar, da água e do solo</t>
        </is>
      </c>
      <c r="M230" s="357" t="inlineStr">
        <is>
          <t>B4 – Contaminación de la atmósfera, del agua y del suelo</t>
        </is>
      </c>
    </row>
    <row r="231" ht="72" customHeight="1">
      <c r="A231" s="2" t="inlineStr">
        <is>
          <t>template_label_required_by_law_or_other_national_regulations_to_report_to_competent_authorities_its_emissions_of_pollutants</t>
        </is>
      </c>
      <c r="B231" s="461">
        <f>INDEX(C231:M231,MATCH(template_selected_display_language,$C$3:$M$3,0))</f>
        <v/>
      </c>
      <c r="C231" s="2" t="inlineStr">
        <is>
          <t>Is the undertaking already required by law or other national regulations to report to competent authorities its emissions of pollutants or does it already voluntarily report on them according to an Environmental Management System?</t>
        </is>
      </c>
      <c r="D231" s="563" t="inlineStr">
        <is>
          <t>Er virksomheden allerede forpligtet ved lov eller andre nationale bestemmelser til at rapportere sine udledninger af forurenende stoffer til de kompetente myndigheder, eller rapporterer den allerede frivilligt om dem i henhold til et miljøledelsessystem?</t>
        </is>
      </c>
      <c r="E231" s="563" t="inlineStr">
        <is>
          <t>Is de onderneming op grond van de wet of andere nationale regelgeving al verplicht om haar emissies van verontreinigende stoffen te melden aan de bevoegde autoriteiten, of rapporteert zij hier al vrijwillig over op basis van een milieumanagementsysteem?    I</t>
        </is>
      </c>
      <c r="F231" s="563" t="inlineStr">
        <is>
          <t>L’entreprise est-elle déjà tenue, en vertu de la législation ou d’autres réglementations nationales, de déclarer aux autorités compétentes ses émissions de polluants, ou les déclare-t-elle déjà volontairement conformément à un système de management environnemental ?</t>
        </is>
      </c>
      <c r="G231" s="366" t="inlineStr">
        <is>
          <t>Ist das Unternehmen aufgrund rechtlicher oder sonstiger nationaler Vorschriften bereits verpflichtet, den zuständigen Behörden seine Schadstoffemissionen zu melden, oder meldet es diese bereits freiwillig im Rahmen eines Umweltmanagementsystems?</t>
        </is>
      </c>
      <c r="H231" s="366" t="inlineStr">
        <is>
          <t>An gceanglaítear ar an ngnóthas le dlí nó le rialacháin náisiúnta eile cheana féin a chuid astaíochtaí truailleán a thuairisciú d'údaráis inniúla nó an dtuairiscíonn sé go deonach orthu cheana féin de réir Córas Bainistíochta Comhshaoil?</t>
        </is>
      </c>
      <c r="I231" s="2" t="inlineStr">
        <is>
          <t>L'impresa è già tenuta, in forza di leggi o altre normative nazionali, a comunicare alle autorità competenti le proprie emissioni di inquinanti o riferisce volontariamente al riguardo nel quadro di un sistema di gestione ambientale?</t>
        </is>
      </c>
      <c r="J231" s="357" t="inlineStr">
        <is>
          <t>Ar ūkio subjektas jau pagal įstatymą ar kitus nacionalinius reglamentus privalo pranešti kompetentingoms institucijoms apie teršalų išmetimą ar jau savanoriškai apie juos praneša pagal Aplinkos valdysenos sistemą?</t>
        </is>
      </c>
      <c r="K231" s="357" t="inlineStr">
        <is>
          <t>Czy jednostka jest już zobowiązana przepisami prawa lub innymi krajowymi regulacjami do zgłaszania właściwym organom emisji zanieczyszczeń lub czy zgłasza je dobrowolnie zgodnie z systemem zarządzania środowiskowego?</t>
        </is>
      </c>
      <c r="L231" s="357" t="inlineStr">
        <is>
          <t>A entidade já é obrigada por lei ou outros regulamentos nacionais a relatar às autoridades competentes as suas emissões de poluentes ou já as reporta voluntariamente de acordo com um Sistema de Gestão Ambiental?</t>
        </is>
      </c>
      <c r="M231" s="357" t="inlineStr">
        <is>
          <t>¿La empresa ya está legalmente obligada por la ley u otras normativas nacionales a informar a las autoridades competentes sobre sus emisiones de contaminantes o ya las informa voluntariamente conforme a un Sistema de Gestión Ambiental?</t>
        </is>
      </c>
    </row>
    <row r="232" ht="28.8" customHeight="1">
      <c r="A232" s="2" t="inlineStr">
        <is>
          <t>template_label_is_this_disclosure_already_publicly_available</t>
        </is>
      </c>
      <c r="B232" s="461">
        <f>INDEX(C232:M232,MATCH(template_selected_display_language,$C$3:$M$3,0))</f>
        <v/>
      </c>
      <c r="C232" s="2" t="inlineStr">
        <is>
          <t>Is this disclosure already publicly available?</t>
        </is>
      </c>
      <c r="D232" s="563" t="inlineStr">
        <is>
          <t>Er denne oplysning allerede offentligt tilgængelig?</t>
        </is>
      </c>
      <c r="E232" s="563" t="inlineStr">
        <is>
          <t>Is deze rapportage al publiek beschikbaar ?</t>
        </is>
      </c>
      <c r="F232" s="563" t="inlineStr">
        <is>
          <t>Cette information est-elle déjà accessible au public ?</t>
        </is>
      </c>
      <c r="G232" s="366" t="inlineStr">
        <is>
          <t>Wurde diese Angabe bereits an anderer Stelle öffentlich verfügbar gemacht?</t>
        </is>
      </c>
      <c r="H232" s="366" t="inlineStr">
        <is>
          <t>An bhfuil an nochtadh seo ar fáil go poiblí cheana féin?</t>
        </is>
      </c>
      <c r="I232" s="2" t="inlineStr">
        <is>
          <t>Questa informativa è già disponibile al pubblico?</t>
        </is>
      </c>
      <c r="J232" s="357" t="inlineStr">
        <is>
          <t>Ar šis atskleidimas jau yra viešai prieinamas?</t>
        </is>
      </c>
      <c r="K232" s="357" t="inlineStr">
        <is>
          <t>Czy to ujawnienie jest już publicznie dostępne?</t>
        </is>
      </c>
      <c r="L232" s="357" t="inlineStr">
        <is>
          <t>Esta divulgação já está disponível publicamente?</t>
        </is>
      </c>
      <c r="M232" s="357" t="inlineStr">
        <is>
          <t>¿Esta divulgación ya está públicamente disponible?</t>
        </is>
      </c>
    </row>
    <row r="233" ht="28.8" customHeight="1">
      <c r="A233" s="2" t="inlineStr">
        <is>
          <t>template_label_please_provide_the_relevant_url_link_or_hyperlink_of_where_this_information_is_reported</t>
        </is>
      </c>
      <c r="B233" s="461">
        <f>INDEX(C233:M233,MATCH(template_selected_display_language,$C$3:$M$3,0))</f>
        <v/>
      </c>
      <c r="C233" s="2" t="inlineStr">
        <is>
          <t>Please provide the relevant URL link or hyperlink of where this information is reported</t>
        </is>
      </c>
      <c r="D233" s="563" t="inlineStr">
        <is>
          <t>Angiv venligst det relevante URL-link eller hyperlink, hvor disse oplysninger er rapporteret</t>
        </is>
      </c>
      <c r="E233" s="563" t="inlineStr">
        <is>
          <t>Gelieve de relevante URL-link of hyperlink te verstrekken waar deze informatie wordt gerapporteerd.</t>
        </is>
      </c>
      <c r="F233" s="563" t="inlineStr">
        <is>
          <t>Veuillez fournir le lien URL pertinent ou l’hyperlien indiquant où ces informations sont publiées.</t>
        </is>
      </c>
      <c r="G233" s="366" t="inlineStr">
        <is>
          <t>Bitte geben Sie den entsprechenden URL-Link oder Hyperlink an, unter dem diese Informationen berichtet werden.</t>
        </is>
      </c>
      <c r="H233" s="366" t="inlineStr">
        <is>
          <t>Tabhair an nasc ábhartha URL nó an hipearnasc ábhartha ar an áit a dtuairiscítear an fhaisnéis seo</t>
        </is>
      </c>
      <c r="I233" s="2" t="inlineStr">
        <is>
          <t>Si prega di fornire l'URL pertinente o inserire il collegamento ipertestuale dove queste informazioni figurano.</t>
        </is>
      </c>
      <c r="J233" s="357" t="inlineStr">
        <is>
          <t>Prašome nurodyti aktualią nuorodą (URL) į šios informacijos skelbimo vietą</t>
        </is>
      </c>
      <c r="K233" s="357" t="inlineStr">
        <is>
          <t>Proszę podać odpowiedni odnośnik URL lub hiperłącze do miejsca, w którym informacje te są podane</t>
        </is>
      </c>
      <c r="L233" s="357" t="inlineStr">
        <is>
          <t>Por favor, forneça o link URL relevante ou a hiperligação onde esta informação é reportada.</t>
        </is>
      </c>
      <c r="M233" s="357" t="inlineStr">
        <is>
          <t>Por favor, proporcione el enlace URL relevante o el hipervínculo donde se informa esta información.</t>
        </is>
      </c>
    </row>
    <row r="234" ht="28.8" customHeight="1">
      <c r="A234" s="2" t="inlineStr">
        <is>
          <t>template_label_please_select_the_unit_used_for_reporting_the_amount</t>
        </is>
      </c>
      <c r="B234" s="461">
        <f>INDEX(C234:M234,MATCH(template_selected_display_language,$C$3:$M$3,0))</f>
        <v/>
      </c>
      <c r="C234" s="2" t="inlineStr">
        <is>
          <t>Please select the unit used for reporting the amount (i.e. either kg or tonne)</t>
        </is>
      </c>
      <c r="D234" s="563" t="inlineStr">
        <is>
          <t>Vælg venligst den enhed, der bruges til rapportering af mængden (dvs. enten kg eller ton)</t>
        </is>
      </c>
      <c r="E234" s="563" t="inlineStr">
        <is>
          <t>Selecteer de eenheid die wordt gebruikt voor het rapporteren van de hoeveelheid (d.w.z. kg of ton)</t>
        </is>
      </c>
      <c r="F234" s="563" t="inlineStr">
        <is>
          <t>Veuillez sélectionner l'unité utilisée pour reporter la quantité (c.-à-d. soit en kg ou en tonne)</t>
        </is>
      </c>
      <c r="G234" s="366" t="inlineStr">
        <is>
          <t>Bitte wählen Sie die Einheit aus, die für die Mengenangabe verwendet wird (d. h. entweder kg oder Tonne).</t>
        </is>
      </c>
      <c r="H234" s="366" t="inlineStr">
        <is>
          <t>Roghnaigh an t-aonad a úsáidtear chun an méid a thuairisciú (i.e. kg nó tonna)</t>
        </is>
      </c>
      <c r="I234" s="2" t="inlineStr">
        <is>
          <t>Selezionare l'unità utilizzata per la comunicazione della quantità (ad esempio kg o tonnellata)</t>
        </is>
      </c>
      <c r="J234" s="357" t="inlineStr">
        <is>
          <t>Pasirinkite matavimo vienetą, kuriuo pateiksite kiekį (t. y. kg arba t).</t>
        </is>
      </c>
      <c r="K234" s="357" t="inlineStr">
        <is>
          <t>Proszę wybrać jednostkę używaną do sprawozdania ilości (tj. kg lub tona)</t>
        </is>
      </c>
      <c r="L234" s="357" t="inlineStr">
        <is>
          <t>Por favor, selecione a unidade utilizada para reportar o montante (i.e. kg ou tonelada)</t>
        </is>
      </c>
      <c r="M234" s="357" t="inlineStr">
        <is>
          <t>Por favor, seleccione la unidad utilizada para informar la cantidad (es decir, ya sea kg o tonelada)</t>
        </is>
      </c>
    </row>
    <row r="235">
      <c r="A235" s="2" t="inlineStr">
        <is>
          <t>template_label_row_id</t>
        </is>
      </c>
      <c r="B235" s="461">
        <f>INDEX(C235:M235,MATCH(template_selected_display_language,$C$3:$M$3,0))</f>
        <v/>
      </c>
      <c r="C235" s="2" t="inlineStr">
        <is>
          <t>Row ID</t>
        </is>
      </c>
      <c r="D235" s="563" t="inlineStr">
        <is>
          <t>Række-ID</t>
        </is>
      </c>
      <c r="E235" s="563" t="inlineStr">
        <is>
          <t>Rij-ID</t>
        </is>
      </c>
      <c r="F235" s="563" t="inlineStr">
        <is>
          <t>ID de ligne</t>
        </is>
      </c>
      <c r="G235" s="366" t="inlineStr">
        <is>
          <t>Zeilen-Nr.</t>
        </is>
      </c>
      <c r="H235" s="366" t="inlineStr">
        <is>
          <t>Aitheantas as a chéile</t>
        </is>
      </c>
      <c r="I235" s="2" t="inlineStr">
        <is>
          <t>ID Riga</t>
        </is>
      </c>
      <c r="J235" s="357" t="inlineStr">
        <is>
          <t>Eilutės ID</t>
        </is>
      </c>
      <c r="K235" s="357" t="inlineStr">
        <is>
          <t>Identyfikator wiersza</t>
        </is>
      </c>
      <c r="L235" s="357" t="inlineStr">
        <is>
          <t>ID da linha</t>
        </is>
      </c>
      <c r="M235" s="357" t="inlineStr">
        <is>
          <t>ID de fila</t>
        </is>
      </c>
    </row>
    <row r="236" ht="43.2" customHeight="1">
      <c r="A236" s="2" t="inlineStr">
        <is>
          <t>template_label_pollutant</t>
        </is>
      </c>
      <c r="B236" s="461">
        <f>INDEX(C236:M236,MATCH(template_selected_display_language,$C$3:$M$3,0))</f>
        <v/>
      </c>
      <c r="C236" s="2" t="inlineStr">
        <is>
          <t>Pollutant</t>
        </is>
      </c>
      <c r="D236" s="563" t="inlineStr">
        <is>
          <t xml:space="preserve">Forurenende stof
</t>
        </is>
      </c>
      <c r="E236" s="563" t="inlineStr">
        <is>
          <t>Verontreinigende stof</t>
        </is>
      </c>
      <c r="F236" s="563" t="inlineStr">
        <is>
          <t>Polluant</t>
        </is>
      </c>
      <c r="G236" s="366" t="inlineStr">
        <is>
          <t>Schadstoff</t>
        </is>
      </c>
      <c r="H236" s="366" t="inlineStr">
        <is>
          <t>Truailleán</t>
        </is>
      </c>
      <c r="I236" s="2" t="inlineStr">
        <is>
          <t xml:space="preserve">Inquinante
</t>
        </is>
      </c>
      <c r="J236" s="357" t="inlineStr">
        <is>
          <t>Teršalas</t>
        </is>
      </c>
      <c r="K236" s="357" t="inlineStr">
        <is>
          <t>Czynnik zanieczyszczający</t>
        </is>
      </c>
      <c r="L236" s="357" t="inlineStr">
        <is>
          <t>Poluente</t>
        </is>
      </c>
      <c r="M236" s="357" t="inlineStr">
        <is>
          <t>Contaminante</t>
        </is>
      </c>
    </row>
    <row r="237">
      <c r="A237" s="2" t="inlineStr">
        <is>
          <t>template_label_emission_to_air</t>
        </is>
      </c>
      <c r="B237" s="461">
        <f>INDEX(C237:M237,MATCH(template_selected_display_language,$C$3:$M$3,0))</f>
        <v/>
      </c>
      <c r="C237" s="2" t="inlineStr">
        <is>
          <t>Emission to air</t>
        </is>
      </c>
      <c r="D237" s="563" t="inlineStr">
        <is>
          <t>Udledning til luft</t>
        </is>
      </c>
      <c r="E237" s="563" t="inlineStr">
        <is>
          <t>Emissie  naar de lucht</t>
        </is>
      </c>
      <c r="F237" s="563" t="inlineStr">
        <is>
          <t>Rejets dans l'air</t>
        </is>
      </c>
      <c r="G237" s="366" t="inlineStr">
        <is>
          <t>Emissionen in die Luft</t>
        </is>
      </c>
      <c r="H237" s="366" t="inlineStr">
        <is>
          <t>Astaíochtaí san aer</t>
        </is>
      </c>
      <c r="I237" s="2" t="inlineStr">
        <is>
          <t>Emissione nell'aria</t>
        </is>
      </c>
      <c r="J237" s="357" t="inlineStr">
        <is>
          <t>Išmetimas į orą</t>
        </is>
      </c>
      <c r="K237" s="357" t="inlineStr">
        <is>
          <t>Emisja do powietrza</t>
        </is>
      </c>
      <c r="L237" s="357" t="inlineStr">
        <is>
          <t>Emissão para o ar</t>
        </is>
      </c>
      <c r="M237" s="357" t="inlineStr">
        <is>
          <t>Emisiones a la atmosfera</t>
        </is>
      </c>
    </row>
    <row r="238">
      <c r="A238" s="2" t="inlineStr">
        <is>
          <t>template_label_emission_to_water</t>
        </is>
      </c>
      <c r="B238" s="461">
        <f>INDEX(C238:M238,MATCH(template_selected_display_language,$C$3:$M$3,0))</f>
        <v/>
      </c>
      <c r="C238" s="2" t="inlineStr">
        <is>
          <t>Emission to water</t>
        </is>
      </c>
      <c r="D238" s="563" t="inlineStr">
        <is>
          <t>Udledning til vand</t>
        </is>
      </c>
      <c r="E238" s="563" t="inlineStr">
        <is>
          <t>Emissie naar water</t>
        </is>
      </c>
      <c r="F238" s="563" t="inlineStr">
        <is>
          <t>Rejets dans l'eau</t>
        </is>
      </c>
      <c r="G238" s="366" t="inlineStr">
        <is>
          <t>Emissionen in Wasser und Gewässer</t>
        </is>
      </c>
      <c r="H238" s="366" t="inlineStr">
        <is>
          <t>Astaíochtaí chuig uisce</t>
        </is>
      </c>
      <c r="I238" s="2" t="inlineStr">
        <is>
          <t>Emissione nell'acqua</t>
        </is>
      </c>
      <c r="J238" s="357" t="inlineStr">
        <is>
          <t>Išmetimas į vandenį</t>
        </is>
      </c>
      <c r="K238" s="357" t="inlineStr">
        <is>
          <t>Emisja do wody</t>
        </is>
      </c>
      <c r="L238" s="357" t="inlineStr">
        <is>
          <t>Emissão para a água</t>
        </is>
      </c>
      <c r="M238" s="357" t="inlineStr">
        <is>
          <t>Vertidos al agua</t>
        </is>
      </c>
    </row>
    <row r="239" ht="15" customHeight="1" thickBot="1">
      <c r="A239" s="358" t="inlineStr">
        <is>
          <t>template_label_emission_to_soil</t>
        </is>
      </c>
      <c r="B239" s="462">
        <f>INDEX(C239:M239,MATCH(template_selected_display_language,$C$3:$M$3,0))</f>
        <v/>
      </c>
      <c r="C239" s="358" t="inlineStr">
        <is>
          <t>Emission to soil</t>
        </is>
      </c>
      <c r="D239" s="373" t="inlineStr">
        <is>
          <t>Udledning til jord</t>
        </is>
      </c>
      <c r="E239" s="373" t="inlineStr">
        <is>
          <t>Emissie naar de bodem</t>
        </is>
      </c>
      <c r="F239" s="373" t="inlineStr">
        <is>
          <t>Rejets dans les sols</t>
        </is>
      </c>
      <c r="G239" s="367" t="inlineStr">
        <is>
          <t>Emissionen in den Boden</t>
        </is>
      </c>
      <c r="H239" s="367" t="inlineStr">
        <is>
          <t>Astaíochtaí chuig ithir</t>
        </is>
      </c>
      <c r="I239" s="358" t="inlineStr">
        <is>
          <t>Emissione nel suolo</t>
        </is>
      </c>
      <c r="J239" s="371" t="inlineStr">
        <is>
          <t>Išmetimas į dirvožemį</t>
        </is>
      </c>
      <c r="K239" s="371" t="inlineStr">
        <is>
          <t>Emisja do gleby</t>
        </is>
      </c>
      <c r="L239" s="371" t="inlineStr">
        <is>
          <t>Emissão para o solo</t>
        </is>
      </c>
      <c r="M239" s="371" t="inlineStr">
        <is>
          <t>Vertidos al suelo</t>
        </is>
      </c>
    </row>
    <row r="240" ht="28.8" customHeight="1">
      <c r="A240" s="2" t="inlineStr">
        <is>
          <t>template_label_b5_sites_in_biodiversity_sensitive_areas</t>
        </is>
      </c>
      <c r="B240" s="461">
        <f>INDEX(C240:M240,MATCH(template_selected_display_language,$C$3:$M$3,0))</f>
        <v/>
      </c>
      <c r="C240" s="2" t="inlineStr">
        <is>
          <t>B5 - Sites in biodiversity sensitive areas</t>
        </is>
      </c>
      <c r="D240" s="563" t="inlineStr">
        <is>
          <t xml:space="preserve">B5 - Steder i eller i nærheden af 'biodiversitetsfølsomme områder’, som virksomheden a) ejer, b) lejer eller c) forvalter </t>
        </is>
      </c>
      <c r="E240" s="563" t="inlineStr">
        <is>
          <t>B5 — Vestigingen in biodiversiteitsgevoelige gebieden</t>
        </is>
      </c>
      <c r="F240" s="563" t="inlineStr">
        <is>
          <t>B5 – Sites situés dans des zones sensibles sur le plan de la biodiversité</t>
        </is>
      </c>
      <c r="G240" s="366" t="inlineStr">
        <is>
          <t xml:space="preserve">B5 – Gebiete mit schutzbedürftiger Biodiversität </t>
        </is>
      </c>
      <c r="H240" s="366" t="inlineStr">
        <is>
          <t>B5 - Láithreáin atá suite i limistéir atá íogair ó thaobh na bithéagsúlachta de</t>
        </is>
      </c>
      <c r="I240" s="2" t="inlineStr">
        <is>
          <t>B5 – Siti all'interno di aree sensibili sotto il profilo della biodiversità</t>
        </is>
      </c>
      <c r="J240" s="357" t="inlineStr">
        <is>
          <t>B5 - Veiklos objektai biologinei įvairovei jautriose teritorijose</t>
        </is>
      </c>
      <c r="K240" s="357" t="inlineStr">
        <is>
          <t>B5 – Lokalizacje położone na obszarach wrażliwych pod względem bioróżnorodności</t>
        </is>
      </c>
      <c r="L240" s="357" t="inlineStr">
        <is>
          <t>B5 – Locais em áreas sensíveis à biodiversidade</t>
        </is>
      </c>
      <c r="M240" s="357" t="inlineStr">
        <is>
          <t>B5 – Emplazamientos en zonas sensibles en cuanto a la biodiversidad</t>
        </is>
      </c>
    </row>
    <row r="241" ht="43.2" customHeight="1">
      <c r="A241" s="2" t="inlineStr">
        <is>
          <t>template_label_does_the_undertaking_have_sites_that_are_located_in_or_near_biodiversity_sensitive_areas</t>
        </is>
      </c>
      <c r="B241" s="461">
        <f>INDEX(C241:M241,MATCH(template_selected_display_language,$C$3:$M$3,0))</f>
        <v/>
      </c>
      <c r="C241" s="2" t="inlineStr">
        <is>
          <t>Does the undertaking have sites that are located in or near biodiversity sensitive areas?</t>
        </is>
      </c>
      <c r="D241" s="563" t="inlineStr">
        <is>
          <t>Har virksomheden lokaliteter, der er beliggende i eller nær biodiversitetsfølsomme områder?</t>
        </is>
      </c>
      <c r="E241" s="563" t="inlineStr">
        <is>
          <t>Heeft de onderneming vestigingen die zich bevinden in of nabij biodiversiteitsgevoelige gebieden?</t>
        </is>
      </c>
      <c r="F241" s="563" t="inlineStr">
        <is>
          <t>L'entreprise dispose-t-elle de sites situés dans ou à proximité de zones sensibles sur le plan de la biodiversité ?</t>
        </is>
      </c>
      <c r="G241" s="366" t="inlineStr">
        <is>
          <t>Hat das Unternehmen Standorte, die sich in oder in der Nähe von Gebieten mit schutzbedürftiger Biodiversität befinden?</t>
        </is>
      </c>
      <c r="H241" s="366" t="inlineStr">
        <is>
          <t>An bhfuil láithreáin ag an ngnóthas atá lonnaithe i limistéir atá íogair ó thaobh na bithéagsúlachta de nó in aice leo?</t>
        </is>
      </c>
      <c r="I241" s="2" t="inlineStr">
        <is>
          <t>L'impresa ha siti ubicati all'interno o in prossimità di un'area sensibile sotto il profilo della biodiversità?</t>
        </is>
      </c>
      <c r="J241" s="357" t="inlineStr">
        <is>
          <t>Ar įmonė turi veiklos objektų, kurie yra biloginei įvairovei jautriose teritorijose arba netoli jų?</t>
        </is>
      </c>
      <c r="K241" s="357" t="inlineStr">
        <is>
          <t>Czy jednostka posiada lokalizacje znajdujące się na obszarach wrażliwych pod względem bioróżnorodności lub w ich pobliżu?</t>
        </is>
      </c>
      <c r="L241" s="357" t="inlineStr">
        <is>
          <t>A empresa tem locais de atividade que estão localizados em ou próximos de zonas sensíveis do ponto de vista da biodiversidade?</t>
        </is>
      </c>
      <c r="M241" s="357" t="inlineStr">
        <is>
          <t xml:space="preserve">¿La empresa tiene emplazamientos situados en o cerca de zonas sensibles en cuanto a la biodiversidad? 
</t>
        </is>
      </c>
    </row>
    <row r="242" ht="28.8" customHeight="1">
      <c r="A242" s="2" t="inlineStr">
        <is>
          <t>template_label_please_select_the_unit_used_for_the_area</t>
        </is>
      </c>
      <c r="B242" s="461">
        <f>INDEX(C242:M242,MATCH(template_selected_display_language,$C$3:$M$3,0))</f>
        <v/>
      </c>
      <c r="C242" s="2" t="inlineStr">
        <is>
          <t>Please select the unit used for the area (i.e. either hectares or m²):</t>
        </is>
      </c>
      <c r="D242" s="563" t="inlineStr">
        <is>
          <t>Vælg venligst den enhed, der anvendes til arealet (dvs. enten hektar eller m²):</t>
        </is>
      </c>
      <c r="E242" s="563" t="inlineStr">
        <is>
          <t>Selecteer de eenheid die wordt gebruikt voor het gebied (d.w.z. hectare of m²):</t>
        </is>
      </c>
      <c r="F242" s="563" t="inlineStr">
        <is>
          <t>Veuillez sélectionner l’unité utilisée pour la superficie (c.-à-d. soit en hectares, soit en m²) :</t>
        </is>
      </c>
      <c r="G242" s="366" t="inlineStr">
        <is>
          <t>Bitte wählen Sie die Einheit aus, die für die Flächenangabe verwendet wird (d.h. entweder Hektar oder m²):</t>
        </is>
      </c>
      <c r="H242" s="366" t="inlineStr">
        <is>
          <t>Roghnaigh an t-aonad a úsáidtear don limistéar le do thoil (i.e. heicteár nó m²):</t>
        </is>
      </c>
      <c r="I242" s="2" t="inlineStr">
        <is>
          <t>Si prega di selezionare l'unità di misura utilizzata per la superficie (ossia, ettari o m²):</t>
        </is>
      </c>
      <c r="J242" s="357" t="inlineStr">
        <is>
          <t>Pasirinkite ploto matavimo vienetą (t. y. ha arba m²):</t>
        </is>
      </c>
      <c r="K242" s="357" t="inlineStr">
        <is>
          <t>Proszę wybrać jednostkę używaną do sprawozdania powierzchni (tj. hektary lub m²):</t>
        </is>
      </c>
      <c r="L242" s="357" t="inlineStr">
        <is>
          <t>Por favor, selecione a unidade usada para a área (ou seja, hectares ou m²):</t>
        </is>
      </c>
      <c r="M242" s="357" t="inlineStr">
        <is>
          <t>Por favor, seleccione la unidad que se utiliza para el área (es decir, hectáreas o m²):</t>
        </is>
      </c>
    </row>
    <row r="243" ht="28.8" customHeight="1">
      <c r="A243" s="2" t="inlineStr">
        <is>
          <t>template_label_related_site_id</t>
        </is>
      </c>
      <c r="B243" s="461">
        <f>INDEX(C243:M243,MATCH(template_selected_display_language,$C$3:$M$3,0))</f>
        <v/>
      </c>
      <c r="C243" s="2" t="inlineStr">
        <is>
          <t>Related Site ID (select an ID from a site location reported in B1)</t>
        </is>
      </c>
      <c r="D243" s="563" t="inlineStr">
        <is>
          <t>Relateret lokalitets-ID (vælg et ID fra en lokalitet rapporteret i B1)</t>
        </is>
      </c>
      <c r="E243" s="563" t="inlineStr">
        <is>
          <t>Gerelateerde locatie-ID (selecteer een ID uit een locatie van een vestiging die gerapporteerd is in B1)</t>
        </is>
      </c>
      <c r="F243" s="563" t="inlineStr">
        <is>
          <t>ID du site associé (sélectionnez un ID parmi les sites déclarés dans B1)</t>
        </is>
      </c>
      <c r="G243" s="366" t="inlineStr">
        <is>
          <t>Zugehörige Standort-Nr. (wählen Sie eine Nr. aus einem in B1 angegebenen Standort aus)</t>
        </is>
      </c>
      <c r="H243" s="366" t="inlineStr">
        <is>
          <t>Aitheantas Láithreáin Gaolmhar (roghnaigh aitheantóir ó shuíomh a thuairiscítear i B1)</t>
        </is>
      </c>
      <c r="I243" s="2" t="inlineStr">
        <is>
          <t>ID del sito correlato (selezionare un ID da un'ubicazione del sito riportata in B1)</t>
        </is>
      </c>
      <c r="J243" s="357" t="inlineStr">
        <is>
          <t>Susijusios vietos (objekto) ID (pasirinkite ID iš B1 nurodytų vietų)</t>
        </is>
      </c>
      <c r="K243" s="357" t="inlineStr">
        <is>
          <t>Identyfikator powiązanej lokalizacji (wybierz identyfikator z lokalizacji zgłoszonej w B1)</t>
        </is>
      </c>
      <c r="L243" s="357" t="inlineStr">
        <is>
          <t>ID do Local Relacionado (selecione um ID de uma localização do local reportado em B1)</t>
        </is>
      </c>
      <c r="M243" s="357" t="inlineStr">
        <is>
          <t>ID del sitio relacionado (seleccione un ID de una ubicación del sitio reportada en B1)</t>
        </is>
      </c>
    </row>
    <row r="244" ht="57.6" customHeight="1">
      <c r="A244" s="2" t="inlineStr">
        <is>
          <t>template_label_site_location_in_near_a_biodiversity_area</t>
        </is>
      </c>
      <c r="B244" s="461">
        <f>INDEX(C244:M244,MATCH(template_selected_display_language,$C$3:$M$3,0))</f>
        <v/>
      </c>
      <c r="C244" s="2" t="inlineStr">
        <is>
          <t>Site Location in near a biodiversity area - auto filled from B1</t>
        </is>
      </c>
      <c r="D244" s="563" t="inlineStr">
        <is>
          <t>Lokalitet i/nær et biodiversitetsområde – automatisk udfyldt fra B1</t>
        </is>
      </c>
      <c r="E244" s="563" t="inlineStr">
        <is>
          <t>Locatie van de vestiging nabij een biodiversiteitsgevoelig gebied – automatisch ingevuld vanuit B1</t>
        </is>
      </c>
      <c r="F244" s="563" t="inlineStr">
        <is>
          <t>Localisation du site à proximité d'une zone de biodiversité - rempli automatiquement à partir de B1</t>
        </is>
      </c>
      <c r="G244" s="366" t="inlineStr">
        <is>
          <t>Standort in der Nähe eines Gebiets mit schutzbedürftiger Biodiversität – automatisch ausgefüllt aus B1</t>
        </is>
      </c>
      <c r="H244" s="366" t="inlineStr">
        <is>
          <t>Suíomh an Láithreáin i ngar do limistéar bithéagsúlachta - líonta go huathoibríoch ó B1</t>
        </is>
      </c>
      <c r="I244" s="2" t="inlineStr">
        <is>
          <t>Ubicazione del sito all'interno o in prossimità di un'area sensibile sotto il profilo della biodiversità - compilato automaticamente da B1</t>
        </is>
      </c>
      <c r="J244" s="357" t="inlineStr">
        <is>
          <t>Objekto buvimas biologinės įvairovės teritorijoje ar šalia jos – automatiškai perkelta iš B1</t>
        </is>
      </c>
      <c r="K244" s="357" t="inlineStr">
        <is>
          <t>Lokalizacja w pobliżu obszarów wrażliwych pod względem bioróżnorodności – automatycznie wypełniona z B1</t>
        </is>
      </c>
      <c r="L244" s="357" t="inlineStr">
        <is>
          <t>Localização do sítio perto de uma área de biodiversidade - preenchido automaticamente a partir do B1</t>
        </is>
      </c>
      <c r="M244" s="357" t="inlineStr">
        <is>
          <t xml:space="preserve">Ubicación del sitio cerca de un área de biodiversidad - completado automáticamente desde B1
</t>
        </is>
      </c>
    </row>
    <row r="245" ht="28.8" customHeight="1">
      <c r="A245" s="2" t="inlineStr">
        <is>
          <t>template_label_area_hectares_or_m2</t>
        </is>
      </c>
      <c r="B245" s="461">
        <f>INDEX(C245:M245,MATCH(template_selected_display_language,$C$3:$M$3,0))</f>
        <v/>
      </c>
      <c r="C245" s="2" t="inlineStr">
        <is>
          <t>Area (hectares or m² based on the selection above)</t>
        </is>
      </c>
      <c r="D245" s="563" t="inlineStr">
        <is>
          <t>Areal (hektar eller m² baseret på valget ovenfor)</t>
        </is>
      </c>
      <c r="E245" s="563" t="inlineStr">
        <is>
          <t>Oppervlakte (hectaren of m² op basis van de hierboven gemaakte selectie)</t>
        </is>
      </c>
      <c r="F245" s="563" t="inlineStr">
        <is>
          <t>Superficie (en hectares ou en m² selon la sélection ci-dessus)</t>
        </is>
      </c>
      <c r="G245" s="366" t="inlineStr">
        <is>
          <t>Fläche (Hektar oder m², basierend auf der obigen Auswahl)</t>
        </is>
      </c>
      <c r="H245" s="366" t="inlineStr">
        <is>
          <t>Achar (heicteáir nó m² bunaithe ar an rogha thuas)</t>
        </is>
      </c>
      <c r="I245" s="2" t="inlineStr">
        <is>
          <t>Superficie (ettari o m² in base alla selezione sopra)</t>
        </is>
      </c>
      <c r="J245" s="357" t="inlineStr">
        <is>
          <t>Plotas (ha arba m², pagal aukščiau pasirinktą vienetą)</t>
        </is>
      </c>
      <c r="K245" s="357" t="inlineStr">
        <is>
          <t>Obszar (w hektarach lub m² na podstawie powyższego wyboru)</t>
        </is>
      </c>
      <c r="L245" s="357" t="inlineStr">
        <is>
          <t>Área (hectares ou m² com base na seleção acima)</t>
        </is>
      </c>
      <c r="M245" s="357" t="inlineStr">
        <is>
          <t>Área (hectáreas o m² según la selección anterior)</t>
        </is>
      </c>
    </row>
    <row r="246" ht="28.8" customHeight="1">
      <c r="A246" s="2" t="inlineStr">
        <is>
          <t>template_label_site_located_in_a_biodiversity_sensitive_area</t>
        </is>
      </c>
      <c r="B246" s="461">
        <f>INDEX(C246:M246,MATCH(template_selected_display_language,$C$3:$M$3,0))</f>
        <v/>
      </c>
      <c r="C246" s="2" t="inlineStr">
        <is>
          <t>Site located in a biodiversity sensitive area</t>
        </is>
      </c>
      <c r="D246" s="563" t="inlineStr">
        <is>
          <t>Lokalitet beliggende i et biodiversitetsfølsomt område</t>
        </is>
      </c>
      <c r="E246" s="563" t="inlineStr">
        <is>
          <t>Vestiging gelegen in een biodiversiteitsgevoelig gebied</t>
        </is>
      </c>
      <c r="F246" s="563" t="inlineStr">
        <is>
          <t>Site situé dans une zone sensible sur le plan de la biodiversité</t>
        </is>
      </c>
      <c r="G246" s="366" t="inlineStr">
        <is>
          <t>Standort in einem Gebiet mit schutzbedürftiger Biodiversität</t>
        </is>
      </c>
      <c r="H246" s="366" t="inlineStr">
        <is>
          <t>Suíomh suite i gceantar atá íogair ó thaobh na bithéagsúlachta de</t>
        </is>
      </c>
      <c r="I246" s="2" t="inlineStr">
        <is>
          <t>Sito ubicato all'interno di un'area sensibile sotto il profilo della biodiversità</t>
        </is>
      </c>
      <c r="J246" s="357" t="inlineStr">
        <is>
          <t>Objektas yra biologinei įvairovei jautrioje teritorijoje</t>
        </is>
      </c>
      <c r="K246" s="357" t="inlineStr">
        <is>
          <t>Lokalizacja znajdująca się na obszarach wrażliwych pod względem bioróżnorodności</t>
        </is>
      </c>
      <c r="L246" s="357" t="inlineStr">
        <is>
          <t>Sítio localizado numa zona sensível à biodiversidade</t>
        </is>
      </c>
      <c r="M246" s="357" t="inlineStr">
        <is>
          <t>Emplazamiento situado en una zona sensible en cuanto a la biodiversidad</t>
        </is>
      </c>
    </row>
    <row r="247" ht="29.4" customHeight="1" thickBot="1">
      <c r="A247" s="358" t="inlineStr">
        <is>
          <t>template_label_site_located_near_a_biodiversity_sensitive_area</t>
        </is>
      </c>
      <c r="B247" s="462">
        <f>INDEX(C247:M247,MATCH(template_selected_display_language,$C$3:$M$3,0))</f>
        <v/>
      </c>
      <c r="C247" s="358" t="inlineStr">
        <is>
          <t>Site located near a biodiversity sensitive area</t>
        </is>
      </c>
      <c r="D247" s="373" t="inlineStr">
        <is>
          <t>Lokalitet beliggende nær et biodiversitetsfølsomt område</t>
        </is>
      </c>
      <c r="E247" s="373" t="inlineStr">
        <is>
          <t>Vestiging gelegen nabij een biodiversiteitsgevoelig gebied</t>
        </is>
      </c>
      <c r="F247" s="373" t="inlineStr">
        <is>
          <t>Site situé à proximité d'une zone sensible sur le plan de la biodiversité</t>
        </is>
      </c>
      <c r="G247" s="367" t="inlineStr">
        <is>
          <t>Standort in der Nähe eines Gebiets mit schutzbedürftiger Biodiversität</t>
        </is>
      </c>
      <c r="H247" s="367" t="inlineStr">
        <is>
          <t>Suíomh suite in aice le limistéar atá íogair ó thaobh na bithéagsúlachta de</t>
        </is>
      </c>
      <c r="I247" s="358" t="inlineStr">
        <is>
          <t>Sito ubicato in prossimità di un'area sensibile sotto il profilo della biodiversità</t>
        </is>
      </c>
      <c r="J247" s="371" t="inlineStr">
        <is>
          <t>Objektas yra šalia biologinei įvairovei jautrios teritorijos</t>
        </is>
      </c>
      <c r="K247" s="371" t="inlineStr">
        <is>
          <t>Lokalizacja znajdująca się w pobliżu obszarów wrażliwych pod względem bioróżnorodności</t>
        </is>
      </c>
      <c r="L247" s="371" t="inlineStr">
        <is>
          <t>Sítio localizado perto de uma zona sensível à biodiversidade</t>
        </is>
      </c>
      <c r="M247" s="371" t="inlineStr">
        <is>
          <t>Emplazamiento situado cerca de una zona sensible en cuanto a la biodiversidad</t>
        </is>
      </c>
    </row>
    <row r="248">
      <c r="A248" s="2" t="inlineStr">
        <is>
          <t>template_label_b5_biodiversity_land_use</t>
        </is>
      </c>
      <c r="B248" s="461">
        <f>INDEX(C248:M248,MATCH(template_selected_display_language,$C$3:$M$3,0))</f>
        <v/>
      </c>
      <c r="C248" s="2" t="inlineStr">
        <is>
          <t>B5 - Biodiversity - Land-use</t>
        </is>
      </c>
      <c r="D248" s="563" t="inlineStr">
        <is>
          <t xml:space="preserve">B5 - Biodiversitet - Arealforbrug </t>
        </is>
      </c>
      <c r="E248" s="563" t="inlineStr">
        <is>
          <t>B5 – Biodiversiteit – Landgebruik</t>
        </is>
      </c>
      <c r="F248" s="563" t="inlineStr">
        <is>
          <t>B5 - Biodiversité - Utilisation des terres</t>
        </is>
      </c>
      <c r="G248" s="366" t="inlineStr">
        <is>
          <t>B5 – Biodiversität – Flächennutzung</t>
        </is>
      </c>
      <c r="H248" s="366" t="inlineStr">
        <is>
          <t>B5 - Bithéagsúlacht - Úsáid talún</t>
        </is>
      </c>
      <c r="I248" s="2" t="inlineStr">
        <is>
          <t>B5 – Biodiversità – Uso del suolo</t>
        </is>
      </c>
      <c r="J248" s="357" t="inlineStr">
        <is>
          <t>B5 - Biologinė įvairovė - Žemės naudojimas</t>
        </is>
      </c>
      <c r="K248" s="357" t="inlineStr">
        <is>
          <t>B5 – Bioróżnorodność – Użytkowanie gruntów</t>
        </is>
      </c>
      <c r="L248" s="357" t="inlineStr">
        <is>
          <t>B5 – Biodiversidade – Utilização do solo</t>
        </is>
      </c>
      <c r="M248" s="357" t="inlineStr">
        <is>
          <t>B5 - Biodiversidad - Uso del suelo</t>
        </is>
      </c>
    </row>
    <row r="249">
      <c r="A249" s="2" t="inlineStr">
        <is>
          <t>template_label_land_use_type</t>
        </is>
      </c>
      <c r="B249" s="461">
        <f>INDEX(C249:M249,MATCH(template_selected_display_language,$C$3:$M$3,0))</f>
        <v/>
      </c>
      <c r="C249" s="2" t="inlineStr">
        <is>
          <t>Land-use type</t>
        </is>
      </c>
      <c r="D249" s="563" t="inlineStr">
        <is>
          <t xml:space="preserve">Type af arealforbrug </t>
        </is>
      </c>
      <c r="E249" s="563" t="inlineStr">
        <is>
          <t>Soort landgebruik</t>
        </is>
      </c>
      <c r="F249" s="376" t="inlineStr">
        <is>
          <t>Type d’affectation des terres</t>
        </is>
      </c>
      <c r="G249" s="366" t="inlineStr">
        <is>
          <t>Art der Flächennutzung</t>
        </is>
      </c>
      <c r="H249" s="366" t="inlineStr">
        <is>
          <t>Cineál úsáide talún</t>
        </is>
      </c>
      <c r="I249" s="2" t="inlineStr">
        <is>
          <t>Tipo di uso del suolo</t>
        </is>
      </c>
      <c r="J249" s="357" t="inlineStr">
        <is>
          <t>Žemės naudojimo tipas</t>
        </is>
      </c>
      <c r="K249" s="357" t="inlineStr">
        <is>
          <t> </t>
        </is>
      </c>
      <c r="L249" s="357" t="inlineStr">
        <is>
          <t>Tipo de uso do solo</t>
        </is>
      </c>
      <c r="M249" s="357" t="inlineStr">
        <is>
          <t>Tipo de uso de la tierra</t>
        </is>
      </c>
    </row>
    <row r="250">
      <c r="A250" s="2" t="inlineStr">
        <is>
          <t>template_label_area</t>
        </is>
      </c>
      <c r="B250" s="461">
        <f>INDEX(C250:M250,MATCH(template_selected_display_language,$C$3:$M$3,0))</f>
        <v/>
      </c>
      <c r="C250" s="2" t="inlineStr">
        <is>
          <t>Area</t>
        </is>
      </c>
      <c r="D250" s="563" t="inlineStr">
        <is>
          <t>Areal</t>
        </is>
      </c>
      <c r="E250" s="563" t="inlineStr">
        <is>
          <t>Gebied</t>
        </is>
      </c>
      <c r="F250" s="357" t="inlineStr">
        <is>
          <t>Zone</t>
        </is>
      </c>
      <c r="G250" s="366" t="inlineStr">
        <is>
          <t>Fläche</t>
        </is>
      </c>
      <c r="H250" s="366" t="inlineStr">
        <is>
          <t>Achar</t>
        </is>
      </c>
      <c r="I250" s="2" t="inlineStr">
        <is>
          <t>Superficie</t>
        </is>
      </c>
      <c r="J250" s="357" t="inlineStr">
        <is>
          <t>Plotas</t>
        </is>
      </c>
      <c r="K250" s="357" t="inlineStr">
        <is>
          <t>Powierzchnia</t>
        </is>
      </c>
      <c r="L250" s="357" t="inlineStr">
        <is>
          <t>Área</t>
        </is>
      </c>
      <c r="M250" s="357" t="inlineStr">
        <is>
          <t>Área</t>
        </is>
      </c>
    </row>
    <row r="251">
      <c r="A251" s="2" t="inlineStr">
        <is>
          <t>template_label_total_sealed_area</t>
        </is>
      </c>
      <c r="B251" s="461">
        <f>INDEX(C251:M251,MATCH(template_selected_display_language,$C$3:$M$3,0))</f>
        <v/>
      </c>
      <c r="C251" s="2" t="inlineStr">
        <is>
          <t>Total sealed area</t>
        </is>
      </c>
      <c r="D251" s="563" t="inlineStr">
        <is>
          <t>Samlet befæstet areal</t>
        </is>
      </c>
      <c r="E251" s="563" t="inlineStr">
        <is>
          <t>Totale verharde oppervlakte</t>
        </is>
      </c>
      <c r="F251" s="563" t="inlineStr">
        <is>
          <t>Surface totale imperméabilisée</t>
        </is>
      </c>
      <c r="G251" s="366" t="inlineStr">
        <is>
          <t>Gesamte versiegelte Fläche</t>
        </is>
      </c>
      <c r="H251" s="366" t="inlineStr">
        <is>
          <t>An t-achar iomlán atá séalaithe</t>
        </is>
      </c>
      <c r="I251" s="2" t="inlineStr">
        <is>
          <t>Superficie totale impermeabilizzata</t>
        </is>
      </c>
      <c r="J251" s="357" t="inlineStr">
        <is>
          <t>Bendras nepralaidžios dangos plotas</t>
        </is>
      </c>
      <c r="K251" s="357" t="inlineStr">
        <is>
          <t>Całkowita powierzchnia nieprzepuszczalna</t>
        </is>
      </c>
      <c r="L251" s="357" t="inlineStr">
        <is>
          <t>Superfície total de área confinada</t>
        </is>
      </c>
      <c r="M251" s="357" t="inlineStr">
        <is>
          <t>Superficie sellada total</t>
        </is>
      </c>
    </row>
    <row r="252" ht="28.8" customHeight="1">
      <c r="A252" s="2" t="inlineStr">
        <is>
          <t>template_label_total_nature_oriented_area_on_site</t>
        </is>
      </c>
      <c r="B252" s="461">
        <f>INDEX(C252:M252,MATCH(template_selected_display_language,$C$3:$M$3,0))</f>
        <v/>
      </c>
      <c r="C252" s="2" t="inlineStr">
        <is>
          <t>Total nature-oriented area on-site</t>
        </is>
      </c>
      <c r="D252" s="563" t="inlineStr">
        <is>
          <t xml:space="preserve">Samlet naturorienteret areal på stedet </t>
        </is>
      </c>
      <c r="E252" s="563" t="inlineStr">
        <is>
          <t>Totale natuurgerichte oppervlakte op de bedrijfslocatie</t>
        </is>
      </c>
      <c r="F252" s="563" t="inlineStr">
        <is>
          <t>Surface totale respectueuse de la nature sur le site</t>
        </is>
      </c>
      <c r="G252" s="366" t="inlineStr">
        <is>
          <t>Gesamte naturnahe Fläche am Standort</t>
        </is>
      </c>
      <c r="H252" s="366" t="inlineStr">
        <is>
          <t>An t-achar iomlán atá dírithear ar an dúlra ar an láthair</t>
        </is>
      </c>
      <c r="I252" s="2" t="inlineStr">
        <is>
          <t>Superficie totale orientata alla natura nel sito</t>
        </is>
      </c>
      <c r="J252" s="357" t="inlineStr">
        <is>
          <t>Bendras gamtai palankių teritorijų plotas objekto teritorijoje</t>
        </is>
      </c>
      <c r="K252" s="357" t="inlineStr">
        <is>
          <t>Całkowity obszar ukierunkowany na naturę w danej lokalizacji</t>
        </is>
      </c>
      <c r="L252" s="357" t="inlineStr">
        <is>
          <t>Superfície total de zona orientada para a natureza no local de atividade</t>
        </is>
      </c>
      <c r="M252" s="357" t="inlineStr">
        <is>
          <t>Superficie total en el emplazamiento orientada según la naturaleza</t>
        </is>
      </c>
    </row>
    <row r="253" ht="28.8" customHeight="1">
      <c r="A253" s="2" t="inlineStr">
        <is>
          <t>template_label_total_nature_oriented_area_off_site</t>
        </is>
      </c>
      <c r="B253" s="461">
        <f>INDEX(C253:M253,MATCH(template_selected_display_language,$C$3:$M$3,0))</f>
        <v/>
      </c>
      <c r="C253" s="2" t="inlineStr">
        <is>
          <t>Total nature-oriented area off-site</t>
        </is>
      </c>
      <c r="D253" s="563" t="inlineStr">
        <is>
          <t>Total naturorienteret areal uden for stedet</t>
        </is>
      </c>
      <c r="E253" s="563" t="inlineStr">
        <is>
          <t>Totale natuurgerichte oppervlakte buiten de locatie</t>
        </is>
      </c>
      <c r="F253" s="563" t="inlineStr">
        <is>
          <t>Surface totale respectueuse de la nature hors site</t>
        </is>
      </c>
      <c r="G253" s="366" t="inlineStr">
        <is>
          <t>Gesamte naturnahe Fläche abseits des Standorts</t>
        </is>
      </c>
      <c r="H253" s="366" t="inlineStr">
        <is>
          <t>An t-achar iomlán atá dírithe ar an dúlra lasmuigh den láthair</t>
        </is>
      </c>
      <c r="I253" s="2" t="inlineStr">
        <is>
          <t>Superficie totale orientata alla natura fuori dal sito</t>
        </is>
      </c>
      <c r="J253" s="357" t="inlineStr">
        <is>
          <t>Bendras gamtai palankių teritorijų plotas ne objekto teritorijoje</t>
        </is>
      </c>
      <c r="K253" s="357" t="inlineStr">
        <is>
          <t>Całkowity obszar ukierunkowany na naturę poza daną lokalizacją</t>
        </is>
      </c>
      <c r="L253" s="357" t="inlineStr">
        <is>
          <t>Superfície total de zona orientada para a natureza fora do local de atividade</t>
        </is>
      </c>
      <c r="M253" s="357" t="inlineStr">
        <is>
          <t>Superficie total fuera del emplazamiento orientada según la naturaleza</t>
        </is>
      </c>
    </row>
    <row r="254" ht="15" customHeight="1" thickBot="1">
      <c r="A254" s="358" t="inlineStr">
        <is>
          <t>template_label_total_use_of_land</t>
        </is>
      </c>
      <c r="B254" s="462">
        <f>INDEX(C254:M254,MATCH(template_selected_display_language,$C$3:$M$3,0))</f>
        <v/>
      </c>
      <c r="C254" s="358" t="inlineStr">
        <is>
          <t>Total use of land</t>
        </is>
      </c>
      <c r="D254" s="373" t="inlineStr">
        <is>
          <t>Samlet arealforbrug</t>
        </is>
      </c>
      <c r="E254" s="373" t="inlineStr">
        <is>
          <t>Totale landgebruik</t>
        </is>
      </c>
      <c r="F254" s="373" t="inlineStr">
        <is>
          <t>Utilisation totale des terres</t>
        </is>
      </c>
      <c r="G254" s="367" t="inlineStr">
        <is>
          <t>Gesamter Flächenverbrauch</t>
        </is>
      </c>
      <c r="H254" s="367" t="inlineStr">
        <is>
          <t>Úsáid iomlán na talún</t>
        </is>
      </c>
      <c r="I254" s="358" t="inlineStr">
        <is>
          <t>Uso totale del suolo</t>
        </is>
      </c>
      <c r="J254" s="371" t="inlineStr">
        <is>
          <t>Bendras žemės naudojimas</t>
        </is>
      </c>
      <c r="K254" s="371" t="inlineStr">
        <is>
          <t>Całkowite użytkowanie gruntów</t>
        </is>
      </c>
      <c r="L254" s="371" t="inlineStr">
        <is>
          <t>Uso total do solo</t>
        </is>
      </c>
      <c r="M254" s="371" t="inlineStr">
        <is>
          <t>Uso total de la tierra</t>
        </is>
      </c>
    </row>
    <row r="255">
      <c r="A255" s="2" t="inlineStr">
        <is>
          <t>template_label_b6_water_withdrawal</t>
        </is>
      </c>
      <c r="B255" s="461">
        <f>INDEX(C255:M255,MATCH(template_selected_display_language,$C$3:$M$3,0))</f>
        <v/>
      </c>
      <c r="C255" s="2" t="inlineStr">
        <is>
          <t>B6 - Water Withdrawal</t>
        </is>
      </c>
      <c r="D255" s="563" t="inlineStr">
        <is>
          <t>B6 - Vand</t>
        </is>
      </c>
      <c r="E255" s="563" t="inlineStr">
        <is>
          <t>B6 —  Wateronttrekking</t>
        </is>
      </c>
      <c r="F255" s="563" t="inlineStr">
        <is>
          <t>B6 – Prélèvements d'eau</t>
        </is>
      </c>
      <c r="G255" s="366" t="inlineStr">
        <is>
          <t>B6 – Wasserentnahme</t>
        </is>
      </c>
      <c r="H255" s="366" t="inlineStr">
        <is>
          <t>B6 - Aistarraingt Uisce</t>
        </is>
      </c>
      <c r="I255" s="2" t="inlineStr">
        <is>
          <t>B6 - Prelievo Idrico</t>
        </is>
      </c>
      <c r="J255" s="357" t="inlineStr">
        <is>
          <t>B6 – Vandens išgavimas</t>
        </is>
      </c>
      <c r="K255" s="357" t="inlineStr">
        <is>
          <t>B6 – Pobór wody</t>
        </is>
      </c>
      <c r="L255" s="357" t="inlineStr">
        <is>
          <t>B6 — Captação de água</t>
        </is>
      </c>
      <c r="M255" s="357" t="inlineStr">
        <is>
          <t>Extracción de agua</t>
        </is>
      </c>
    </row>
    <row r="256" ht="28.8" customHeight="1">
      <c r="A256" s="2" t="inlineStr">
        <is>
          <t>template_label_total_amount_of_water_withdrawn_from_all_sites</t>
        </is>
      </c>
      <c r="B256" s="461">
        <f>INDEX(C256:M256,MATCH(template_selected_display_language,$C$3:$M$3,0))</f>
        <v/>
      </c>
      <c r="C256" s="2" t="inlineStr">
        <is>
          <t>Total amount of water withdrawn from all sites (cubic meters m³)</t>
        </is>
      </c>
      <c r="D256" s="563" t="inlineStr">
        <is>
          <t xml:space="preserve">Samlet mændge vand udtaget fra alle lokationer (kubikmeter m³) </t>
        </is>
      </c>
      <c r="E256" s="563" t="inlineStr">
        <is>
          <t>Totale hoeveelheid water onttrokken van alle vestigingen (kubieke meters m³)</t>
        </is>
      </c>
      <c r="F256" s="563" t="inlineStr">
        <is>
          <t>Quantité totale d'eau prélevée sur tous les sites (mètres cubes m³)</t>
        </is>
      </c>
      <c r="G256" s="366" t="inlineStr">
        <is>
          <t>Gesamtmenge des aus allen Standorten entnommenen Wassers (Kubikmeter m³)</t>
        </is>
      </c>
      <c r="H256" s="366" t="inlineStr">
        <is>
          <t>An méid iomlán uisce a tarraingíodh isteach ó gach láithreán (méadar ciúbach m³)</t>
        </is>
      </c>
      <c r="I256" s="2" t="inlineStr">
        <is>
          <t>Quantità totale di acqua prelevata da tutti i siti (metri cubi m³)</t>
        </is>
      </c>
      <c r="J256" s="357" t="inlineStr">
        <is>
          <t>Bendras vandens kiekis, paimtas iš visų vietovių (kubiniais metrais m³)</t>
        </is>
      </c>
      <c r="K256" s="357" t="inlineStr">
        <is>
          <t>Całkowita ilość pobranej wody ze wszystkich lokalizacji (m³)</t>
        </is>
      </c>
      <c r="L256" s="357" t="inlineStr">
        <is>
          <t>Montante total de água retirada de todos os locais (metros cúbicos m³)</t>
        </is>
      </c>
      <c r="M256" s="357" t="inlineStr">
        <is>
          <t>Cantidad total de agua extraída de todos los emplazamientos (metros cúbicos m³)</t>
        </is>
      </c>
    </row>
    <row r="257" ht="43.8" customHeight="1" thickBot="1">
      <c r="A257" s="358" t="inlineStr">
        <is>
          <t>template_label_amount_of_water_withdrawn_at_sites_located_in_areas_of_high_water_stress</t>
        </is>
      </c>
      <c r="B257" s="462">
        <f>INDEX(C257:M257,MATCH(template_selected_display_language,$C$3:$M$3,0))</f>
        <v/>
      </c>
      <c r="C257" s="358" t="inlineStr">
        <is>
          <t>Amount of water withdrawn at sites located in areas of high water-stress (cubic meters m³)</t>
        </is>
      </c>
      <c r="D257" s="373" t="inlineStr">
        <is>
          <t>Samlet mængde vand udtaget fra steder beliggende i områder med høj vandstress (kubikmeter m³)</t>
        </is>
      </c>
      <c r="E257" s="373" t="inlineStr">
        <is>
          <t>Hoeveelheid water onttrokken op locaties in gebieden met grote waterstress (kubieke meters m³)</t>
        </is>
      </c>
      <c r="F257" s="373" t="inlineStr">
        <is>
          <t>Quantité d’eau prélevée sur les sites qui se situent dans des zones exposées à un stress hydrique élevé (mètres cubes m³)</t>
        </is>
      </c>
      <c r="G257" s="367" t="inlineStr">
        <is>
          <t>Menge des an Standorten in Gebieten mit hohem Wasserstress entnommenen Wassers (Kubikmeter m³)</t>
        </is>
      </c>
      <c r="H257" s="367" t="inlineStr">
        <is>
          <t>An méid iomlán uisce a tarraingíodh isteach ó gach láithreán atá suite i limistéar atá faoi ardstrus maidir le huisce (méadar ciúbach m³)</t>
        </is>
      </c>
      <c r="I257" s="358" t="inlineStr">
        <is>
          <t>Quantità di acqua prelevata presso siti ubicati in aree ad elevato stress idrico (metri cubi m³)</t>
        </is>
      </c>
      <c r="J257" s="371" t="inlineStr">
        <is>
          <t>Imamo vandens kiekis vietose, esančiose didelio vandens stygiaus zonose (kubiniais metrais m³)</t>
        </is>
      </c>
      <c r="K257" s="371" t="inlineStr">
        <is>
          <t>Ilość wody pobranej w lokalizacjach położonych na obszarach o wysokim deficycie wody (metry sześcienne m³)</t>
        </is>
      </c>
      <c r="L257" s="371" t="inlineStr">
        <is>
          <t>Quantidade de água captada em locais situados em áreas de elevado stress hídrico (metros cúbicos m³)</t>
        </is>
      </c>
      <c r="M257" s="371" t="inlineStr">
        <is>
          <t>Cantidad de agua extraída en emplazamientos situados en zonas con un alto estrés hídrico (metros cúbicos m³)</t>
        </is>
      </c>
    </row>
    <row r="258" ht="28.8" customHeight="1">
      <c r="A258" s="2" t="inlineStr">
        <is>
          <t>template_label_b6_water_consumption</t>
        </is>
      </c>
      <c r="B258" s="461">
        <f>INDEX(C258:M258,MATCH(template_selected_display_language,$C$3:$M$3,0))</f>
        <v/>
      </c>
      <c r="C258" s="2" t="inlineStr">
        <is>
          <t>B6 - Water Consumption</t>
        </is>
      </c>
      <c r="D258" s="563" t="inlineStr">
        <is>
          <t>B6 – Vand</t>
        </is>
      </c>
      <c r="E258" s="563" t="inlineStr">
        <is>
          <t>B6 — Waterverbruik</t>
        </is>
      </c>
      <c r="F258" s="563" t="inlineStr">
        <is>
          <t>B6 - Consommation d'eau</t>
        </is>
      </c>
      <c r="G258" s="366" t="inlineStr">
        <is>
          <t>B6 – Wasserverbrauch</t>
        </is>
      </c>
      <c r="H258" s="366" t="inlineStr">
        <is>
          <t>B6 - Tomhaltas Uisce</t>
        </is>
      </c>
      <c r="I258" s="2" t="inlineStr">
        <is>
          <t>B6 – Acque</t>
        </is>
      </c>
      <c r="J258" s="357" t="inlineStr">
        <is>
          <t>B6 – Vandens suvartojimas</t>
        </is>
      </c>
      <c r="K258" s="357" t="inlineStr">
        <is>
          <t>B6 - Zużycie wody</t>
        </is>
      </c>
      <c r="L258" s="357" t="inlineStr">
        <is>
          <t>B6 - Consumo de água</t>
        </is>
      </c>
      <c r="M258" s="357" t="inlineStr">
        <is>
          <t xml:space="preserve">B6 - Consumo de agua
</t>
        </is>
      </c>
    </row>
    <row r="259" ht="86.40000000000001" customHeight="1">
      <c r="A259" s="2" t="inlineStr">
        <is>
          <t>template_label_does_the_undertaking_have_production_processes_in_place_which_significantly_consume_water</t>
        </is>
      </c>
      <c r="B259" s="461">
        <f>INDEX(C259:M259,MATCH(template_selected_display_language,$C$3:$M$3,0))</f>
        <v/>
      </c>
      <c r="C259" s="2" t="inlineStr">
        <is>
          <t>Does the undertaking have production processes in place which significantly consume water (e.g. thermal energy processes like drying or power production production of goods agricultural irrigation etc.)?</t>
        </is>
      </c>
      <c r="D259" s="563" t="inlineStr">
        <is>
          <t>Har virksomheden produktionsprocesser, der i væsentlig grad forbruger vand (f.eks. termiske energiprocesser såsom tørring eller elproduktion, produktion af varer, kunstvanding i landbruget osv.)?</t>
        </is>
      </c>
      <c r="E259" s="563" t="inlineStr">
        <is>
          <t xml:space="preserve">Heeft de onderneming productieprocessen die aanzienlijk water verbruiken (bijv. thermische energieprocessen zoals drogen of energieopwekking, productie van goederen, landbouwirrigatie, enz.)? 
</t>
        </is>
      </c>
      <c r="F259" s="563" t="inlineStr">
        <is>
          <t>L'entreprise a-t-elle mis en place des processus de production qui consomment beaucoup d’eau (par ex. des procédés d’énergie thermique tels que le séchage ou la production d’électricité, la production de biens, l’irrigation agricole, etc.) ?</t>
        </is>
      </c>
      <c r="G259" s="366" t="inlineStr">
        <is>
          <t>Wendet das Unternehmen Produktionsverfahren mit einem erheblichen Wasserverbrauch an (z. B. thermische Energieprozesse wie Trocknung oder Stromerzeugung, Herstellung von Waren, landwirtschaftliche Bewässerung usw.)?</t>
        </is>
      </c>
      <c r="H259" s="366" t="inlineStr">
        <is>
          <t>An bhfuil próisis táirgthe i bhfeidhm ag an ngnóthas a ídíonn uisce go suntasach (m.sh., próisis fuinnimh theirmigh, amhail táirgeadh triomú nó cumhachta, táirgeadh earraí, uisciú talmhaíochta, srl.)?</t>
        </is>
      </c>
      <c r="I259" s="2" t="inlineStr">
        <is>
          <t>L'impresa svolge processi di produzione che consumano quantità significative di acqua (ad esempio processi che richiedono energia termica quali l'essiccazione o la produzione di energia elettrica, produzione di merci, irrigazione agricola, ecc.)?</t>
        </is>
      </c>
      <c r="J259" s="357" t="inlineStr">
        <is>
          <t>Ar įmonė turi gamybos procesus, kurie reikšmingai sunaudoja vandenį (pvz., terminės energijos procesai, tokie kaip džiovinimas ar elektros energijos gamyba, prekių gamyba, žemės ūkio laistymas ir pan.)?</t>
        </is>
      </c>
      <c r="K259" s="357" t="inlineStr">
        <is>
          <t>Czy jednostka prowadzi procesy produkcyjne, które wiążą się ze znacznym zużyciem wody (np. procesy wykorzystujące energię cieplną, takie jak suszenie lub produkcja energii elektrycznej, produkcja towarów, nawadnianie w rolnictwie itp.)?</t>
        </is>
      </c>
      <c r="L259" s="357" t="inlineStr">
        <is>
          <t>A empresa dispõe de processos de produção com consumos significativos de água (por exemplo, processos de energia térmica como secagem ou produção de energia, produção de bens, irrigação agrícola, etc.)?</t>
        </is>
      </c>
      <c r="M259" s="357" t="inlineStr">
        <is>
          <t xml:space="preserve">¿La empresa cuenta con procesos de producción que consumen una cantidad significativa de agua (por ejemplo, procesos de energía térmica como el secado o la producción de energía, producción de bienes, riego agrícola, etc.)? 
</t>
        </is>
      </c>
    </row>
    <row r="260" ht="28.8" customHeight="1">
      <c r="A260" s="2" t="inlineStr">
        <is>
          <t>template_label_water_discharge_from_undertaking_production_processes</t>
        </is>
      </c>
      <c r="B260" s="461">
        <f>INDEX(C260:M260,MATCH(template_selected_display_language,$C$3:$M$3,0))</f>
        <v/>
      </c>
      <c r="C260" s="2" t="inlineStr">
        <is>
          <t>Water discharge from undertaking production processes (m³)</t>
        </is>
      </c>
      <c r="D260" s="563" t="inlineStr">
        <is>
          <t>Vandudledning fra virksomhedens produktionsprocesser (m³)</t>
        </is>
      </c>
      <c r="E260" s="563" t="inlineStr">
        <is>
          <t>Waterlozing vanuit productieprocessen van de onderneming (m³)</t>
        </is>
      </c>
      <c r="F260" s="563" t="inlineStr">
        <is>
          <t>Rejet d’eau provenant des processus de production de l’entreprise (m³)</t>
        </is>
      </c>
      <c r="G260" s="366" t="inlineStr">
        <is>
          <t>Wasserableitung aus den Produktionsprozessen des Unternehmens (Kubikmeter m³)</t>
        </is>
      </c>
      <c r="H260" s="366" t="inlineStr">
        <is>
          <t>Scaoileadh uisce ó phróisis táirgthe (m³)</t>
        </is>
      </c>
      <c r="I260" s="2" t="inlineStr">
        <is>
          <t>Scarico di acque risultante dai processi di produzione dell'impresa (m³)</t>
        </is>
      </c>
      <c r="J260" s="357" t="inlineStr">
        <is>
          <t>Vandens išleidimas iš įmonės gamybos procesų (m³)</t>
        </is>
      </c>
      <c r="K260" s="357" t="inlineStr">
        <is>
          <t>Zrzut wody z procesów produkcyjnych jednostki (m³)</t>
        </is>
      </c>
      <c r="L260" s="357" t="inlineStr">
        <is>
          <t>Descarga de água dos processos de produção da entidade (m³)</t>
        </is>
      </c>
      <c r="M260" s="357" t="inlineStr">
        <is>
          <t>Vertido de agua procedente de los procesos de producción de la empresa (m³)</t>
        </is>
      </c>
    </row>
    <row r="261" ht="15" customHeight="1" thickBot="1">
      <c r="A261" s="358" t="inlineStr">
        <is>
          <t>template_label_total_water_consumption</t>
        </is>
      </c>
      <c r="B261" s="462">
        <f>INDEX(C261:M261,MATCH(template_selected_display_language,$C$3:$M$3,0))</f>
        <v/>
      </c>
      <c r="C261" s="358" t="inlineStr">
        <is>
          <t>Total water consumption (m³)</t>
        </is>
      </c>
      <c r="D261" s="373" t="inlineStr">
        <is>
          <t>Samlet vandforbrug (m³)</t>
        </is>
      </c>
      <c r="E261" s="373" t="inlineStr">
        <is>
          <t>Totale waterverbruik (m³)</t>
        </is>
      </c>
      <c r="F261" s="373" t="inlineStr">
        <is>
          <t>Consommation totale d’eau (m³)</t>
        </is>
      </c>
      <c r="G261" s="367" t="inlineStr">
        <is>
          <t>Gesamtwasserverbrauch (Kubikmeter m³)</t>
        </is>
      </c>
      <c r="H261" s="367" t="inlineStr">
        <is>
          <t>Tomhaltas iomlán uisce (m³)</t>
        </is>
      </c>
      <c r="I261" s="358" t="inlineStr">
        <is>
          <t>Consumo idrico totale (m³)</t>
        </is>
      </c>
      <c r="J261" s="371" t="inlineStr">
        <is>
          <t>Bendras vandens suvartojimas (m³)</t>
        </is>
      </c>
      <c r="K261" s="371" t="inlineStr">
        <is>
          <t>Całkowite zużycie wody (m³)</t>
        </is>
      </c>
      <c r="L261" s="371" t="inlineStr">
        <is>
          <t>Consumo total de água (m³)</t>
        </is>
      </c>
      <c r="M261" s="371" t="inlineStr">
        <is>
          <t>Consumo total de agua (m³)</t>
        </is>
      </c>
    </row>
    <row r="262" ht="28.8" customHeight="1">
      <c r="A262" s="2" t="inlineStr">
        <is>
          <t>template_label_b7_description_of_circular_economy_principles</t>
        </is>
      </c>
      <c r="B262" s="461">
        <f>INDEX(C262:M262,MATCH(template_selected_display_language,$C$3:$M$3,0))</f>
        <v/>
      </c>
      <c r="C262" s="2" t="inlineStr">
        <is>
          <t>B7 - Description of circular economy principles</t>
        </is>
      </c>
      <c r="D262" s="563" t="inlineStr">
        <is>
          <t>B7 - Beskrivelse af principperne for cirkulær økonomi</t>
        </is>
      </c>
      <c r="E262" s="563" t="inlineStr">
        <is>
          <t>B7 - Beschrijving van de beginselen van de circulaire economie</t>
        </is>
      </c>
      <c r="F262" s="563" t="inlineStr">
        <is>
          <t>B7 – Description des principes de l’économie circulaire</t>
        </is>
      </c>
      <c r="G262" s="366" t="inlineStr">
        <is>
          <t>B7 – Beschreibung der Grundsätze der Kreislaufwirtschaft</t>
        </is>
      </c>
      <c r="H262" s="366" t="inlineStr">
        <is>
          <t>B7 - Cur síos ar phrionsabail an gheilleagair chiorclaigh</t>
        </is>
      </c>
      <c r="I262" s="2" t="inlineStr">
        <is>
          <t>B7 – Descrizione dei principi dell'economia circolare</t>
        </is>
      </c>
      <c r="J262" s="357" t="inlineStr">
        <is>
          <t>B7 - Žiedinės ekonomikos principų aprašymas</t>
        </is>
      </c>
      <c r="K262" s="357" t="inlineStr">
        <is>
          <t>B7 – Opis zasad gospodarki o obiegu zamkniętym</t>
        </is>
      </c>
      <c r="L262" s="357" t="inlineStr">
        <is>
          <t>B7 - Descrição dos princípios da economia circular</t>
        </is>
      </c>
      <c r="M262" s="357" t="inlineStr">
        <is>
          <t>B7 – Descripción de los principios de la economía circular</t>
        </is>
      </c>
    </row>
    <row r="263" ht="28.8" customHeight="1">
      <c r="A263" s="2" t="inlineStr">
        <is>
          <t>template_label_undertaking_applies_circular_economy_principles</t>
        </is>
      </c>
      <c r="B263" s="461">
        <f>INDEX(C263:M263,MATCH(template_selected_display_language,$C$3:$M$3,0))</f>
        <v/>
      </c>
      <c r="C263" s="2" t="inlineStr">
        <is>
          <t>Undertaking applies circular economy principles</t>
        </is>
      </c>
      <c r="D263" s="563" t="inlineStr">
        <is>
          <t>Virksomheden anvender principperne for cirkulær økonomi</t>
        </is>
      </c>
      <c r="E263" s="563" t="inlineStr">
        <is>
          <t>De onderneming vermeldt of zij de beginselen van de circulaire economie toepast.</t>
        </is>
      </c>
      <c r="F263" s="563" t="inlineStr">
        <is>
          <t>L’entreprise applique les principes de l’économie circulaire</t>
        </is>
      </c>
      <c r="G263" s="366" t="inlineStr">
        <is>
          <t xml:space="preserve">Das Unternehmen wendet Grundsätze der Kreislaufwirtschaft an. </t>
        </is>
      </c>
      <c r="H263" s="366" t="inlineStr">
        <is>
          <t>Cuireann an gnóthas prionsabail an gheilleagair chiorclaigh i bhfeidhm</t>
        </is>
      </c>
      <c r="I263" s="2" t="inlineStr">
        <is>
          <t>L'impresa applica i principi dell'economia circolare</t>
        </is>
      </c>
      <c r="J263" s="357" t="inlineStr">
        <is>
          <t>Įmonė taiko žiedinės ekonomikos principus</t>
        </is>
      </c>
      <c r="K263" s="357" t="inlineStr">
        <is>
          <t>Jednostka stosuje zasady gospodarki o obiegu zamkniętym</t>
        </is>
      </c>
      <c r="L263" s="357" t="inlineStr">
        <is>
          <t>A empresa aplica os princípios da economia circular</t>
        </is>
      </c>
      <c r="M263" s="357" t="inlineStr">
        <is>
          <t>La empresa divulgará si aplica los principios de la economía circular y, en caso afirmativo, cómo los aplica.</t>
        </is>
      </c>
    </row>
    <row r="264" ht="43.8" customHeight="1" thickBot="1">
      <c r="A264" s="358" t="inlineStr">
        <is>
          <t>template_label_description_of_how_it_applies_these_principles</t>
        </is>
      </c>
      <c r="B264" s="462">
        <f>INDEX(C264:M264,MATCH(template_selected_display_language,$C$3:$M$3,0))</f>
        <v/>
      </c>
      <c r="C264" s="358" t="inlineStr">
        <is>
          <t>Description of how it applies these principles</t>
        </is>
      </c>
      <c r="D264" s="373" t="inlineStr">
        <is>
          <t>Beskrivelse af, hvordan virksomhedenanvender disse principper</t>
        </is>
      </c>
      <c r="E264" s="373" t="inlineStr">
        <is>
          <t>"Beschrijving van hoe zij deze principes toepast"</t>
        </is>
      </c>
      <c r="F264" s="373" t="inlineStr">
        <is>
          <t>Description de la manière dont elle applique ces principes</t>
        </is>
      </c>
      <c r="G264" s="367" t="inlineStr">
        <is>
          <t>Beschreibung, wie diese Grundsätze angewendet werden</t>
        </is>
      </c>
      <c r="H264" s="367" t="inlineStr">
        <is>
          <t>Cur síos ar an gcaoi a gcuireann sé na prionsabail sin i bhfeidhm</t>
        </is>
      </c>
      <c r="I264" s="358" t="inlineStr">
        <is>
          <t>Descrizione delle modalità con cui applica questi principi</t>
        </is>
      </c>
      <c r="J264" s="371" t="inlineStr">
        <is>
          <t xml:space="preserve">Aprašymas, kaip taikomi šie principai
</t>
        </is>
      </c>
      <c r="K264" s="371" t="inlineStr">
        <is>
          <t>Opis sposobu stosowania tych zasad</t>
        </is>
      </c>
      <c r="L264" s="371" t="inlineStr">
        <is>
          <t>Descrição de como a empresa aplica estes princípios</t>
        </is>
      </c>
      <c r="M264" s="371" t="inlineStr">
        <is>
          <t>Descripción de cómo se aplican estos principios</t>
        </is>
      </c>
    </row>
    <row r="265" ht="28.8" customHeight="1">
      <c r="A265" s="2" t="inlineStr">
        <is>
          <t>template_label_b7_waste_generated</t>
        </is>
      </c>
      <c r="B265" s="461">
        <f>INDEX(C265:M265,MATCH(template_selected_display_language,$C$3:$M$3,0))</f>
        <v/>
      </c>
      <c r="C265" s="2" t="inlineStr">
        <is>
          <t>B7 - Waste generated</t>
        </is>
      </c>
      <c r="D265" s="563" t="inlineStr">
        <is>
          <t>B7 - Ressourceforbrug, cirkulær økonomi og affaldshåndtering</t>
        </is>
      </c>
      <c r="E265" s="563" t="inlineStr">
        <is>
          <t>B7 - Afval gegenereerd</t>
        </is>
      </c>
      <c r="F265" s="563" t="inlineStr">
        <is>
          <t>B7 - Déchets produits</t>
        </is>
      </c>
      <c r="G265" s="366" t="inlineStr">
        <is>
          <t>B7 – Abfallaufkommen</t>
        </is>
      </c>
      <c r="H265" s="366" t="inlineStr">
        <is>
          <t>B7 - Dramhaíl a ghintear</t>
        </is>
      </c>
      <c r="I265" s="2" t="inlineStr">
        <is>
          <t>B7 – Uso delle risorse, economia circolare e gestione dei rifiuti</t>
        </is>
      </c>
      <c r="J265" s="357" t="inlineStr">
        <is>
          <t>B7 - Išmetamųjų atliekų kiekis</t>
        </is>
      </c>
      <c r="K265" s="357" t="inlineStr">
        <is>
          <t>B7 - Wytworzone odpady</t>
        </is>
      </c>
      <c r="L265" s="357" t="inlineStr">
        <is>
          <t>B7 - Resíduos gerados</t>
        </is>
      </c>
      <c r="M265" s="357" t="inlineStr">
        <is>
          <t>B7 – Uso de los residuos generados</t>
        </is>
      </c>
    </row>
    <row r="266">
      <c r="A266" s="2" t="inlineStr">
        <is>
          <t>template_label_type_of_waste</t>
        </is>
      </c>
      <c r="B266" s="461">
        <f>INDEX(C266:M266,MATCH(template_selected_display_language,$C$3:$M$3,0))</f>
        <v/>
      </c>
      <c r="C266" s="2" t="inlineStr">
        <is>
          <t>Type of waste</t>
        </is>
      </c>
      <c r="D266" s="563" t="inlineStr">
        <is>
          <t xml:space="preserve">Type af affald </t>
        </is>
      </c>
      <c r="E266" s="563" t="inlineStr">
        <is>
          <t>Afvaltype</t>
        </is>
      </c>
      <c r="F266" s="563" t="inlineStr">
        <is>
          <t>Type de déchets</t>
        </is>
      </c>
      <c r="G266" s="366" t="inlineStr">
        <is>
          <t>Abfallart</t>
        </is>
      </c>
      <c r="H266" s="366" t="inlineStr">
        <is>
          <t>Cineál dramhaíola</t>
        </is>
      </c>
      <c r="I266" s="2" t="inlineStr">
        <is>
          <t>Tipo di rifiuto</t>
        </is>
      </c>
      <c r="J266" s="357" t="inlineStr">
        <is>
          <t>Atliekų rūšis</t>
        </is>
      </c>
      <c r="K266" s="357" t="inlineStr">
        <is>
          <t>Typ odpadów</t>
        </is>
      </c>
      <c r="L266" s="357" t="inlineStr">
        <is>
          <t>Tipo de resíduos</t>
        </is>
      </c>
      <c r="M266" s="357" t="inlineStr">
        <is>
          <t>Tipo de residuos</t>
        </is>
      </c>
    </row>
    <row r="267">
      <c r="A267" s="2" t="inlineStr">
        <is>
          <t>template_label_unit_of_measurement</t>
        </is>
      </c>
      <c r="B267" s="461">
        <f>INDEX(C267:M267,MATCH(template_selected_display_language,$C$3:$M$3,0))</f>
        <v/>
      </c>
      <c r="C267" s="2" t="inlineStr">
        <is>
          <t>Unit of measurement</t>
        </is>
      </c>
      <c r="D267" s="563" t="inlineStr">
        <is>
          <t>Måleenhed</t>
        </is>
      </c>
      <c r="E267" s="563" t="inlineStr">
        <is>
          <t>Meet eenheid</t>
        </is>
      </c>
      <c r="F267" s="563" t="inlineStr">
        <is>
          <t>Unité de mesure</t>
        </is>
      </c>
      <c r="G267" s="366" t="inlineStr">
        <is>
          <t>Maßeinheit</t>
        </is>
      </c>
      <c r="H267" s="366" t="inlineStr">
        <is>
          <t>Aonad tomhais</t>
        </is>
      </c>
      <c r="I267" s="2" t="inlineStr">
        <is>
          <t>Unità di misura</t>
        </is>
      </c>
      <c r="J267" s="357" t="inlineStr">
        <is>
          <t>Matavimo vienetas</t>
        </is>
      </c>
      <c r="K267" s="357" t="inlineStr">
        <is>
          <t>Jednostka miary</t>
        </is>
      </c>
      <c r="L267" s="357" t="inlineStr">
        <is>
          <t>Unidade de medida</t>
        </is>
      </c>
      <c r="M267" s="357" t="inlineStr">
        <is>
          <t>Unidad de medida</t>
        </is>
      </c>
    </row>
    <row r="268" ht="28.8" customHeight="1">
      <c r="A268" s="2" t="inlineStr">
        <is>
          <t>template_label_waste_diverted_to_recycle_or_reuse</t>
        </is>
      </c>
      <c r="B268" s="461">
        <f>INDEX(C268:M268,MATCH(template_selected_display_language,$C$3:$M$3,0))</f>
        <v/>
      </c>
      <c r="C268" s="2" t="inlineStr">
        <is>
          <t>Waste diverted to recycle or reuse</t>
        </is>
      </c>
      <c r="D268" s="563" t="inlineStr">
        <is>
          <t>Affald omdirigeret til genanvendelse eller genbrug</t>
        </is>
      </c>
      <c r="E268" s="563" t="inlineStr">
        <is>
          <t>Afval herbestemd voor recycling of hergebruik</t>
        </is>
      </c>
      <c r="F268" s="563" t="inlineStr">
        <is>
          <t>Déchets destinés à être recyclés ou réutilisés</t>
        </is>
      </c>
      <c r="G268" s="366" t="inlineStr">
        <is>
          <t>Abfälle, die zum Recycling oder zur Wiederverwendung umgeleitet werden</t>
        </is>
      </c>
      <c r="H268" s="366" t="inlineStr">
        <is>
          <t>Dramhaíl a atreoraítear le hathchúrsáil nó le hathúsáid</t>
        </is>
      </c>
      <c r="I268" s="2" t="inlineStr">
        <is>
          <t>Rifiuti reindirizzati al riciclaggio o al riutilizzo</t>
        </is>
      </c>
      <c r="J268" s="357" t="inlineStr">
        <is>
          <t>Atliekos, nukreiptos perdirbti arba pakartotinai naudoti</t>
        </is>
      </c>
      <c r="K268" s="357" t="inlineStr">
        <is>
          <t>Odpady kierowane do recyklingu lub ponownego użycia</t>
        </is>
      </c>
      <c r="L268" s="357" t="inlineStr">
        <is>
          <t>Resíduos desviados para reciclagem ou reutilização</t>
        </is>
      </c>
      <c r="M268" s="357" t="inlineStr">
        <is>
          <t>Residuos desviados para reciclar o reutilizar</t>
        </is>
      </c>
    </row>
    <row r="269">
      <c r="A269" s="2" t="inlineStr">
        <is>
          <t>template_label_waste_directed_to_disposal</t>
        </is>
      </c>
      <c r="B269" s="461">
        <f>INDEX(C269:M269,MATCH(template_selected_display_language,$C$3:$M$3,0))</f>
        <v/>
      </c>
      <c r="C269" s="2" t="inlineStr">
        <is>
          <t>Waste directed to disposal</t>
        </is>
      </c>
      <c r="D269" s="563" t="inlineStr">
        <is>
          <t xml:space="preserve">Affald sendt til bortskaffelse </t>
        </is>
      </c>
      <c r="E269" s="563" t="inlineStr">
        <is>
          <t>Restafval (niet recyclebaar/herbruikbaar)</t>
        </is>
      </c>
      <c r="F269" s="563" t="inlineStr">
        <is>
          <t>Déchets destinés à être éliminés</t>
        </is>
      </c>
      <c r="G269" s="366" t="inlineStr">
        <is>
          <t>Abfälle, die der Beseitigung zugeführt werden</t>
        </is>
      </c>
      <c r="H269" s="366" t="inlineStr">
        <is>
          <t>Dramhaíl atá dírithe chun diúscairt</t>
        </is>
      </c>
      <c r="I269" s="2" t="inlineStr">
        <is>
          <t>Rifiuti destinati allo smaltimento</t>
        </is>
      </c>
      <c r="J269" s="357" t="inlineStr">
        <is>
          <t>Atliekos, perduotos utilizavimui</t>
        </is>
      </c>
      <c r="K269" s="357" t="inlineStr">
        <is>
          <t>Odpady kierowane do unieszkodliwiania</t>
        </is>
      </c>
      <c r="L269" s="357" t="inlineStr">
        <is>
          <t>Resíduos destinados a eliminação</t>
        </is>
      </c>
      <c r="M269" s="357" t="inlineStr">
        <is>
          <t>Residuos dirigidos a eliminación</t>
        </is>
      </c>
    </row>
    <row r="270" ht="28.8" customHeight="1">
      <c r="A270" s="2" t="inlineStr">
        <is>
          <t>template_label_total_waste_recycled_reused_and_directed_to_disposal</t>
        </is>
      </c>
      <c r="B270" s="461">
        <f>INDEX(C270:M270,MATCH(template_selected_display_language,$C$3:$M$3,0))</f>
        <v/>
      </c>
      <c r="C270" s="2" t="inlineStr">
        <is>
          <t>Amount of waste recycled reused and directed to disposal</t>
        </is>
      </c>
      <c r="D270" s="563" t="inlineStr">
        <is>
          <t>Samlet mængde affald  genbrugt, genanvendt og sendt til bortskaffelse</t>
        </is>
      </c>
      <c r="E270" s="563" t="inlineStr">
        <is>
          <t>Hoeveelheid afval gerecycled, hergebruikt en afgevoerd</t>
        </is>
      </c>
      <c r="F270" s="563" t="inlineStr">
        <is>
          <t>Quantité de déchets recyclés, réutilisés et destinés à être éliminés</t>
        </is>
      </c>
      <c r="G270" s="366" t="inlineStr">
        <is>
          <t>Abfallmenge, das recycelt, wiederverwendet und der Beseitigung zugeführt wird</t>
        </is>
      </c>
      <c r="H270" s="366" t="inlineStr">
        <is>
          <t>Méid na dramhaíola a athchúrsáil, a athúsáideadh agus a threoraítear chun diúscairt</t>
        </is>
      </c>
      <c r="I270" s="2" t="inlineStr">
        <is>
          <t>Quantità di rifiuti riciclati, riutilizzati e destinati allo smaltimento</t>
        </is>
      </c>
      <c r="J270" s="357" t="inlineStr">
        <is>
          <t>Perdirbtų, pakartotinai panaudotų ir šalinimui nukreiptų atliekų kiekis</t>
        </is>
      </c>
      <c r="K270" s="357" t="inlineStr">
        <is>
          <t>Ilość odpadów kierowanych do recyklingu, ponownego użycia lub unieszkodliwienia</t>
        </is>
      </c>
      <c r="L270" s="357" t="inlineStr">
        <is>
          <t>Quantidade de resíduos reciclados, reutilizados e encaminhados para eliminação</t>
        </is>
      </c>
      <c r="M270" s="357" t="inlineStr">
        <is>
          <t>Cantidad de residuos desviados para su reciclaje, reutilización y destinados a la eliminación</t>
        </is>
      </c>
    </row>
    <row r="271" ht="28.8" customHeight="1">
      <c r="A271" s="2" t="inlineStr">
        <is>
          <t>template_label_total_hazardous_waste_generated_mass</t>
        </is>
      </c>
      <c r="B271" s="461">
        <f>INDEX(C271:M271,MATCH(template_selected_display_language,$C$3:$M$3,0))</f>
        <v/>
      </c>
      <c r="C271" s="2" t="inlineStr">
        <is>
          <t>Total Hazardous waste generated (mass)</t>
        </is>
      </c>
      <c r="D271" s="563" t="inlineStr">
        <is>
          <t>Samlet produktion af farligt affald (masse)</t>
        </is>
      </c>
      <c r="E271" s="563" t="inlineStr">
        <is>
          <t>Totaal gegenereerd gevaarlijk afval (massa)</t>
        </is>
      </c>
      <c r="F271" s="563" t="inlineStr">
        <is>
          <t>Total des déchets dangereux produits (en masse)</t>
        </is>
      </c>
      <c r="G271" s="366" t="inlineStr">
        <is>
          <t>Gesamtmenge gefährlicher Abfälle (Masse/Gewicht)</t>
        </is>
      </c>
      <c r="H271" s="366" t="inlineStr">
        <is>
          <t>Dramhaíl ghuaiseach iomlán a ghintear (mais)</t>
        </is>
      </c>
      <c r="I271" s="2" t="inlineStr">
        <is>
          <t>Totale rifiuti pericolosi generati (massa)</t>
        </is>
      </c>
      <c r="J271" s="357" t="inlineStr">
        <is>
          <t>Bendras susidariusių pavojingųjų atliekų kiekis (masė)</t>
        </is>
      </c>
      <c r="K271" s="357" t="inlineStr">
        <is>
          <t>Całkowita ilość wytworzonych odpadów niebezpiecznych (masa)</t>
        </is>
      </c>
      <c r="L271" s="357" t="inlineStr">
        <is>
          <t>Resíduos Perigosos totais gerados (massa)</t>
        </is>
      </c>
      <c r="M271" s="357" t="inlineStr">
        <is>
          <t>Residuo peligroso total generado (masa)</t>
        </is>
      </c>
    </row>
    <row r="272">
      <c r="A272" s="2" t="inlineStr">
        <is>
          <t>template_label_total_amount_of_waste_generated</t>
        </is>
      </c>
      <c r="B272" s="461">
        <f>INDEX(C272:M272,MATCH(template_selected_display_language,$C$3:$M$3,0))</f>
        <v/>
      </c>
      <c r="C272" s="2" t="inlineStr">
        <is>
          <t>Total amount of waste generated</t>
        </is>
      </c>
      <c r="D272" s="563" t="inlineStr">
        <is>
          <t xml:space="preserve">Samlet mængde affald genereret </t>
        </is>
      </c>
      <c r="E272" s="563" t="inlineStr">
        <is>
          <t>Totale hoeveelheid geproduceerd afval</t>
        </is>
      </c>
      <c r="F272" s="563" t="inlineStr">
        <is>
          <t>Quantité totale de déchets produits</t>
        </is>
      </c>
      <c r="G272" s="366" t="inlineStr">
        <is>
          <t>Gesamtabfallmenge oder Abfallmenge gesamt</t>
        </is>
      </c>
      <c r="H272" s="366" t="inlineStr">
        <is>
          <t>Méid iomlán na dramhaíola a ghintear</t>
        </is>
      </c>
      <c r="I272" s="2" t="inlineStr">
        <is>
          <t>Importo totale di rifiuti generati</t>
        </is>
      </c>
      <c r="J272" s="357" t="inlineStr">
        <is>
          <t>Bendras susidariusių atliekų kiekis</t>
        </is>
      </c>
      <c r="K272" s="357" t="inlineStr">
        <is>
          <t>Całkowita ilość wytwarzanych odpadów</t>
        </is>
      </c>
      <c r="L272" s="357" t="inlineStr">
        <is>
          <t>Quantidade total de resíduos gerados</t>
        </is>
      </c>
      <c r="M272" s="357" t="inlineStr">
        <is>
          <t>Cantidad total de residuos generados</t>
        </is>
      </c>
    </row>
    <row r="273" ht="28.8" customHeight="1">
      <c r="A273" s="2" t="inlineStr">
        <is>
          <t>template_label_total_non_hazardous_waste_generated_mass</t>
        </is>
      </c>
      <c r="B273" s="461">
        <f>INDEX(C273:M273,MATCH(template_selected_display_language,$C$3:$M$3,0))</f>
        <v/>
      </c>
      <c r="C273" s="2" t="inlineStr">
        <is>
          <t>Total Non-Hazardous waste generated (mass)</t>
        </is>
      </c>
      <c r="D273" s="563" t="inlineStr">
        <is>
          <t>Samlet  produktion af ikke-farligt affald (masse)</t>
        </is>
      </c>
      <c r="E273" s="563" t="inlineStr">
        <is>
          <t>Totale hoeveelheid niet-gevaarlijk afval gegenereerd (massa)</t>
        </is>
      </c>
      <c r="F273" s="563" t="inlineStr">
        <is>
          <t>Total des déchets non dangereux produits (en masse)</t>
        </is>
      </c>
      <c r="G273" s="366" t="inlineStr">
        <is>
          <t>Gesamtaufkommen nicht gefährlicher Abfälle (Masse/Gewicht)</t>
        </is>
      </c>
      <c r="H273" s="366" t="inlineStr">
        <is>
          <t>Dramhaíl Neamhghuaiseach Iomlán a ghintear (mais)</t>
        </is>
      </c>
      <c r="I273" s="2" t="inlineStr">
        <is>
          <t>Totale rifiuti non pericolosi generati (massa)</t>
        </is>
      </c>
      <c r="J273" s="357" t="inlineStr">
        <is>
          <t>Bendras nepavojingų atliekų kiekis (masė)</t>
        </is>
      </c>
      <c r="K273" s="357" t="inlineStr">
        <is>
          <t>Całkowita ilość wytworzonych odpadów innych niż niebezpieczne (masa)</t>
        </is>
      </c>
      <c r="L273" s="357" t="inlineStr">
        <is>
          <t>Resíduos Não Perigosos Totais Gerados (massa)</t>
        </is>
      </c>
      <c r="M273" s="357" t="inlineStr">
        <is>
          <t>Residuos no peligrosos generados totales (masa)</t>
        </is>
      </c>
    </row>
    <row r="274">
      <c r="A274" s="2" t="inlineStr">
        <is>
          <t>template_label_total_waste_generated_mass</t>
        </is>
      </c>
      <c r="B274" s="461">
        <f>INDEX(C274:M274,MATCH(template_selected_display_language,$C$3:$M$3,0))</f>
        <v/>
      </c>
      <c r="C274" s="2" t="inlineStr">
        <is>
          <t>Total waste generated (mass)</t>
        </is>
      </c>
      <c r="D274" s="563" t="inlineStr">
        <is>
          <t>Samlet produktion af affald (masse)</t>
        </is>
      </c>
      <c r="E274" s="563" t="inlineStr">
        <is>
          <t>Totale hoeveelheid geproduceerd afval (massa)</t>
        </is>
      </c>
      <c r="F274" s="563" t="inlineStr">
        <is>
          <t>Total des déchets produits (en masse)</t>
        </is>
      </c>
      <c r="G274" s="366" t="inlineStr">
        <is>
          <t>Gesamtabfallaufkommen (Masse/Gewicht)</t>
        </is>
      </c>
      <c r="H274" s="366" t="inlineStr">
        <is>
          <t>Dramhaíl iomlán a ghintear (mais)</t>
        </is>
      </c>
      <c r="I274" s="2" t="inlineStr">
        <is>
          <t>Totale rifiuti generati (massa)</t>
        </is>
      </c>
      <c r="J274" s="357" t="inlineStr">
        <is>
          <t>Bendras atliekų kiekis (masė)</t>
        </is>
      </c>
      <c r="K274" s="357" t="inlineStr">
        <is>
          <t>Całkowita ilość wytwarzanych odpadów (masa)</t>
        </is>
      </c>
      <c r="L274" s="357" t="inlineStr">
        <is>
          <t>Produção total de resíduos (massa)</t>
        </is>
      </c>
      <c r="M274" s="357" t="inlineStr">
        <is>
          <t>Total de residuos generados (masa)</t>
        </is>
      </c>
    </row>
    <row r="275" ht="28.8" customHeight="1">
      <c r="A275" s="2" t="inlineStr">
        <is>
          <t>template_label_total_hazardous_waste_generated_volume</t>
        </is>
      </c>
      <c r="B275" s="461">
        <f>INDEX(C275:M275,MATCH(template_selected_display_language,$C$3:$M$3,0))</f>
        <v/>
      </c>
      <c r="C275" s="2" t="inlineStr">
        <is>
          <t>Total Hazardous waste generated (volume)</t>
        </is>
      </c>
      <c r="D275" s="563" t="inlineStr">
        <is>
          <t>Samlet produktion af farligt affald (volume)</t>
        </is>
      </c>
      <c r="E275" s="563" t="inlineStr">
        <is>
          <t>Totale hoeveelheid geproduceerd gevaarlijk afval (volume)</t>
        </is>
      </c>
      <c r="F275" s="563" t="inlineStr">
        <is>
          <t>Total des déchets dangereux produits (en volume)</t>
        </is>
      </c>
      <c r="G275" s="366" t="inlineStr">
        <is>
          <t>Gesamtaufkommen gefährlicher Abfälle (Volumen)</t>
        </is>
      </c>
      <c r="H275" s="366" t="inlineStr">
        <is>
          <t>Dramhaíl ghuaiseach iomlán a ghintear (toirt)</t>
        </is>
      </c>
      <c r="I275" s="2" t="inlineStr">
        <is>
          <t>Totale rifiuti pericolosi generati (volume)</t>
        </is>
      </c>
      <c r="J275" s="357" t="inlineStr">
        <is>
          <t>Bendras pavojingų atliekų susidarymo kiekis (tūris)</t>
        </is>
      </c>
      <c r="K275" s="357" t="inlineStr">
        <is>
          <t>Całkowita ilość wytworzonych odpadów niebezpiecznych (objętość)</t>
        </is>
      </c>
      <c r="L275" s="357" t="inlineStr">
        <is>
          <t>Resíduos perigosos totais gerados (volume)</t>
        </is>
      </c>
      <c r="M275" s="357" t="inlineStr">
        <is>
          <t>Residuos peligrosos generados totales (volumen)</t>
        </is>
      </c>
    </row>
    <row r="276">
      <c r="A276" s="2" t="inlineStr">
        <is>
          <t>template_label_cubic_meters</t>
        </is>
      </c>
      <c r="B276" s="461">
        <f>INDEX(C276:M276,MATCH(template_selected_display_language,$C$3:$M$3,0))</f>
        <v/>
      </c>
      <c r="C276" s="2" t="inlineStr">
        <is>
          <t>cubic meters (m³)</t>
        </is>
      </c>
      <c r="D276" s="563" t="inlineStr">
        <is>
          <t>kubikmeter (m³)</t>
        </is>
      </c>
      <c r="E276" s="563" t="inlineStr">
        <is>
          <t>kubieke meter (m³)</t>
        </is>
      </c>
      <c r="F276" s="563" t="inlineStr">
        <is>
          <t>mètres cubes (m³)</t>
        </is>
      </c>
      <c r="G276" s="366" t="inlineStr">
        <is>
          <t>Kubikmeter (m³)</t>
        </is>
      </c>
      <c r="H276" s="366" t="inlineStr">
        <is>
          <t>méadar ciúbach (m³)</t>
        </is>
      </c>
      <c r="I276" s="2" t="inlineStr">
        <is>
          <t>metri cubi (m³)</t>
        </is>
      </c>
      <c r="J276" s="357" t="inlineStr">
        <is>
          <t>kubiniai metrai (m³)</t>
        </is>
      </c>
      <c r="K276" s="357" t="inlineStr">
        <is>
          <t>metr sześcienny (m³)</t>
        </is>
      </c>
      <c r="L276" s="357" t="inlineStr">
        <is>
          <t>metros cúbicos (m³)</t>
        </is>
      </c>
      <c r="M276" s="357" t="inlineStr">
        <is>
          <t>metros cúbicos (m³)</t>
        </is>
      </c>
    </row>
    <row r="277" ht="28.8" customHeight="1">
      <c r="A277" s="2" t="inlineStr">
        <is>
          <t>template_label_total_non_hazardous_waste_generated_volume</t>
        </is>
      </c>
      <c r="B277" s="461">
        <f>INDEX(C277:M277,MATCH(template_selected_display_language,$C$3:$M$3,0))</f>
        <v/>
      </c>
      <c r="C277" s="2" t="inlineStr">
        <is>
          <t>Total Non-Hazardous waste generated (volume)</t>
        </is>
      </c>
      <c r="D277" s="563" t="inlineStr">
        <is>
          <t>Samlet produktion af ikke-farligt affald (volume)</t>
        </is>
      </c>
      <c r="E277" s="563" t="inlineStr">
        <is>
          <t>Totaal hoeveelheid niet-gevaarlijk afval geproduceerd (volume)</t>
        </is>
      </c>
      <c r="F277" s="563" t="inlineStr">
        <is>
          <t>Total des déchets non dangereux produits (en volume)</t>
        </is>
      </c>
      <c r="G277" s="366" t="inlineStr">
        <is>
          <t>Gesamtaufkommen nicht gefährlicher Abfälle (Volumen)</t>
        </is>
      </c>
      <c r="H277" s="366" t="inlineStr">
        <is>
          <t>Dramhaíl Neamhghuaiseach Iomlán a ghintear (toirt)</t>
        </is>
      </c>
      <c r="I277" s="2" t="inlineStr">
        <is>
          <t>Totale rifiuti non pericolosi generati (volume)</t>
        </is>
      </c>
      <c r="J277" s="357" t="inlineStr">
        <is>
          <t>Bendras nepavojingų atliekų kiekis (tūris)</t>
        </is>
      </c>
      <c r="K277" s="357" t="inlineStr">
        <is>
          <t>Całkowita ilość wytworzonych odpadów innych niż niebezpieczne (objętość)</t>
        </is>
      </c>
      <c r="L277" s="357" t="inlineStr">
        <is>
          <t>Resíduos não perigosos totais gerados (volume)</t>
        </is>
      </c>
      <c r="M277" s="357" t="inlineStr">
        <is>
          <t>Residuos no peligrosos totales generados (volumen)</t>
        </is>
      </c>
    </row>
    <row r="278" ht="15" customHeight="1" thickBot="1">
      <c r="A278" s="358" t="inlineStr">
        <is>
          <t>template_label_total_waste_generated_volume</t>
        </is>
      </c>
      <c r="B278" s="462">
        <f>INDEX(C278:M278,MATCH(template_selected_display_language,$C$3:$M$3,0))</f>
        <v/>
      </c>
      <c r="C278" s="358" t="inlineStr">
        <is>
          <t>Total waste generated (volume)</t>
        </is>
      </c>
      <c r="D278" s="373" t="inlineStr">
        <is>
          <t>Samlet produktion af affald (volume)</t>
        </is>
      </c>
      <c r="E278" s="373" t="inlineStr">
        <is>
          <t>Totale hoeveelheid geproduceerd afval (volume)</t>
        </is>
      </c>
      <c r="F278" s="373" t="inlineStr">
        <is>
          <t>Total des déchets produits (en volume)</t>
        </is>
      </c>
      <c r="G278" s="367" t="inlineStr">
        <is>
          <t>Gesamtabfallaufkommen (Volumen)</t>
        </is>
      </c>
      <c r="H278" s="367" t="inlineStr">
        <is>
          <t>Dramhaíl iomlán a ghintear (toirt)</t>
        </is>
      </c>
      <c r="I278" s="358" t="inlineStr">
        <is>
          <t>Totale rifiuti generati (volume)</t>
        </is>
      </c>
      <c r="J278" s="371" t="inlineStr">
        <is>
          <t>Bendras susidariusių atliekų kiekis (tūris)</t>
        </is>
      </c>
      <c r="K278" s="371" t="inlineStr">
        <is>
          <t>Całkowita ilość wytwarzanych odpadów (objętość)</t>
        </is>
      </c>
      <c r="L278" s="371" t="inlineStr">
        <is>
          <t>Produção total de resíduos (volume)</t>
        </is>
      </c>
      <c r="M278" s="371" t="inlineStr">
        <is>
          <t>Residuos totales generados (volumen)</t>
        </is>
      </c>
    </row>
    <row r="279" ht="28.8" customHeight="1">
      <c r="A279" s="2" t="inlineStr">
        <is>
          <t>template_label_b7_annual_mass_flow_of_relevant_materials_used</t>
        </is>
      </c>
      <c r="B279" s="461">
        <f>INDEX(C279:M279,MATCH(template_selected_display_language,$C$3:$M$3,0))</f>
        <v/>
      </c>
      <c r="C279" s="2" t="inlineStr">
        <is>
          <t>B7 - Annual mass-flow of relevant materials used</t>
        </is>
      </c>
      <c r="D279" s="563" t="inlineStr">
        <is>
          <t xml:space="preserve">B7 - Årlig massestrøm af betydelige materialer brugt i virksomheden </t>
        </is>
      </c>
      <c r="E279" s="563" t="inlineStr">
        <is>
          <t>B7 – Jaarlijkse massastroom van relevante gebruikte materialen</t>
        </is>
      </c>
      <c r="F279" s="563" t="inlineStr">
        <is>
          <t>B7 – Flux massique annuel des matières pertinentes utilisées</t>
        </is>
      </c>
      <c r="G279" s="366" t="inlineStr">
        <is>
          <t>B7 – Jährlicher Massenstrom der verwendeten relevanten Materialien</t>
        </is>
      </c>
      <c r="H279" s="366" t="inlineStr">
        <is>
          <t>B7 – Mais-sreabhadh bliantúil na n-ábhar ábhartha a úsáideadh</t>
        </is>
      </c>
      <c r="I279" s="2" t="inlineStr">
        <is>
          <t>B7 – Flusso di massa annuo dei materiali pertinenti utilizzati</t>
        </is>
      </c>
      <c r="J279" s="357" t="inlineStr">
        <is>
          <t>B7 – Sunaudotų reikšmingų medžiagų kiekis</t>
        </is>
      </c>
      <c r="K279" s="357" t="inlineStr">
        <is>
          <t>B7 – Roczny przepływ masowy używanych istotnych materiałów</t>
        </is>
      </c>
      <c r="L279" s="357" t="inlineStr">
        <is>
          <t>B7 – Fluxo anual de massa de materiais relevantes utilizados</t>
        </is>
      </c>
      <c r="M279" s="357" t="inlineStr">
        <is>
          <t>B7 – Flujo anual de masa de materiales relevantes utilizados</t>
        </is>
      </c>
    </row>
    <row r="280" ht="13.95" customHeight="1">
      <c r="A280" s="2" t="inlineStr">
        <is>
          <t>template_label_does_the_undertaking_operate_in_a_sector_using_significant_material_flows</t>
        </is>
      </c>
      <c r="B280" s="461">
        <f>INDEX(C280:M280,MATCH(template_selected_display_language,$C$3:$M$3,0))</f>
        <v/>
      </c>
      <c r="C280" s="2" t="inlineStr">
        <is>
          <t>Does the undertaking the undertaking operate in a sector using significant material flows (for example manufacturing construction packaging or others)?</t>
        </is>
      </c>
      <c r="D280" s="563" t="inlineStr">
        <is>
          <t>Opererer virksomheden i en sektor, der anvender betydelige materialestrømme (for eksempel fremstilling, byggeri, emballage eller andre)?</t>
        </is>
      </c>
      <c r="E280" s="563" t="inlineStr">
        <is>
          <t>Bent de onderneming actief in een sector die aanzienlijke materiaalstromen gebruikt (bijvoorbeeld productie, bouw, verpakking of andere)?</t>
        </is>
      </c>
      <c r="F280" s="563" t="inlineStr">
        <is>
          <t>L’entreprise opère-t-elle dans un secteur qui utilise des flux de matières importants (par ex. fabrication, construction, emballage ou autres) ?</t>
        </is>
      </c>
      <c r="G280" s="366" t="inlineStr">
        <is>
          <t>Operiert das Unternehmen in einem Wirtschaftszweig mit erheblichen Materialflüssen (zum Beispiel verarbeitendes Gewerbe/Hertsellung von Waren, Baugewerbe/Bau, Abfüllen/Verpacken oder andere)?</t>
        </is>
      </c>
      <c r="H280" s="366" t="inlineStr">
        <is>
          <t>An oibríonn an gnóthas in earnáil a úsáideann sreabha suntasacha ábhar (mar shampla déantúsaíocht, foirgníocht, pacáistíocht nó eile)?</t>
        </is>
      </c>
      <c r="I280" s="2" t="inlineStr">
        <is>
          <t>L'impresa opera in un settore che utilizza flussi significativi di materiali (ad esempio industria manifatturiera, costruzione, imballaggio o altro)?</t>
        </is>
      </c>
      <c r="J280" s="357" t="inlineStr">
        <is>
          <t>Ar įmonė veikia sektoriuje, kuriame naudojami didelės apimties medžiagų srautai (pvz., gamyba, statyba, pakuočių sektorius ir kt.)?</t>
        </is>
      </c>
      <c r="K280" s="357" t="inlineStr">
        <is>
          <t>Czy jednostka prowadzi działalność w sektorze, w którym mają znaczenie znaczące przepływy materiałów (takim jak produkcja, budownictwo, branża opakowań lub inne)?</t>
        </is>
      </c>
      <c r="L280" s="357" t="inlineStr">
        <is>
          <t>A empresa opera num setor que utiliza fluxos significativos de materiais (por exemplo, fabrico, construção, embalagem ou outros)?</t>
        </is>
      </c>
      <c r="M280" s="357" t="inlineStr">
        <is>
          <t>¿Opera la empresa en un sector que utiliza flujos materiales significativos (por ejemplo, manufactura, construcción, embalaje u otros)?</t>
        </is>
      </c>
    </row>
    <row r="281">
      <c r="A281" s="2" t="inlineStr">
        <is>
          <t>template_label_name_of_the_key_material</t>
        </is>
      </c>
      <c r="B281" s="461">
        <f>INDEX(C281:M281,MATCH(template_selected_display_language,$C$3:$M$3,0))</f>
        <v/>
      </c>
      <c r="C281" s="2" t="inlineStr">
        <is>
          <t>Name of the key material</t>
        </is>
      </c>
      <c r="D281" s="563" t="inlineStr">
        <is>
          <t xml:space="preserve">Navn på det betydelige materiale </t>
        </is>
      </c>
      <c r="E281" s="563" t="inlineStr">
        <is>
          <t>Naam van het kernmateriaal</t>
        </is>
      </c>
      <c r="F281" s="563" t="inlineStr">
        <is>
          <t xml:space="preserve">  Nom de la matières clé </t>
        </is>
      </c>
      <c r="G281" s="366" t="inlineStr">
        <is>
          <t>Name der relevanten Materialien</t>
        </is>
      </c>
      <c r="H281" s="366" t="inlineStr">
        <is>
          <t>Ainm an ábhair phríomhúil</t>
        </is>
      </c>
      <c r="I281" s="2" t="inlineStr">
        <is>
          <t>Nome del materiale chiave</t>
        </is>
      </c>
      <c r="J281" s="357" t="inlineStr">
        <is>
          <t>Reikšmingos medžiagos pavadinimas</t>
        </is>
      </c>
      <c r="K281" s="357" t="inlineStr">
        <is>
          <t>Nazwa kluczowego materiału</t>
        </is>
      </c>
      <c r="L281" s="357" t="inlineStr">
        <is>
          <t>Nome do material essencial</t>
        </is>
      </c>
      <c r="M281" s="357" t="inlineStr">
        <is>
          <t>Nombre del material clave</t>
        </is>
      </c>
    </row>
    <row r="282">
      <c r="A282" s="2" t="inlineStr">
        <is>
          <t>template_label_mass_volume</t>
        </is>
      </c>
      <c r="B282" s="461">
        <f>INDEX(C282:M282,MATCH(template_selected_display_language,$C$3:$M$3,0))</f>
        <v/>
      </c>
      <c r="C282" s="2" t="inlineStr">
        <is>
          <t>Mass / Volume</t>
        </is>
      </c>
      <c r="D282" s="563" t="inlineStr">
        <is>
          <t xml:space="preserve">Masse / Volume </t>
        </is>
      </c>
      <c r="E282" s="563" t="inlineStr">
        <is>
          <t>Massa volume</t>
        </is>
      </c>
      <c r="F282" s="563" t="inlineStr">
        <is>
          <t>Masse / Volume</t>
        </is>
      </c>
      <c r="G282" s="366" t="inlineStr">
        <is>
          <t>Masse / Volumen</t>
        </is>
      </c>
      <c r="H282" s="366" t="inlineStr">
        <is>
          <t>Toirt Maise</t>
        </is>
      </c>
      <c r="I282" s="2" t="inlineStr">
        <is>
          <t>Massa / Volume</t>
        </is>
      </c>
      <c r="J282" s="357" t="inlineStr">
        <is>
          <t>Masė / Tūris</t>
        </is>
      </c>
      <c r="K282" s="357" t="inlineStr">
        <is>
          <t xml:space="preserve">Masowa / Objętość </t>
        </is>
      </c>
      <c r="L282" s="357" t="inlineStr">
        <is>
          <t>Massa / Volume</t>
        </is>
      </c>
      <c r="M282" s="357" t="inlineStr">
        <is>
          <t>Masa / Volumen</t>
        </is>
      </c>
    </row>
    <row r="283" ht="28.8" customHeight="1">
      <c r="A283" s="2" t="inlineStr">
        <is>
          <t>template_label_total_annual_mass_flow_of_relevant_materials_used_mass</t>
        </is>
      </c>
      <c r="B283" s="461">
        <f>INDEX(C283:M283,MATCH(template_selected_display_language,$C$3:$M$3,0))</f>
        <v/>
      </c>
      <c r="C283" s="2" t="inlineStr">
        <is>
          <t>Total annual mass-flow of relevant materials used (mass in kg)</t>
        </is>
      </c>
      <c r="D283" s="563" t="inlineStr">
        <is>
          <t>Samlet årlig massestrøm af betydelige materialer anvendt (masse i kg)</t>
        </is>
      </c>
      <c r="E283" s="563" t="inlineStr">
        <is>
          <t>Totale jaarlijkse massastroom van gebruikte relevante materialen (massa in kg)</t>
        </is>
      </c>
      <c r="F283" s="563" t="inlineStr">
        <is>
          <t>Total du flux massique annuel des matières pertinentes utilisées (masse en kg)</t>
        </is>
      </c>
      <c r="G283" s="366" t="inlineStr">
        <is>
          <t>Gesamter jährlicher Massenstrom der verwendeten relevanten Materialien (Masse in kg)</t>
        </is>
      </c>
      <c r="H283" s="366" t="inlineStr">
        <is>
          <t>Mais-shreabhadh bliantúil iomlán na n-ábhar ábhartha a úsáideadh (mais i kg)</t>
        </is>
      </c>
      <c r="I283" s="2" t="inlineStr">
        <is>
          <t>Flusso di massa annuo totale dei materiali pertinenti utilizzati (massa in kg)</t>
        </is>
      </c>
      <c r="J283" s="357" t="inlineStr">
        <is>
          <t>Bendras metinis reikšmingų naudojamų medžiagų masės srautas (masė, kg)</t>
        </is>
      </c>
      <c r="K283" s="357" t="inlineStr">
        <is>
          <t>Całkowity roczny przepływ masowy używanych istotnych materiałów (masa w kg)</t>
        </is>
      </c>
      <c r="L283" s="357" t="inlineStr">
        <is>
          <t>Fluxo anual de massa total dos materiais relevantes utilizados (massa em kg)</t>
        </is>
      </c>
      <c r="M283" s="357" t="inlineStr">
        <is>
          <t>Flujo anual total de masa de materiales relevantes utilizados (masa en kg)</t>
        </is>
      </c>
    </row>
    <row r="284">
      <c r="A284" s="2" t="inlineStr">
        <is>
          <t>template_label_kilograms</t>
        </is>
      </c>
      <c r="B284" s="461">
        <f>INDEX(C284:M284,MATCH(template_selected_display_language,$C$3:$M$3,0))</f>
        <v/>
      </c>
      <c r="C284" s="2" t="inlineStr">
        <is>
          <t>kilograms (kg)</t>
        </is>
      </c>
      <c r="D284" s="563" t="inlineStr">
        <is>
          <t>kilogram (kg)</t>
        </is>
      </c>
      <c r="E284" s="563" t="inlineStr">
        <is>
          <t>kilogrammen (kg)</t>
        </is>
      </c>
      <c r="F284" s="563" t="inlineStr">
        <is>
          <t>kilogrammes (kg)</t>
        </is>
      </c>
      <c r="G284" s="366" t="inlineStr">
        <is>
          <t>Kilogramm (kg)</t>
        </is>
      </c>
      <c r="H284" s="366" t="inlineStr">
        <is>
          <t>cileagraim (kg)</t>
        </is>
      </c>
      <c r="I284" s="2" t="inlineStr">
        <is>
          <t>chilogrammi (kg)</t>
        </is>
      </c>
      <c r="J284" s="357" t="inlineStr">
        <is>
          <t>kilogramai (kg)</t>
        </is>
      </c>
      <c r="K284" s="357" t="inlineStr">
        <is>
          <t>kilogramy (kg)</t>
        </is>
      </c>
      <c r="L284" s="357" t="inlineStr">
        <is>
          <t>quilogramas (kg)</t>
        </is>
      </c>
      <c r="M284" s="357" t="inlineStr">
        <is>
          <t>kilogramos (kg)</t>
        </is>
      </c>
    </row>
    <row r="285" ht="29.4" customHeight="1" thickBot="1">
      <c r="A285" s="358" t="inlineStr">
        <is>
          <t>template_label_total_annual_mass_flow_of_relevant_materials_used_volume</t>
        </is>
      </c>
      <c r="B285" s="462">
        <f>INDEX(C285:M285,MATCH(template_selected_display_language,$C$3:$M$3,0))</f>
        <v/>
      </c>
      <c r="C285" s="358" t="inlineStr">
        <is>
          <t>Total annual mass-flow of relevant materials used (volume in m³)</t>
        </is>
      </c>
      <c r="D285" s="373" t="inlineStr">
        <is>
          <t>Samlet årlig massestrøm af betyderlige metarialer anvendt (volumen i m³)</t>
        </is>
      </c>
      <c r="E285" s="373" t="inlineStr">
        <is>
          <t>Totale jaarlijkse massastroom van relevante gebruikte materialen (volume in m³)</t>
        </is>
      </c>
      <c r="F285" s="373" t="inlineStr">
        <is>
          <t>Total du flux massique annuel des matières pertinentes utilisées (volume en m³)</t>
        </is>
      </c>
      <c r="G285" s="367" t="inlineStr">
        <is>
          <t>Gesamter jährlicher Massenstrom der verwendeten relevanten Materialien (Volumen in m³)</t>
        </is>
      </c>
      <c r="H285" s="367" t="inlineStr">
        <is>
          <t>Mais-sreabhadh bliantúil iomlán na n-ábhar ábhartha a úsáidtear (toirt i m³)</t>
        </is>
      </c>
      <c r="I285" s="358" t="inlineStr">
        <is>
          <t>Flusso di massa annuo totale dei materiali pertinenti utilizzati (volume in m³)</t>
        </is>
      </c>
      <c r="J285" s="371" t="inlineStr">
        <is>
          <t>Bendras metinis reikšmingų naudojamų medžiagų srautas (tūris, m³)</t>
        </is>
      </c>
      <c r="K285" s="371" t="inlineStr">
        <is>
          <t>Całkowity roczny przepływ masowy używanych istotnych materiałów (objętość w m³)</t>
        </is>
      </c>
      <c r="L285" s="371" t="inlineStr">
        <is>
          <t>Fluxo de massa anual total dos materiais relevantes utilizados (volume em m³)</t>
        </is>
      </c>
      <c r="M285" s="371" t="inlineStr">
        <is>
          <t>Flujo anual total de masa de materiales relevantes utilizados (volumen en m³)</t>
        </is>
      </c>
    </row>
    <row r="286">
      <c r="A286" s="2" t="inlineStr">
        <is>
          <t>template_label_c4_climate_risks</t>
        </is>
      </c>
      <c r="B286" s="461">
        <f>INDEX(C286:M286,MATCH(template_selected_display_language,$C$3:$M$3,0))</f>
        <v/>
      </c>
      <c r="C286" s="2" t="inlineStr">
        <is>
          <t>C4 - Climate risks</t>
        </is>
      </c>
      <c r="D286" s="563" t="inlineStr">
        <is>
          <t>C4 – Klimarisici</t>
        </is>
      </c>
      <c r="E286" s="563" t="inlineStr">
        <is>
          <t>C4 — Klimaatrisico’s</t>
        </is>
      </c>
      <c r="F286" s="563" t="inlineStr">
        <is>
          <t>C4 – Risques climatiques</t>
        </is>
      </c>
      <c r="G286" s="366" t="inlineStr">
        <is>
          <t>C4 – Klimabedingte Risiken</t>
        </is>
      </c>
      <c r="H286" s="366" t="inlineStr">
        <is>
          <t>C4 – Rioscaí aeráide</t>
        </is>
      </c>
      <c r="I286" s="2" t="inlineStr">
        <is>
          <t>C4 – Rischi climatici</t>
        </is>
      </c>
      <c r="J286" s="357" t="inlineStr">
        <is>
          <t>C4 - Klimato rizikos</t>
        </is>
      </c>
      <c r="K286" s="357" t="inlineStr">
        <is>
          <t>C4 – Ryzyko związane z klimatem</t>
        </is>
      </c>
      <c r="L286" s="357" t="inlineStr">
        <is>
          <t>C4 – Riscos climáticos</t>
        </is>
      </c>
      <c r="M286" s="357" t="inlineStr">
        <is>
          <t>C4 – Riesgos climáticos</t>
        </is>
      </c>
    </row>
    <row r="287" ht="72" customHeight="1">
      <c r="A287" s="2" t="inlineStr">
        <is>
          <t>template_label_has_the_undertaking_identified_climate_related_hazards_and_climate_related_transition_events</t>
        </is>
      </c>
      <c r="B287" s="461">
        <f>INDEX(C287:M287,MATCH(template_selected_display_language,$C$3:$M$3,0))</f>
        <v/>
      </c>
      <c r="C287" s="2" t="inlineStr">
        <is>
          <t>Has the undertaking identified climate-related hazards and climate-related transition events creating gross climate-related risks for the undertaking?</t>
        </is>
      </c>
      <c r="D287" s="563" t="inlineStr">
        <is>
          <t>Har virksomheden identificeret klimarelaterede farer og klimarelaterede omstillingshændelser, der skaber bruttoklimarelaterede risici for virksomheden?</t>
        </is>
      </c>
      <c r="E287" s="563" t="inlineStr">
        <is>
          <t xml:space="preserve"> Heeft de onderneming klimaatgerelateerde gevaren en klimaatgerelateerde transitiegebeurtenissen  vastgesteld die bruto klimaatgerelateerde risico’s voor de onderneming creëren?</t>
        </is>
      </c>
      <c r="F287" s="563" t="inlineStr">
        <is>
          <t>L’entreprise a-t-elle recensé des aléas liés au changement climatique et des événements liés à la transition climatique créant des risques bruts liés au changement climatique pour l’entreprise ?</t>
        </is>
      </c>
      <c r="G287" s="366" t="inlineStr">
        <is>
          <t>Hat das Unternehmen klimabedingte Gefahren und klimabedingte Übergangsereignisse ermittelt, aus denen sich bei Bruttobetrachtung klimabedingte Risiken für das Unternehmen ergeben?</t>
        </is>
      </c>
      <c r="H287" s="366" t="inlineStr">
        <is>
          <t>Ar aithin an gnóthas guaiseacha a bhaineann leis an aeráid agus teagmhais aistrithe a bhaineann leis an aeráid a chruthaíonn ollrioscaí a bhaineann leis an aeráid don ghnóthas?</t>
        </is>
      </c>
      <c r="I287" s="2" t="inlineStr">
        <is>
          <t xml:space="preserve">L'impresa ha individuato pericoli legati al clima ed eventi di transizione legati al clima che creano nei confronti dell'impresa rischi lordi legati al clima?
</t>
        </is>
      </c>
      <c r="J287" s="357" t="inlineStr">
        <is>
          <t>Ar įmonė nustatė su klimatu susijusias ir pereinamojo laikotarpio rizikas?</t>
        </is>
      </c>
      <c r="K287" s="357" t="inlineStr">
        <is>
          <t>Czy jednostka zidentyfikowała zagrożenia związane z klimatem i zdarzenia dotyczące przejścia związanego z klimatem, powodujące poważne ryzyka związane z klimatem dla jednostki?</t>
        </is>
      </c>
      <c r="L287" s="357" t="inlineStr">
        <is>
          <t xml:space="preserve">A empresa identificou perigos relacionados com o clima e eventos de transição relacionados com o clima que criam riscos brutos relacionados com o clima para a empresa?
</t>
        </is>
      </c>
      <c r="M287" s="357" t="inlineStr">
        <is>
          <t>¿La empresa ha identificado peligros relacionados con el clima y eventos de transición climática que crean riesgos climáticos brutos para la empresa?</t>
        </is>
      </c>
    </row>
    <row r="288" ht="28.8" customHeight="1">
      <c r="A288" s="2" t="inlineStr">
        <is>
          <t>template_label_description_of_climate_related_hazards_and_climate_related_transition_events</t>
        </is>
      </c>
      <c r="B288" s="461">
        <f>INDEX(C288:M288,MATCH(template_selected_display_language,$C$3:$M$3,0))</f>
        <v/>
      </c>
      <c r="C288" s="2" t="inlineStr">
        <is>
          <t>Description of climate-related hazards and climate-related transition events</t>
        </is>
      </c>
      <c r="D288" s="563" t="inlineStr">
        <is>
          <t>Beskrivelse af klimarelaterede farer og klimarelaterede omstillingshændelser</t>
        </is>
      </c>
      <c r="E288" s="563" t="inlineStr">
        <is>
          <t>Beschrijving van klimaatgeïnduceerde gevaren en klimaatgeïnduceerde transitiegebeurtenissen</t>
        </is>
      </c>
      <c r="F288" s="563" t="inlineStr">
        <is>
          <t>Description des aléas liés au changement climatique et des événements liés à la transition climatique</t>
        </is>
      </c>
      <c r="G288" s="366" t="inlineStr">
        <is>
          <t>Beschreibung der klimabedingten Gefahren und klimabedingten Übergangsereignisse</t>
        </is>
      </c>
      <c r="H288" s="366" t="inlineStr">
        <is>
          <t>Cur síos ar ghuaiseacha a bhaineann leis an aeráid agus ar theagmhais aistrithe a bhaineann leis an aeráid</t>
        </is>
      </c>
      <c r="I288" s="2" t="inlineStr">
        <is>
          <t>Descrizione dei pericoli ed eventi di transizione legati al clima</t>
        </is>
      </c>
      <c r="J288" s="357" t="inlineStr">
        <is>
          <t>Klimato ir pereinamojo laikotarpio rizikų aprašymas</t>
        </is>
      </c>
      <c r="K288" s="357" t="inlineStr">
        <is>
          <t>Opis zagrożeń związanych z klimatem oraz zdarzeń dotyczących przejścia związanego z klimatem</t>
        </is>
      </c>
      <c r="L288" s="357" t="inlineStr">
        <is>
          <t>Descrição sucinta dos perigos relacionados com o clima e eventos de transição relacionados com o clima</t>
        </is>
      </c>
      <c r="M288" s="357" t="inlineStr">
        <is>
          <t>Descripción de peligros relacionados con el clima y eventos relacionados con la transición climática</t>
        </is>
      </c>
    </row>
    <row r="289" ht="57.6" customHeight="1">
      <c r="A289" s="2" t="inlineStr">
        <is>
          <t>template_label_disclosure_of_how_it_has_assessed_the_exposure_and_sensitivity_of_its_assets</t>
        </is>
      </c>
      <c r="B289" s="461">
        <f>INDEX(C289:M289,MATCH(template_selected_display_language,$C$3:$M$3,0))</f>
        <v/>
      </c>
      <c r="C289" s="2" t="inlineStr">
        <is>
          <t>Disclosure of how it has assessed the exposure and sensitivity of its assets activities and value chain to these hazards and transition events</t>
        </is>
      </c>
      <c r="D289" s="563" t="inlineStr">
        <is>
          <t>Oplysning om, hvordan virksomheden har vurderet eksponeringen og følsomheden af sine aktiver, aktiviteter og værdikæde over for disse farer og omstillingshændelser</t>
        </is>
      </c>
      <c r="E289" s="563" t="inlineStr">
        <is>
          <t xml:space="preserve"> Rapportage van hoe de onderneming de blootstelling en gevoeligheid van haar activa, activiteiten en waardeketen met betrekking tot deze gevaren en transitiegebeurtenissen heeft beoordeeld</t>
        </is>
      </c>
      <c r="F289" s="563" t="inlineStr">
        <is>
          <t>Information sur comment elle a évalué l’exposition et la sensibilité de ses actifs, de ses activités et de sa chaîne de valeur à ces aléas et à ces événements liés à la transition</t>
        </is>
      </c>
      <c r="G289" s="366" t="inlineStr">
        <is>
          <t>Angabe, wie das Unternehmen die Exposition und Anfälligkeit seiner Vermögenswerte, Tätigkeiten und Wertschöpfungskette gegenüber diesen Gefahren und Übergangsereignissen bewertet hat</t>
        </is>
      </c>
      <c r="H289" s="366" t="inlineStr">
        <is>
          <t>Nochtadh ar an gcaoi ar mheas sé neamhchosaint agus íogaireacht a chuid sócmhainní agus a shlabhra luacha do na guaiseacha agus na teagmhais aistrithe sin</t>
        </is>
      </c>
      <c r="I289" s="2" t="inlineStr">
        <is>
          <t>Comunicazione del modo in cui ha valutato l'esposizione e la sensibilità dei suoi attivi, delle sue attività e della sua catena del valore a tali pericoli ed eventi di transizione</t>
        </is>
      </c>
      <c r="J289" s="357" t="inlineStr">
        <is>
          <t>Atskleidimas, kaip įmonė įvertino savo turto, veiklos ir vertės grandinės poveikį bei jautrumą šioms klimato rizikoms ir pereinamojo laikotarpio įvykiams</t>
        </is>
      </c>
      <c r="K289" s="357" t="inlineStr">
        <is>
          <t>Ujawnienie w jaki sposób zostało ocenione narażenie i wrażliwość jej aktywów, działań i łańcucha wartości na te zagrożenia i zdarzenia dotyczące przejścia</t>
        </is>
      </c>
      <c r="L289" s="357" t="inlineStr">
        <is>
          <t>Divulgação da forma como avaliou a exposição e a sensibilidade dos seus ativos, atividades e cadeia de valor a estes perigos e eventos de transição</t>
        </is>
      </c>
      <c r="M289" s="357" t="inlineStr">
        <is>
          <t>Divulgación de cómo ha evaluado la exposición y la sensibilidad de sus activos, actividades y cadena de valor a estos peligros y sucesos de transición.</t>
        </is>
      </c>
    </row>
    <row r="290" ht="57.6" customHeight="1">
      <c r="A290" s="2" t="inlineStr">
        <is>
          <t>template_label_time_horizons_of_any_climate_related_hazards_and_transition_events_identified</t>
        </is>
      </c>
      <c r="B290" s="461">
        <f>INDEX(C290:M290,MATCH(template_selected_display_language,$C$3:$M$3,0))</f>
        <v/>
      </c>
      <c r="C290" s="2" t="inlineStr">
        <is>
          <t>Time horizons of any climate-related hazards and transition events identified</t>
        </is>
      </c>
      <c r="D290" s="563" t="inlineStr">
        <is>
          <t>Tidshorisonter for eventuelle identificerede klimarelaterede farer og omstillingshændelser</t>
        </is>
      </c>
      <c r="E290" s="563" t="inlineStr">
        <is>
          <t xml:space="preserve">Tijdshorizonten van geïdentificeerde klimaatgerelateerde gevaren en transitiegebeurtenissen
</t>
        </is>
      </c>
      <c r="F290" s="563" t="inlineStr">
        <is>
          <t>Horizons temporels des aléas liés au changement climatique et des événements liés à la transition climatique recensés</t>
        </is>
      </c>
      <c r="G290" s="366" t="inlineStr">
        <is>
          <t>Zeithorizonte etwaiger ermittelter klimabedingter Gefahren und Übergangsereignisse</t>
        </is>
      </c>
      <c r="H290" s="366" t="inlineStr">
        <is>
          <t>Tréimhsí ama ama d'aon ghuaiseacha a bhaineann leis an aeráid agus aon teagmhais aistrithe a sainaithníodh</t>
        </is>
      </c>
      <c r="I290" s="2" t="inlineStr">
        <is>
          <t>Orizzonti temporali di eventuali pericoli ed eventi di transizione legati al clima individuati</t>
        </is>
      </c>
      <c r="J290" s="357" t="inlineStr">
        <is>
          <t>Nustatytų su klimatu susijusių ir pereinamojo laikotarpio rizikų laiko horizontai</t>
        </is>
      </c>
      <c r="K290" s="357" t="inlineStr">
        <is>
          <t>Perspektywy czasowe wszelkich zagrożeń związanych z klimatem oraz zdarzeń dotyczących przejścia związanego z klimatem</t>
        </is>
      </c>
      <c r="L290" s="357" t="inlineStr">
        <is>
          <t>Horizontes temporais de quaisquer perigos relacionados com o clima e eventos de transição identificados</t>
        </is>
      </c>
      <c r="M290" s="357" t="inlineStr">
        <is>
          <t>Horizontes temporales de los peligros relacionados con el clima y los eventos de transición identificados</t>
        </is>
      </c>
    </row>
    <row r="291" ht="57.6" customHeight="1">
      <c r="A291" s="2" t="inlineStr">
        <is>
          <t>template_label_disclosure_of_whether_it_has_undertaken_climate_change_adaptation_actions</t>
        </is>
      </c>
      <c r="B291" s="461">
        <f>INDEX(C291:M291,MATCH(template_selected_display_language,$C$3:$M$3,0))</f>
        <v/>
      </c>
      <c r="C291" s="2" t="inlineStr">
        <is>
          <t>Disclosure of whether it has undertaken climate change adaptation actions for any climate-related hazards and transition events</t>
        </is>
      </c>
      <c r="D291" s="563" t="inlineStr">
        <is>
          <t>Oplysninger om, hvorvidt virksomheden har gennemført tilpasning til klimaændringer i forhold til klimarelaterede farer og  omstillingshændelser</t>
        </is>
      </c>
      <c r="E291" s="563" t="inlineStr">
        <is>
          <t xml:space="preserve"> Rapportage over of de onderneming maatregelen voor klimaatadaptatie heeft genomen voor klimaatgerelateerde gevaren en transitiegebeurtenissen</t>
        </is>
      </c>
      <c r="F291" s="375" t="inlineStr">
        <is>
          <t>Indication si elle a entrepris des actions d’adaptation au changement climatique pour les aléas liés au changement climatique et les événements liés à la transition climatique</t>
        </is>
      </c>
      <c r="G291" s="366" t="inlineStr">
        <is>
          <t>Angabe, ob Maßnahmen zur Anpassung an den Klimawandel für klimabedingte Gefahren und Übergangsereignisse ergriffen wurden</t>
        </is>
      </c>
      <c r="H291" s="366" t="inlineStr">
        <is>
          <t>Nochtadh an bhfuil sé tar éis gníomhaíochtaí oiriúnaithe don athrú aeráide a dhéanamh i leith aon ghuaiseacha a bhaineann leis an aeráid agus teagmhais aistrithe a bhaineann leis an aeráid</t>
        </is>
      </c>
      <c r="I291" s="2" t="inlineStr">
        <is>
          <t>Comunicazione se ha intrapreso azioni di adattamento ai cambiamenti climatici per eventuali pericoli ed eventi di transizione legati al clima</t>
        </is>
      </c>
      <c r="J291" s="357" t="inlineStr">
        <is>
          <t>Atskleidimas, ar įmonė ėmėsi klimato kaitos prisitaikymo veiksmų dėl bet kokių su klimatu susijusių ir pereinamojo laikotarpio rizikų</t>
        </is>
      </c>
      <c r="K291" s="357" t="inlineStr">
        <is>
          <t>Ujawnienie czy podjęła działania mające na celu przystosowanie się do zmiany klimatu w odniesieniu do wszelkich zagrożeń związanych z klimatem i zdarzeń dotyczących przejścia związanego z klimatem</t>
        </is>
      </c>
      <c r="L291" s="357" t="inlineStr">
        <is>
          <t xml:space="preserve">Divulgação se realizou ações de adaptação às alterações climáticas para quaisquer perigos relacionados com o clima e eventos de transição. 
</t>
        </is>
      </c>
      <c r="M291" s="357" t="inlineStr">
        <is>
          <t>Divulgación sobre si ha emprendido actuaciones de adaptación al cambio climático con respecto a cualquier peligro y suceso de transición relacionado con el clima.</t>
        </is>
      </c>
    </row>
    <row r="292" ht="86.40000000000001" customHeight="1">
      <c r="A292" s="2" t="inlineStr">
        <is>
          <t>template_label_potential_adverse_effects_of_climate_risks</t>
        </is>
      </c>
      <c r="B292" s="461">
        <f>INDEX(C292:M292,MATCH(template_selected_display_language,$C$3:$M$3,0))</f>
        <v/>
      </c>
      <c r="C292" s="2" t="inlineStr">
        <is>
          <t>Potential adverse effects of climate risks that may affect its financial performance or business operations in the short- medium- or long-term indicating whether it assesses the risks to be high medium or low</t>
        </is>
      </c>
      <c r="D292" s="563" t="inlineStr">
        <is>
          <t>Potentielle negative virkninger af klimarisici, der kan påvirke dens finansielle 
resultater eller forretningsaktiviteter på kort, mellemlang eller lang sigt, og angive, om den vurderer risiciene som  høje, mellemstore eller lave</t>
        </is>
      </c>
      <c r="E292" s="563" t="inlineStr">
        <is>
          <t>De potentiële negatieve effecten van klimaatrisico’s die de financiële prestaties of bedrijfsactiviteiten op korte, middellange of lange termijn kunnen beïnvloeden, waarbij wordt aangegeven of zij de risico’s als hoog, gemiddeld of laag beoordeelt.</t>
        </is>
      </c>
      <c r="F292" s="563" t="inlineStr">
        <is>
          <t>Effets potentiels négatifs des risques climatiques susceptibles d’affecter ses performances financières ou ses activités à court, moyen ou long terme, en indiquant si elle estime que les risques sont élevés, moyens ou faibles</t>
        </is>
      </c>
      <c r="G292" s="366" t="inlineStr">
        <is>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is>
      </c>
      <c r="H292" s="366" t="inlineStr">
        <is>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is>
      </c>
      <c r="I292" s="2" t="inlineStr">
        <is>
          <t>L'impresa può segnalare i potenziali effetti negativi dei rischi climatici che potrebbero incidere sui suoi risultati finanziari o sulle sue operazioni aziendali a breve, medio o lungo termine, precisando se reputa che i rischi siano elevati, medi o bassi.</t>
        </is>
      </c>
      <c r="J292" s="357"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K292" s="357"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L292" s="357" t="inlineStr">
        <is>
          <t>Potenciais efeitos adversos dos riscos climáticos suscetíveis de afetar o seu desempenho financeiro ou as suas operações comerciais a curto, médio ou longo prazo, indicando se avalia os riscos como elevados, médios ou baixos.</t>
        </is>
      </c>
      <c r="M292" s="357"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293" ht="43.8" customHeight="1" thickBot="1">
      <c r="A293" s="358" t="inlineStr">
        <is>
          <t>template_label_disclosure_of_any_other_environmental_and_or_entity_specific_environmental_disclosures</t>
        </is>
      </c>
      <c r="B293" s="462">
        <f>INDEX(C293:M293,MATCH(template_selected_display_language,$C$3:$M$3,0))</f>
        <v/>
      </c>
      <c r="C293" s="358" t="inlineStr">
        <is>
          <t>Disclosure of any other environmental and or entity specific environmental disclosures</t>
        </is>
      </c>
      <c r="D293" s="373" t="inlineStr">
        <is>
          <t xml:space="preserve">Oplysning om andre miljørelaterede og/eller virksomheds-specifikke miljøoplysninger </t>
        </is>
      </c>
      <c r="E293" s="373" t="inlineStr">
        <is>
          <t>Rapportage van enige andere milieu- en /of entiteitspecifieke milieurapportages</t>
        </is>
      </c>
      <c r="F293" s="373" t="inlineStr">
        <is>
          <t>Publication de toute autre information environnementale et/ou spécifique à l'entité</t>
        </is>
      </c>
      <c r="G293" s="367" t="inlineStr">
        <is>
          <t>Angabe weiterer umweltbezogener und/oder unternehmensspezifischer umweltbezogener Angaben</t>
        </is>
      </c>
      <c r="H293" s="367" t="inlineStr">
        <is>
          <t>Nochtadh aon nochtadh comhshaoil eile a bhaineann go sonrach leis an gcomhshaol agus/nó a bhaineann go sonrach le comhshaol</t>
        </is>
      </c>
      <c r="I293" s="358" t="inlineStr">
        <is>
          <t>Comunicazione di qualsiasi altra informativa ambientale e/o specifica per soggetto</t>
        </is>
      </c>
      <c r="J293" s="371" t="inlineStr">
        <is>
          <t>Atskleidimas apie bet kokius kitus aplinkosauginius ir/ar įmonei būdingus aplinkos atskleidimus</t>
        </is>
      </c>
      <c r="K293" s="371" t="inlineStr">
        <is>
          <t>Ujawnienie wszelkich innych informacji środowiskowych i/lub informacji środowiskowych specyficznych dla danej jednostki</t>
        </is>
      </c>
      <c r="L293" s="371" t="inlineStr">
        <is>
          <t>Divulgação de quaisquer outras divulgações ambientais e/ou específicas da entidade relativas ao ambiente</t>
        </is>
      </c>
      <c r="M293" s="371" t="inlineStr">
        <is>
          <t>Divulgación de cualquier otra información ambiental y/o información ambiental específica de la entidad</t>
        </is>
      </c>
    </row>
    <row r="294" ht="43.2" customHeight="1">
      <c r="A294" s="2" t="inlineStr">
        <is>
          <t>template_label_employee_counting_methodology_for_the_disclosures_below_headcount_full_time_equivalent</t>
        </is>
      </c>
      <c r="B294" s="461">
        <f>INDEX(C294:M294,MATCH(template_selected_display_language,$C$3:$M$3,0))</f>
        <v/>
      </c>
      <c r="C294" s="2" t="inlineStr">
        <is>
          <t>Employee counting methodology for the disclosures below (Headcount or Full time Equivalent linked from B1</t>
        </is>
      </c>
      <c r="D294" s="563" t="inlineStr">
        <is>
          <t>Metode til opgørelse af antal ansatte for nedenstående oplysninger (samlet antal ansatte eller fuldtidsækvivalenter, koblet fra B1)</t>
        </is>
      </c>
      <c r="E294" s="563" t="inlineStr">
        <is>
          <t>Methodologie voor het berekenen aantal werknemers voor onderstaande toelichtingen (Aantal medewerkers of voltijdsequivalent gekoppeld vanuit B1)</t>
        </is>
      </c>
      <c r="F294" s="563" t="inlineStr">
        <is>
          <t>Méthodologie de comptage des effectifs pour les informations ci-dessous (effectif ou équivalent temps plein lié à B1)</t>
        </is>
      </c>
      <c r="G294" s="366" t="inlineStr">
        <is>
          <t>Art der Zählung von Beschäftigten für die nachstehenden Angaben (Beschäftigtenzahl oder Vollzeitäquivalente, verknüpft mit B1)</t>
        </is>
      </c>
      <c r="H294" s="366" t="inlineStr">
        <is>
          <t>Modheolaíocht chomhairimh fostaithe do na nochtuithe thíos (Líon na nDaoine nó Coibhéis Lánaimseartha nasctha ó B1</t>
        </is>
      </c>
      <c r="I294" s="2" t="inlineStr">
        <is>
          <t>Metodologia di conteggio dei dipendenti per le informative seguenti (effettivi o equivalenti a tempo pieno collegati da B1)</t>
        </is>
      </c>
      <c r="J294" s="357" t="inlineStr">
        <is>
          <t>Darbuotojų skaičiavimo metodika žemiau pateikiamoms ataskaitoms (darbuotojų skaičius arba pilno darbo laiko ekvivalentas, susietas su B1)</t>
        </is>
      </c>
      <c r="K294" s="357" t="inlineStr">
        <is>
          <t>Metodologia liczenia pracowników dla poniższych ujawnień (liczba zatrudnionych lub ekwiwalent pełnego czasu pracy powiązany z B1)</t>
        </is>
      </c>
      <c r="L294" s="357" t="inlineStr">
        <is>
          <t>Metodologia de contagem de trabalhadores para as divulgações abaixo (Número de efetivos ou Equivalente a Tempo completo relacionados com B1)</t>
        </is>
      </c>
      <c r="M294" s="357" t="inlineStr">
        <is>
          <t>Metodología para el recuento de empleados para las divulgaciones siguientes (Número de empleados o Equivalente a tiempo completo vinculado desde B1)</t>
        </is>
      </c>
    </row>
    <row r="295" ht="58.2" customHeight="1" thickBot="1">
      <c r="A295" s="358" t="inlineStr">
        <is>
          <t>template_label_employee_counting_methodology_for_the_disclosures_below_period</t>
        </is>
      </c>
      <c r="B295" s="462">
        <f>INDEX(C295:M295,MATCH(template_selected_display_language,$C$3:$M$3,0))</f>
        <v/>
      </c>
      <c r="C295" s="358" t="inlineStr">
        <is>
          <t>Employee counting methodology for the disclosures below (At the end of the reporting period or as an average across the reporting period linked from B1)</t>
        </is>
      </c>
      <c r="D295" s="373" t="inlineStr">
        <is>
          <t>Metode til opgørelse af antal ansatte for nedenstående oplysninger (ved udgangen af rapporteringsperioden eller som gennemsnit over rapporteringsperioden, koblet fra B1)</t>
        </is>
      </c>
      <c r="E295" s="373" t="inlineStr">
        <is>
          <t>Methodologie voor het tellen van werknemers voor onderstaande openbaarmakingen (Aan het einde van de rapportageperiode of als een gemiddelde over de rapportageperiode gekoppeld aan B1)</t>
        </is>
      </c>
      <c r="F295" s="373" t="inlineStr">
        <is>
          <t>Méthodologie de comptage des effectifs pour les informations ci-dessous (à la fin de la période de reporting ou en moyenne sur la période de reporting liée à B1)</t>
        </is>
      </c>
      <c r="G295" s="367" t="inlineStr">
        <is>
          <t>Art der Zählung von Beschäftigten für die nachstehenden Angaben (Am Ende des Berichtszeitraums oder als Durchschnitt über den Berichtszeitraum, verknüpft aus B1)</t>
        </is>
      </c>
      <c r="H295" s="367" t="inlineStr">
        <is>
          <t>Modheolaíocht comhairimh fostaithe do na nochtuithe thíos (Ag deireadh na tréimhse tuairiscithe nó mar mheán ar fud na tréimhse tuairiscithe nasctha ó B1)</t>
        </is>
      </c>
      <c r="I295" s="358" t="inlineStr">
        <is>
          <t>Metodologia di conteggio dei dipendenti per le informative seguenti (Alla fine del periodo di riferimento o come media nel periodo di riferimento collegata da B1)</t>
        </is>
      </c>
      <c r="J295" s="371" t="inlineStr">
        <is>
          <t>Darbuotojų skaičiavimo metodika toliau pateikiamoms atskleidimo dalims (ataskaitinio laikotarpio pabaigoje arba kaip vidurkis per ataskaitinį laikotarpį, susietą su B1)</t>
        </is>
      </c>
      <c r="K295" s="371" t="inlineStr">
        <is>
          <t>Metodologia liczenia pracowników dla poniższych ujawnień (na koniec okresu sprawozdawczego lub jako średnia w całym okresie sprawozdawczym powiązana z B1)</t>
        </is>
      </c>
      <c r="L295" s="371" t="inlineStr">
        <is>
          <t>Metodologia de contagem de trabalhadores para as divulgações abaixo (No final do período de relato ou como uma média ao longo do período de relato ligado a partir de B1)</t>
        </is>
      </c>
      <c r="M295" s="371" t="inlineStr">
        <is>
          <t>Metodología de recuento de empleados para las divulgaciones siguientes (Al final del período de reporte o como un promedio durante el período de reporte vinculado desde B1)</t>
        </is>
      </c>
    </row>
    <row r="296" ht="28.8" customHeight="1">
      <c r="A296" s="2" t="inlineStr">
        <is>
          <t>template_label_b8_workforce_general_characteristics_type_of_contract</t>
        </is>
      </c>
      <c r="B296" s="461">
        <f>INDEX(C296:M296,MATCH(template_selected_display_language,$C$3:$M$3,0))</f>
        <v/>
      </c>
      <c r="C296" s="2" t="inlineStr">
        <is>
          <t>B8 - Workforce - General characteristics - Type of contract</t>
        </is>
      </c>
      <c r="D296" s="563" t="inlineStr">
        <is>
          <t xml:space="preserve">B8 – Arbejdsstyrke – Generelle karakteristika - Type af ansættelseskontrakt </t>
        </is>
      </c>
      <c r="E296" s="563" t="inlineStr">
        <is>
          <t>B8 – Personeel – Algemene kenmerken - Soort arbeidsovereenkomst</t>
        </is>
      </c>
      <c r="F296" s="563" t="inlineStr">
        <is>
          <t>B8 –   Personnel – Caractéristiques générales  - Type de contrat</t>
        </is>
      </c>
      <c r="G296" s="366" t="inlineStr">
        <is>
          <t>B8 – Arbeitskräfte – Allgemeine Merkmale – Art des Arbeitsvertrags</t>
        </is>
      </c>
      <c r="H296" s="366" t="inlineStr">
        <is>
          <t>B8 – Lucht saothair – Saintréithe ginearálta – Cineál an chonartha</t>
        </is>
      </c>
      <c r="I296" s="2" t="inlineStr">
        <is>
          <t>B8 – Forza lavoro – Caratteristiche generali - Tipo di contratto</t>
        </is>
      </c>
      <c r="J296" s="357" t="inlineStr">
        <is>
          <t>B8 –Sava darbo jėga – Bendrieji rodikliai - Sutarties rūšis</t>
        </is>
      </c>
      <c r="K296" s="357" t="inlineStr">
        <is>
          <t>B8 – Zasoby pracownicze – Ogólna charakterystyka - Rodzaj umowy</t>
        </is>
      </c>
      <c r="L296" s="357" t="inlineStr">
        <is>
          <t>B8 – Mão-de-obra – Características gerais - Tipo de contrato</t>
        </is>
      </c>
      <c r="M296" s="357" t="inlineStr">
        <is>
          <t>B8 –Trabajadores– Características generales - Tipo de contrato</t>
        </is>
      </c>
    </row>
    <row r="297">
      <c r="A297" s="2" t="inlineStr">
        <is>
          <t>template_label_type_of_contract</t>
        </is>
      </c>
      <c r="B297" s="461">
        <f>INDEX(C297:M297,MATCH(template_selected_display_language,$C$3:$M$3,0))</f>
        <v/>
      </c>
      <c r="C297" s="2" t="inlineStr">
        <is>
          <t>Type of contract</t>
        </is>
      </c>
      <c r="D297" s="563" t="inlineStr">
        <is>
          <t xml:space="preserve">Type af ansættelseskontrakt </t>
        </is>
      </c>
      <c r="E297" s="563" t="inlineStr">
        <is>
          <t>Soort arbeidsovereenkomst</t>
        </is>
      </c>
      <c r="F297" s="563" t="inlineStr">
        <is>
          <t>Type de contrat</t>
        </is>
      </c>
      <c r="G297" s="366" t="inlineStr">
        <is>
          <t>Art des Vertrags</t>
        </is>
      </c>
      <c r="H297" s="366" t="inlineStr">
        <is>
          <t>Cineál an chonartha</t>
        </is>
      </c>
      <c r="I297" s="2" t="inlineStr">
        <is>
          <t>Tipo di contratto</t>
        </is>
      </c>
      <c r="J297" s="357" t="inlineStr">
        <is>
          <t>Sutarties tipas</t>
        </is>
      </c>
      <c r="K297" s="357" t="inlineStr">
        <is>
          <t>Rodzaj umowy</t>
        </is>
      </c>
      <c r="L297" s="357" t="inlineStr">
        <is>
          <t>Tipo de contrato</t>
        </is>
      </c>
      <c r="M297" s="357" t="inlineStr">
        <is>
          <t>Tipo de contrato</t>
        </is>
      </c>
    </row>
    <row r="298" ht="28.8" customHeight="1">
      <c r="A298" s="2" t="inlineStr">
        <is>
          <t>template_label_permanent_contract</t>
        </is>
      </c>
      <c r="B298" s="461">
        <f>INDEX(C298:M298,MATCH(template_selected_display_language,$C$3:$M$3,0))</f>
        <v/>
      </c>
      <c r="C298" s="2" t="inlineStr">
        <is>
          <t>Permanent contract</t>
        </is>
      </c>
      <c r="D298" s="563" t="inlineStr">
        <is>
          <t>Tidsubegrænset kontrakt</t>
        </is>
      </c>
      <c r="E298" s="563" t="inlineStr">
        <is>
          <t>Vast contract</t>
        </is>
      </c>
      <c r="F298" s="563" t="inlineStr">
        <is>
          <t>Contrat de travail à durée indéterminée</t>
        </is>
      </c>
      <c r="G298" s="366" t="inlineStr">
        <is>
          <t>Unbefristeter Vertrag</t>
        </is>
      </c>
      <c r="H298" s="366" t="inlineStr">
        <is>
          <t>Conradh buan</t>
        </is>
      </c>
      <c r="I298" s="2" t="inlineStr">
        <is>
          <t xml:space="preserve">Contratto permanente
</t>
        </is>
      </c>
      <c r="J298" s="357" t="inlineStr">
        <is>
          <t>Neterminuota sutartis</t>
        </is>
      </c>
      <c r="K298" s="357" t="inlineStr">
        <is>
          <t>Umowa na czas nieokreślony</t>
        </is>
      </c>
      <c r="L298" s="357" t="inlineStr">
        <is>
          <t>Contrato sem termo</t>
        </is>
      </c>
      <c r="M298" s="357" t="inlineStr">
        <is>
          <t>Contrato indefinido</t>
        </is>
      </c>
    </row>
    <row r="299">
      <c r="A299" s="2" t="inlineStr">
        <is>
          <t>template_label_temporary_contract</t>
        </is>
      </c>
      <c r="B299" s="461">
        <f>INDEX(C299:M299,MATCH(template_selected_display_language,$C$3:$M$3,0))</f>
        <v/>
      </c>
      <c r="C299" s="2" t="inlineStr">
        <is>
          <t>Temporary contract</t>
        </is>
      </c>
      <c r="D299" s="563" t="inlineStr">
        <is>
          <t xml:space="preserve">Midlertidig kontrakt </t>
        </is>
      </c>
      <c r="E299" s="563" t="inlineStr">
        <is>
          <t>Tijdelijk contract</t>
        </is>
      </c>
      <c r="F299" s="563" t="inlineStr">
        <is>
          <t>Contrat de travail à durée déterminée</t>
        </is>
      </c>
      <c r="G299" s="366" t="inlineStr">
        <is>
          <t>Befristeter Vertrag</t>
        </is>
      </c>
      <c r="H299" s="366" t="inlineStr">
        <is>
          <t>Conradh sealadach</t>
        </is>
      </c>
      <c r="I299" s="2" t="inlineStr">
        <is>
          <t>Contratto temporaneo</t>
        </is>
      </c>
      <c r="J299" s="357" t="inlineStr">
        <is>
          <t>Terminuota sutartis</t>
        </is>
      </c>
      <c r="K299" s="357" t="inlineStr">
        <is>
          <t>Umowa na czas określony</t>
        </is>
      </c>
      <c r="L299" s="357" t="inlineStr">
        <is>
          <t>Contrato a termo</t>
        </is>
      </c>
      <c r="M299" s="357" t="inlineStr">
        <is>
          <t>Contrato temporal</t>
        </is>
      </c>
    </row>
    <row r="300" ht="15" customHeight="1" thickBot="1">
      <c r="A300" s="358" t="inlineStr">
        <is>
          <t>template_label_total_employees</t>
        </is>
      </c>
      <c r="B300" s="462">
        <f>INDEX(C300:M300,MATCH(template_selected_display_language,$C$3:$M$3,0))</f>
        <v/>
      </c>
      <c r="C300" s="358" t="inlineStr">
        <is>
          <t>Total employees (linked to B1)</t>
        </is>
      </c>
      <c r="D300" s="373" t="inlineStr">
        <is>
          <t>Samlet antal ansatte (koblet fra B1)</t>
        </is>
      </c>
      <c r="E300" s="373" t="inlineStr">
        <is>
          <t>Totaal aantal werknemers (gerelateerd aan B1)</t>
        </is>
      </c>
      <c r="F300" s="373" t="inlineStr">
        <is>
          <t>Nombre total de salariés (lié à B1)</t>
        </is>
      </c>
      <c r="G300" s="367" t="inlineStr">
        <is>
          <t>Beschäftigte insgesamt (verknüpft mit B1)</t>
        </is>
      </c>
      <c r="H300" s="367" t="inlineStr">
        <is>
          <t>Fostaithe iomlána (nasctha le B1)</t>
        </is>
      </c>
      <c r="I300" s="358" t="inlineStr">
        <is>
          <t>Totale dipendenti (collegato a B1)</t>
        </is>
      </c>
      <c r="J300" s="371" t="inlineStr">
        <is>
          <t>Bendras darbuotojų skaičius (susijęs su B1)</t>
        </is>
      </c>
      <c r="K300" s="371" t="inlineStr">
        <is>
          <t>Liczba pracowników ogółem (odniesienie do B1)</t>
        </is>
      </c>
      <c r="L300" s="371" t="inlineStr">
        <is>
          <t>Total de trabalhadores (relacionados com B1)</t>
        </is>
      </c>
      <c r="M300" s="371" t="inlineStr">
        <is>
          <t>Total de asalariados (vinculados a B1)</t>
        </is>
      </c>
    </row>
    <row r="301" ht="43.2" customHeight="1">
      <c r="A301" s="2" t="inlineStr">
        <is>
          <t>template_label_b8_workforce_general_characteristics_gender</t>
        </is>
      </c>
      <c r="B301" s="461">
        <f>INDEX(C301:M301,MATCH(template_selected_display_language,$C$3:$M$3,0))</f>
        <v/>
      </c>
      <c r="C301" s="2" t="inlineStr">
        <is>
          <t>B8 - Workforce - General characteristics - Gender</t>
        </is>
      </c>
      <c r="D301" s="563" t="inlineStr">
        <is>
          <t>B8 – Arbejdsstyrke – Generelle karakteristika - Køn</t>
        </is>
      </c>
      <c r="E301" s="563" t="inlineStr">
        <is>
          <t>B8 – Personeel – Algemene kenmerken - Gender</t>
        </is>
      </c>
      <c r="F301" s="563" t="inlineStr">
        <is>
          <t>B8 –   Personnel – Caractéristiques générales  - Genre</t>
        </is>
      </c>
      <c r="G301" s="366" t="inlineStr">
        <is>
          <t>B8 – Belegschaft – Allgemeine Merkmale – Geschlecht</t>
        </is>
      </c>
      <c r="H301" s="366" t="inlineStr">
        <is>
          <t>B8 – Lucht saothair – Saintréithe ginearálta – Inscne</t>
        </is>
      </c>
      <c r="I301" s="2" t="inlineStr">
        <is>
          <t xml:space="preserve">B8 – Forza lavoro – Caratteristiche generali - Genere
</t>
        </is>
      </c>
      <c r="J301" s="357" t="inlineStr">
        <is>
          <t>B8 – Sava darbo jėga – Bendrieji rodikliai – Lytis</t>
        </is>
      </c>
      <c r="K301" s="357" t="inlineStr">
        <is>
          <t>B8 – Zasoby pracownicze – Ogólne charakterystyki - Płeć</t>
        </is>
      </c>
      <c r="L301" s="357" t="inlineStr">
        <is>
          <t>B8 – Força de trabalho – Características gerais - Género</t>
        </is>
      </c>
      <c r="M301" s="357" t="inlineStr">
        <is>
          <t>B8 – Trabajadores – Características generales – Género</t>
        </is>
      </c>
    </row>
    <row r="302">
      <c r="A302" s="2" t="inlineStr">
        <is>
          <t>template_label_gender</t>
        </is>
      </c>
      <c r="B302" s="461">
        <f>INDEX(C302:M302,MATCH(template_selected_display_language,$C$3:$M$3,0))</f>
        <v/>
      </c>
      <c r="C302" s="2" t="inlineStr">
        <is>
          <t>Gender</t>
        </is>
      </c>
      <c r="D302" s="563" t="inlineStr">
        <is>
          <t>Køn</t>
        </is>
      </c>
      <c r="E302" s="563" t="inlineStr">
        <is>
          <t>Gender</t>
        </is>
      </c>
      <c r="F302" s="563" t="inlineStr">
        <is>
          <t>Genre</t>
        </is>
      </c>
      <c r="G302" s="366" t="inlineStr">
        <is>
          <t>Geschlecht</t>
        </is>
      </c>
      <c r="H302" s="366" t="inlineStr">
        <is>
          <t>Inscne</t>
        </is>
      </c>
      <c r="I302" s="2" t="inlineStr">
        <is>
          <t>Genere</t>
        </is>
      </c>
      <c r="J302" s="357" t="inlineStr">
        <is>
          <t>Lytis</t>
        </is>
      </c>
      <c r="K302" s="357" t="inlineStr">
        <is>
          <t>Płeć</t>
        </is>
      </c>
      <c r="L302" s="357" t="inlineStr">
        <is>
          <t>Género</t>
        </is>
      </c>
      <c r="M302" s="357" t="inlineStr">
        <is>
          <t>Género</t>
        </is>
      </c>
    </row>
    <row r="303">
      <c r="A303" s="2" t="inlineStr">
        <is>
          <t>template_label_male</t>
        </is>
      </c>
      <c r="B303" s="461">
        <f>INDEX(C303:M303,MATCH(template_selected_display_language,$C$3:$M$3,0))</f>
        <v/>
      </c>
      <c r="C303" s="2" t="inlineStr">
        <is>
          <t>Male</t>
        </is>
      </c>
      <c r="D303" s="563" t="inlineStr">
        <is>
          <t>Mand</t>
        </is>
      </c>
      <c r="E303" s="563" t="inlineStr">
        <is>
          <t>Man</t>
        </is>
      </c>
      <c r="F303" s="563" t="inlineStr">
        <is>
          <t>Homme</t>
        </is>
      </c>
      <c r="G303" s="366" t="inlineStr">
        <is>
          <t>Männlich</t>
        </is>
      </c>
      <c r="H303" s="366" t="inlineStr">
        <is>
          <t>Fireann</t>
        </is>
      </c>
      <c r="I303" s="2" t="inlineStr">
        <is>
          <t>Uomini</t>
        </is>
      </c>
      <c r="J303" s="357" t="inlineStr">
        <is>
          <t>Vyrai</t>
        </is>
      </c>
      <c r="K303" s="357" t="inlineStr">
        <is>
          <t>Mężczyzna</t>
        </is>
      </c>
      <c r="L303" s="357" t="inlineStr">
        <is>
          <t>Masculino</t>
        </is>
      </c>
      <c r="M303" s="357" t="inlineStr">
        <is>
          <t>Masculino</t>
        </is>
      </c>
    </row>
    <row r="304">
      <c r="A304" s="2" t="inlineStr">
        <is>
          <t>template_label_female</t>
        </is>
      </c>
      <c r="B304" s="461">
        <f>INDEX(C304:M304,MATCH(template_selected_display_language,$C$3:$M$3,0))</f>
        <v/>
      </c>
      <c r="C304" s="2" t="inlineStr">
        <is>
          <t>Female</t>
        </is>
      </c>
      <c r="D304" s="563" t="inlineStr">
        <is>
          <t>Kvinde</t>
        </is>
      </c>
      <c r="E304" s="563" t="inlineStr">
        <is>
          <t>Vrouw</t>
        </is>
      </c>
      <c r="F304" s="563" t="inlineStr">
        <is>
          <t>Femme</t>
        </is>
      </c>
      <c r="G304" s="366" t="inlineStr">
        <is>
          <t>Weiblich</t>
        </is>
      </c>
      <c r="H304" s="366" t="inlineStr">
        <is>
          <t>Baineann</t>
        </is>
      </c>
      <c r="I304" s="2" t="inlineStr">
        <is>
          <t>Donne</t>
        </is>
      </c>
      <c r="J304" s="357" t="inlineStr">
        <is>
          <t>Moterys</t>
        </is>
      </c>
      <c r="K304" s="357" t="inlineStr">
        <is>
          <t>Kobieta</t>
        </is>
      </c>
      <c r="L304" s="357" t="inlineStr">
        <is>
          <t>Feminino</t>
        </is>
      </c>
      <c r="M304" s="357" t="inlineStr">
        <is>
          <t>Femenino</t>
        </is>
      </c>
    </row>
    <row r="305">
      <c r="A305" s="2" t="inlineStr">
        <is>
          <t>template_label_other</t>
        </is>
      </c>
      <c r="B305" s="461">
        <f>INDEX(C305:M305,MATCH(template_selected_display_language,$C$3:$M$3,0))</f>
        <v/>
      </c>
      <c r="C305" s="2" t="inlineStr">
        <is>
          <t>Other</t>
        </is>
      </c>
      <c r="D305" s="563" t="inlineStr">
        <is>
          <t>Andet</t>
        </is>
      </c>
      <c r="E305" s="563" t="inlineStr">
        <is>
          <t>Overig</t>
        </is>
      </c>
      <c r="F305" s="563" t="inlineStr">
        <is>
          <t>Autre</t>
        </is>
      </c>
      <c r="G305" s="366" t="inlineStr">
        <is>
          <t>Andere</t>
        </is>
      </c>
      <c r="H305" s="366" t="inlineStr">
        <is>
          <t>Eile</t>
        </is>
      </c>
      <c r="I305" s="2" t="inlineStr">
        <is>
          <t>Altro</t>
        </is>
      </c>
      <c r="J305" s="357" t="inlineStr">
        <is>
          <t>Kita</t>
        </is>
      </c>
      <c r="K305" s="357" t="inlineStr">
        <is>
          <t>Inna</t>
        </is>
      </c>
      <c r="L305" s="357" t="inlineStr">
        <is>
          <t>Outro</t>
        </is>
      </c>
      <c r="M305" s="357" t="inlineStr">
        <is>
          <t>Otro</t>
        </is>
      </c>
    </row>
    <row r="306" ht="15" customHeight="1" thickBot="1">
      <c r="A306" s="358" t="inlineStr">
        <is>
          <t>template_label_not_reported</t>
        </is>
      </c>
      <c r="B306" s="462">
        <f>INDEX(C306:M306,MATCH(template_selected_display_language,$C$3:$M$3,0))</f>
        <v/>
      </c>
      <c r="C306" s="358" t="inlineStr">
        <is>
          <t>Not reported</t>
        </is>
      </c>
      <c r="D306" s="373" t="inlineStr">
        <is>
          <t xml:space="preserve">Ikke registereret </t>
        </is>
      </c>
      <c r="E306" s="373" t="inlineStr">
        <is>
          <t>Niet gerapporteerd</t>
        </is>
      </c>
      <c r="F306" s="373" t="inlineStr">
        <is>
          <t>Non communiqué</t>
        </is>
      </c>
      <c r="G306" s="367" t="inlineStr">
        <is>
          <t>Nicht angegeben</t>
        </is>
      </c>
      <c r="H306" s="367" t="inlineStr">
        <is>
          <t>Gan tuairisciú</t>
        </is>
      </c>
      <c r="I306" s="358" t="inlineStr">
        <is>
          <t>Non comunicato</t>
        </is>
      </c>
      <c r="J306" s="371" t="inlineStr">
        <is>
          <t>Nenurodyta</t>
        </is>
      </c>
      <c r="K306" s="371" t="inlineStr">
        <is>
          <t>Nie zgłoszono</t>
        </is>
      </c>
      <c r="L306" s="371" t="inlineStr">
        <is>
          <t>Não reportado</t>
        </is>
      </c>
      <c r="M306" s="371" t="inlineStr">
        <is>
          <t>No Informado</t>
        </is>
      </c>
    </row>
    <row r="307" ht="57.6" customHeight="1">
      <c r="A307" s="2" t="inlineStr">
        <is>
          <t>template_label_b8_workforce_general_characteristics_country_of_employment</t>
        </is>
      </c>
      <c r="B307" s="461">
        <f>INDEX(C307:M307,MATCH(template_selected_display_language,$C$3:$M$3,0))</f>
        <v/>
      </c>
      <c r="C307" s="2" t="inlineStr">
        <is>
          <t>B8 - Workforce - General characteristics - Country of employment</t>
        </is>
      </c>
      <c r="D307" s="563" t="inlineStr">
        <is>
          <t>B8 – Arbejdsstyrke – Generelle karakteristika - Land for indgåelse af ansættelseskontrakten</t>
        </is>
      </c>
      <c r="E307" s="563" t="inlineStr">
        <is>
          <t xml:space="preserve">B8 – Personeel – Algemene kenmerken - Land van tewerkstelling
</t>
        </is>
      </c>
      <c r="F307" s="563" t="inlineStr">
        <is>
          <t>B8 –   Personnel – Caractéristiques générales  - Pays d'emploi</t>
        </is>
      </c>
      <c r="G307" s="366" t="inlineStr">
        <is>
          <t>Arbeitskräfte – Allgemeine Merkmale – Beschäftigungsland</t>
        </is>
      </c>
      <c r="H307" s="366" t="inlineStr">
        <is>
          <t>B8 – Lucht saothair – Saintréithe ginearálta – Tír na fostaíochta</t>
        </is>
      </c>
      <c r="I307" s="2" t="inlineStr">
        <is>
          <t>B8 – Forza lavoro – Caratteristiche generali - Paese del contratto di lavoro</t>
        </is>
      </c>
      <c r="J307" s="357" t="inlineStr">
        <is>
          <t>B8 – Sava darbo jėga – Bendrieji rodikliai - Darbo sutarties šalis</t>
        </is>
      </c>
      <c r="K307" s="357" t="inlineStr">
        <is>
          <t>B8 – Zasoby pracownicze – Ogólna charakterystyka - Kraj zatrudnienia</t>
        </is>
      </c>
      <c r="L307" s="357" t="inlineStr">
        <is>
          <t>B8 – Mão-de-obra – Características gerais – País do contrato de trabalho</t>
        </is>
      </c>
      <c r="M307" s="357" t="inlineStr">
        <is>
          <t>B8 – Trabajadores – Características generales - País de empleo</t>
        </is>
      </c>
    </row>
    <row r="308" ht="43.2" customHeight="1">
      <c r="A308" s="2" t="inlineStr">
        <is>
          <t>template_label_country_of_employment_contract</t>
        </is>
      </c>
      <c r="B308" s="461">
        <f>INDEX(C308:M308,MATCH(template_selected_display_language,$C$3:$M$3,0))</f>
        <v/>
      </c>
      <c r="C308" s="2" t="inlineStr">
        <is>
          <t>Country of employment contract</t>
        </is>
      </c>
      <c r="D308" s="563" t="inlineStr">
        <is>
          <t xml:space="preserve">Land, hvor ansættelseskontrakten er indgået </t>
        </is>
      </c>
      <c r="E308" s="563" t="inlineStr">
        <is>
          <t>Land van arbeidsovereenkomst</t>
        </is>
      </c>
      <c r="F308" s="563" t="inlineStr">
        <is>
          <t>Pays du contrat de travail</t>
        </is>
      </c>
      <c r="G308" s="366" t="inlineStr">
        <is>
          <t>Land des Arbeitsvertrags</t>
        </is>
      </c>
      <c r="H308" s="366" t="inlineStr">
        <is>
          <t>Tír an chonartha fostaíochta</t>
        </is>
      </c>
      <c r="I308" s="2" t="inlineStr">
        <is>
          <t>Paese del contratto di lavoro</t>
        </is>
      </c>
      <c r="J308" s="357" t="inlineStr">
        <is>
          <t>Šalis, kurioje sudaryta darbo sutartis</t>
        </is>
      </c>
      <c r="K308" s="357" t="inlineStr">
        <is>
          <t>Kraj umowy o pracę</t>
        </is>
      </c>
      <c r="L308" s="357" t="inlineStr">
        <is>
          <t>País do contrato de trabalho</t>
        </is>
      </c>
      <c r="M308" s="357" t="inlineStr">
        <is>
          <t xml:space="preserve">País del contrato de trabajo
</t>
        </is>
      </c>
    </row>
    <row r="309" ht="29.4" customHeight="1" thickBot="1">
      <c r="A309" s="358" t="inlineStr">
        <is>
          <t>template_label_undertaking_operating_in_more_than_one_country</t>
        </is>
      </c>
      <c r="B309" s="462">
        <f>INDEX(C309:M309,MATCH(template_selected_display_language,$C$3:$M$3,0))</f>
        <v/>
      </c>
      <c r="C309" s="358" t="inlineStr">
        <is>
          <t>Does the undertaking operate in more than one country?</t>
        </is>
      </c>
      <c r="D309" s="373" t="inlineStr">
        <is>
          <t xml:space="preserve">Opererer virksomheden i mere end ét land? </t>
        </is>
      </c>
      <c r="E309" s="373" t="inlineStr">
        <is>
          <t>"Is de onderneming actief in meer dan één land?"</t>
        </is>
      </c>
      <c r="F309" s="373" t="inlineStr">
        <is>
          <t>L'entreprise exerce-t-elle ses activités dans plus d'un pays ?</t>
        </is>
      </c>
      <c r="G309" s="367" t="inlineStr">
        <is>
          <t>Hat das Unternehmen Geschäftstätigkeiten in mehr als einem Land?</t>
        </is>
      </c>
      <c r="H309" s="367" t="inlineStr">
        <is>
          <t>An oibríonn an gnóthas i níos mó ná tír amháin?</t>
        </is>
      </c>
      <c r="I309" s="358" t="inlineStr">
        <is>
          <t>La società opera in più di un paese?</t>
        </is>
      </c>
      <c r="J309" s="371" t="inlineStr">
        <is>
          <t>Ar įmonė veikia daugiau nei vienoje šalyje?</t>
        </is>
      </c>
      <c r="K309" s="371" t="inlineStr">
        <is>
          <t>Czy jednostka prowadzi działalność w więcej niż jednym kraju?</t>
        </is>
      </c>
      <c r="L309" s="371" t="inlineStr">
        <is>
          <t>A empresa opera em mais de um país?</t>
        </is>
      </c>
      <c r="M309" s="371" t="inlineStr">
        <is>
          <t>¿Opera la empresa en más de un país?</t>
        </is>
      </c>
    </row>
    <row r="310" ht="43.2" customHeight="1">
      <c r="A310" s="2" t="inlineStr">
        <is>
          <t>template_label_b8_workforce_general_characteristics_turnover_rate</t>
        </is>
      </c>
      <c r="B310" s="461">
        <f>INDEX(C310:M310,MATCH(template_selected_display_language,$C$3:$M$3,0))</f>
        <v/>
      </c>
      <c r="C310" s="2" t="inlineStr">
        <is>
          <t>B8 - Workforce - General characteristics - Turnover rate</t>
        </is>
      </c>
      <c r="D310" s="563" t="inlineStr">
        <is>
          <t>B8 – Arbejdsstyrke – Generelle karakteristika - Medarbejderomsætning</t>
        </is>
      </c>
      <c r="E310" s="563" t="inlineStr">
        <is>
          <t xml:space="preserve">B8 – Personeel – Algemene kenmerken - Verlooppercentage
</t>
        </is>
      </c>
      <c r="F310" s="563" t="inlineStr">
        <is>
          <t>B8 –   Personnel – Caractéristiques générales  - Taux de rotation des salariés</t>
        </is>
      </c>
      <c r="G310" s="366" t="inlineStr">
        <is>
          <t>B8 – Arbeitskräfte – Allgemeine Merkmale – Fluktuationsrate</t>
        </is>
      </c>
      <c r="H310" s="366" t="inlineStr">
        <is>
          <t>B8 – Lucht saothair – Saintréithe ginearálta – Ráta láimhdeachais</t>
        </is>
      </c>
      <c r="I310" s="2" t="inlineStr">
        <is>
          <t>B8 – Forza lavoro – Caratteristiche generali - Tasso di avvicendamento</t>
        </is>
      </c>
      <c r="J310" s="357" t="inlineStr">
        <is>
          <t>B8 – Sava darbo jėga– Bendrieji rodikliai – Darbuotojų kaita</t>
        </is>
      </c>
      <c r="K310" s="357" t="inlineStr">
        <is>
          <t>B8 – Zasoby pracownicze – Ogólna charakterystyka - Wskaźnik rotacji</t>
        </is>
      </c>
      <c r="L310" s="357" t="inlineStr">
        <is>
          <t>B8 – Mão-de-obra – Características gerais - Taxa de rotatividade</t>
        </is>
      </c>
      <c r="M310" s="357" t="inlineStr">
        <is>
          <t>B8 – Trabajadores – Características generales - Tasa de rotación</t>
        </is>
      </c>
    </row>
    <row r="311" ht="57.6" customHeight="1">
      <c r="A311" s="2" t="inlineStr">
        <is>
          <t>template_label_number_of_employees_who_left_during_the_reporting_period</t>
        </is>
      </c>
      <c r="B311" s="461">
        <f>INDEX(C311:M311,MATCH(template_selected_display_language,$C$3:$M$3,0))</f>
        <v/>
      </c>
      <c r="C311" s="2" t="inlineStr">
        <is>
          <t>Number of employees who left during the reporting period</t>
        </is>
      </c>
      <c r="D311" s="563" t="inlineStr">
        <is>
          <t>Antal ansatte, der fratrådte i løbet af rapporteringsperioden</t>
        </is>
      </c>
      <c r="E311" s="563" t="inlineStr">
        <is>
          <t>Aantal vertrokken werknemers  gedurende de rapportageperiode</t>
        </is>
      </c>
      <c r="F311" s="563" t="inlineStr">
        <is>
          <t>Nombre de salariés ayant quitté l'entreprise pendant la période de reporting</t>
        </is>
      </c>
      <c r="G311" s="366" t="inlineStr">
        <is>
          <t>Anzahl der Beschäftigten, die während des Berichtszeitraums aus dem Unternehmen ausgeschieden sind</t>
        </is>
      </c>
      <c r="H311" s="366" t="inlineStr">
        <is>
          <t>Líon na bhfostaithe a d'fhág le linn na tréimhse tuairiscithe</t>
        </is>
      </c>
      <c r="I311" s="2" t="inlineStr">
        <is>
          <t xml:space="preserve">Numero di dipendenti che hanno lasciato l'impresa durante l'anno di riferimento
</t>
        </is>
      </c>
      <c r="J311" s="357" t="inlineStr">
        <is>
          <t>Įmonę per ataskaitinį laikotarpį palikusių darbuotojų skaičius</t>
        </is>
      </c>
      <c r="K311" s="357" t="inlineStr">
        <is>
          <t>Liczba pracowników, którzy opuścili jednostkę w okresie sprawozdawczym</t>
        </is>
      </c>
      <c r="L311" s="357" t="inlineStr">
        <is>
          <t>Número de trabalhadores que saíram durante o período de relato</t>
        </is>
      </c>
      <c r="M311" s="357" t="inlineStr">
        <is>
          <t>Número de empleados que abandonaron durante el periodo de referencia</t>
        </is>
      </c>
    </row>
    <row r="312" ht="28.8" customHeight="1">
      <c r="A312" s="2" t="inlineStr">
        <is>
          <t>template_label_number_of_employees_at_the_beginning_of_the_reporting_period</t>
        </is>
      </c>
      <c r="B312" s="461">
        <f>INDEX(C312:M312,MATCH(template_selected_display_language,$C$3:$M$3,0))</f>
        <v/>
      </c>
      <c r="C312" s="2" t="inlineStr">
        <is>
          <t>Number of employees at the beginning of the reporting period</t>
        </is>
      </c>
      <c r="D312" s="563" t="inlineStr">
        <is>
          <t>Antal ansatte ved begyndelsen af rapporteringsperioden</t>
        </is>
      </c>
      <c r="E312" s="563" t="inlineStr">
        <is>
          <t>Aantal werknemers aan het begin van de rapportageperiode</t>
        </is>
      </c>
      <c r="F312" s="563" t="inlineStr">
        <is>
          <t>Nombre de salariés au début de la période de reporting</t>
        </is>
      </c>
      <c r="G312" s="366" t="inlineStr">
        <is>
          <t>Anzahl der Beschäftigten zu Beginn des Berichtszeitraums</t>
        </is>
      </c>
      <c r="H312" s="366" t="inlineStr">
        <is>
          <t>Líon na bhfostaithe ag tús na tréimhse tuairiscithe</t>
        </is>
      </c>
      <c r="I312" s="2" t="inlineStr">
        <is>
          <t>Numero di dipendenti all'inizio dell'anno di riferimento</t>
        </is>
      </c>
      <c r="J312" s="357" t="inlineStr">
        <is>
          <t>Darbuotojų skaičius ataskaitinio laikotarpio pradžioje</t>
        </is>
      </c>
      <c r="K312" s="357" t="inlineStr">
        <is>
          <t>Liczba pracowników na początku okresu sprawozdawczego</t>
        </is>
      </c>
      <c r="L312" s="357" t="inlineStr">
        <is>
          <t>Número de trabalhadores no início do período de relato</t>
        </is>
      </c>
      <c r="M312" s="357" t="inlineStr">
        <is>
          <t>Número de empleados al inicio del período de informe</t>
        </is>
      </c>
    </row>
    <row r="313" ht="28.8" customHeight="1">
      <c r="A313" s="2" t="inlineStr">
        <is>
          <t>template_label_number_of_employees_at_the_end_of_the_reporting_period</t>
        </is>
      </c>
      <c r="B313" s="461">
        <f>INDEX(C313:M313,MATCH(template_selected_display_language,$C$3:$M$3,0))</f>
        <v/>
      </c>
      <c r="C313" s="2" t="inlineStr">
        <is>
          <t>Number of employees at the end of the reporting period</t>
        </is>
      </c>
      <c r="D313" s="563" t="inlineStr">
        <is>
          <t>Antal ansatte ved udgangen af rapporteringsperioden</t>
        </is>
      </c>
      <c r="E313" s="563" t="inlineStr">
        <is>
          <t xml:space="preserve">Aantal werknemers aan het einde van de rapportageperiode </t>
        </is>
      </c>
      <c r="F313" s="563" t="inlineStr">
        <is>
          <t>Nombre de salariés à la fin de la période de reporting</t>
        </is>
      </c>
      <c r="G313" s="366" t="inlineStr">
        <is>
          <t>Anzahl der Beschäftigten am Ende des Berichtszeitraums</t>
        </is>
      </c>
      <c r="H313" s="366" t="inlineStr">
        <is>
          <t>Líon na bhfostaithe ag deireadh na tréimhse tuairiscithe</t>
        </is>
      </c>
      <c r="I313" s="2" t="inlineStr">
        <is>
          <t>Numero di dipendenti alla fine dell'anno di riferimento</t>
        </is>
      </c>
      <c r="J313" s="357" t="inlineStr">
        <is>
          <t>Darbuotojų skaičius ataskaitinio laikotarpio pabaigoje</t>
        </is>
      </c>
      <c r="K313" s="357" t="inlineStr">
        <is>
          <t>Liczba pracowników na koniec okresu sprawozdawczego</t>
        </is>
      </c>
      <c r="L313" s="357" t="inlineStr">
        <is>
          <t>Número de trabalhadores no final do período de relato</t>
        </is>
      </c>
      <c r="M313" s="357" t="inlineStr">
        <is>
          <t>Número de empleados al final del período de reporte</t>
        </is>
      </c>
    </row>
    <row r="314" ht="58.2" customHeight="1" thickBot="1">
      <c r="A314" s="358" t="inlineStr">
        <is>
          <t>template_label_employee_turnover_rate_in_the_reporting_period</t>
        </is>
      </c>
      <c r="B314" s="462">
        <f>INDEX(C314:M314,MATCH(template_selected_display_language,$C$3:$M$3,0))</f>
        <v/>
      </c>
      <c r="C314" s="358" t="inlineStr">
        <is>
          <t>Employee turnover rate [%]  in the reporting period</t>
        </is>
      </c>
      <c r="D314" s="373" t="inlineStr">
        <is>
          <t>Medarbejderomsætningsrate [%] i rapporteringsperioden</t>
        </is>
      </c>
      <c r="E314" s="373" t="inlineStr">
        <is>
          <t xml:space="preserve">Werknemersverlooppercentage [%] gedurende de rapportageperiode 
</t>
        </is>
      </c>
      <c r="F314" s="373" t="inlineStr">
        <is>
          <t xml:space="preserve">Taux de rotation des salariés [%] pendant la période de reporting
</t>
        </is>
      </c>
      <c r="G314" s="367" t="inlineStr">
        <is>
          <t>Fluktuationsrate der Beschäftigten [%] im Berichtszeitraum</t>
        </is>
      </c>
      <c r="H314" s="367" t="inlineStr">
        <is>
          <t>Ráta láimhdeachais fostaithe [%] sa tréimhse tuairiscithe</t>
        </is>
      </c>
      <c r="I314" s="358" t="inlineStr">
        <is>
          <t xml:space="preserve">Tasso di avvicendamento dei dipendenti [%] nell'anno di riferimento
</t>
        </is>
      </c>
      <c r="J314" s="371" t="inlineStr">
        <is>
          <t>Darbuotojų kaitos rodiklis [%] ataskaitiniu laikotarpiu</t>
        </is>
      </c>
      <c r="K314" s="371" t="inlineStr">
        <is>
          <t>Wskaźnik rotacji pracowników [%] w okresie sprawozdawczym</t>
        </is>
      </c>
      <c r="L314" s="371" t="inlineStr">
        <is>
          <t>Taxa de rotatividade de trabalhadores [%] no período de relato</t>
        </is>
      </c>
      <c r="M314" s="371" t="inlineStr">
        <is>
          <t>Tasa de rotación de empleados [%] durante el período de informe</t>
        </is>
      </c>
    </row>
    <row r="315" ht="43.2" customHeight="1">
      <c r="A315" s="2" t="inlineStr">
        <is>
          <t>template_label_b9_workforce_health_and_safety</t>
        </is>
      </c>
      <c r="B315" s="461">
        <f>INDEX(C315:M315,MATCH(template_selected_display_language,$C$3:$M$3,0))</f>
        <v/>
      </c>
      <c r="C315" s="2" t="inlineStr">
        <is>
          <t>B9 - Workforce - Health and safety</t>
        </is>
      </c>
      <c r="D315" s="563" t="inlineStr">
        <is>
          <t>B9 – Arbejdsstyrke – Sundhed og sikkerhed</t>
        </is>
      </c>
      <c r="E315" s="563" t="inlineStr">
        <is>
          <t>B9 – Personeel – Gezondheid en veiligheid</t>
        </is>
      </c>
      <c r="F315" s="563" t="inlineStr">
        <is>
          <t>B9 – Personnel – Santé et sécurité</t>
        </is>
      </c>
      <c r="G315" s="366" t="inlineStr">
        <is>
          <t>B9 – Arbeitskräfte – Gesundheitsschutz und Sicherheit</t>
        </is>
      </c>
      <c r="H315" s="366" t="inlineStr">
        <is>
          <t>B9 – Lucht saothair – Sláinte agus sábháilteacht</t>
        </is>
      </c>
      <c r="I315" s="2" t="inlineStr">
        <is>
          <t>B9 – Forza lavoro – Salute e sicurezza</t>
        </is>
      </c>
      <c r="J315" s="357" t="inlineStr">
        <is>
          <t>B9 – Sava darbo jėga – Sveikata ir sauga</t>
        </is>
      </c>
      <c r="K315" s="357" t="inlineStr">
        <is>
          <t>B9 – Zasoby pracownicze – Bezpieczeństwo i higiena pracy</t>
        </is>
      </c>
      <c r="L315" s="357" t="inlineStr">
        <is>
          <t>B9 — Mão-de-obra — Saúde e segurança</t>
        </is>
      </c>
      <c r="M315" s="357" t="inlineStr">
        <is>
          <t xml:space="preserve">B9 – Trabajadores – Salud y seguridad
</t>
        </is>
      </c>
    </row>
    <row r="316" ht="28.8" customHeight="1">
      <c r="A316" s="2" t="inlineStr">
        <is>
          <t>template_label_number_of_recordable_work_related_accidents_in_the_reporting_period</t>
        </is>
      </c>
      <c r="B316" s="461">
        <f>INDEX(C316:M316,MATCH(template_selected_display_language,$C$3:$M$3,0))</f>
        <v/>
      </c>
      <c r="C316" s="2" t="inlineStr">
        <is>
          <t>Number of recordable work-related accidents in the reporting period</t>
        </is>
      </c>
      <c r="D316" s="563" t="inlineStr">
        <is>
          <t>Antallet af registrerbare arbejdsrelaterede ulykker i rapporteringsperioden</t>
        </is>
      </c>
      <c r="E316" s="563" t="inlineStr">
        <is>
          <t>Aantal  registreerbare  arbeidsongevallen in de rapportageperiode</t>
        </is>
      </c>
      <c r="F316" s="563" t="inlineStr">
        <is>
          <t>Nombre d'accidents du travail comptabilisables pendant la période de reporting</t>
        </is>
      </c>
      <c r="G316" s="366" t="inlineStr">
        <is>
          <t>Anzahl der meldepflichtigen Arbeitsunfälle im Berichtszeitraum</t>
        </is>
      </c>
      <c r="H316" s="366" t="inlineStr">
        <is>
          <t>Líon na dtimpistí intaifeadta a bhaineann leis an obair sa tréimhse tuairiscithe</t>
        </is>
      </c>
      <c r="I316" s="2" t="inlineStr">
        <is>
          <t>Numero di infortuni registrabili connessi al lavoro nel periodo di riferimento</t>
        </is>
      </c>
      <c r="J316" s="357" t="inlineStr">
        <is>
          <t>Registruotinų su darbu susijusių nelaimingų atsitikimų skaičius ataskaitiniame laikotarpyje</t>
        </is>
      </c>
      <c r="K316" s="357" t="inlineStr">
        <is>
          <t>Liczba podlegających zgłoszeniu wypadków związanych z pracą w okresie sprawozdawczym</t>
        </is>
      </c>
      <c r="L316" s="357" t="inlineStr">
        <is>
          <t>Número de acidentes relacionados com o trabalho passíveis de registo no período de relato</t>
        </is>
      </c>
      <c r="M316" s="357" t="inlineStr">
        <is>
          <t>Número de accidentes de trabajo registrados en el período de informe</t>
        </is>
      </c>
    </row>
    <row r="317" ht="28.8" customHeight="1">
      <c r="A317" s="2" t="inlineStr">
        <is>
          <t>template_label_number_of_hours_worked_by_one_fulltime_employee_in_the_reporting_period</t>
        </is>
      </c>
      <c r="B317" s="461">
        <f>INDEX(C317:M317,MATCH(template_selected_display_language,$C$3:$M$3,0))</f>
        <v/>
      </c>
      <c r="C317" s="2" t="inlineStr">
        <is>
          <t>Number of hours worked by  one full-time employee in the reporting period</t>
        </is>
      </c>
      <c r="D317" s="563" t="inlineStr">
        <is>
          <t>Antal arbejdstimer for én fuldtidsansat i rapporteringsperioden</t>
        </is>
      </c>
      <c r="E317" s="563" t="inlineStr">
        <is>
          <t>Aantal uren gewerkt door één voltijdse werknemer in de  rapportageperiode</t>
        </is>
      </c>
      <c r="F317" s="563" t="inlineStr">
        <is>
          <t>Nombre d’heures travaillées par un salarié à temps plein au cours de l'année de référence</t>
        </is>
      </c>
      <c r="G317" s="366" t="inlineStr">
        <is>
          <t>Anzahl der von einem Vollzeitbeschäftigten im Berichtszeitraum geleisteten Arbeitsstunden</t>
        </is>
      </c>
      <c r="H317" s="366" t="inlineStr">
        <is>
          <t>Líon na n-uaireanta a d'oibrigh fostaí lánaimseartha amháin sa tréimhse tuairiscithe</t>
        </is>
      </c>
      <c r="I317" s="2" t="inlineStr">
        <is>
          <t>Ore lavorate da un dipendente a tempo pieno nel periodo di riferimento</t>
        </is>
      </c>
      <c r="J317" s="357" t="inlineStr">
        <is>
          <t>Dirbtų valandų skaičius vienam visą darbo laiką dirbančiam darbuotojui ataskaitiniame laikotarpyje</t>
        </is>
      </c>
      <c r="K317" s="357" t="inlineStr">
        <is>
          <t>Liczba godzin przepracowanych przez jednego pracownika zatrudnionego na pełen etat w okresie sprawozdawczym</t>
        </is>
      </c>
      <c r="L317" s="357" t="inlineStr">
        <is>
          <t>Número de horas trabalhadas por um empregado a tempo inteiro no período de relato</t>
        </is>
      </c>
      <c r="M317" s="357" t="inlineStr">
        <is>
          <t>Número de horas trabajadas por un empleado a tiempo completo en el período de informe</t>
        </is>
      </c>
    </row>
    <row r="318" ht="28.8" customHeight="1">
      <c r="A318" s="2" t="inlineStr">
        <is>
          <t>template_label_total_number_of_hours_worked_in_a_year_by_all_employees_in_the_reporting_period</t>
        </is>
      </c>
      <c r="B318" s="461">
        <f>INDEX(C318:M318,MATCH(template_selected_display_language,$C$3:$M$3,0))</f>
        <v/>
      </c>
      <c r="C318" s="2" t="inlineStr">
        <is>
          <t>Total number of hours worked in a year by all employees in the reporting period</t>
        </is>
      </c>
      <c r="D318" s="563" t="inlineStr">
        <is>
          <t>Samlet antal årlige arbejdstimer for alle ansatte i rapporteringsperioden</t>
        </is>
      </c>
      <c r="E318" s="563" t="inlineStr">
        <is>
          <t xml:space="preserve">Totaal aantal gewerkte uren in een jaar door alle werknemers in de rapportageperiode </t>
        </is>
      </c>
      <c r="F318" s="563" t="inlineStr">
        <is>
          <t>Nombre total d’heures travaillées en un an par l’ensemble des salariés pendant la période de reporting</t>
        </is>
      </c>
      <c r="G318" s="366" t="inlineStr">
        <is>
          <t>Gesamtanzahl der von allen Beschäftigten im Berichtszeitraum in einem Jahr geleisteten Arbeitsstunden</t>
        </is>
      </c>
      <c r="H318" s="366" t="inlineStr">
        <is>
          <t>Líon iomlán na n-uaireanta a d'oibrigh na fostaithe go léir sa tréimhse tuairiscithe sa tréimhse tuairiscithe i mbliain</t>
        </is>
      </c>
      <c r="I318" s="2" t="inlineStr">
        <is>
          <t>Numero totale di ore lavorate in un anno da tutti i dipendenti nel periodo di riferimento</t>
        </is>
      </c>
      <c r="J318" s="357" t="inlineStr">
        <is>
          <t>Visų darbuotojų per metus išdirbtų valandų bendras skaičius (ataskaitiniu laikotarpiu)</t>
        </is>
      </c>
      <c r="K318" s="357" t="inlineStr">
        <is>
          <t>Całkowita liczba godzin przepracowanych w ciągu roku przez wszystkich pracowników w okresie sprawozdawczym</t>
        </is>
      </c>
      <c r="L318" s="357" t="inlineStr">
        <is>
          <t>Número total de horas trabalhadas num ano por todos os trabalhadores no período de relato</t>
        </is>
      </c>
      <c r="M318" s="357" t="inlineStr">
        <is>
          <t>Número total de horas trabajadas en un año por todos los empleados en el período de reporte</t>
        </is>
      </c>
    </row>
    <row r="319" ht="57.6" customHeight="1">
      <c r="A319" s="2" t="inlineStr">
        <is>
          <t>template_label_rate_of_recordable_work_related_accidents_in_the_reporting_period</t>
        </is>
      </c>
      <c r="B319" s="461">
        <f>INDEX(C319:M319,MATCH(template_selected_display_language,$C$3:$M$3,0))</f>
        <v/>
      </c>
      <c r="C319" s="2" t="inlineStr">
        <is>
          <t>Rate of recordable work-related accidents in the reporting period</t>
        </is>
      </c>
      <c r="D319" s="563" t="inlineStr">
        <is>
          <t>Antallet og andelen af registrerbare arbejdsrelaterede ulykker i rapporteringsperioden</t>
        </is>
      </c>
      <c r="E319" s="563" t="inlineStr">
        <is>
          <t xml:space="preserve">Percentage van registreerbare arbeidsongevallen in de rapportageperiode 
</t>
        </is>
      </c>
      <c r="F319" s="563" t="inlineStr">
        <is>
          <t>Taux d’accidents du travail comptabilisables pendant la période de reporting</t>
        </is>
      </c>
      <c r="G319" s="366" t="inlineStr">
        <is>
          <t>Quote der meldepflichtigen Arbeitsunfälle im Berichtszeitraum</t>
        </is>
      </c>
      <c r="H319" s="366" t="inlineStr">
        <is>
          <t>Ráta na dtimpistí intaifeadta a bhaineann leis an obair sa tréimhse tuairiscithe</t>
        </is>
      </c>
      <c r="I319" s="2" t="inlineStr">
        <is>
          <t>Tasso di infortuni registrabili connessi al lavoro nel periodo di riferimento</t>
        </is>
      </c>
      <c r="J319" s="357" t="inlineStr">
        <is>
          <t>Registruotinų su darbu susijusių nelaimingų atsitikimų dažnis ataskaitiniu laikotarpiu</t>
        </is>
      </c>
      <c r="K319" s="357" t="inlineStr">
        <is>
          <t>Wskaźnik podlegających zgłoszeniu wypadków związanych z pracą w okresie sprawozdawczym</t>
        </is>
      </c>
      <c r="L319" s="357" t="inlineStr">
        <is>
          <t>Taxa de acidentes relacionados com o trabalho passíveis de registo no período de relato</t>
        </is>
      </c>
      <c r="M319" s="357" t="inlineStr">
        <is>
          <t>Tasa de accidentes de trabajo registrables en el período de informe</t>
        </is>
      </c>
    </row>
    <row r="320" ht="43.8" customHeight="1" thickBot="1">
      <c r="A320" s="358" t="inlineStr">
        <is>
          <t>template_label_number_of_fatalities_as_a_result_of_work_related_injuries_and_work_related_ill_health</t>
        </is>
      </c>
      <c r="B320" s="462">
        <f>INDEX(C320:M320,MATCH(template_selected_display_language,$C$3:$M$3,0))</f>
        <v/>
      </c>
      <c r="C320" s="358" t="inlineStr">
        <is>
          <t>Number of fatalities as a result of work-related injuries and work-related ill health</t>
        </is>
      </c>
      <c r="D320" s="373" t="inlineStr">
        <is>
          <t>Antal dødsfald som følge af arbejdsrelaterede skader og arbejdsrelateret dårligt helbred.</t>
        </is>
      </c>
      <c r="E320" s="373" t="inlineStr">
        <is>
          <t>Aantal dodelijke slachtoffers als gevolg van arbeidsongevallen  en beroepsziekten</t>
        </is>
      </c>
      <c r="F320" s="373" t="inlineStr">
        <is>
          <t>Nombre de décès dus à des accidents du travail et à des problèmes de santé liés au travail</t>
        </is>
      </c>
      <c r="G320" s="367" t="inlineStr">
        <is>
          <t>Zahl der Todesfälle infolge arbeitsbedingter Verletzungen und arbeitsbedingter Erkrankungen</t>
        </is>
      </c>
      <c r="H320" s="367" t="inlineStr">
        <is>
          <t>Líon na mbásanna de bharr gortuithe a bhaineann leis an obair agus drochshláinte a bhaineann leis an obair</t>
        </is>
      </c>
      <c r="I320" s="358" t="inlineStr">
        <is>
          <t>Numero di decessi dovuti a lesioni e malattie connesse al lavoro</t>
        </is>
      </c>
      <c r="J320" s="371" t="inlineStr">
        <is>
          <t>Mirčių dėl su darbu susijusių sužalojimų ir su darbu susijusių sveikatos sutrikimų skaičius</t>
        </is>
      </c>
      <c r="K320" s="371" t="inlineStr">
        <is>
          <t>Liczba ofiar śmiertelnych w wyniku urazów związanych z pracą i złego stanu zdrowia związanego z pracą</t>
        </is>
      </c>
      <c r="L320" s="371" t="inlineStr">
        <is>
          <t>Número de mortes devido a lesões relacionadas com o trabalho e a problemas de saúde relacionados com o trabalho</t>
        </is>
      </c>
      <c r="M320" s="371" t="inlineStr">
        <is>
          <t>Número de muertes como consecuencia de lesiones y problemas de salud relacionados con el trabajo.</t>
        </is>
      </c>
    </row>
    <row r="321" ht="43.2" customHeight="1">
      <c r="A321" s="2" t="inlineStr">
        <is>
          <t>template_label_b10_workforce_remuneration_collective_bargaining</t>
        </is>
      </c>
      <c r="B321" s="461">
        <f>INDEX(C321:M321,MATCH(template_selected_display_language,$C$3:$M$3,0))</f>
        <v/>
      </c>
      <c r="C321" s="2" t="inlineStr">
        <is>
          <t>B10 - Workforce - Remuneration and collective bargaining</t>
        </is>
      </c>
      <c r="D321" s="563" t="inlineStr">
        <is>
          <t xml:space="preserve">B10 – Arbejdsstyrke – Vederlag og kollektive overenskomster
</t>
        </is>
      </c>
      <c r="E321" s="563" t="inlineStr">
        <is>
          <t>B10 — Personeel — Vergoeding en collectieve onderhandelingen</t>
        </is>
      </c>
      <c r="F321" s="563" t="inlineStr">
        <is>
          <t>B10 – Personnel – Rémunération et négociation collective</t>
        </is>
      </c>
      <c r="G321" s="366" t="inlineStr">
        <is>
          <t>B10 – Arbeitskräfte – Vergütung und Tarif-/Kollektivverhandlungen</t>
        </is>
      </c>
      <c r="H321" s="366" t="inlineStr">
        <is>
          <t>B10 – Lucht saothair – Luach saothair agus cómhargáil</t>
        </is>
      </c>
      <c r="I321" s="2" t="inlineStr">
        <is>
          <t>B10 – Forza lavoro – Retribuzione e contrattazione collettiva</t>
        </is>
      </c>
      <c r="J321" s="357" t="inlineStr">
        <is>
          <t>B10 – Sava darbo jėga – Atlyginimas ir kolektyvinės derybos</t>
        </is>
      </c>
      <c r="K321" s="357" t="inlineStr">
        <is>
          <t>B10 – Zasoby pracownicze – wynagrodzenie i rokowania zbiorowe</t>
        </is>
      </c>
      <c r="L321" s="357" t="inlineStr">
        <is>
          <t>B10 – Mão-de-obra – Remuneração e negociação coletiva</t>
        </is>
      </c>
      <c r="M321" s="357" t="inlineStr">
        <is>
          <t xml:space="preserve">B10 – Trabajadores – Retribución y negociación colectiva
</t>
        </is>
      </c>
    </row>
    <row r="322" ht="100.8" customHeight="1">
      <c r="A322" s="2" t="inlineStr">
        <is>
          <t>template_label_employees_receive_pay_that_is_equal_or_above_applicable_minimum_wage</t>
        </is>
      </c>
      <c r="B322" s="461">
        <f>INDEX(C322:M322,MATCH(template_selected_display_language,$C$3:$M$3,0))</f>
        <v/>
      </c>
      <c r="C322" s="2" t="inlineStr">
        <is>
          <t>Employees receive pay that is equal or above applicable minimum wage determined directly by the national minimum wage law or through a collective bargaining agreement</t>
        </is>
      </c>
      <c r="D322" s="563" t="inlineStr">
        <is>
          <t>Modtager de ansatte en løn, der er lig med eller højere end den gældende mindsteløn for det land, der rapporteres om? (Som fastsat direkte ved national llov om mindsteløn eller gennem en kollektiv overenskomst)</t>
        </is>
      </c>
      <c r="E322" s="563" t="inlineStr">
        <is>
          <t>Werknemers ontvangen een beloning die gelijk is aan of hoger is dan het toepasselijke minimumloon dat rechtstreeks wordt vastgesteld door de nationale minimumloonwet of via een collectieve arbeidsovereenkomst.</t>
        </is>
      </c>
      <c r="F322" s="563" t="inlineStr">
        <is>
          <t>Les salariés perçoivent une rémunération égale ou supérieure au salaire minimal applicable, déterminé directement par la législation nationale sur le salaire minimum ou par une convention collective.</t>
        </is>
      </c>
      <c r="G322" s="366" t="inlineStr">
        <is>
          <t>Beschäftigte erhalten eine Vergütung, die dem durch nationales Recht oder Tarifvertrag/Kollektivvertrag festgelegten Mindestlohn entspricht oder darüber liegt.</t>
        </is>
      </c>
      <c r="H322" s="366" t="inlineStr">
        <is>
          <t>Faigheann fostaithe pá atá comhionann nó os cionn an pá íosta is infheidhme arna chinneadh go díreach leis an dlí náisiúnta ar phá íosta nó trí chomhaontú cómhargála</t>
        </is>
      </c>
      <c r="I322" s="2" t="inlineStr">
        <is>
          <t>I dipendenti percepiscono una retribuzione pari o superiore al salario minimo applicabile, determinato direttamente dal diritto nazionale in matria di salario minimo o mediante contrattazione collettiva.</t>
        </is>
      </c>
      <c r="J322" s="357" t="inlineStr">
        <is>
          <t>Darbuotojai gauna užmokestį, kuris yra lygus arba didesnis už taikomą minimalųjį darbo užmokestį, nustatytą tiesiogiai pagal nacionalinį minimaliojo darbo užmokesčio įstatymą arba per kolektyvinę sutartį.</t>
        </is>
      </c>
      <c r="K322" s="357" t="inlineStr">
        <is>
          <t>Pracownicy otrzymują wynagrodzenie co najmniej równe obowiązującej płacy minimalnej, ustanowionej bezpośrednio na mocy krajowych przepisów dotyczących płacy minimalnej lub układu zbiorowego pracy</t>
        </is>
      </c>
      <c r="L322" s="357"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M322" s="357" t="inlineStr">
        <is>
          <t>Los empleados reciben un sueldo que es igual o superior al salario mínimo aplicable determinado directamente por la ley nacional de salario mínimo o mediante un convenio colectivo.</t>
        </is>
      </c>
    </row>
    <row r="323" ht="28.8" customHeight="1">
      <c r="A323" s="2" t="inlineStr">
        <is>
          <t>template_label_average_gross_hourly_pay_level_of_male_employees</t>
        </is>
      </c>
      <c r="B323" s="461">
        <f>INDEX(C323:M323,MATCH(template_selected_display_language,$C$3:$M$3,0))</f>
        <v/>
      </c>
      <c r="C323" s="2" t="inlineStr">
        <is>
          <t>Average gross hourly pay level of male employees</t>
        </is>
      </c>
      <c r="D323" s="563" t="inlineStr">
        <is>
          <t>Gennemsnitlig bruttotimeløn for mandlige ansatte</t>
        </is>
      </c>
      <c r="E323" s="563" t="inlineStr">
        <is>
          <t>Gemiddeld bruto beloningsniveau per uur van mannelijke werknemers</t>
        </is>
      </c>
      <c r="F323" s="563" t="inlineStr">
        <is>
          <t>Rémunération horaire brute moyenne des salariés hommes</t>
        </is>
      </c>
      <c r="G323" s="366" t="inlineStr">
        <is>
          <t>Durchschnittliches Bruttostundenentgelt der männlichen Beschäftigten</t>
        </is>
      </c>
      <c r="H323" s="366" t="inlineStr">
        <is>
          <t>Ollphá fostaithe fireanna in aghaidh na huaire ar an meán</t>
        </is>
      </c>
      <c r="I323" s="2" t="inlineStr">
        <is>
          <t>Livello di retribuzione oraria lorda media dei dipendenti di sesso maschile</t>
        </is>
      </c>
      <c r="J323" s="357" t="inlineStr">
        <is>
          <t>Vidutinis darbuotojų vyrų valandinis užmokestis neatskaičius mokesčių</t>
        </is>
      </c>
      <c r="K323" s="357" t="inlineStr">
        <is>
          <t>Średni poziom godzinowego wynagrodzenia brutto pracowników płci męskiej</t>
        </is>
      </c>
      <c r="L323" s="357" t="inlineStr">
        <is>
          <t>Nível médio de remuneração horária bruta dos trabalhadores do sexo masculino</t>
        </is>
      </c>
      <c r="M323" s="357" t="inlineStr">
        <is>
          <t>Nivel medio bruto de remuneración por hora de los empleados masculinos</t>
        </is>
      </c>
    </row>
    <row r="324" ht="28.8" customHeight="1">
      <c r="A324" s="2" t="inlineStr">
        <is>
          <t>template_label_average_gross_hourly_pay_level_of_female_employees</t>
        </is>
      </c>
      <c r="B324" s="461">
        <f>INDEX(C324:M324,MATCH(template_selected_display_language,$C$3:$M$3,0))</f>
        <v/>
      </c>
      <c r="C324" s="2" t="inlineStr">
        <is>
          <t>Average gross hourly pay level of female employees</t>
        </is>
      </c>
      <c r="D324" s="563" t="inlineStr">
        <is>
          <t>Gennemsnitlig bruttotimeløn for kvindelige ansatte</t>
        </is>
      </c>
      <c r="E324" s="563" t="inlineStr">
        <is>
          <t>Gemiddeld bruto beloningsniveau per uur van vrouwelijke werknemers</t>
        </is>
      </c>
      <c r="F324" s="563" t="inlineStr">
        <is>
          <t>Rémunération horaire brute moyenne des salariés femmes</t>
        </is>
      </c>
      <c r="G324" s="366" t="inlineStr">
        <is>
          <t>Durchschnittliches Bruttostundenentgelt der weiblichen Beschäftigten</t>
        </is>
      </c>
      <c r="H324" s="366" t="inlineStr">
        <is>
          <t>Ollphá fostaithe baineanna in aghaidh na huaire ar an meán</t>
        </is>
      </c>
      <c r="I324" s="2" t="inlineStr">
        <is>
          <t>Livello di retribuzione oraria lorda media dei dipendenti di sesso femminile</t>
        </is>
      </c>
      <c r="J324" s="357" t="inlineStr">
        <is>
          <t>Vidutinis darbuotojų moterų valandinis užmokestis neatskaičius mokesčių</t>
        </is>
      </c>
      <c r="K324" s="357" t="inlineStr">
        <is>
          <t>Średni poziom godzinowego wynagrodzenia brutto pracowników płci żeńskiej</t>
        </is>
      </c>
      <c r="L324" s="357" t="inlineStr">
        <is>
          <t>Nível médio de remuneração horária bruta dos trabalhadores do sexo feminino</t>
        </is>
      </c>
      <c r="M324" s="357" t="inlineStr">
        <is>
          <t>Nivel medio bruto de remuneración por hora de las empleadas</t>
        </is>
      </c>
    </row>
    <row r="325" ht="72" customHeight="1">
      <c r="A325" s="2" t="inlineStr">
        <is>
          <t>template_label_percentage_gap_in_pay_between_the__undertakings_female_and_male_employees</t>
        </is>
      </c>
      <c r="B325" s="461">
        <f>INDEX(C325:M325,MATCH(template_selected_display_language,$C$3:$M$3,0))</f>
        <v/>
      </c>
      <c r="C325" s="2" t="inlineStr">
        <is>
          <t>Percentage gap in pay between the  undertaking's female and male employees [%]</t>
        </is>
      </c>
      <c r="D325" s="563" t="inlineStr">
        <is>
          <t>Procentvis lønforskel mellem virksomhedens kvindelige og mandlige ansatte [%]</t>
        </is>
      </c>
      <c r="E325" s="563" t="inlineStr">
        <is>
          <t xml:space="preserve">
Procentueel verschil in beloning tussen vrouwelijke en mannelijke werknemers van de onderneming [%]
</t>
        </is>
      </c>
      <c r="F325" s="563" t="inlineStr">
        <is>
          <t>Écart de rémunération en pourcentage entre les salariés femmes et hommes de l'entreprise [%]</t>
        </is>
      </c>
      <c r="G325" s="366" t="inlineStr">
        <is>
          <t>Prozentuales Entgeltgefälle zwischen den weiblichen und männlichen Beschäftigten des Unternehmens [%]</t>
        </is>
      </c>
      <c r="H325" s="366" t="inlineStr">
        <is>
          <t xml:space="preserve">Bearna phá chéatadánach idir fostaithe baineanna agus fireanna </t>
        </is>
      </c>
      <c r="I325" s="2" t="inlineStr">
        <is>
          <t>Percentuale del divario retributivo tra dipendenti di sesso femminile e dipendenti di sesso maschile [%]</t>
        </is>
      </c>
      <c r="J325" s="357" t="inlineStr">
        <is>
          <t>Moterų ir vyrų darbuotojų atlygio skirtumas procentais [%]</t>
        </is>
      </c>
      <c r="K325" s="357" t="inlineStr">
        <is>
          <t>Luka płacowa między pracownikami płci żeńskiej i męskiej w ujęciu procentowym w jednostce [%]</t>
        </is>
      </c>
      <c r="L325" s="357" t="inlineStr">
        <is>
          <t>Disparidade percentual na remuneração entre os trabalhadores do sexo feminino e do sexo masculino  da empresa [%]</t>
        </is>
      </c>
      <c r="M325" s="357" t="inlineStr">
        <is>
          <t>Porcentaje de brecha salarial entre las empleadas y los empleados de la empresa [%]</t>
        </is>
      </c>
    </row>
    <row r="326" ht="28.8" customHeight="1">
      <c r="A326" s="2" t="inlineStr">
        <is>
          <t>template_label_number_of_employees_covered_by_collective_bargaining_agreements</t>
        </is>
      </c>
      <c r="B326" s="461">
        <f>INDEX(C326:M326,MATCH(template_selected_display_language,$C$3:$M$3,0))</f>
        <v/>
      </c>
      <c r="C326" s="2" t="inlineStr">
        <is>
          <t>Number of employees covered by collective bargaining agreements</t>
        </is>
      </c>
      <c r="D326" s="563" t="inlineStr">
        <is>
          <t>Antal ansatte omfattet af kollektive overenskomster</t>
        </is>
      </c>
      <c r="E326" s="563" t="inlineStr">
        <is>
          <t>Aantal werknemers dat onder collectieve arbeidsovereenkomsten van</t>
        </is>
      </c>
      <c r="F326" s="563" t="inlineStr">
        <is>
          <t>Nombre de salariés couverts par des conventions collectives</t>
        </is>
      </c>
      <c r="G326" s="366" t="inlineStr">
        <is>
          <t>Anzahl der Beschäftigten, die durch Tarif-/Kollektivverträge abgedeckt sind</t>
        </is>
      </c>
      <c r="H326" s="366" t="inlineStr">
        <is>
          <t>Líon na bhfostaithe atá cumhdaithe ag comhaontuithe cómhargála</t>
        </is>
      </c>
      <c r="I326" s="2" t="inlineStr">
        <is>
          <t>Numero di dipendenti coperti da contratti collettivi</t>
        </is>
      </c>
      <c r="J326" s="357" t="inlineStr">
        <is>
          <t>Darbuotojų, kuriems taikomos kolektyvinės sutartys, skaičius</t>
        </is>
      </c>
      <c r="K326" s="357" t="inlineStr">
        <is>
          <t>Liczba pracowników objętych układami zbiorowymi pracy</t>
        </is>
      </c>
      <c r="L326" s="357" t="inlineStr">
        <is>
          <t>Número de trabalhadores abrangidos por convenções coletivas de trabalho</t>
        </is>
      </c>
      <c r="M326" s="357" t="inlineStr">
        <is>
          <t>Número de empelados cubiertos por convenios de negociación colectiva</t>
        </is>
      </c>
    </row>
    <row r="327" ht="29.4" customHeight="1" thickBot="1">
      <c r="A327" s="358" t="inlineStr">
        <is>
          <t>template_label_percentage_of_employees_covered_by_collective_bargaining_agreements</t>
        </is>
      </c>
      <c r="B327" s="462">
        <f>INDEX(C327:M327,MATCH(template_selected_display_language,$C$3:$M$3,0))</f>
        <v/>
      </c>
      <c r="C327" s="358" t="inlineStr">
        <is>
          <t>Percentage of employees covered by collective bargaining agreements [%]</t>
        </is>
      </c>
      <c r="D327" s="373" t="inlineStr">
        <is>
          <t>Procentdel af ansatte omfattet af kollektive overenskomster [%]</t>
        </is>
      </c>
      <c r="E327" s="373" t="inlineStr">
        <is>
          <t>Percentage van werknemers die onder collectieve arbeidsovereenkomsten vallen [%]</t>
        </is>
      </c>
      <c r="F327" s="373" t="inlineStr">
        <is>
          <t>Pourcentage des salariés couverts par des conventions collectives  [%]</t>
        </is>
      </c>
      <c r="G327" s="367" t="inlineStr">
        <is>
          <t>Prozentsatz der Beschäftigten, die durch Tarif-/Kollektivverträge abgedeckt sind [%]</t>
        </is>
      </c>
      <c r="H327" s="367" t="inlineStr">
        <is>
          <t>Céatadán na bhfostaithe a chumhdaítear ag comhaontuithe cómhargála [%]</t>
        </is>
      </c>
      <c r="I327" s="358" t="inlineStr">
        <is>
          <t>Percentuale di dipendenti coperti da contratti collettivi [%]</t>
        </is>
      </c>
      <c r="J327" s="371" t="inlineStr">
        <is>
          <t>Darbuotojų, kuriems taikomos kolektyvinės sutartys, procentinė dalis [%]</t>
        </is>
      </c>
      <c r="K327" s="371" t="inlineStr">
        <is>
          <t>Odsetek pracowników objętych układami zbiorowymi pracy [%]</t>
        </is>
      </c>
      <c r="L327" s="371" t="inlineStr">
        <is>
          <t>Percentagem de trabalhadores abrangidos por convenções coletivas de trabalho [%]</t>
        </is>
      </c>
      <c r="M327" s="371" t="inlineStr">
        <is>
          <t>Porcentaje de empleados cubiertos por convenios de negociación colectiva [%]</t>
        </is>
      </c>
    </row>
    <row r="328" ht="57.6" customHeight="1">
      <c r="A328" s="2" t="inlineStr">
        <is>
          <t>template_label_number_of_annual_training_hours_per_employee_during_the_reporting_period</t>
        </is>
      </c>
      <c r="B328" s="461">
        <f>INDEX(C328:M328,MATCH(template_selected_display_language,$C$3:$M$3,0))</f>
        <v/>
      </c>
      <c r="C328" s="2" t="inlineStr">
        <is>
          <t>B10 - Workforce - Number of annual training hours per employee during the reporting period</t>
        </is>
      </c>
      <c r="D328" s="563" t="inlineStr">
        <is>
          <t>B10 – Arbejdsstyrke – Gennemsnitligt antal årlige uddannelsestimer pr. ansat i rapporteringsperioden</t>
        </is>
      </c>
      <c r="E328" s="563" t="inlineStr">
        <is>
          <t xml:space="preserve">B10 — Personeel — Gemiddeld aantal jaarlijkse trainingsuren per werknemer tijdens de rapportageperiode
</t>
        </is>
      </c>
      <c r="F328" s="563" t="inlineStr">
        <is>
          <t>B10 – Personnel – Nombre moyen d'heures annuelles de formation par salarié au cours de la période de reporting</t>
        </is>
      </c>
      <c r="G328" s="366" t="inlineStr">
        <is>
          <t>B10 – Arbeitskräfte – Anzahl der jährlichen Schulungsstunden je Beschäftigtem im Berichtszeitraum</t>
        </is>
      </c>
      <c r="H328" s="366" t="inlineStr">
        <is>
          <t>B10 – Lucht saothair –Líon na n-uaireanta oiliúna bliantúla in aghaidh an fhostaí le linn na tréimhse tuairiscithe</t>
        </is>
      </c>
      <c r="I328" s="2" t="inlineStr">
        <is>
          <t>B10 – Forza lavoro – Numero annuo di ore di formazione per dipendente durante il periodo di riferimento</t>
        </is>
      </c>
      <c r="J328" s="357" t="inlineStr">
        <is>
          <t>B10 – Sava darbo jėga – Vidutinis metinis mokymo valandų skaičius vienam darbuotojui ataskaitiniu laikotarpiu</t>
        </is>
      </c>
      <c r="K328" s="357" t="inlineStr">
        <is>
          <t>B10 – Zasoby pracownicze – Średnia liczba godzin szkoleń w ciągu roku na pracownika w okresie sprawozdawczym</t>
        </is>
      </c>
      <c r="L328" s="357" t="inlineStr">
        <is>
          <t>B10 – Mão-de-obra – Número médio de horas de formação anual por trabalhador durante o período de relato</t>
        </is>
      </c>
      <c r="M328" s="357" t="inlineStr">
        <is>
          <t>B10 – Trabajadores – Número de horas anuales de formación por empleado durante el período de información</t>
        </is>
      </c>
    </row>
    <row r="329" ht="29.4" customHeight="1" thickBot="1">
      <c r="A329" s="358" t="inlineStr">
        <is>
          <t>template_label_average_number_of_annual_training_hours_per_employee</t>
        </is>
      </c>
      <c r="B329" s="462">
        <f>INDEX(C329:M329,MATCH(template_selected_display_language,$C$3:$M$3,0))</f>
        <v/>
      </c>
      <c r="C329" s="358" t="inlineStr">
        <is>
          <t>Average number of annual training hours per employee</t>
        </is>
      </c>
      <c r="D329" s="373" t="inlineStr">
        <is>
          <t>Gennemsnitligt antal årlige uddannelsestimer pr. ansat</t>
        </is>
      </c>
      <c r="E329" s="373" t="inlineStr">
        <is>
          <t>Gemiddeld aantal jaarlijkse trainingsuren per werknemer</t>
        </is>
      </c>
      <c r="F329" s="373" t="inlineStr">
        <is>
          <t>Nombre moyen d’heures de formation annuelles par salarié</t>
        </is>
      </c>
      <c r="G329" s="367" t="inlineStr">
        <is>
          <t>Durchschnittliche Anzahl der jährlichen Schulungsstunden je Beschäftigtem</t>
        </is>
      </c>
      <c r="H329" s="367" t="inlineStr">
        <is>
          <t>Meánlíon uaireanta oiliúna bliantúla in aghaidh an fhostaí</t>
        </is>
      </c>
      <c r="I329" s="358" t="inlineStr">
        <is>
          <t>Numero medio annuo di ore di formazione per dipendente</t>
        </is>
      </c>
      <c r="J329" s="371" t="inlineStr">
        <is>
          <t>Vidutinis metinių mokymų valandų skaičius vienam darbuotojui</t>
        </is>
      </c>
      <c r="K329" s="371" t="inlineStr">
        <is>
          <t>Średnia liczba godzin szkoleń w ciągu roku na pracownika</t>
        </is>
      </c>
      <c r="L329" s="371" t="inlineStr">
        <is>
          <t>Número médio de horas anuais de formação por trabalhador</t>
        </is>
      </c>
      <c r="M329" s="371" t="inlineStr">
        <is>
          <t>Número medio anual de horas de formación por empleado</t>
        </is>
      </c>
    </row>
    <row r="330" ht="28.8" customHeight="1">
      <c r="A330" s="2" t="inlineStr">
        <is>
          <t>template_label_c5_additional_workforce_characteristics</t>
        </is>
      </c>
      <c r="B330" s="461">
        <f>INDEX(C330:M330,MATCH(template_selected_display_language,$C$3:$M$3,0))</f>
        <v/>
      </c>
      <c r="C330" s="2" t="inlineStr">
        <is>
          <t>C5 - Additional (general) workforce characteristics</t>
        </is>
      </c>
      <c r="D330" s="563" t="inlineStr">
        <is>
          <t>C5 – Supplerende (generelle) oplysninger om arbejdsstyrken</t>
        </is>
      </c>
      <c r="E330" s="563" t="inlineStr">
        <is>
          <t>C5 – Aanvullende (algemene) kenmerken van het personeelsbestand</t>
        </is>
      </c>
      <c r="F330" s="563" t="inlineStr">
        <is>
          <t>C5 – Caractéristiques supplémentaires (générales) du personnel</t>
        </is>
      </c>
      <c r="G330" s="366" t="inlineStr">
        <is>
          <t>C5 – Zusätzliche (allgemeine) Merkmale der Arbeitskräfte</t>
        </is>
      </c>
      <c r="H330" s="366" t="inlineStr">
        <is>
          <t>Saintréithe breise (ginearálta) den lucht saothair</t>
        </is>
      </c>
      <c r="I330" s="2" t="inlineStr">
        <is>
          <t>C5 – Altre caratteristiche (generali) della forza lavoro</t>
        </is>
      </c>
      <c r="J330" s="357" t="inlineStr">
        <is>
          <t>C5 - Papildomi (bendrieji) darbo jėgos rodikliai</t>
        </is>
      </c>
      <c r="K330" s="357" t="inlineStr">
        <is>
          <t>C5 – Dodatkowa (ogólna) charakterystyka pracowników</t>
        </is>
      </c>
      <c r="L330" s="357" t="inlineStr">
        <is>
          <t>C5 – Características adicionais (gerais) da mão-de-obra</t>
        </is>
      </c>
      <c r="M330" s="357" t="inlineStr">
        <is>
          <t>C5 – Características (generales) adicionales de los trabajadores</t>
        </is>
      </c>
    </row>
    <row r="331" ht="28.8" customHeight="1">
      <c r="A331" s="2" t="inlineStr">
        <is>
          <t>template_label_number_of_male_employees_at_management_level</t>
        </is>
      </c>
      <c r="B331" s="461">
        <f>INDEX(C331:M331,MATCH(template_selected_display_language,$C$3:$M$3,0))</f>
        <v/>
      </c>
      <c r="C331" s="2" t="inlineStr">
        <is>
          <t>Number of male employees at management level</t>
        </is>
      </c>
      <c r="D331" s="563" t="inlineStr">
        <is>
          <t>Antal mandlige ansatte på ledelsesniveau</t>
        </is>
      </c>
      <c r="E331" s="563" t="inlineStr">
        <is>
          <t>Aantal mannelijke werknemers op managementniveau</t>
        </is>
      </c>
      <c r="F331" s="563" t="inlineStr">
        <is>
          <t>Nombre de salariés hommes au niveau de la direction</t>
        </is>
      </c>
      <c r="G331" s="366" t="inlineStr">
        <is>
          <t>Anzahl männlicher Beschäftigter auf Führungsebene</t>
        </is>
      </c>
      <c r="H331" s="366" t="inlineStr">
        <is>
          <t>Líon na bhfostaithe fireann ag leibhéal bainistíochta</t>
        </is>
      </c>
      <c r="I331" s="2" t="inlineStr">
        <is>
          <t>Numero di dipendenti di sesso maschile a livello dirigenziale</t>
        </is>
      </c>
      <c r="J331" s="357" t="inlineStr">
        <is>
          <t>Vyrų darbuotojų skaičius vadovaujančiose pareigose</t>
        </is>
      </c>
      <c r="K331" s="357" t="inlineStr">
        <is>
          <t>Liczba pracowników płci męskiej wśród kadry zarządzającej</t>
        </is>
      </c>
      <c r="L331" s="357" t="inlineStr">
        <is>
          <t>Número de trabalhadores do sexo masculino ao nível dos quadros superiores</t>
        </is>
      </c>
      <c r="M331" s="357" t="inlineStr">
        <is>
          <t>Número de empleados masculinos a nivel directivo</t>
        </is>
      </c>
    </row>
    <row r="332" ht="28.8" customHeight="1">
      <c r="A332" s="2" t="inlineStr">
        <is>
          <t>template_label_number_of_female_employees_at_management_level</t>
        </is>
      </c>
      <c r="B332" s="461">
        <f>INDEX(C332:M332,MATCH(template_selected_display_language,$C$3:$M$3,0))</f>
        <v/>
      </c>
      <c r="C332" s="2" t="inlineStr">
        <is>
          <t>Number of female employees at management level</t>
        </is>
      </c>
      <c r="D332" s="563" t="inlineStr">
        <is>
          <t>Antal kvindelige ansatte på ledelsesniveau</t>
        </is>
      </c>
      <c r="E332" s="563" t="inlineStr">
        <is>
          <t>Aantal vrouwelijke werknemers op managementniveau</t>
        </is>
      </c>
      <c r="F332" s="563" t="inlineStr">
        <is>
          <t>Nombre de salariés femmes au niveau de la direction</t>
        </is>
      </c>
      <c r="G332" s="366" t="inlineStr">
        <is>
          <t>Anzahl weiblicher Beschäftigter auf Führungsebene</t>
        </is>
      </c>
      <c r="H332" s="366" t="inlineStr">
        <is>
          <t>Líon na bhfostaithe ban ag leibhéal na bainistíochta</t>
        </is>
      </c>
      <c r="I332" s="2" t="inlineStr">
        <is>
          <t>Numero di dipendenti di sesso femminile a livello dirigenziale</t>
        </is>
      </c>
      <c r="J332" s="357" t="inlineStr">
        <is>
          <t>Morerų darbuotojų skaičius vadovaujančiose pareigose</t>
        </is>
      </c>
      <c r="K332" s="357" t="inlineStr">
        <is>
          <t>Liczba pracowników płci żeńskiej wśród kadry zarządzającej</t>
        </is>
      </c>
      <c r="L332" s="357" t="inlineStr">
        <is>
          <t>Número de trabalhadores do sexo feminino ao nível dos quadros superiores</t>
        </is>
      </c>
      <c r="M332" s="357" t="inlineStr">
        <is>
          <t>Número de empleadas a nivel directivo</t>
        </is>
      </c>
    </row>
    <row r="333" ht="28.8" customHeight="1">
      <c r="A333" s="2" t="inlineStr">
        <is>
          <t>template_label_female_to_male_ratio_at_management_level_for_the_reporting_period</t>
        </is>
      </c>
      <c r="B333" s="461">
        <f>INDEX(C333:M333,MATCH(template_selected_display_language,$C$3:$M$3,0))</f>
        <v/>
      </c>
      <c r="C333" s="2" t="inlineStr">
        <is>
          <t>Female-to-male ratio at management level for the reporting period</t>
        </is>
      </c>
      <c r="D333" s="563" t="inlineStr">
        <is>
          <t>Forholdet mellem kvinder og mænd på ledelsesniveau for rapporteringsperioden</t>
        </is>
      </c>
      <c r="E333" s="563" t="inlineStr">
        <is>
          <t>Verhouding vrouw-man op managementniveau  tijdens de rapportageperiode</t>
        </is>
      </c>
      <c r="F333" s="563" t="inlineStr">
        <is>
          <t>Ratio femmes/hommes au niveau de la direction pour la période de reporting</t>
        </is>
      </c>
      <c r="G333" s="366" t="inlineStr">
        <is>
          <t>Verhältnis weiblicher zu männlicher Beschäftiger auf Führungsebene im Berichtszeitraum</t>
        </is>
      </c>
      <c r="H333" s="366" t="inlineStr">
        <is>
          <t>Cóimheas idir mná agus fir ar an leibhéal bainistíochta don tréimhse tuairiscithe</t>
        </is>
      </c>
      <c r="I333" s="2" t="inlineStr">
        <is>
          <t>Rapporto tra donne e uomini a livello dirigenziale per il periodo di riferimento</t>
        </is>
      </c>
      <c r="J333" s="357" t="inlineStr">
        <is>
          <t>Vadovų/vadovaujančias pareigas einančių moterų ir vyrų santykis ataskaitiniu laikotarpiu</t>
        </is>
      </c>
      <c r="K333" s="357" t="inlineStr">
        <is>
          <t>Współczynnik płci wśród kadry zarządzającej w okresie sprawozdawczym</t>
        </is>
      </c>
      <c r="L333" s="357" t="inlineStr">
        <is>
          <t>Rácio de mulheres para homens ao nível dos quadros superiores durante o período de relato</t>
        </is>
      </c>
      <c r="M333" s="357" t="inlineStr">
        <is>
          <t>Ratio mujeres/hombres a nivel directivo para el período de informe</t>
        </is>
      </c>
    </row>
    <row r="334" ht="28.8" customHeight="1">
      <c r="A334" s="2" t="inlineStr">
        <is>
          <t>template_label_total_self_employed_workers_without_personnel_that_are_working_exclusively_for_the_undertaking</t>
        </is>
      </c>
      <c r="B334" s="461">
        <f>INDEX(C334:M334,MATCH(template_selected_display_language,$C$3:$M$3,0))</f>
        <v/>
      </c>
      <c r="C334" s="2" t="inlineStr">
        <is>
          <t>Total self-employed workers without personnel that are working exclusively for the undertaking</t>
        </is>
      </c>
      <c r="D334" s="563" t="inlineStr">
        <is>
          <t>Samlet antal selvstændige uden personale, der udelukkende arbejder for virksomheden</t>
        </is>
      </c>
      <c r="E334" s="563" t="inlineStr">
        <is>
          <t>Totaal aantal zelfstandigen zonder personeel dat uitsluitend voor de onderneming werkt</t>
        </is>
      </c>
      <c r="F334" s="563" t="inlineStr">
        <is>
          <t>Total des travailleurs indépendants sans personnel qui travaillent exclusivement pour l’entreprise</t>
        </is>
      </c>
      <c r="G334" s="366" t="inlineStr">
        <is>
          <t>Gesamtanzahl der Selbstständigen, die ausschließlich für das Unternehmen tätig sind und kein eigenes Personal haben</t>
        </is>
      </c>
      <c r="H334" s="366" t="inlineStr">
        <is>
          <t>An líon daoine féinfhostaithe gan pearsanra atá ag obair go heisiach don ghnóthas</t>
        </is>
      </c>
      <c r="I334" s="2" t="inlineStr">
        <is>
          <t>Numero totale di lavoratori autonomi senza personale che lavorano esclusivamente per l'impresa</t>
        </is>
      </c>
      <c r="J334" s="357" t="inlineStr">
        <is>
          <t>Iš viso savarankiškai dirbančių (ne darbuotojų), dirbančių tik šiai įmonei, skaičius</t>
        </is>
      </c>
      <c r="K334" s="357" t="inlineStr">
        <is>
          <t>Całkowita liczba osób samozatrudnionych bez personelu, które pracują wyłącznie na rzecz jednostki</t>
        </is>
      </c>
      <c r="L334" s="357" t="inlineStr">
        <is>
          <t>Total de trabalhadores independentes sem pessoal que trabalham exclusivamente para a empresa</t>
        </is>
      </c>
      <c r="M334" s="357" t="inlineStr">
        <is>
          <t>Total de trabajadores por cuenta propia sin personal que trabajan exclusivamente para la empresa</t>
        </is>
      </c>
    </row>
    <row r="335" ht="43.8" customHeight="1" thickBot="1">
      <c r="A335" s="358" t="inlineStr">
        <is>
          <t>template_label_total_temporary_workers_provided_by_undertakings_primarily_engaged_in_employment_activities</t>
        </is>
      </c>
      <c r="B335" s="462">
        <f>INDEX(C335:M335,MATCH(template_selected_display_language,$C$3:$M$3,0))</f>
        <v/>
      </c>
      <c r="C335" s="358" t="inlineStr">
        <is>
          <t>Total temporary workers provided by undertakings primarily engaged in employment activities</t>
        </is>
      </c>
      <c r="D335" s="373" t="inlineStr">
        <is>
          <t>Antallet af vikarer, der stilles til rådighed af virksomheder, som primært udøver beskæftigelsesaktiviteter</t>
        </is>
      </c>
      <c r="E335" s="373" t="inlineStr">
        <is>
          <t>Totaal aantal tijdelijke arbeidskrachten, uitgezonden door ondernemingen die zich voornamelijk bezighouden met arbeidsbemiddeling en uitzendactiviteiten</t>
        </is>
      </c>
      <c r="F335" s="373" t="inlineStr">
        <is>
          <t>Total des travailleurs temporaires mis à disposition par des entreprises exerçant principalement des activités liées à l’emploi</t>
        </is>
      </c>
      <c r="G335" s="367" t="inlineStr">
        <is>
          <t>Gesamtanzahl der Zeitarbeitskräfte, die von Unternehmen bereitgestellt werden, die in erster Linie im Bereich der Vermittlung und Überlassung von Arbeitskräften tätig sind</t>
        </is>
      </c>
      <c r="H335" s="367" t="inlineStr">
        <is>
          <t>An líon iomlán oibrithe sealadacha arna gcur ar fáil ag gnóthais a bhíonn páirteach go príomha i ngníomhaíochtaí fostaíochta</t>
        </is>
      </c>
      <c r="I335" s="358" t="inlineStr">
        <is>
          <t>Numero totale di lavoratori temporanei messi a disposizione da imprese che esercitano principalmente attività di ricerca, selezione e fornitura di personale</t>
        </is>
      </c>
      <c r="J335" s="371" t="inlineStr">
        <is>
          <t>Iš viso darbuotojų, dirbančių per laikinojo įdarbinimo agentūras, skaičius</t>
        </is>
      </c>
      <c r="K335" s="371" t="inlineStr">
        <is>
          <t>Całkowita liczba pracowników tymczasowych zapewnionych przez jednostki prowadzące głównie działalność związaną z zatrudnieniem</t>
        </is>
      </c>
      <c r="L335" s="371" t="inlineStr">
        <is>
          <t>Total de trabalhadores temporários cedidos por empresas principalmente dedicadas a atividades de emprego</t>
        </is>
      </c>
      <c r="M335" s="371" t="inlineStr">
        <is>
          <t>Total de trabajadores temporales proporcionados por empresas dedicadas principalmente a actividades de empleo</t>
        </is>
      </c>
    </row>
    <row r="336" ht="43.2" customHeight="1">
      <c r="A336" s="2" t="inlineStr">
        <is>
          <t>template_label_c6_additional_own_workforce_information_human_rights_policies_and_processes</t>
        </is>
      </c>
      <c r="B336" s="461">
        <f>INDEX(C336:M336,MATCH(template_selected_display_language,$C$3:$M$3,0))</f>
        <v/>
      </c>
      <c r="C336" s="2" t="inlineStr">
        <is>
          <t>C6 - Additional own workforce information - Human rights policies and processes</t>
        </is>
      </c>
      <c r="D336" s="563" t="inlineStr">
        <is>
          <t>C6 – Yderligere oplysninger om arbejdsstyrken – Menneskerettighedspolitikker og -processer</t>
        </is>
      </c>
      <c r="E336" s="563" t="inlineStr">
        <is>
          <t>C6 – Aanvullende informatie eigen personeel - Mensenrechtelijke beleidslijnen en processen</t>
        </is>
      </c>
      <c r="F336" s="563" t="inlineStr">
        <is>
          <t>C6 – Informations supplémentaires sur le personnel de l’entreprise – Politiques et procédures en matière de droits de l’homme</t>
        </is>
      </c>
      <c r="G336" s="366" t="inlineStr">
        <is>
          <t>C6 – Zusätzliche Informationen über die Arbeitskräfte des Unternehmens – Richtlinien für die Achtung der Menschenrechte und diesbezügliche Prozesse</t>
        </is>
      </c>
      <c r="H336" s="366" t="inlineStr">
        <is>
          <t>C6 – Faisnéis bhreise maidir lena lucht saothair féin - Beartais agus próisis um chearta an duine</t>
        </is>
      </c>
      <c r="I336" s="2" t="inlineStr">
        <is>
          <t>C6 – Altre informazioni sulla forza lavoro propria – Politiche e procedure in materia di diritti umani</t>
        </is>
      </c>
      <c r="J336" s="357" t="inlineStr">
        <is>
          <t>C6 – Papildoma savos darbo jėgos informacija – Žmogaus teisių politika ir procesai</t>
        </is>
      </c>
      <c r="K336" s="357" t="inlineStr">
        <is>
          <t>C6 – Dodatkowe informacje dotyczące własnych zasobów pracowniczych – polityki i procesy dotyczące praw człowieka</t>
        </is>
      </c>
      <c r="L336" s="357" t="inlineStr">
        <is>
          <t>C6 – Informações adicionais sobre a própria mão-de-obra — Políticas e processos em matéria de direitos humanos</t>
        </is>
      </c>
      <c r="M336" s="357" t="inlineStr">
        <is>
          <t>C6 – Información adicional sobre el personal propio – Políticas y procesos en materia de derechos humanos</t>
        </is>
      </c>
    </row>
    <row r="337" ht="43.2" customHeight="1">
      <c r="A337" s="2" t="inlineStr">
        <is>
          <t>template_label_does_the_undertaking_have_a_code_of_conduct_or_human_rights_policy_for_its_own_workforce</t>
        </is>
      </c>
      <c r="B337" s="461">
        <f>INDEX(C337:M337,MATCH(template_selected_display_language,$C$3:$M$3,0))</f>
        <v/>
      </c>
      <c r="C337" s="2" t="inlineStr">
        <is>
          <t>Does the undertaking have a code of conduct or human rights policy for its own workforce?</t>
        </is>
      </c>
      <c r="D337" s="563" t="inlineStr">
        <is>
          <t>Har virksomheden en adfærdskodeks eller menneskerettighedspolitik for sin egen arbejdsstyrke?</t>
        </is>
      </c>
      <c r="E337" s="563" t="inlineStr">
        <is>
          <t>Beschikt de onderneming over een gedragscode of een mensenrechtenbeleid voor haar eigen personeel?</t>
        </is>
      </c>
      <c r="F337" s="563" t="inlineStr">
        <is>
          <t>L’entreprise dispose-t-elle d’un code de conduite ou d’une politique en matière de droits de l’homme pour son personnel ?</t>
        </is>
      </c>
      <c r="G337" s="366" t="inlineStr">
        <is>
          <t>Verfügt das Unternehmen über einen Verhaltenskodex oder Richtlinien für die Achtung der Menschenrechte bei seinen eigenen Arbeitskräften?</t>
        </is>
      </c>
      <c r="H337" s="366" t="inlineStr">
        <is>
          <t>An bhfuil cód iompair nó beartas um chearta an duine ag an ngnóthas dá lucht saothair féin?</t>
        </is>
      </c>
      <c r="I337" s="2" t="inlineStr">
        <is>
          <t>L'impresa dispone di un codice di condotta o di una politica in materia di diritti umani per la forza lavoro propria?</t>
        </is>
      </c>
      <c r="J337" s="357" t="inlineStr">
        <is>
          <t>Ar įmonė turi savos darbo jėgos elgesio kodeksą arba žmogaus teisių politiką?</t>
        </is>
      </c>
      <c r="K337" s="357" t="inlineStr">
        <is>
          <t>Czy jednostka posiada kodeks postępowania lub politykę dotyczącą praw człowieka dla własnych pracowników?</t>
        </is>
      </c>
      <c r="L337" s="357" t="inlineStr">
        <is>
          <t>A empresa dispõe de um código de conduta ou de uma política de direitos humanos para a sua própria mão-de-obra?</t>
        </is>
      </c>
      <c r="M337" s="357" t="inlineStr">
        <is>
          <t>¿Dispone la empresa de un código de conducta o de una política de derechos humanos para su personal propio?</t>
        </is>
      </c>
    </row>
    <row r="338">
      <c r="A338" s="2" t="inlineStr">
        <is>
          <t>template_label_if_yes_does_this_cover</t>
        </is>
      </c>
      <c r="B338" s="461">
        <f>INDEX(C338:M338,MATCH(template_selected_display_language,$C$3:$M$3,0))</f>
        <v/>
      </c>
      <c r="C338" s="2" t="inlineStr">
        <is>
          <t>If yes does this cover:</t>
        </is>
      </c>
      <c r="D338" s="563" t="inlineStr">
        <is>
          <t xml:space="preserve">Hvis ja, dækker det: </t>
        </is>
      </c>
      <c r="E338" s="563" t="inlineStr">
        <is>
          <t>Indien ja, dekt dit het volgende:</t>
        </is>
      </c>
      <c r="F338" s="563" t="inlineStr">
        <is>
          <t>Si oui, cela couvre-t-il :</t>
        </is>
      </c>
      <c r="G338" s="366" t="inlineStr">
        <is>
          <t>Falls ja, sind folgende Aspekte abgedeckt:</t>
        </is>
      </c>
      <c r="H338" s="366" t="inlineStr">
        <is>
          <t> </t>
        </is>
      </c>
      <c r="I338" s="2" t="inlineStr">
        <is>
          <t>In caso affermativo, questo riguarda:</t>
        </is>
      </c>
      <c r="J338" s="357" t="inlineStr">
        <is>
          <t>Jei taip, ar tai apima:</t>
        </is>
      </c>
      <c r="K338" s="357" t="inlineStr">
        <is>
          <t>Jeśli tak, czy dokumenty te obejmują takie kwestie jak:</t>
        </is>
      </c>
      <c r="L338" s="357" t="inlineStr">
        <is>
          <t>Se sim, isso cobre:</t>
        </is>
      </c>
      <c r="M338" s="357" t="inlineStr">
        <is>
          <t>Si es así, ¿cubriría esto:}</t>
        </is>
      </c>
    </row>
    <row r="339">
      <c r="A339" s="2" t="inlineStr">
        <is>
          <t>template_label_child_labour</t>
        </is>
      </c>
      <c r="B339" s="461">
        <f>INDEX(C339:M339,MATCH(template_selected_display_language,$C$3:$M$3,0))</f>
        <v/>
      </c>
      <c r="C339" s="2" t="inlineStr">
        <is>
          <t>child labour</t>
        </is>
      </c>
      <c r="D339" s="563" t="inlineStr">
        <is>
          <t>børnearbejde</t>
        </is>
      </c>
      <c r="E339" s="563" t="inlineStr">
        <is>
          <t>kinderarbeid</t>
        </is>
      </c>
      <c r="F339" s="563" t="inlineStr">
        <is>
          <t>travail des enfants</t>
        </is>
      </c>
      <c r="G339" s="366" t="inlineStr">
        <is>
          <t>Kinderarbeit</t>
        </is>
      </c>
      <c r="H339" s="366" t="inlineStr">
        <is>
          <t>Saothar leanaí</t>
        </is>
      </c>
      <c r="I339" s="2" t="inlineStr">
        <is>
          <t>Lavoro minorile</t>
        </is>
      </c>
      <c r="J339" s="357" t="inlineStr">
        <is>
          <t>Vaikų darbas</t>
        </is>
      </c>
      <c r="K339" s="357" t="inlineStr">
        <is>
          <t>praca dzieci</t>
        </is>
      </c>
      <c r="L339" s="357" t="inlineStr">
        <is>
          <t>trabalho infantil</t>
        </is>
      </c>
      <c r="M339" s="357" t="inlineStr">
        <is>
          <t>trabajo infantil</t>
        </is>
      </c>
    </row>
    <row r="340">
      <c r="A340" s="2" t="inlineStr">
        <is>
          <t>template_label_forced_labour</t>
        </is>
      </c>
      <c r="B340" s="461">
        <f>INDEX(C340:M340,MATCH(template_selected_display_language,$C$3:$M$3,0))</f>
        <v/>
      </c>
      <c r="C340" s="2" t="inlineStr">
        <is>
          <t>forced labour</t>
        </is>
      </c>
      <c r="D340" s="563" t="inlineStr">
        <is>
          <t>tvangsarbejde</t>
        </is>
      </c>
      <c r="E340" s="563" t="inlineStr">
        <is>
          <t>dwangarbeid</t>
        </is>
      </c>
      <c r="F340" s="563" t="inlineStr">
        <is>
          <t>travail forcé</t>
        </is>
      </c>
      <c r="G340" s="366" t="inlineStr">
        <is>
          <t>Zwangsarbeit</t>
        </is>
      </c>
      <c r="H340" s="366" t="inlineStr">
        <is>
          <t>Saothar éignithe</t>
        </is>
      </c>
      <c r="I340" s="2" t="inlineStr">
        <is>
          <t>Lavoro forzato</t>
        </is>
      </c>
      <c r="J340" s="357" t="inlineStr">
        <is>
          <t>priverstinis darbas</t>
        </is>
      </c>
      <c r="K340" s="357" t="inlineStr">
        <is>
          <t>praca przymusowa</t>
        </is>
      </c>
      <c r="L340" s="357" t="inlineStr">
        <is>
          <t>trabalho forçado</t>
        </is>
      </c>
      <c r="M340" s="357" t="inlineStr">
        <is>
          <t>trabajo forzoso</t>
        </is>
      </c>
    </row>
    <row r="341">
      <c r="A341" s="2" t="inlineStr">
        <is>
          <t>template_label_human_trafficking</t>
        </is>
      </c>
      <c r="B341" s="461">
        <f>INDEX(C341:M341,MATCH(template_selected_display_language,$C$3:$M$3,0))</f>
        <v/>
      </c>
      <c r="C341" s="2" t="inlineStr">
        <is>
          <t>human trafficking</t>
        </is>
      </c>
      <c r="D341" s="563" t="inlineStr">
        <is>
          <t>Menneskehandel</t>
        </is>
      </c>
      <c r="E341" s="563" t="inlineStr">
        <is>
          <t>mensenhandel</t>
        </is>
      </c>
      <c r="F341" s="563" t="inlineStr">
        <is>
          <t>la traite des êtres humains</t>
        </is>
      </c>
      <c r="G341" s="366" t="inlineStr">
        <is>
          <t>Menschenhandel</t>
        </is>
      </c>
      <c r="H341" s="366" t="inlineStr">
        <is>
          <t>Gáinneáil ar Dhaoine</t>
        </is>
      </c>
      <c r="I341" s="2" t="inlineStr">
        <is>
          <t>tratta di esseri umani</t>
        </is>
      </c>
      <c r="J341" s="357" t="inlineStr">
        <is>
          <t>prekyba žmonėmis</t>
        </is>
      </c>
      <c r="K341" s="357" t="inlineStr">
        <is>
          <t>handel ludźmi</t>
        </is>
      </c>
      <c r="L341" s="357" t="inlineStr">
        <is>
          <t>tráfico de seres humanos</t>
        </is>
      </c>
      <c r="M341" s="357" t="inlineStr">
        <is>
          <t>trata de seres humanos</t>
        </is>
      </c>
    </row>
    <row r="342">
      <c r="A342" s="2" t="inlineStr">
        <is>
          <t>template_label_discrimination</t>
        </is>
      </c>
      <c r="B342" s="461">
        <f>INDEX(C342:M342,MATCH(template_selected_display_language,$C$3:$M$3,0))</f>
        <v/>
      </c>
      <c r="C342" s="2" t="inlineStr">
        <is>
          <t>discrimination</t>
        </is>
      </c>
      <c r="D342" s="563" t="inlineStr">
        <is>
          <t>Forskelsbehandling</t>
        </is>
      </c>
      <c r="E342" s="563" t="inlineStr">
        <is>
          <t>discriminatie</t>
        </is>
      </c>
      <c r="F342" s="563" t="inlineStr">
        <is>
          <t>discrimination</t>
        </is>
      </c>
      <c r="G342" s="366" t="inlineStr">
        <is>
          <t>Diskriminierung</t>
        </is>
      </c>
      <c r="H342" s="366" t="inlineStr">
        <is>
          <t>idirdhealú</t>
        </is>
      </c>
      <c r="I342" s="2" t="inlineStr">
        <is>
          <t>discriminazione</t>
        </is>
      </c>
      <c r="J342" s="357" t="inlineStr">
        <is>
          <t>diskriminacija</t>
        </is>
      </c>
      <c r="K342" s="357" t="inlineStr">
        <is>
          <t>dyskryminacja</t>
        </is>
      </c>
      <c r="L342" s="357" t="inlineStr">
        <is>
          <t>discriminação</t>
        </is>
      </c>
      <c r="M342" s="357" t="inlineStr">
        <is>
          <t>discriminación</t>
        </is>
      </c>
    </row>
    <row r="343">
      <c r="A343" s="2" t="inlineStr">
        <is>
          <t>template_label_accident_prevention</t>
        </is>
      </c>
      <c r="B343" s="461">
        <f>INDEX(C343:M343,MATCH(template_selected_display_language,$C$3:$M$3,0))</f>
        <v/>
      </c>
      <c r="C343" s="2" t="inlineStr">
        <is>
          <t>accident prevention</t>
        </is>
      </c>
      <c r="D343" s="563" t="inlineStr">
        <is>
          <t xml:space="preserve">Sikkerhed og forebyggelse af ulykker </t>
        </is>
      </c>
      <c r="E343" s="563" t="inlineStr">
        <is>
          <t>• ongevallenpreventie</t>
        </is>
      </c>
      <c r="F343" s="563" t="inlineStr">
        <is>
          <t>prévention des accidents</t>
        </is>
      </c>
      <c r="G343" s="366" t="inlineStr">
        <is>
          <t>Unfallverhütung</t>
        </is>
      </c>
      <c r="H343" s="366" t="inlineStr">
        <is>
          <t>timpistí a chosc</t>
        </is>
      </c>
      <c r="I343" s="2" t="inlineStr">
        <is>
          <t>Prevenzione degli infortuni</t>
        </is>
      </c>
      <c r="J343" s="357" t="inlineStr">
        <is>
          <t>nelaimingų atsitikimų prevencija</t>
        </is>
      </c>
      <c r="K343" s="357" t="inlineStr">
        <is>
          <t>zapobieganie wypadkom</t>
        </is>
      </c>
      <c r="L343" s="357" t="inlineStr">
        <is>
          <t>prevenção de acidentes</t>
        </is>
      </c>
      <c r="M343" s="357" t="inlineStr">
        <is>
          <t>prevención de accidentes</t>
        </is>
      </c>
    </row>
    <row r="344">
      <c r="A344" s="2" t="inlineStr">
        <is>
          <t>template_label_other_if_yes_specify</t>
        </is>
      </c>
      <c r="B344" s="461">
        <f>INDEX(C344:M344,MATCH(template_selected_display_language,$C$3:$M$3,0))</f>
        <v/>
      </c>
      <c r="C344" s="2" t="inlineStr">
        <is>
          <t>other? ( if yes specify)</t>
        </is>
      </c>
      <c r="D344" s="563" t="inlineStr">
        <is>
          <t>Andre? (hvis ja, angiv nærmere)</t>
        </is>
      </c>
      <c r="E344" s="563" t="inlineStr">
        <is>
          <t>"anders? (indien ja,  specificeer)"</t>
        </is>
      </c>
      <c r="F344" s="563" t="inlineStr">
        <is>
          <t>autre ? (si oui, veuillez préciser)</t>
        </is>
      </c>
      <c r="G344" s="366" t="inlineStr">
        <is>
          <t>Sonstige? (JA/NEIN – falls ja, ausführen)</t>
        </is>
      </c>
      <c r="H344" s="366" t="inlineStr">
        <is>
          <t>eile? ( má tá, sonraigh é)</t>
        </is>
      </c>
      <c r="I344" s="2" t="inlineStr">
        <is>
          <t>altro? (se sì, precisare)</t>
        </is>
      </c>
      <c r="J344" s="357" t="inlineStr">
        <is>
          <t>kita? (TAIP/NE; jei taip, nurodykite)</t>
        </is>
      </c>
      <c r="K344" s="357" t="inlineStr">
        <is>
          <t>inne kwestie? (TAK/NIE – jeśli tak, jakie?)</t>
        </is>
      </c>
      <c r="L344" s="357" t="inlineStr">
        <is>
          <t>outros? (SIM/NÃO — em caso afirmativo, especificar)</t>
        </is>
      </c>
      <c r="M344" s="357" t="inlineStr">
        <is>
          <t>otro? (en caso afirmativo especifique)</t>
        </is>
      </c>
    </row>
    <row r="345" ht="43.2" customHeight="1">
      <c r="A345" s="2" t="inlineStr">
        <is>
          <t>template_label_specify_other_types_of_content_covered_by_the_code_of_conduct_or_human_rights_policy</t>
        </is>
      </c>
      <c r="B345" s="461">
        <f>INDEX(C345:M345,MATCH(template_selected_display_language,$C$3:$M$3,0))</f>
        <v/>
      </c>
      <c r="C345" s="2" t="inlineStr">
        <is>
          <t>Specify other types of content covered by the code of conduct or human rights policy</t>
        </is>
      </c>
      <c r="D345" s="563" t="inlineStr">
        <is>
          <t>Angiv andre typer indhold, der omfattes af adfærdskodeksen eller menneskerettighedspolitikken</t>
        </is>
      </c>
      <c r="E345" s="563" t="inlineStr">
        <is>
          <t>Specificeer andere soorten inhoud die worden gedekt door de gedragscode of het mensenrechtenbeleid</t>
        </is>
      </c>
      <c r="F345" s="563" t="inlineStr">
        <is>
          <t>Spécifiez d'autres types de contenus couverts par le code de conduite ou la politique en matière de droits de l'homme</t>
        </is>
      </c>
      <c r="G345" s="366" t="inlineStr">
        <is>
          <t>Führen Sie sonstige Inhalte an, die vom Verhaltenskodex oder von Richtlinien für die Achtung der Menschenrechte abgedeckt sind</t>
        </is>
      </c>
      <c r="H345" s="366" t="inlineStr">
        <is>
          <t>Sonraigh cineálacha eile ábhair a chumhdaítear leis an gcód iompair nó leis an mbeartas um chearta an duine</t>
        </is>
      </c>
      <c r="I345" s="2" t="inlineStr">
        <is>
          <t>Specifica altri tipi di contenuti coperti dal codice di condotta o dalla politica in materia di diritti umani</t>
        </is>
      </c>
      <c r="J345" s="357" t="inlineStr">
        <is>
          <t>Nurodykite kitas temas / sritis, kurias apima elgesio kodeksas arba žmogaus teisių politika.</t>
        </is>
      </c>
      <c r="K345" s="357" t="inlineStr">
        <is>
          <t>Określ inne rodzaje treści objęte kodeksem postępowania lub polityką dotyczącą praw człowieka</t>
        </is>
      </c>
      <c r="L345" s="357" t="inlineStr">
        <is>
          <t>Especifique outros tipos de conteúdo abrangidos pelo código de conduta ou pela política de direitos humanos</t>
        </is>
      </c>
      <c r="M345" s="357" t="inlineStr">
        <is>
          <t>Especifique otros tipos de contenido cubiertos por el código de conducta o la política de derechos humanos</t>
        </is>
      </c>
    </row>
    <row r="346" ht="43.8" customHeight="1" thickBot="1">
      <c r="A346" s="358" t="inlineStr">
        <is>
          <t>template_label_does_the_undertaking_have_a_complaint_handling_mechanism_for_its_own_workforce</t>
        </is>
      </c>
      <c r="B346" s="462">
        <f>INDEX(C346:M346,MATCH(template_selected_display_language,$C$3:$M$3,0))</f>
        <v/>
      </c>
      <c r="C346" s="358" t="inlineStr">
        <is>
          <t>Does the undertaking have a complaint-handling mechanism for its own workforce?</t>
        </is>
      </c>
      <c r="D346" s="373" t="inlineStr">
        <is>
          <t>Har virksomheden en klagehåndteringsmekanisme for sine egne medarbejdere?</t>
        </is>
      </c>
      <c r="E346" s="373" t="inlineStr">
        <is>
          <t>Beschikt de onderneming over een klachtenafhandelingsmechanisme voor haar eigen personeel?</t>
        </is>
      </c>
      <c r="F346" s="377" t="inlineStr">
        <is>
          <t xml:space="preserve">L’entreprise dispose-t-elle d’un mécanisme de traitement des plaintes pour son personnel ? </t>
        </is>
      </c>
      <c r="G346" s="367" t="inlineStr">
        <is>
          <t>Verfügt das Unternehmen über ein Verfahren zur Bearbeitung von Beschwerden der eigenen Arbeitskräfte?</t>
        </is>
      </c>
      <c r="H346" s="367" t="inlineStr">
        <is>
          <t>An bhfuil sásra láimhseála gearán ag an ngnóthas dá lucht saothair féin?</t>
        </is>
      </c>
      <c r="I346" s="358" t="inlineStr">
        <is>
          <t>L'impresa dispone di un meccanismo di trattamento delle denunce per la forza lavoro propria?</t>
        </is>
      </c>
      <c r="J346" s="371" t="inlineStr">
        <is>
          <t>Ar yra įdiegtas skundų nagrinėjimo mechanizmas darbuotojams?</t>
        </is>
      </c>
      <c r="K346" s="371" t="inlineStr">
        <is>
          <t>Czy jednostka dysponuje mechanizmem rozpatrywania skarg dla własnych praconików?</t>
        </is>
      </c>
      <c r="L346" s="371" t="inlineStr">
        <is>
          <t>A empresa dispõe de um mecanismo de tratamento de reclamações para a sua própria mão-de-obra?</t>
        </is>
      </c>
      <c r="M346" s="371" t="inlineStr">
        <is>
          <t>¿Dispone la empresa de un mecanismo de gestión de reclamaciones para su personal propio?</t>
        </is>
      </c>
    </row>
    <row r="347" ht="28.8" customHeight="1">
      <c r="A347" s="2" t="inlineStr">
        <is>
          <t>template_label_c7_severe_negative_human_rights_incidents</t>
        </is>
      </c>
      <c r="B347" s="461">
        <f>INDEX(C347:M347,MATCH(template_selected_display_language,$C$3:$M$3,0))</f>
        <v/>
      </c>
      <c r="C347" s="2" t="inlineStr">
        <is>
          <t>C7 - Severe negative human rights incidents</t>
        </is>
      </c>
      <c r="D347" s="563" t="inlineStr">
        <is>
          <t>C7 – Alvorlige negative menneskerettighedshændelser</t>
        </is>
      </c>
      <c r="E347" s="563" t="inlineStr">
        <is>
          <t>C7 – Ernstige negatieve incidenten met betrekking tot mensenrechten</t>
        </is>
      </c>
      <c r="F347" s="563" t="inlineStr">
        <is>
          <t>C7 – Incidents graves en matière de droits de l’homme</t>
        </is>
      </c>
      <c r="G347" s="366" t="inlineStr">
        <is>
          <t>C7 –   Schwerwiegende Vorfälle im Zusammenhang mit Menschenrechten</t>
        </is>
      </c>
      <c r="H347" s="366" t="inlineStr">
        <is>
          <t>C7 – Teagmhais ghéara do chearta an duine</t>
        </is>
      </c>
      <c r="I347" s="2" t="inlineStr">
        <is>
          <t>C7 – Incidenti gravi in materia di diritti umani</t>
        </is>
      </c>
      <c r="J347" s="357" t="inlineStr">
        <is>
          <t>C7 – Sunkūs neigiami žmogaus teisių pažeidimų atvejai</t>
        </is>
      </c>
      <c r="K347" s="357" t="inlineStr">
        <is>
          <t>C7 – Poważne incydenty dotyczące praw człowieka</t>
        </is>
      </c>
      <c r="L347" s="357" t="inlineStr">
        <is>
          <t>C7 – Incidentes negativos graves em matéria de direitos humanos</t>
        </is>
      </c>
      <c r="M347" s="357" t="inlineStr">
        <is>
          <t>C7 – Incidentes graves negativos de derechos humanos</t>
        </is>
      </c>
    </row>
    <row r="348" ht="43.2" customHeight="1">
      <c r="A348" s="2" t="inlineStr">
        <is>
          <t>template_label_does_the_undertaking_have_confirmed_incidents_in_its_own_workforce</t>
        </is>
      </c>
      <c r="B348" s="461">
        <f>INDEX(C348:M348,MATCH(template_selected_display_language,$C$3:$M$3,0))</f>
        <v/>
      </c>
      <c r="C348" s="2" t="inlineStr">
        <is>
          <t>Does the undertaking have confirmed incidents in its own workforce?</t>
        </is>
      </c>
      <c r="D348" s="563" t="inlineStr">
        <is>
          <t>Har virksomheden bekræftede negative hændelser i sin egen arbejdsstyrke?</t>
        </is>
      </c>
      <c r="E348" s="563" t="inlineStr">
        <is>
          <t>Heeft de onderneming bevestigde incidenten  in haar eigen personeelsbestand?</t>
        </is>
      </c>
      <c r="F348" s="563" t="inlineStr">
        <is>
          <t>L'entreprise a-t-elle des incidents confirmés au sein de son personnel ?</t>
        </is>
      </c>
      <c r="G348" s="366" t="inlineStr">
        <is>
          <t>Sind unter den Arbeitskräften des Unternehmens bestätigte Vorfälle im Zusammenhang mit Menschenrechten aufgetreten?</t>
        </is>
      </c>
      <c r="H348" s="366" t="inlineStr">
        <is>
          <t>An bhfuil teagmhais dheimhnithe ag an ngnóthas dá lucht saothair féin?</t>
        </is>
      </c>
      <c r="I348" s="2" t="inlineStr">
        <is>
          <t>L'impresa ha confermato incidenti in seno alla forza lavoro propria?</t>
        </is>
      </c>
      <c r="J348" s="357" t="inlineStr">
        <is>
          <t>Ar įmonėje yra įvykę incidentų savo darbuotojų tarpe?</t>
        </is>
      </c>
      <c r="K348" s="357" t="inlineStr">
        <is>
          <t>Czy jednostka odnotowała potwierdzone incydenty dotyczące własnych pracowników?</t>
        </is>
      </c>
      <c r="L348" s="357" t="inlineStr">
        <is>
          <t>A empresa tem incidentes confirmados na sua própria mão-de-obra?</t>
        </is>
      </c>
      <c r="M348" s="357" t="inlineStr">
        <is>
          <t>¿Ha confirmado la empresa incidentes entre su personal propio?</t>
        </is>
      </c>
    </row>
    <row r="349">
      <c r="A349" s="2" t="inlineStr">
        <is>
          <t>template_label_if_yes_are_incidents_related_to</t>
        </is>
      </c>
      <c r="B349" s="461">
        <f>INDEX(C349:M349,MATCH(template_selected_display_language,$C$3:$M$3,0))</f>
        <v/>
      </c>
      <c r="C349" s="2" t="inlineStr">
        <is>
          <t>If yes are incidents related to:</t>
        </is>
      </c>
      <c r="D349" s="563" t="inlineStr">
        <is>
          <t>Hvis ja, er hændelserne relateret til:</t>
        </is>
      </c>
      <c r="E349" s="563" t="inlineStr">
        <is>
          <t>Indien ja, zijn de incidenten gerelateerd aan:</t>
        </is>
      </c>
      <c r="F349" s="563" t="inlineStr">
        <is>
          <t>Si oui, les incidents sont-ils liés à :</t>
        </is>
      </c>
      <c r="G349" s="366" t="inlineStr">
        <is>
          <t>Falls ja, beziehen sich die Vorfälle auf:</t>
        </is>
      </c>
      <c r="H349" s="366" t="inlineStr">
        <is>
          <t>Má tá, an bhainneann na teagmhais le:</t>
        </is>
      </c>
      <c r="I349" s="2" t="inlineStr">
        <is>
          <t>In caso affermativo, gli incidenti sono correlati a:</t>
        </is>
      </c>
      <c r="J349" s="357" t="inlineStr">
        <is>
          <t>Jei taip, ar incidentai susiję su:</t>
        </is>
      </c>
      <c r="K349" s="357" t="inlineStr">
        <is>
          <t>Jeżeli tak, czy incydenty są związane z:</t>
        </is>
      </c>
      <c r="L349" s="357" t="inlineStr">
        <is>
          <t>Se sim, os incidentes estão relacionados com:</t>
        </is>
      </c>
      <c r="M349" s="357" t="inlineStr">
        <is>
          <t>Si es así, ¿los incidentes están relacionados con:}</t>
        </is>
      </c>
    </row>
    <row r="350" ht="57.6" customHeight="1">
      <c r="A350" s="2" t="inlineStr">
        <is>
          <t>template_label_specify_other_human_rights_related_to_the_confirmed_incidents</t>
        </is>
      </c>
      <c r="B350" s="461">
        <f>INDEX(C350:M350,MATCH(template_selected_display_language,$C$3:$M$3,0))</f>
        <v/>
      </c>
      <c r="C350" s="2" t="inlineStr">
        <is>
          <t>Specify other human rights related to the confirmed incidents</t>
        </is>
      </c>
      <c r="D350" s="563" t="inlineStr">
        <is>
          <t>Angiv andre bekræftede hændelser relateret til menneskerettigheder</t>
        </is>
      </c>
      <c r="E350" s="563" t="inlineStr">
        <is>
          <t>Specificeer andere mensenrechten die verband houden met de bevestigde incidenten</t>
        </is>
      </c>
      <c r="F350" s="563" t="inlineStr">
        <is>
          <t>Spécifiez d'autres droits de l’homme liés aux incidents confirmés</t>
        </is>
      </c>
      <c r="G350" s="366" t="inlineStr">
        <is>
          <t>Geben Sie sonstige im Zusammenhang mit den bestätigten Vorfällen stehende Menschenrechte an</t>
        </is>
      </c>
      <c r="H350" s="366" t="inlineStr">
        <is>
          <t>Sonraigh cearta daonna eile a bhaineann leis na heachtraí deimhnithe</t>
        </is>
      </c>
      <c r="I350" s="2" t="inlineStr">
        <is>
          <t>Specifica altri diritti umani relativi agli incidenti confermati</t>
        </is>
      </c>
      <c r="J350" s="357" t="inlineStr">
        <is>
          <t>Nurodykite kitas žmogaus teises, susijusias su įvykusiais incidentais.</t>
        </is>
      </c>
      <c r="K350" s="357" t="inlineStr">
        <is>
          <t>Określ inne prawa człowieka związane z potwierdzonymi incydentami</t>
        </is>
      </c>
      <c r="L350" s="357" t="inlineStr">
        <is>
          <t xml:space="preserve">Especifique outros direitos humanos relacionados com os incidentes confirmados
</t>
        </is>
      </c>
      <c r="M350" s="357" t="inlineStr">
        <is>
          <t>Especifique otros derechos humanos relacionados con los incidentes confirmados</t>
        </is>
      </c>
    </row>
    <row r="351" ht="57.6" customHeight="1">
      <c r="A351" s="2" t="inlineStr">
        <is>
          <t>template_label_description_of_actions_taken_to_address_the_confirmed_incidents</t>
        </is>
      </c>
      <c r="B351" s="461">
        <f>INDEX(C351:M351,MATCH(template_selected_display_language,$C$3:$M$3,0))</f>
        <v/>
      </c>
      <c r="C351" s="2" t="inlineStr">
        <is>
          <t>Description of actions taken to address the confirmed incidents</t>
        </is>
      </c>
      <c r="D351" s="563" t="inlineStr">
        <is>
          <t xml:space="preserve">Beskrivelse af de foranstaltninger, der er truffet for at håndtere de bekræftede hændelser
</t>
        </is>
      </c>
      <c r="E351" s="563" t="inlineStr">
        <is>
          <t>Beschrijving van de acties die zijn ondernomen om de bevestigde incidenten aan te pakken</t>
        </is>
      </c>
      <c r="F351" s="563" t="inlineStr">
        <is>
          <t>Description des actions mises en œuvre pour gérer les incidents confirmés</t>
        </is>
      </c>
      <c r="G351" s="366" t="inlineStr">
        <is>
          <t>Beschreibung der Maßnahmen zur Behebung der bestätigten Vorfälle</t>
        </is>
      </c>
      <c r="H351" s="366" t="inlineStr">
        <is>
          <t>Cur síos ar na gníomhartha a rinneadh chun aghaidh a thabhairt ar na teagmhais dheimhnithe</t>
        </is>
      </c>
      <c r="I351" s="2" t="inlineStr">
        <is>
          <t>Descrizione delle azioni intraprese in risposta agli incidenti confermati</t>
        </is>
      </c>
      <c r="J351" s="357" t="inlineStr">
        <is>
          <t>Įvykusiems incidentams spręsti atliktų veiksmų aprašymas</t>
        </is>
      </c>
      <c r="K351" s="357" t="inlineStr">
        <is>
          <t>Opis działań podjętych w celu rozwiązania potwierdzonych incydentów</t>
        </is>
      </c>
      <c r="L351" s="357" t="inlineStr">
        <is>
          <t>Descrição das medidas tomadas para fazer face aos incidentes confirmados</t>
        </is>
      </c>
      <c r="M351" s="357" t="inlineStr">
        <is>
          <t>Descripción de las actuaciones llevadas a cabo para abordar los incidentes confirmados</t>
        </is>
      </c>
    </row>
    <row r="352" ht="72" customHeight="1">
      <c r="A352" s="2" t="inlineStr">
        <is>
          <t>template_label_is_the_undertaking_aware_of_any_confirmed_incidents_involving_workers</t>
        </is>
      </c>
      <c r="B352" s="461">
        <f>INDEX(C352:M352,MATCH(template_selected_display_language,$C$3:$M$3,0))</f>
        <v/>
      </c>
      <c r="C352" s="2" t="inlineStr">
        <is>
          <t>Is the undertaking aware of any confirmed incidents involving workers in the value chain affected communities consumers and end-users?</t>
        </is>
      </c>
      <c r="D352" s="563" t="inlineStr">
        <is>
          <t>Er virksomheden bekendt med bekræftede hændelser, der involverer arbejdstagere i værdikæden, berørte samfund, forbrugere og slutbrugere?</t>
        </is>
      </c>
      <c r="E352" s="563" t="inlineStr">
        <is>
          <t>Is het ondernemingsbestuur op de hoogte van bevestigde incidenten waarbij werknemers in de waardeketen, getroffen gemeenschappen, consumenten en eindgebruikers betrokken zijn?</t>
        </is>
      </c>
      <c r="F352" s="563" t="inlineStr">
        <is>
          <t>L’entreprise a-t-elle connaissance d’incidents confirmés impliquant des travailleurs de la chaîne de valeur, des communautés affectées, des consommateurs et des utilisateurs finaux ?</t>
        </is>
      </c>
      <c r="G352" s="366" t="inlineStr">
        <is>
          <t xml:space="preserve">	
Sind dem Unternehmen bestätigte Vorfälle bekannt, an denen Arbeitskräfte in der Wertschöpfungskette, betroffene Gemeinschaften, Verbraucher und Endnutzer beteiligt sind? Falls ja, sind Einzelheiten in der nächsten Zeile anzugeben.</t>
        </is>
      </c>
      <c r="H352" s="366" t="inlineStr">
        <is>
          <t>An feasach don ghnóthas faoi aon teagmhas deimhnithe a bhain le hoibrithe sa slabhra luacha, pobail dá ndéantar difear, tomhaltóirí agus úsáideoirí deiridh?</t>
        </is>
      </c>
      <c r="I352" s="2" t="inlineStr">
        <is>
          <t>L'impresa è a conoscenza di incidenti confermati che coinvolgono lavoratori nella catena del valore, comunità interessate, consumatori e utilizzatori finali?</t>
        </is>
      </c>
      <c r="J352" s="357" t="inlineStr">
        <is>
          <t>Ar įmonei žinoma apie kokius nors įvykusius incidentus, susijusius su vertės grandinės darbuotojais, paveiktomis bendruomenėmis, vartotojais ir galutiniais naudotojais?</t>
        </is>
      </c>
      <c r="K352" s="357" t="inlineStr">
        <is>
          <t>Czy jednostka posiada wiedzę na temat jakichkolwiek potwierdzonych incydentów dotyczących osób wykonujących pracę w łańcuchu wartości, dotkniętych społeczności, konsumentów i użytkowników końcowych?</t>
        </is>
      </c>
      <c r="L352" s="357" t="inlineStr">
        <is>
          <t>A entidade tem conhecimento de algum incidente confirmado envolvendo trabalhadores na cadeia de valor, comunidades afetadas, consumidores e utilizadores finais?</t>
        </is>
      </c>
      <c r="M352" s="357" t="inlineStr">
        <is>
          <t>¿Está la empresa al tanto de algún incidente confirmado que involucre a trabajadores en la cadena de valor, comunidades afectadas, consumidores y usuarios finales?</t>
        </is>
      </c>
    </row>
    <row r="353" ht="72.59999999999999" customHeight="1" thickBot="1">
      <c r="A353" s="358" t="inlineStr">
        <is>
          <t>template_label_specification_of_any_confirmed_incident_involving_workers</t>
        </is>
      </c>
      <c r="B353" s="462">
        <f>INDEX(C353:M353,MATCH(template_selected_display_language,$C$3:$M$3,0))</f>
        <v/>
      </c>
      <c r="C353" s="358" t="inlineStr">
        <is>
          <t>Specification of any confirmed incident involving workers in the value chain affected communities consumers and end-users</t>
        </is>
      </c>
      <c r="D353" s="373" t="inlineStr">
        <is>
          <t>Specifikation af enhver bekræftet hændelse, der involverer arbejdstagere i værdikæden, berørte lokalsamfund, forbrugere og slutbrugere</t>
        </is>
      </c>
      <c r="E353" s="373" t="inlineStr">
        <is>
          <t>Specificatie van elk bevestigd incident waarbij werknemers in de waardeketen, getroffen gemeenschappen, consumenten en eindgebruikers betrokken zijn</t>
        </is>
      </c>
      <c r="F353" s="373" t="inlineStr">
        <is>
          <t>Spécification de tout incident confirmé impliquant des travailleurs de la chaîne de valeur, des communautés affectées, des consommateurs et des utilisateurs finaux</t>
        </is>
      </c>
      <c r="G353" s="367" t="inlineStr">
        <is>
          <t>Erläuterung von bestätigten Vorfällen, an denen Arbeitskräfte in der Wertschöpfungskette, betroffene Gemeinschaften, Verbraucher und Endnutzer beteiligt sind</t>
        </is>
      </c>
      <c r="H353" s="367" t="inlineStr">
        <is>
          <t>Sonraíocht aon teagmhais dheimhnithe a bhaineann le hoibrithe sa slabhra luacha a bhfuil tionchar acu ar phobail, tomhaltóirí agus úsáideoirí deiridh</t>
        </is>
      </c>
      <c r="I353" s="358" t="inlineStr">
        <is>
          <t>Specificazione di eventuali incidenti confermati che coinvolgono lavoratori nella catena del valore, comunità interessate, consumatori e utilizzatori finali</t>
        </is>
      </c>
      <c r="J353" s="371" t="inlineStr">
        <is>
          <t>Bet kurio įvykusio incidento, susijusio su vertės grandinės darbuotojais, paveiktomis bendruomenėmis, vartotojais ir galutiniais naudotojais, aprašymas.</t>
        </is>
      </c>
      <c r="K353" s="371" t="inlineStr">
        <is>
          <t>Specyfikacja potwierdzonych incydentów dotyczących osób wykonujących pracę w łańcuchu wartości, dotkniętych społeczności, konsumentów i użytkowników końcowych</t>
        </is>
      </c>
      <c r="L353" s="371" t="inlineStr">
        <is>
          <t xml:space="preserve">Especificação de quaisquer incidentes confirmados envolvendo trabalhadores da cadeia de valor, comunidades afetadas, consumidores e utilizadores finais
</t>
        </is>
      </c>
      <c r="M353" s="371" t="inlineStr">
        <is>
          <t>¿Tiene conocimiento la empresa de cualquier incidente confirmado en el que estén involucrados trabajadores de la cadena de valor, colectivos afectados, consumidores y usuarios finales? En caso afirmativo, especifíquese.</t>
        </is>
      </c>
    </row>
    <row r="354" ht="43.8" customHeight="1" thickBot="1">
      <c r="A354" s="438" t="inlineStr">
        <is>
          <t>template_label_disclosure_of_any_other_social_and_or_entity_specific_social_disclosures</t>
        </is>
      </c>
      <c r="B354" s="463">
        <f>INDEX(C354:M354,MATCH(template_selected_display_language,$C$3:$M$3,0))</f>
        <v/>
      </c>
      <c r="C354" s="438" t="inlineStr">
        <is>
          <t>Disclosure of any other social and or entity specific social disclosures</t>
        </is>
      </c>
      <c r="D354" s="378" t="inlineStr">
        <is>
          <t xml:space="preserve">Oplysninger om andre sociale og/eller virksomhedsspecifikke sociale oplysninger </t>
        </is>
      </c>
      <c r="E354" s="378" t="inlineStr">
        <is>
          <t xml:space="preserve">Rapportage van andere sociale en/of entiteitspecifieke sociale rapportages
</t>
        </is>
      </c>
      <c r="F354" s="378" t="inlineStr">
        <is>
          <t>Publication de toute autre information sociale et/ou spécifique à l'entité</t>
        </is>
      </c>
      <c r="G354" s="368" t="inlineStr">
        <is>
          <t>Angabe weiterer Sozial- und/oder unternehmensspezifischer Sozialangaben</t>
        </is>
      </c>
      <c r="H354" s="368" t="inlineStr">
        <is>
          <t xml:space="preserve">Nochtadh aon nochtaí shóisialta eile agus/nó a bhaineann go sonrach le haonáin </t>
        </is>
      </c>
      <c r="I354" s="438" t="inlineStr">
        <is>
          <t>Comunicazione di qualsiasi altra informativa sociale e/o specifica per soggetto</t>
        </is>
      </c>
      <c r="J354" s="372" t="inlineStr">
        <is>
          <t>Bet kokių kitų socialinių atskleidimų ir (ar) įmonei specifinių socialinių atskleidimas.</t>
        </is>
      </c>
      <c r="K354" s="372" t="inlineStr">
        <is>
          <t>Ujawnienie innych informacji społecznych i/lub informacji społecznych specyficznych dla danej jednostki</t>
        </is>
      </c>
      <c r="L354" s="372" t="inlineStr">
        <is>
          <t>Divulgação de quaisquer outras divulgações sociais e/ou específicas da entidade relativas a aspetos sociais</t>
        </is>
      </c>
      <c r="M354" s="372" t="inlineStr">
        <is>
          <t>Divulgación de cualquier otra divulgación social y/o específica de la entidad</t>
        </is>
      </c>
    </row>
    <row r="355" ht="43.2" customHeight="1">
      <c r="A355" s="2" t="inlineStr">
        <is>
          <t>template_label_b11_convictions_and_fines_for_corruption_and_bribery</t>
        </is>
      </c>
      <c r="B355" s="2">
        <f>INDEX(C355:M355,MATCH(template_selected_display_language,$C$3:$M$3,0))</f>
        <v/>
      </c>
      <c r="C355" s="2" t="inlineStr">
        <is>
          <t>B11 - Convictions and fines for corruption and bribery</t>
        </is>
      </c>
      <c r="D355" s="563" t="inlineStr">
        <is>
          <t>B11 – Domme og bøder for korruption og bestikkelse</t>
        </is>
      </c>
      <c r="E355" s="563" t="inlineStr">
        <is>
          <t xml:space="preserve">B11 – Veroordelingen en boetes voor corruptie en omkoping
</t>
        </is>
      </c>
      <c r="F355" s="563" t="inlineStr">
        <is>
          <t>B11 – Condamnations et amendes pour corruption et pots-de-vin</t>
        </is>
      </c>
      <c r="G355" s="366" t="inlineStr">
        <is>
          <t>B11 – Verurteilungen und Geldstrafen wegen Korruption und Bestechung</t>
        </is>
      </c>
      <c r="H355" s="366" t="inlineStr">
        <is>
          <t>B11 – Ciontuithe agus fíneálacha mar gheall ar éilliú agus breabaireacht</t>
        </is>
      </c>
      <c r="I355" s="2" t="inlineStr">
        <is>
          <t>B11 – Condanne e ammende per corruzione attiva e passiva</t>
        </is>
      </c>
      <c r="J355" s="357" t="inlineStr">
        <is>
          <t>B11 – Nuosprendžiai ir baudos už korupciją ir kyšininkavimą</t>
        </is>
      </c>
      <c r="K355" s="357" t="inlineStr">
        <is>
          <t>B11 – Wyroki skazujące i grzywny za naruszenie przepisów antykorupcyjnych i przepisów w sprawie zwalczania przekupstwa</t>
        </is>
      </c>
      <c r="L355" s="357" t="inlineStr">
        <is>
          <t>B11 – Condenações e multas por corrupção e suborno</t>
        </is>
      </c>
      <c r="M355" s="357" t="inlineStr">
        <is>
          <t>B11 — Condenas y multas por corrupción y soborno</t>
        </is>
      </c>
    </row>
    <row r="356" ht="28.8" customHeight="1">
      <c r="A356" s="2" t="inlineStr">
        <is>
          <t>template_label_has_the_undertaking_incurred_in_convictions_and_fines_in_the_reporting_period</t>
        </is>
      </c>
      <c r="B356" s="2">
        <f>INDEX(C356:M356,MATCH(template_selected_display_language,$C$3:$M$3,0))</f>
        <v/>
      </c>
      <c r="C356" s="2" t="inlineStr">
        <is>
          <t>Has the undertaking incurred in convictions and fines in the reporting period?</t>
        </is>
      </c>
      <c r="D356" s="563" t="inlineStr">
        <is>
          <t>Har virksomheden pådraget sig domme og bøder i rapporteringsperioden?</t>
        </is>
      </c>
      <c r="E356" s="563" t="inlineStr">
        <is>
          <t>Heeft de onderneming in de verslagperiode veroordelingen en boetes opgelopen?</t>
        </is>
      </c>
      <c r="F356" s="563" t="inlineStr">
        <is>
          <t>L'entreprise a-t-elle fait l'objet de condamnations et d'amendes au cours de la période de reporting ?</t>
        </is>
      </c>
      <c r="G356" s="366" t="inlineStr">
        <is>
          <t>Sind gegen das Unternehmen im Berichtszeitraum Verurteilungen erfolgt oder Geldstrafen verhängt worden?</t>
        </is>
      </c>
      <c r="H356" s="366" t="inlineStr">
        <is>
          <t>An ndearnadh ciontuithe agus fíneálacha ar an ngealltanas sa tréimhse tuairiscithe?</t>
        </is>
      </c>
      <c r="I356" s="2" t="inlineStr">
        <is>
          <t>L'impresa ha subito condanne e ammende nel periodo di riferimento?</t>
        </is>
      </c>
      <c r="J356" s="357" t="inlineStr">
        <is>
          <t>Ar įmonė buvo apkaltinta ir nubausta ataskaitiniu laikotarpiu?</t>
        </is>
      </c>
      <c r="K356" s="357" t="inlineStr">
        <is>
          <t>Czy jednostka otrzymała wyroki skazujące lub podlegała grzywnom w okresie sprawozdawczym?</t>
        </is>
      </c>
      <c r="L356" s="357" t="inlineStr">
        <is>
          <t>A entidade incorreu em condenações e multas no período de reporte?</t>
        </is>
      </c>
      <c r="M356" s="357" t="inlineStr">
        <is>
          <t>¿La empresa ha incurrido en condenas y multas en el período de referencia?</t>
        </is>
      </c>
    </row>
    <row r="357" ht="57.6" customHeight="1">
      <c r="A357" s="2" t="inlineStr">
        <is>
          <t>template_label_total_number_of_convictions_for_the_violation_of_anti_corruption_and_anti_bribery_laws</t>
        </is>
      </c>
      <c r="B357" s="2">
        <f>INDEX(C357:M357,MATCH(template_selected_display_language,$C$3:$M$3,0))</f>
        <v/>
      </c>
      <c r="C357" s="2" t="inlineStr">
        <is>
          <t>Total number of convictions  for the violation of anti-corruption and anti-bribery laws</t>
        </is>
      </c>
      <c r="D357" s="563" t="inlineStr">
        <is>
          <t>Samlet antal domme for overtrædelse af  love om bekæmpelse af korruption og bestikkelse</t>
        </is>
      </c>
      <c r="E357" s="563" t="inlineStr">
        <is>
          <t xml:space="preserve">Totaal aantal veroordelingen voor overtreding van de anti-corruptie- en anti-omkopingswetten
</t>
        </is>
      </c>
      <c r="F357" s="563" t="inlineStr">
        <is>
          <t>Nombre total de condamnations pour infraction à la législation sur la lutte contre la corruption et les actes de corruption</t>
        </is>
      </c>
      <c r="G357" s="366" t="inlineStr">
        <is>
          <t>Gesamtzahl der Verurteilungen wegen Verstößen gegen Rechtsvorschriften zur Bekämpfung von Korruption und Bestechung</t>
        </is>
      </c>
      <c r="H357" s="366" t="inlineStr">
        <is>
          <t>Líon iomlán na gciontuithe as sárú dlíthe frith-éillithe agus frith-bhreabaireachta</t>
        </is>
      </c>
      <c r="I357" s="2" t="inlineStr">
        <is>
          <t>Numero totale delle condanne per violazione delle leggi in materia di lotta alla corruzione passiva e attiva</t>
        </is>
      </c>
      <c r="J357" s="357" t="inlineStr">
        <is>
          <t>Bendras nuobaudų skaičius už korupcijos ir kyšininkavimo įstatymų pažeidimus</t>
        </is>
      </c>
      <c r="K357" s="357" t="inlineStr">
        <is>
          <t>Całkowita liczba wyroków skazujących za naruszenie przepisów antykorupcyjnych i przepisów w sprawie zwalczania przekupstwa</t>
        </is>
      </c>
      <c r="L357" s="357" t="inlineStr">
        <is>
          <t>Número total de condenações por violação das leis anticorrupção e antissuborno</t>
        </is>
      </c>
      <c r="M357" s="357" t="inlineStr">
        <is>
          <t>Número total de condenas por infracción de las leyes anticorrupción y antisoborno</t>
        </is>
      </c>
    </row>
    <row r="358" ht="58.2" customHeight="1" thickBot="1">
      <c r="A358" s="358" t="inlineStr">
        <is>
          <t>template_label_total_amount_of_fines_for_the_violation_of_anti_corruption_and_anti_bribery_laws</t>
        </is>
      </c>
      <c r="B358" s="358">
        <f>INDEX(C358:M358,MATCH(template_selected_display_language,$C$3:$M$3,0))</f>
        <v/>
      </c>
      <c r="C358" s="358" t="inlineStr">
        <is>
          <t>Total amount of fines for the violation of anti-corruption and anti-bribery laws</t>
        </is>
      </c>
      <c r="D358" s="373" t="inlineStr">
        <is>
          <t>Samlet bødebeløb for overtrædelse af love om bekæmpelse af korruption og bestikkelse</t>
        </is>
      </c>
      <c r="E358" s="373" t="inlineStr">
        <is>
          <t xml:space="preserve">Totaalbedrag aan boetes voor overtreding van anti-corruptie- en anti-omkopingswetten
</t>
        </is>
      </c>
      <c r="F358" s="373" t="inlineStr">
        <is>
          <t>Montant total des amendes pour infraction à la législation sur la lutte contre la corruption et les actes de corruption</t>
        </is>
      </c>
      <c r="G358" s="367" t="inlineStr">
        <is>
          <t>Gesamtbetrag der Geldstrafen wegen Verstößen gegen Rechtsvorschriften zur Bekämpfung von Korruption und Bestechung</t>
        </is>
      </c>
      <c r="H358" s="367" t="inlineStr">
        <is>
          <t>Méid iomlán na bhfíneálacha as sárú ar dhlíthe frith-éillithe agus frith-bhreabaireachta</t>
        </is>
      </c>
      <c r="I358" s="358" t="inlineStr">
        <is>
          <t>Importo complessivo delle ammende in cui è incorsa per violazione delle leggi in materia di lotta alla corruzione passiva e attiva</t>
        </is>
      </c>
      <c r="J358" s="371" t="inlineStr">
        <is>
          <t>Baudų suma už korupcijos ir kyšininkavimo įstatymų pažeidimus</t>
        </is>
      </c>
      <c r="K358" s="371" t="inlineStr">
        <is>
          <t>Całkowita kwota grzywien za naruszenie przepisów antykorupcyjnych i przepisów w sprawie zwalczania przekupstwa</t>
        </is>
      </c>
      <c r="L358" s="371" t="inlineStr">
        <is>
          <t>Montante total das multas por violação das leis anticorrupção e antissuborno</t>
        </is>
      </c>
      <c r="M358" s="371" t="inlineStr">
        <is>
          <t>Importe total de las multas por infringir las leyes anticorrupción y antisoborno.</t>
        </is>
      </c>
    </row>
    <row r="359">
      <c r="A359" s="2" t="inlineStr">
        <is>
          <t>template_label_c8_revenues_from_certain_sectors</t>
        </is>
      </c>
      <c r="B359" s="2">
        <f>INDEX(C359:M359,MATCH(template_selected_display_language,$C$3:$M$3,0))</f>
        <v/>
      </c>
      <c r="C359" s="2" t="inlineStr">
        <is>
          <t>C8 - Revenues from certain activities</t>
        </is>
      </c>
      <c r="D359" s="563" t="inlineStr">
        <is>
          <t>C8 – Indtægter fra bestemte aktiviteter</t>
        </is>
      </c>
      <c r="E359" s="563" t="inlineStr">
        <is>
          <t>C8 — Ontvangsten uit bepaalde activiteiten</t>
        </is>
      </c>
      <c r="F359" s="563" t="inlineStr">
        <is>
          <t>C8 – Chiffre d’affaires de certains secteurs</t>
        </is>
      </c>
      <c r="G359" s="366" t="inlineStr">
        <is>
          <t>C8 – Umsatzerlöse aus bestimmten Tätigkeiten</t>
        </is>
      </c>
      <c r="H359" s="366" t="inlineStr">
        <is>
          <t>C8 – Ioncam ó ghníomhaíochtaí áirithe</t>
        </is>
      </c>
      <c r="I359" s="2" t="inlineStr">
        <is>
          <t>C8 – Ricavi da determinate attività</t>
        </is>
      </c>
      <c r="J359" s="357" t="inlineStr">
        <is>
          <t>C8 – Pajamos iš tam tikrų veiklų</t>
        </is>
      </c>
      <c r="K359" s="357" t="inlineStr">
        <is>
          <t>C8 – Przychody z niektórych rodzajów działalności</t>
        </is>
      </c>
      <c r="L359" s="357" t="inlineStr">
        <is>
          <t>C8 – Rédito de determinadas atividades</t>
        </is>
      </c>
      <c r="M359" s="357" t="inlineStr">
        <is>
          <t>C8 – Ingresos de determinadas actividades</t>
        </is>
      </c>
    </row>
    <row r="360" ht="28.8" customHeight="1">
      <c r="A360" s="2" t="inlineStr">
        <is>
          <t>template_label_is_the_undertaking_deriving_revenues_from_one_of_the_activities_listed_below</t>
        </is>
      </c>
      <c r="B360" s="2">
        <f>INDEX(C360:M360,MATCH(template_selected_display_language,$C$3:$M$3,0))</f>
        <v/>
      </c>
      <c r="C360" s="2" t="inlineStr">
        <is>
          <t>Is the undertaking deriving revenues from one of the activities listed below?</t>
        </is>
      </c>
      <c r="D360" s="563" t="inlineStr">
        <is>
          <t>Har virksomheden relaterede indtægter fra én eller flere af nedenstående aktiviteter?</t>
        </is>
      </c>
      <c r="E360" s="563" t="inlineStr">
        <is>
          <t xml:space="preserve"> Verkrijgt de onderneming inkomsten  uit een van de hieronder vermelde activiteiten?</t>
        </is>
      </c>
      <c r="F360" s="563" t="inlineStr">
        <is>
          <t>L’entreprise réalise-t-elle des revenus à partir de l’une des activités listées ci-dessous ?</t>
        </is>
      </c>
      <c r="G360" s="366" t="inlineStr">
        <is>
          <t>Erzielt das Unternehmen Umsatzerlöse aus einer der unten aufgeführten Tätigkeiten?</t>
        </is>
      </c>
      <c r="H360" s="366" t="inlineStr">
        <is>
          <t>An bhfuil ioncam á fháil ag an ngnóthas ó cheann de na gníomhaíochtaí atá liostaithe thíos?</t>
        </is>
      </c>
      <c r="I360" s="2" t="inlineStr">
        <is>
          <t>L'impresa genera ricavi da una delle attività elencate di seguito?</t>
        </is>
      </c>
      <c r="J360" s="357" t="inlineStr">
        <is>
          <t>Ar įmonė gauna pajamas iš vienos iš žemiau išvardytų veiklų?</t>
        </is>
      </c>
      <c r="K360" s="357" t="inlineStr">
        <is>
          <t xml:space="preserve">Czy jednostka uzyskuje przychody z jednej z poniżej wymienionych działalności? </t>
        </is>
      </c>
      <c r="L360" s="357" t="inlineStr">
        <is>
          <t>A entidade obtém rédito de uma das atividades listadas abaixo?</t>
        </is>
      </c>
      <c r="M360" s="357" t="inlineStr">
        <is>
          <t>¿La empresa obtiene ingresos de una de las actividades enumeradas a continuación?</t>
        </is>
      </c>
    </row>
    <row r="361">
      <c r="A361" s="2" t="inlineStr">
        <is>
          <t>template_label_monetary_amount_in</t>
        </is>
      </c>
      <c r="B361" s="2">
        <f>INDEX(C361:M361,MATCH(template_selected_display_language,$C$3:$M$3,0))</f>
        <v/>
      </c>
      <c r="C361" s="2" t="inlineStr">
        <is>
          <t>Monetary amount in</t>
        </is>
      </c>
      <c r="D361" s="563" t="inlineStr">
        <is>
          <t>Monetært beløb i</t>
        </is>
      </c>
      <c r="E361" s="563" t="inlineStr">
        <is>
          <t>Monetair bedrag in</t>
        </is>
      </c>
      <c r="F361" s="563" t="inlineStr">
        <is>
          <t>Montant monétaire en</t>
        </is>
      </c>
      <c r="G361" s="366" t="inlineStr">
        <is>
          <t>Betrag in</t>
        </is>
      </c>
      <c r="H361" s="366" t="inlineStr">
        <is>
          <t>An tsuim airgeadaíochta i</t>
        </is>
      </c>
      <c r="I361" s="2" t="inlineStr">
        <is>
          <t>Importo monetario in</t>
        </is>
      </c>
      <c r="J361" s="357" t="inlineStr">
        <is>
          <t>Piniginė suma (Eurais)</t>
        </is>
      </c>
      <c r="K361" s="357" t="inlineStr">
        <is>
          <t>Kwota pieniężna w</t>
        </is>
      </c>
      <c r="L361" s="357" t="inlineStr">
        <is>
          <t>Montante monetário em</t>
        </is>
      </c>
      <c r="M361" s="357" t="inlineStr">
        <is>
          <t>Importe monetario en</t>
        </is>
      </c>
    </row>
    <row r="362" ht="43.2" customHeight="1">
      <c r="A362" s="2" t="inlineStr">
        <is>
          <t>template_label_revenue_derived_from_controversial_weapons</t>
        </is>
      </c>
      <c r="B362" s="2">
        <f>INDEX(C362:M362,MATCH(template_selected_display_language,$C$3:$M$3,0))</f>
        <v/>
      </c>
      <c r="C362" s="2" t="inlineStr">
        <is>
          <t>Revenue derived from controversial weapons (anti-personnel mines cluster munitions chemical weapons and biological weapons)</t>
        </is>
      </c>
      <c r="D362" s="563" t="inlineStr">
        <is>
          <t>Indtægter fra kontroversielle våben (personelminer, klyngeammunition, kemiske våben og biologiske våben)</t>
        </is>
      </c>
      <c r="E362" s="563" t="inlineStr">
        <is>
          <t>Omzet afkomstig van controversiële wapens (antipersoonsmijnen, clustermunitie, chemische wapens en biologische wapens)</t>
        </is>
      </c>
      <c r="F362" s="563" t="inlineStr">
        <is>
          <t>Chiffre d'affaires réalisé à partir des armes controversées (mines antipersonnel, armes à sous-munitions, armes chimiques et armes biologiques)</t>
        </is>
      </c>
      <c r="G362" s="366" t="inlineStr">
        <is>
          <t>Umsatzerlöse aus umstrittenen Waffen (Antipersonenminen, Streumunition, chemische und biologische Waffen)</t>
        </is>
      </c>
      <c r="H362" s="366" t="inlineStr">
        <is>
          <t>Ioncam a fhaightear ó airm chonspóideacha (mianaigh frithphearsanra, cnuas-mhuinisin, airm cheimiceacha agus airm bhitheolaíocha)</t>
        </is>
      </c>
      <c r="I362" s="2" t="inlineStr">
        <is>
          <t>Ricavi derivanti da armi controverse (mine antiuomo, munizioni a grappolo, armi chimiche e armi biologiche)</t>
        </is>
      </c>
      <c r="J362" s="357" t="inlineStr">
        <is>
          <t>Pajamos, gautos iš prieštaringai vertinamų ginklų (pėstininkų minų, kasetinių sprogstamųjų užtaisų, cheminių ir biologinių ginklų).</t>
        </is>
      </c>
      <c r="K362" s="357" t="inlineStr">
        <is>
          <t>Przychody z kontrowersyjnych rodzajów broni (miny przeciwpiechotne, amunicja kasetowa, broń chemiczna i broń biologiczna)</t>
        </is>
      </c>
      <c r="L362" s="357" t="inlineStr">
        <is>
          <t>Rédito derivado de armas controversas (minas antipessoais, munições de fragmentação, armas químicas e armas biológicas)</t>
        </is>
      </c>
      <c r="M362" s="357" t="inlineStr">
        <is>
          <t>Ingresos derivados de armas controvertidas (minas antipersona, municiones en racimo, armas químicas y armas biológicas)</t>
        </is>
      </c>
    </row>
    <row r="363" ht="43.2" customHeight="1">
      <c r="A363" s="2" t="inlineStr">
        <is>
          <t>template_label_revenue_derived_from_cultivation_and_production_of_tobacco</t>
        </is>
      </c>
      <c r="B363" s="2">
        <f>INDEX(C363:M363,MATCH(template_selected_display_language,$C$3:$M$3,0))</f>
        <v/>
      </c>
      <c r="C363" s="2" t="inlineStr">
        <is>
          <t>Revenue derived from cultivation and production of tobacco</t>
        </is>
      </c>
      <c r="D363" s="563" t="inlineStr">
        <is>
          <t>Indtægter fra dyrkning og produktion af tobak</t>
        </is>
      </c>
      <c r="E363" s="563" t="inlineStr">
        <is>
          <t xml:space="preserve">Inkomsten  uit de teelt en productie van tabak
</t>
        </is>
      </c>
      <c r="F363" s="563" t="inlineStr">
        <is>
          <t>Chiffre d'affaires réalisé à partir de la culture et la production de tabac</t>
        </is>
      </c>
      <c r="G363" s="366" t="inlineStr">
        <is>
          <t>Umsatzerlöse aus dem Anbau und der Produktion von Tabak</t>
        </is>
      </c>
      <c r="H363" s="366" t="inlineStr">
        <is>
          <t>Ioncam a fhaightear ó shaothrú agus ó tháirgeadh tobac</t>
        </is>
      </c>
      <c r="I363" s="2" t="inlineStr">
        <is>
          <t>Ricavi derivanti dalla coltivazione e produzione di tabacco</t>
        </is>
      </c>
      <c r="J363" s="357" t="inlineStr">
        <is>
          <t xml:space="preserve">Pajamos, gautos iš tabako auginimo ir gamybos
</t>
        </is>
      </c>
      <c r="K363" s="357" t="inlineStr">
        <is>
          <t>Przychody z uprawy i produkcji tytoniu</t>
        </is>
      </c>
      <c r="L363" s="357" t="inlineStr">
        <is>
          <t>Rédito proveniente do cultivo e produção de tabaco</t>
        </is>
      </c>
      <c r="M363" s="357" t="inlineStr">
        <is>
          <t>Ingresos derivados del cultivo y la producción de tabaco</t>
        </is>
      </c>
    </row>
    <row r="364">
      <c r="A364" s="2" t="inlineStr">
        <is>
          <t>template_label_revenue_derived_from_coal</t>
        </is>
      </c>
      <c r="B364" s="2">
        <f>INDEX(C364:M364,MATCH(template_selected_display_language,$C$3:$M$3,0))</f>
        <v/>
      </c>
      <c r="C364" s="2" t="inlineStr">
        <is>
          <t>Revenue derived from coal</t>
        </is>
      </c>
      <c r="D364" s="563" t="inlineStr">
        <is>
          <t xml:space="preserve">Indtægter fra fossile brændstoffer: Kul </t>
        </is>
      </c>
      <c r="E364" s="563" t="inlineStr">
        <is>
          <t xml:space="preserve"> Inkomsten uit kolen</t>
        </is>
      </c>
      <c r="F364" s="563" t="inlineStr">
        <is>
          <t>Chiffre d'affaires réalisé à partir du charbon</t>
        </is>
      </c>
      <c r="G364" s="366" t="inlineStr">
        <is>
          <t>Umsatzerlöse aus Kohle</t>
        </is>
      </c>
      <c r="H364" s="366" t="inlineStr">
        <is>
          <t>Ioncam ó ghual</t>
        </is>
      </c>
      <c r="I364" s="2" t="inlineStr">
        <is>
          <t>Ricavi derivanti dal carbone</t>
        </is>
      </c>
      <c r="J364" s="357" t="inlineStr">
        <is>
          <t>Pajamos iš anglių</t>
        </is>
      </c>
      <c r="K364" s="357" t="inlineStr">
        <is>
          <t>Przychody z węgla</t>
        </is>
      </c>
      <c r="L364" s="357" t="inlineStr">
        <is>
          <t>Rédito derivado do carvão</t>
        </is>
      </c>
      <c r="M364" s="357" t="inlineStr">
        <is>
          <t>Ingresos derivados del carbón</t>
        </is>
      </c>
    </row>
    <row r="365">
      <c r="A365" s="2" t="inlineStr">
        <is>
          <t>template_label_revenue_derived_from_oil</t>
        </is>
      </c>
      <c r="B365" s="2">
        <f>INDEX(C365:M365,MATCH(template_selected_display_language,$C$3:$M$3,0))</f>
        <v/>
      </c>
      <c r="C365" s="2" t="inlineStr">
        <is>
          <t>Revenue derived from oil</t>
        </is>
      </c>
      <c r="D365" s="563" t="inlineStr">
        <is>
          <t>Indtægter fra fossile brændstoffer: Olie</t>
        </is>
      </c>
      <c r="E365" s="563" t="inlineStr">
        <is>
          <t xml:space="preserve"> Inkomsten uit olie</t>
        </is>
      </c>
      <c r="F365" s="563" t="inlineStr">
        <is>
          <t>Chiffre d'affaires réalisé à partir du pétrole</t>
        </is>
      </c>
      <c r="G365" s="366" t="inlineStr">
        <is>
          <t>Umsatzerlöse aus Erdöl</t>
        </is>
      </c>
      <c r="H365" s="366" t="inlineStr">
        <is>
          <t>Ioncam ó ola</t>
        </is>
      </c>
      <c r="I365" s="2" t="inlineStr">
        <is>
          <t>Ricavi derivanti dal petrolio</t>
        </is>
      </c>
      <c r="J365" s="357" t="inlineStr">
        <is>
          <t>Pajamos, gautos iš naftos</t>
        </is>
      </c>
      <c r="K365" s="357" t="inlineStr">
        <is>
          <t>Przychody z ropy naftowej</t>
        </is>
      </c>
      <c r="L365" s="357" t="inlineStr">
        <is>
          <t>Rédito derivado do petróleo</t>
        </is>
      </c>
      <c r="M365" s="357" t="inlineStr">
        <is>
          <t>Ingresos derivados del petróleo</t>
        </is>
      </c>
    </row>
    <row r="366" ht="28.8" customHeight="1">
      <c r="A366" s="2" t="inlineStr">
        <is>
          <t>template_label_revenue_derived_from_gas</t>
        </is>
      </c>
      <c r="B366" s="2">
        <f>INDEX(C366:M366,MATCH(template_selected_display_language,$C$3:$M$3,0))</f>
        <v/>
      </c>
      <c r="C366" s="2" t="inlineStr">
        <is>
          <t>Revenue derived from gas</t>
        </is>
      </c>
      <c r="D366" s="563" t="inlineStr">
        <is>
          <t>Indtægter fra fossile brændstoffer: Gas</t>
        </is>
      </c>
      <c r="E366" s="563" t="inlineStr">
        <is>
          <t xml:space="preserve">Inkomsten uit gas
</t>
        </is>
      </c>
      <c r="F366" s="563" t="inlineStr">
        <is>
          <t>Chiffre d'affaires réalisé à partir du gaz</t>
        </is>
      </c>
      <c r="G366" s="366" t="inlineStr">
        <is>
          <t>Umsatzerlöse aus Erdgas</t>
        </is>
      </c>
      <c r="H366" s="366" t="inlineStr">
        <is>
          <t>Ioncam ó ghás</t>
        </is>
      </c>
      <c r="I366" s="2" t="inlineStr">
        <is>
          <t>Ricavi derivanti dal gas</t>
        </is>
      </c>
      <c r="J366" s="357" t="inlineStr">
        <is>
          <t>Pajamos, gautos iš dujų</t>
        </is>
      </c>
      <c r="K366" s="357" t="inlineStr">
        <is>
          <t>Przychody z gazu</t>
        </is>
      </c>
      <c r="L366" s="357" t="inlineStr">
        <is>
          <t>Rèdito derivado do gás</t>
        </is>
      </c>
      <c r="M366" s="357" t="inlineStr">
        <is>
          <t>Ingresos derivados del gas</t>
        </is>
      </c>
    </row>
    <row r="367" ht="144" customHeight="1">
      <c r="A367" s="2" t="inlineStr">
        <is>
          <t>template_label_total_revenues_derived_from_fossil_fuel_sector</t>
        </is>
      </c>
      <c r="B367" s="2">
        <f>INDEX(C367:M367,MATCH(template_selected_display_language,$C$3:$M$3,0))</f>
        <v/>
      </c>
      <c r="C367" s="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67" s="563" t="inlineStr">
        <is>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is>
      </c>
      <c r="E367" s="563" t="inlineStr">
        <is>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is>
      </c>
      <c r="F367" s="563" t="inlineStr">
        <is>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is>
      </c>
      <c r="G367" s="366" t="inlineStr">
        <is>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is>
      </c>
      <c r="H367" s="366" t="inlineStr">
        <is>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is>
      </c>
      <c r="I367" s="2" t="inlineStr">
        <is>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is>
      </c>
      <c r="J367" s="357"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K367" s="357"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L367" s="357"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M367" s="357"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68" ht="29.4" customHeight="1" thickBot="1">
      <c r="A368" s="358" t="inlineStr">
        <is>
          <t>template_label_revenue_derived_from_chemicals_production</t>
        </is>
      </c>
      <c r="B368" s="358">
        <f>INDEX(C368:M368,MATCH(template_selected_display_language,$C$3:$M$3,0))</f>
        <v/>
      </c>
      <c r="C368" s="358" t="inlineStr">
        <is>
          <t>Revenue derived from chemicals production</t>
        </is>
      </c>
      <c r="D368" s="373" t="inlineStr">
        <is>
          <t>Indtægter fra kemikalieproduktion</t>
        </is>
      </c>
      <c r="E368" s="373" t="inlineStr">
        <is>
          <t xml:space="preserve"> Inkomsten uit de productie van chemische stoffen</t>
        </is>
      </c>
      <c r="F368" s="373" t="inlineStr">
        <is>
          <t>Chiffre d'affaires réalisé à partir de la production de produits chimiques</t>
        </is>
      </c>
      <c r="G368" s="367" t="inlineStr">
        <is>
          <t>Umsatzerlöse aus der Herstellung von Chemikalien</t>
        </is>
      </c>
      <c r="H368" s="367" t="inlineStr">
        <is>
          <t>Ioncam a dhíorthaítear ó tháirgeadh ceimiceán</t>
        </is>
      </c>
      <c r="I368" s="358" t="inlineStr">
        <is>
          <t>Ricavi derivanti dalla produzione di sostanze chimiche</t>
        </is>
      </c>
      <c r="J368" s="371" t="inlineStr">
        <is>
          <t>Pajamos, gautos iš cheminių medžiagų gamybos</t>
        </is>
      </c>
      <c r="K368" s="371" t="inlineStr">
        <is>
          <t>Przychody z produkcji chemikaliów</t>
        </is>
      </c>
      <c r="L368" s="371" t="inlineStr">
        <is>
          <t>Rèdito derivado da produção de produtos químicos</t>
        </is>
      </c>
      <c r="M368" s="371" t="inlineStr">
        <is>
          <t>Ingresos derivados de la producción de productos químicos</t>
        </is>
      </c>
    </row>
    <row r="369" ht="28.8" customHeight="1">
      <c r="A369" s="2" t="inlineStr">
        <is>
          <t>template_label_c8_exclusion_from_eu_reference_benchmarks</t>
        </is>
      </c>
      <c r="B369" s="2">
        <f>INDEX(C369:M369,MATCH(template_selected_display_language,$C$3:$M$3,0))</f>
        <v/>
      </c>
      <c r="C369" s="2" t="inlineStr">
        <is>
          <t>C8 - Exclusion from EU reference benchmarks</t>
        </is>
      </c>
      <c r="D369" s="563" t="inlineStr">
        <is>
          <t>C8 – Udelukkelse fra EU-referencebenchmarks</t>
        </is>
      </c>
      <c r="E369" s="563" t="inlineStr">
        <is>
          <t>C8 – Uitsluiting van EU-referentiebenchmarks</t>
        </is>
      </c>
      <c r="F369" s="563" t="inlineStr">
        <is>
          <t>C8 - Exclusion des indices de référence de l’Union européenne</t>
        </is>
      </c>
      <c r="G369" s="366" t="inlineStr">
        <is>
          <t>C8 –  Ausnahme von EU-Referenzwerten</t>
        </is>
      </c>
      <c r="H369" s="366" t="inlineStr">
        <is>
          <t>C8 – Eisiamh ó thagarmharcanna tagartha AE</t>
        </is>
      </c>
      <c r="I369" s="2" t="inlineStr">
        <is>
          <t>C8 – Esclusione dagli indici di riferimento dell'UE</t>
        </is>
      </c>
      <c r="J369" s="357" t="inlineStr">
        <is>
          <t>C8 – Neįtraukimas į ES lyginamuosius etalonus</t>
        </is>
      </c>
      <c r="K369" s="357" t="inlineStr">
        <is>
          <t>C8 – Wykluczenie z unijnych wskaźników referencyjnych</t>
        </is>
      </c>
      <c r="L369" s="357" t="inlineStr">
        <is>
          <t>C8 – Exclusão dos índices de referência da UE</t>
        </is>
      </c>
      <c r="M369" s="357" t="inlineStr">
        <is>
          <t>C8 – Exclusión de los índices de referencia de la UE</t>
        </is>
      </c>
    </row>
    <row r="370" ht="43.2" customHeight="1">
      <c r="A370" s="2" t="inlineStr">
        <is>
          <t>template_label_undertakings_are_excluded_from_the_eu_paris_aligned_benchmarks_if_they_derive</t>
        </is>
      </c>
      <c r="B370" s="2">
        <f>INDEX(C370:M370,MATCH(template_selected_display_language,$C$3:$M$3,0))</f>
        <v/>
      </c>
      <c r="C370" s="2" t="inlineStr">
        <is>
          <t>Undertakings are excluded from the EU Paris-aligned Benchmarks if they  derive:</t>
        </is>
      </c>
      <c r="D370" s="563" t="inlineStr">
        <is>
          <t>Virksomheder overskrider EU’s Paris-alignerede benchmarks, hvis:</t>
        </is>
      </c>
      <c r="E370" s="563" t="inlineStr">
        <is>
          <t>Ondernemingen worden uitgesloten van de op de Overeenkomst van Parijs afgestemde EU-benchmarks indien zij :</t>
        </is>
      </c>
      <c r="F370" s="563" t="inlineStr">
        <is>
          <t>Les entreprises sont exclues des indices de référence « accord de Paris » de l'Union européenne si elles tirent :</t>
        </is>
      </c>
      <c r="G370" s="366" t="inlineStr">
        <is>
          <t>Unternehmen werden von den Paris-abgestimmten EU-Referenzwerten ausgeschlossen, wenn sie:</t>
        </is>
      </c>
      <c r="H370" s="366" t="inlineStr">
        <is>
          <t>Déantar gnóthais a eisiamh ó Thagarmharcanna AE atá ailínithe le Comhaontú Páras más rud é go ndíorthaíonn siad:</t>
        </is>
      </c>
      <c r="I370" s="2" t="inlineStr">
        <is>
          <t>Le imprese escluse dagli indici di riferimento UE allineati con l'accordo di Parigi sono le seguenti:</t>
        </is>
      </c>
      <c r="J370" s="357" t="inlineStr">
        <is>
          <t>Įmonės yra neįtraukiamos į ES Paryžiaus susitarimui pritaikytus etalonus, jei jos gauna pajamas iš:</t>
        </is>
      </c>
      <c r="K370" s="357" t="inlineStr">
        <is>
          <t>Jednostki są wyłączone z unijnych wskaźników referencyjnych dostosowanych do porozumienia paryskiego, jeżeli uzyskują:</t>
        </is>
      </c>
      <c r="L370" s="357" t="inlineStr">
        <is>
          <t>As empresas são excluídas dos Índices de Referência Alinhados com a UE e o Acordo de Paris se elas derivarem:</t>
        </is>
      </c>
      <c r="M370" s="357" t="inlineStr">
        <is>
          <t>Las empresas quedan excluidas de los índices de referencia de la UE armonizados con el Acuerdo de París si derivan:</t>
        </is>
      </c>
    </row>
    <row r="371" ht="43.2" customHeight="1">
      <c r="A371" s="2" t="inlineStr">
        <is>
          <t>template_label_1_percent_or_more_of_their_revenues_from_exploration_mining_extraction_distribution_or_refining_of_hard_coal_and_lignite</t>
        </is>
      </c>
      <c r="B371" s="2">
        <f>INDEX(C371:M371,MATCH(template_selected_display_language,$C$3:$M$3,0))</f>
        <v/>
      </c>
      <c r="C371" s="2" t="inlineStr">
        <is>
          <t>1% or more of their revenues from exploration mining extraction distribution or refining of hard coal and lignite</t>
        </is>
      </c>
      <c r="D371" s="563" t="inlineStr">
        <is>
          <t>1 % eller mere af virksomhedens indtægter kommer fra efterforskning, minedrift, udvinding, distribution eller raffinering af hårdt kul og brunkul</t>
        </is>
      </c>
      <c r="E371" s="563" t="inlineStr">
        <is>
          <t>ondernemingen die 1% of meer van hun inkomsten verkrijgen uit de exploratie, mijnbouw, winning, distributie of raffinage van steenkool en bruinkool</t>
        </is>
      </c>
      <c r="F371" s="563" t="inlineStr">
        <is>
          <t>au moins 1 % de leur chiffre d’affaires de la prospection, de l'extraction, de la distribution ou du raffinage de houille et de lignite</t>
        </is>
      </c>
      <c r="G371" s="366" t="inlineStr">
        <is>
          <t>1 % oder mehr ihrer Umsatzerlöse mit der Exploration, dem Abbau, der Förderung, dem Vertrieb oder der Veredelung von Stein- und Braunkohle erzielen</t>
        </is>
      </c>
      <c r="H371" s="366" t="inlineStr">
        <is>
          <t>1% nó níos mó dá n-ioncam ó thaiscéalaíocht, mianadóireacht, eastóscadh, dáileadh nó scagadh guail chrua agus lignít</t>
        </is>
      </c>
      <c r="I371" s="2" t="inlineStr">
        <is>
          <t>società che ottengono l'1 % o più dei ricavi dalla prospezione, estrazione, distribuzione o raffinazione di carbon fossile e lignite;</t>
        </is>
      </c>
      <c r="J371" s="357" t="inlineStr">
        <is>
          <t>1 % ar daugiau savo pajamų iš akmens anglių ir lignito žvalgybos, kasybos, gavybos, paskirstymo ar perdirbimo</t>
        </is>
      </c>
      <c r="K371" s="357" t="inlineStr">
        <is>
          <t>co najmniej 1% swoich przychodów z działalności związanej z poszukiwaniem, wydobyciem, dystrybucją lub rafinacją węgla kamiennego i brunatnego</t>
        </is>
      </c>
      <c r="L371" s="357" t="inlineStr">
        <is>
          <t>1% ou mais do seu rédito é proveniente da exploração, mineração, extração, distribuição ou refinação de carvão betuminoso e linhito</t>
        </is>
      </c>
      <c r="M371" s="357" t="inlineStr">
        <is>
          <t>Empresas que generan el 1 % o más de sus ingresos procedentes de la exploración, la extracción, la distribución o el refinado de hulla y lignito.</t>
        </is>
      </c>
    </row>
    <row r="372" ht="72" customHeight="1">
      <c r="A372" s="2" t="inlineStr">
        <is>
          <t>template_label_10_percent_or_more_of_their_revenues_from_the_exploration_extraction_distribution_or_refining_of_oil_fuels</t>
        </is>
      </c>
      <c r="B372" s="2">
        <f>INDEX(C372:M372,MATCH(template_selected_display_language,$C$3:$M$3,0))</f>
        <v/>
      </c>
      <c r="C372" s="2" t="inlineStr">
        <is>
          <t>10% or more of their revenues from the exploration extraction distribution or refining of oil fuels</t>
        </is>
      </c>
      <c r="D372" s="563" t="inlineStr">
        <is>
          <t>10 % eller mere af virksomhedens indtægter kommer fra efterforskning, udvinding, distribution eller raffinering af oliebrændstoffer</t>
        </is>
      </c>
      <c r="E372" s="563" t="inlineStr">
        <is>
          <t>Ondernemingen die 10% of meer van hun inkomsten verkrijgen uit de exploratie, winning, distributie of raffinage van oliebrandstoffen.</t>
        </is>
      </c>
      <c r="F372" s="563" t="inlineStr">
        <is>
          <t>au moins 10 % de leur chiffre d’affaires de la prospection, de l'extraction, de la distribution ou du raffinage de combustibles liquides</t>
        </is>
      </c>
      <c r="G372" s="366" t="inlineStr">
        <is>
          <t>10 % oder mehr ihrer Umsatzerlöse mit der Exploration, der Förderung, dem Vertrieb oder der Veredelung von Erdöl erzielen</t>
        </is>
      </c>
      <c r="H372" s="366" t="inlineStr">
        <is>
          <t>10% nó níos mó dá n-ioncam ó thaiscéalaíocht, eastóscadh, dáileadh nó scagadh breoslaí ola</t>
        </is>
      </c>
      <c r="I372" s="2" t="inlineStr">
        <is>
          <t>società che ottengono il 10% o più dei ricavi dalla prospezione, estrazione, distribuzione o raffinazione di oli combustibili</t>
        </is>
      </c>
      <c r="J372" s="357" t="inlineStr">
        <is>
          <t>Įmonės, kurios gauna 10 % ar daugiau pajamų iš naftos žvalgybos, gavybos, paskirstymo ar perdirbimo.</t>
        </is>
      </c>
      <c r="K372" s="357" t="inlineStr">
        <is>
          <t>co najmniej 10% swoich przychodów z działalności związanej z poszukiwaniem, wydobyciem, dystrybucją lub rafinacją paliw olejowych</t>
        </is>
      </c>
      <c r="L372" s="357" t="inlineStr">
        <is>
          <t xml:space="preserve">Empresas que obtêm 10 % ou mais do seu rédito da exploração, extração, distribuição ou refinação de combustíveis petrolíferos;
</t>
        </is>
      </c>
      <c r="M372" s="357" t="inlineStr">
        <is>
          <t>empresas que obtienen el 10 % o más de sus ingresos de la exploración, extracción, distribución o refinación de combustibles derivados del petróleo</t>
        </is>
      </c>
    </row>
    <row r="373" ht="72" customHeight="1">
      <c r="A373" s="2" t="inlineStr">
        <is>
          <t>template_label_50_percent_or_more_of_their_revenues_from_the_exploration_extraction_manufacturing_or_distribution_of_gaseous_fuels</t>
        </is>
      </c>
      <c r="B373" s="2">
        <f>INDEX(C373:M373,MATCH(template_selected_display_language,$C$3:$M$3,0))</f>
        <v/>
      </c>
      <c r="C373" s="2" t="inlineStr">
        <is>
          <t>50% or more of their revenues from the exploration extraction manufacturing or distribution of gaseous fuels</t>
        </is>
      </c>
      <c r="D373" s="563" t="inlineStr">
        <is>
          <t>50 % eller mere af virksomhedens indtægter kommer fra efterforskning, udvinding, fremstilling eller distribution af gasbaserede brændstoffer</t>
        </is>
      </c>
      <c r="E373" s="563" t="inlineStr">
        <is>
          <t>ondernemingen die 50% of meer van hun inkomsten halen uit de exploratie, winning, vervaardiging of distributie van gasvormige brandstoffen</t>
        </is>
      </c>
      <c r="F373" s="563" t="inlineStr">
        <is>
          <t>au moins 50 % de leur chiffre d’affaires de la prospection, de l'extraction, de la fabrication ou de la distribution de combustibles gazeux</t>
        </is>
      </c>
      <c r="G373" s="366" t="inlineStr">
        <is>
          <t>50 % oder mehr ihrer Umsatzerlöse mit der Exploration, der Förderung, der Herstellung oder dem Vertrieb von gasförmigen Brennstoffen erzielen</t>
        </is>
      </c>
      <c r="H373" s="366" t="inlineStr">
        <is>
          <t>50% nó níos mó dá n-ioncam ó thaiscéalaíocht, eastóscadh, déantúsaíocht nó dáileadh breoslaí gásacha</t>
        </is>
      </c>
      <c r="I373" s="2" t="inlineStr">
        <is>
          <t>società che ottengono il 50 % o più dei ricavi dalla prospezione, estrazione, produzione o distribuzione di gas combustibili</t>
        </is>
      </c>
      <c r="J373" s="357" t="inlineStr">
        <is>
          <t xml:space="preserve">Įmonės, gaunančios 50 % ar daugiau pajamų iš dujinio kuro žvalgybos, gavybos, gamybos ar paskirstymo
</t>
        </is>
      </c>
      <c r="K373" s="357" t="inlineStr">
        <is>
          <t>co najmniej 50% swoich przychodów z działalności związanej z poszukiwaniem, wydobyciem, dystrybucją lub rafinacją paliw gazowych</t>
        </is>
      </c>
      <c r="L373" s="357" t="inlineStr">
        <is>
          <t xml:space="preserve">Empresas que obtêm 50 % ou mais do seu rédito da exploração, extração, fabrico ou distribuição de combustíveis gasosos
</t>
        </is>
      </c>
      <c r="M373" s="357" t="inlineStr">
        <is>
          <t>Las empresas que obtengan un 50 % o más de sus ingresos de la prospección, la extracción, la fabricación o la distribución de combustibles gaseosos.</t>
        </is>
      </c>
    </row>
    <row r="374" ht="72" customHeight="1">
      <c r="A374" s="2" t="inlineStr">
        <is>
          <t>template_label_50_percent_or_more_of_their_revenues_from_electricity_generation</t>
        </is>
      </c>
      <c r="B374" s="2">
        <f>INDEX(C374:M374,MATCH(template_selected_display_language,$C$3:$M$3,0))</f>
        <v/>
      </c>
      <c r="C374" s="2" t="inlineStr">
        <is>
          <t>50% or more of their revenues from electricity generation with a GHG intensity of more than 100g CO2 e kWh</t>
        </is>
      </c>
      <c r="D374" s="563" t="inlineStr">
        <is>
          <t>Elproduktion med høj drivhusgasintensitet (241d):
50 % eller mere af virksomhedens indtægter kommer fra elproduktion med en drivhusgasintensitet på mere end 100 g CO₂e/kWh</t>
        </is>
      </c>
      <c r="E374" s="563" t="inlineStr">
        <is>
          <t xml:space="preserve">Ondernemingen die 50% of meer van hun inkomsten halen uit elektriciteitsproductie met een broeikasgasintensiteit van meer dan 100 g CO2-equivalent per kWh
</t>
        </is>
      </c>
      <c r="F374" s="563" t="inlineStr">
        <is>
          <t>au moins 50 % de leur chiffre d’affaires d’activités de production d'électricité présentant une intensité d’émission de GES supérieure à 100 g CO₂e/kWh</t>
        </is>
      </c>
      <c r="G374" s="366" t="inlineStr">
        <is>
          <t>50 % oder mehr ihrer Umsatzerlöse mit der Stromerzeugung mit einer THG-Emissionsintensität von mehr als 100 g CO2eq/kWh erzielen</t>
        </is>
      </c>
      <c r="H374" s="366" t="inlineStr">
        <is>
          <t>50% nó níos mó dá n-ioncam ó ghiniúint leictreachais le déine gás ceaptha teasa de níos mó ná 100g CO2 e/kWh</t>
        </is>
      </c>
      <c r="I374" s="2" t="inlineStr">
        <is>
          <t>società che ottengono il 50 % o più dei ricavi dalla produzione di energia elettrica con un'intensità dei gas a effetto serra superiore a 100 g CO2 eq/kWh</t>
        </is>
      </c>
      <c r="J374" s="357" t="inlineStr">
        <is>
          <t>Įmonės, gaunančios 50 % ar daugiau pajamų iš elektros energijos gamybos, kurios ŠESD intensyvumas yra didesnis nei 100 g CO2 e/kWh</t>
        </is>
      </c>
      <c r="K374" s="357" t="inlineStr">
        <is>
          <t>50% swoich przychodów z produkcji energii elektrycznej, której intensywność emisji gazów cieplarnianych wynosi powyżej 100 g CO2e/kWh</t>
        </is>
      </c>
      <c r="L374" s="357" t="inlineStr">
        <is>
          <t>Empresas que obtêm 50% ou mais do seu rédito da produção de eletricidade com uma intensidade de emissões de gases com efeito de estufa superior a 100 g CO2e/kWh.</t>
        </is>
      </c>
      <c r="M374" s="357" t="inlineStr">
        <is>
          <t>Las empresas que obtengan un 50 % o más de sus ingresos de la generación de electricidad con una intensidad de gases de efecto invernadero superior a los 100 g CO2 e/kWh.</t>
        </is>
      </c>
    </row>
    <row r="375" ht="28.8" customHeight="1">
      <c r="A375" s="2" t="inlineStr">
        <is>
          <t>template_label_none_of_the_above</t>
        </is>
      </c>
      <c r="B375" s="2">
        <f>INDEX(C375:M375,MATCH(template_selected_display_language,$C$3:$M$3,0))</f>
        <v/>
      </c>
      <c r="C375" s="2" t="inlineStr">
        <is>
          <t>None of the above</t>
        </is>
      </c>
      <c r="D375" s="563" t="inlineStr">
        <is>
          <t>Ingen af de ovenstående</t>
        </is>
      </c>
      <c r="E375" s="563" t="inlineStr">
        <is>
          <t>Geen van bovenstaande</t>
        </is>
      </c>
      <c r="F375" s="563" t="inlineStr">
        <is>
          <t>Aucun des éléments ci-dessus</t>
        </is>
      </c>
      <c r="G375" s="366" t="inlineStr">
        <is>
          <t>Keine der oben genannten</t>
        </is>
      </c>
      <c r="H375" s="366" t="inlineStr">
        <is>
          <t>Ceann ar bith na rudaí thuas</t>
        </is>
      </c>
      <c r="I375" s="2" t="inlineStr">
        <is>
          <t xml:space="preserve">Nessuno dei precedenti 
</t>
        </is>
      </c>
      <c r="J375" s="357" t="inlineStr">
        <is>
          <t>Niekas iš aukščiau išvardytų</t>
        </is>
      </c>
      <c r="K375" s="357" t="inlineStr">
        <is>
          <t>żadne z powyższych</t>
        </is>
      </c>
      <c r="L375" s="357" t="inlineStr">
        <is>
          <t>Nenhum dos anteriores</t>
        </is>
      </c>
      <c r="M375" s="357" t="inlineStr">
        <is>
          <t>Ninguna de las anteriores</t>
        </is>
      </c>
    </row>
    <row r="376" ht="58.2" customHeight="1" thickBot="1">
      <c r="A376" s="358" t="inlineStr">
        <is>
          <t>template_label_undertakings_are_excluded_from_any_eu_reference_benchmarks_that_are_aligned_with_the_paris_agreement</t>
        </is>
      </c>
      <c r="B376" s="358">
        <f>INDEX(C376:M376,MATCH(template_selected_display_language,$C$3:$M$3,0))</f>
        <v/>
      </c>
      <c r="C376" s="358" t="inlineStr">
        <is>
          <t>Undertakings are excluded from any EU reference benchmarks that are aligned with the Paris Agreement</t>
        </is>
      </c>
      <c r="D376" s="373" t="inlineStr">
        <is>
          <t xml:space="preserve">Virksomheder er udelukket fra enhver EU-referencebenchmark, der er tilpasset Parisaftalen. </t>
        </is>
      </c>
      <c r="E376" s="373" t="inlineStr">
        <is>
          <t>Ondernemingen zijn uitgesloten van op de Overeenkomst van Parijs afgestemde EU-referentiebenchmarks.</t>
        </is>
      </c>
      <c r="F376" s="373" t="inlineStr">
        <is>
          <t>Les entreprises sont exclues des indices de référence « accord de Paris » de l’Union européenne</t>
        </is>
      </c>
      <c r="G376" s="367" t="inlineStr">
        <is>
          <t>Unternehmen sind von allen EU-Referenzwerten, die mit dem Pariser Abkommen in Einklang stehen, ausgeschlossen.</t>
        </is>
      </c>
      <c r="H376" s="367" t="inlineStr">
        <is>
          <t>Tá gnóthais eisiata ó aon tagarmharcanna tagartha AE atá ailínithe le Comhaontú Pháras</t>
        </is>
      </c>
      <c r="I376" s="358" t="inlineStr">
        <is>
          <t xml:space="preserve">Le imprese sono escluse da qualsiasi indice di riferimento UE allineato con l'accordo di Parigi. 
</t>
        </is>
      </c>
      <c r="J376" s="371" t="inlineStr">
        <is>
          <t>Įmonės neįtraukiamos į jokius su Paryžiaus susitarimu suderintus ES lyginamuosius etalonus</t>
        </is>
      </c>
      <c r="K376" s="371" t="inlineStr">
        <is>
          <t>Jednostki są wykluczone z jakichkolwiek unijnych wskaźników referencyjnych, które są zgodne z porozumieniem paryskim.</t>
        </is>
      </c>
      <c r="L376" s="371" t="inlineStr">
        <is>
          <t>A empresa deve divulgar se está excluída de quaisquer índices de referência da UE que estejam alinhados com o Acordo de Paris.</t>
        </is>
      </c>
      <c r="M376" s="371" t="inlineStr">
        <is>
          <t>Las empresas están excluidas de cualquier punto de referencia de la UE alineado con el Acuerdo de París.</t>
        </is>
      </c>
    </row>
    <row r="377" ht="72" customHeight="1">
      <c r="A377" s="2" t="inlineStr">
        <is>
          <t>template_label_c9_gender_diversity_ratio_in_the_governance_body</t>
        </is>
      </c>
      <c r="B377" s="2">
        <f>INDEX(C377:M377,MATCH(template_selected_display_language,$C$3:$M$3,0))</f>
        <v/>
      </c>
      <c r="C377" s="2" t="inlineStr">
        <is>
          <t>C9 - Gender diversity ratio in the governance body</t>
        </is>
      </c>
      <c r="D377" s="563" t="inlineStr">
        <is>
          <t>C9 – Kønsfordeling i ledelsesorganet</t>
        </is>
      </c>
      <c r="E377" s="563" t="inlineStr">
        <is>
          <t>C9 — Genderdiversiteitsverhouding in bestuursorgaan
Indien de onderneming over een bestuursorgaan beschikt, rapporteert de onderneming de daarmee verband houdende genderdiversiteitsverhouding.</t>
        </is>
      </c>
      <c r="F377" s="563" t="inlineStr">
        <is>
          <t>C9 – Ratio de mixité au sein de l’organe de gouvernance</t>
        </is>
      </c>
      <c r="G377" s="366" t="inlineStr">
        <is>
          <t>C9 – Geschlechtervielfalt im Leitungsorgan</t>
        </is>
      </c>
      <c r="H377" s="366" t="inlineStr">
        <is>
          <t>C9 – Cóimheas maidir le héagsúlacht inscne sa chomhlacht rialachais</t>
        </is>
      </c>
      <c r="I377" s="2" t="inlineStr">
        <is>
          <t>Diversità di genere nell'organo di governance</t>
        </is>
      </c>
      <c r="J377" s="357" t="inlineStr">
        <is>
          <t>C9 – Lyčių įvairovės santykis valdymo organe</t>
        </is>
      </c>
      <c r="K377" s="357" t="inlineStr">
        <is>
          <t>C9 – Wskaźnik zróżnicowania organu zarządzającego pod względem płci</t>
        </is>
      </c>
      <c r="L377" s="357" t="inlineStr">
        <is>
          <t>C9 – Proporção de diversidade de género no órgão de governação</t>
        </is>
      </c>
      <c r="M377" s="357" t="inlineStr">
        <is>
          <t>C9 – Índice de diversidad de género en el órgano de gobierno</t>
        </is>
      </c>
    </row>
    <row r="378" ht="43.2" customHeight="1">
      <c r="A378" s="2" t="inlineStr">
        <is>
          <t>template_label_does_the_undertaking_have_a_governance_body_in_place</t>
        </is>
      </c>
      <c r="B378" s="2">
        <f>INDEX(C378:M378,MATCH(template_selected_display_language,$C$3:$M$3,0))</f>
        <v/>
      </c>
      <c r="C378" s="2" t="inlineStr">
        <is>
          <t>Does the undertaking have a governance body in place?</t>
        </is>
      </c>
      <c r="D378" s="563" t="inlineStr">
        <is>
          <t xml:space="preserve">Har virksomheden et ledelsesorgan? </t>
        </is>
      </c>
      <c r="E378" s="563" t="inlineStr">
        <is>
          <t>Beschikt de onderneming over een bestuursorgaan?</t>
        </is>
      </c>
      <c r="F378" s="563" t="inlineStr">
        <is>
          <t>L'entreprise dispose-t-elle d'un organe de gouvernance ?</t>
        </is>
      </c>
      <c r="G378" s="366" t="inlineStr">
        <is>
          <t>Verfügt das Unternehmen über ein Leitungsorgan?</t>
        </is>
      </c>
      <c r="H378" s="366" t="inlineStr">
        <is>
          <t>An bhfuil comhlacht rialachais i bhfeidhm ag an ngnóthas?</t>
        </is>
      </c>
      <c r="I378" s="2" t="inlineStr">
        <is>
          <t>L'impresa dispone di un organo di governance?</t>
        </is>
      </c>
      <c r="J378" s="357" t="inlineStr">
        <is>
          <t>Ar įmonė yra įsteigusi valdymo organą?</t>
        </is>
      </c>
      <c r="K378" s="357" t="inlineStr">
        <is>
          <t>Czy jednostka posiada organ zarządzający?</t>
        </is>
      </c>
      <c r="L378" s="357" t="inlineStr">
        <is>
          <t>A entidade tem um órgão de governação estabelecido?</t>
        </is>
      </c>
      <c r="M378" s="357" t="inlineStr">
        <is>
          <t xml:space="preserve">¿La empresa tiene un órgano de gobernanza establecido? 
</t>
        </is>
      </c>
    </row>
    <row r="379" ht="57.6" customHeight="1">
      <c r="A379" s="2" t="inlineStr">
        <is>
          <t>template_label_number_of_female_board_members_at_the_end_of_the_reporting_period</t>
        </is>
      </c>
      <c r="B379" s="2">
        <f>INDEX(C379:M379,MATCH(template_selected_display_language,$C$3:$M$3,0))</f>
        <v/>
      </c>
      <c r="C379" s="2" t="inlineStr">
        <is>
          <t>Number of female board members at the end of the reporting period</t>
        </is>
      </c>
      <c r="D379" s="563" t="inlineStr">
        <is>
          <t>Antal kvinder i det øverste ledelsesorgan ved udgangen af rapporteringsperioden</t>
        </is>
      </c>
      <c r="E379" s="563" t="inlineStr">
        <is>
          <t xml:space="preserve">Aantal vrouwelijke bestuursleden aan het einde van de rapportageperiode </t>
        </is>
      </c>
      <c r="F379" s="563" t="inlineStr">
        <is>
          <t>Nombre de femmes membres du conseil d'administration à la fin de la période de reporting</t>
        </is>
      </c>
      <c r="G379" s="366" t="inlineStr">
        <is>
          <t>Anzahl der weiblichen Mitglieder im Leitungsorgan am Ende des Berichtszeitraums</t>
        </is>
      </c>
      <c r="H379" s="366" t="inlineStr">
        <is>
          <t>Líon na gcomhaltaí boird baineann ag deireadh na tréimhse tuairiscithe</t>
        </is>
      </c>
      <c r="I379" s="2" t="inlineStr">
        <is>
          <t xml:space="preserve">Numero di membri femminili nel consiglio alla fine del periodo di riferimento
</t>
        </is>
      </c>
      <c r="J379" s="357" t="inlineStr">
        <is>
          <t>Moterų valdybos narių skaičius ataskaitinio laikotarpio pabaigoje</t>
        </is>
      </c>
      <c r="K379" s="357" t="inlineStr">
        <is>
          <t>Liczba kobiet w organie zarządzającym na koniec okresu sprawozdawczego</t>
        </is>
      </c>
      <c r="L379" s="357" t="inlineStr">
        <is>
          <t>Número de membros do conselho do sexo feminino no final do período de relato</t>
        </is>
      </c>
      <c r="M379" s="357" t="inlineStr">
        <is>
          <t>Número de miembros femeninos del consejo al final del período de reporte</t>
        </is>
      </c>
    </row>
    <row r="380" ht="28.8" customHeight="1">
      <c r="A380" s="2" t="inlineStr">
        <is>
          <t>template_label_number_of_male_board_members_at_the_end_of_the_reporting_period</t>
        </is>
      </c>
      <c r="B380" s="2">
        <f>INDEX(C380:M380,MATCH(template_selected_display_language,$C$3:$M$3,0))</f>
        <v/>
      </c>
      <c r="C380" s="2" t="inlineStr">
        <is>
          <t>Number of male board members at the end of the reporting period</t>
        </is>
      </c>
      <c r="D380" s="563" t="inlineStr">
        <is>
          <t>Antal mænd i det øverste ledelsesorgan ved udgangen af rapporteringsperioden</t>
        </is>
      </c>
      <c r="E380" s="563" t="inlineStr">
        <is>
          <t xml:space="preserve">Aantal mannelijke bestuursleden aan het einde van de rapportageperiode </t>
        </is>
      </c>
      <c r="F380" s="563" t="inlineStr">
        <is>
          <t>Nombre d'hommes membres du conseil d'administration à la fin de la période de reporting</t>
        </is>
      </c>
      <c r="G380" s="366" t="inlineStr">
        <is>
          <t>Anzahl der männlichen Mitglieder im Leitungsorgan am Ende des Berichtszeitraums</t>
        </is>
      </c>
      <c r="H380" s="366" t="inlineStr">
        <is>
          <t>Líon na gcomhaltaí boird fireann ag deireadh na tréimhse tuairiscithe</t>
        </is>
      </c>
      <c r="I380" s="2" t="inlineStr">
        <is>
          <t>Numero di membri maschili nel consiglio alla fine del periodo di riferimento</t>
        </is>
      </c>
      <c r="J380" s="357" t="inlineStr">
        <is>
          <t>Vyrų valdybos narių skaičius ataskaitinio laikotarpio pabaigoje</t>
        </is>
      </c>
      <c r="K380" s="357" t="inlineStr">
        <is>
          <t>Liczba mężczyzn w organie zarządzającym na koniec okresu sprawozdawczego</t>
        </is>
      </c>
      <c r="L380" s="357" t="inlineStr">
        <is>
          <t>Número de membros masculinos do conselho no final do período de reporte</t>
        </is>
      </c>
      <c r="M380" s="357" t="inlineStr">
        <is>
          <t>Número de miembros masculinos del consejo al final del período de reporte</t>
        </is>
      </c>
    </row>
    <row r="381" ht="29.4" customHeight="1" thickBot="1">
      <c r="A381" s="358" t="inlineStr">
        <is>
          <t>template_label_gender_diversity_ratio_in_governance_body</t>
        </is>
      </c>
      <c r="B381" s="358">
        <f>INDEX(C381:M381,MATCH(template_selected_display_language,$C$3:$M$3,0))</f>
        <v/>
      </c>
      <c r="C381" s="358" t="inlineStr">
        <is>
          <t>Gender diversity ratio in governance body</t>
        </is>
      </c>
      <c r="D381" s="373" t="inlineStr">
        <is>
          <t xml:space="preserve">Forholdet mellem kvinder og mænd i det øverste ledelsesorgan </t>
        </is>
      </c>
      <c r="E381" s="373" t="inlineStr">
        <is>
          <t xml:space="preserve"> Genderdiversiteitsverhouding in het bestuursorgaan</t>
        </is>
      </c>
      <c r="F381" s="373" t="inlineStr">
        <is>
          <t>Ratio de mixité au sein de l’organe de gouvernance</t>
        </is>
      </c>
      <c r="G381" s="367" t="inlineStr">
        <is>
          <t>Geschlechterverhältnis im Leitungsorgan</t>
        </is>
      </c>
      <c r="H381" s="367" t="inlineStr">
        <is>
          <t>Cóimheas éagsúlachta inscne an chomhlachta rialachais</t>
        </is>
      </c>
      <c r="I381" s="358" t="inlineStr">
        <is>
          <t>Diversità di genere nell'organo di governance</t>
        </is>
      </c>
      <c r="J381" s="371" t="inlineStr">
        <is>
          <t>Lyčių įvairovės santykis valdymo organe</t>
        </is>
      </c>
      <c r="K381" s="371" t="inlineStr">
        <is>
          <t>Wskaźnik zróżnicowania organu zarządzającego pod względem płci</t>
        </is>
      </c>
      <c r="L381" s="371" t="inlineStr">
        <is>
          <t>Rácio de diversidade de género no órgão de governação</t>
        </is>
      </c>
      <c r="M381" s="371" t="inlineStr">
        <is>
          <t>Ratio de diversidad de género en el órgano de gobierno</t>
        </is>
      </c>
    </row>
    <row r="382" ht="43.8" customHeight="1" thickBot="1">
      <c r="A382" s="438" t="inlineStr">
        <is>
          <t>template_label_disclosure_of_any_other_governance_and_or_entity_specific_governance_disclosures</t>
        </is>
      </c>
      <c r="B382" s="438">
        <f>INDEX(C382:M382,MATCH(template_selected_display_language,$C$3:$M$3,0))</f>
        <v/>
      </c>
      <c r="C382" s="438" t="inlineStr">
        <is>
          <t>Disclosure of any other governance and or entity specific governance disclosures</t>
        </is>
      </c>
      <c r="D382" s="378" t="inlineStr">
        <is>
          <t>Oplysning af øvrige ledelses- og/eller virksomheds-specifikke ledelsesoplysninger</t>
        </is>
      </c>
      <c r="E382" s="378" t="inlineStr">
        <is>
          <t xml:space="preserve"> Rapportage van alle overige governance- en/of entiteitsspecifieke governance rapportages </t>
        </is>
      </c>
      <c r="F382" s="378" t="inlineStr">
        <is>
          <t>Publication de toute autre information relative à la gouvernance et/ou spécifique à l'entité</t>
        </is>
      </c>
      <c r="G382" s="368" t="inlineStr">
        <is>
          <t>Angabe weiterer Governance- und/oder unternehmensspezifischer Governance-Angaben</t>
        </is>
      </c>
      <c r="H382" s="368" t="inlineStr">
        <is>
          <t>Nochtadh aon nochtaí rialachais eile agus/nó a bhaineann go sonrach le haonán agus rialachas</t>
        </is>
      </c>
      <c r="I382" s="438" t="inlineStr">
        <is>
          <t>Comunicazione di qualsiasi altra informativa sulla governance e/o informativa specifica per soggetto</t>
        </is>
      </c>
      <c r="J382" s="372" t="inlineStr">
        <is>
          <t>Kitų (įskaitant įmonei specifinių) valdymo atskleidimų pateikimas</t>
        </is>
      </c>
      <c r="K382" s="372" t="inlineStr">
        <is>
          <t>Ujawnienie wszelkich innych ujawnień dotyczących ładu korporacyjnego i/lub ujawnień dotyczących ładu korporacyjnego specyficznych dla danej jednostki</t>
        </is>
      </c>
      <c r="L382" s="372" t="inlineStr">
        <is>
          <t>Divulgação de quaisquer outras divulgações de governação e/ou divulgações de governação específicas da entidade</t>
        </is>
      </c>
      <c r="M382" s="372" t="inlineStr">
        <is>
          <t>Divulgación de cualquier otra información de gobernanza y/o divulgaciones específicas de gobernanza de la entidad</t>
        </is>
      </c>
    </row>
    <row r="383">
      <c r="A383" s="2" t="inlineStr">
        <is>
          <t>template_label_fuel_converter</t>
        </is>
      </c>
      <c r="B383" s="2">
        <f>INDEX(C383:M383,MATCH(template_selected_display_language,$C$3:$M$3,0))</f>
        <v/>
      </c>
      <c r="C383" s="2" t="inlineStr">
        <is>
          <t>FUEL CONVERTER</t>
        </is>
      </c>
      <c r="D383" s="563" t="inlineStr">
        <is>
          <t>BRÆNDSTOFSKONVERTER</t>
        </is>
      </c>
      <c r="E383" s="563" t="inlineStr">
        <is>
          <t>Brandstofomzetter</t>
        </is>
      </c>
      <c r="F383" s="563" t="inlineStr">
        <is>
          <t>CONVERTISSEUR DE CARBURANT</t>
        </is>
      </c>
      <c r="G383" s="366" t="inlineStr">
        <is>
          <t>Brennstoffumrechner</t>
        </is>
      </c>
      <c r="H383" s="366" t="inlineStr">
        <is>
          <t>TIONTAIRE BREOSLA</t>
        </is>
      </c>
      <c r="I383" s="2" t="inlineStr">
        <is>
          <t>CONVERTITORE DI COMBUSTIBILE</t>
        </is>
      </c>
      <c r="J383" s="357" t="inlineStr">
        <is>
          <t>Kuro kovertavimo įrankis</t>
        </is>
      </c>
      <c r="K383" s="357" t="inlineStr">
        <is>
          <t>KONWERTER PALIWA</t>
        </is>
      </c>
      <c r="L383" s="357" t="inlineStr">
        <is>
          <t>CONVERSOR DE COMBUSTÍVEL</t>
        </is>
      </c>
      <c r="M383" s="357" t="inlineStr">
        <is>
          <t>CONVERTIDOR DE COMBUSTIBLE</t>
        </is>
      </c>
    </row>
    <row r="384" ht="43.2" customHeight="1">
      <c r="A384" s="2" t="inlineStr">
        <is>
          <t>template_label_disclaimer</t>
        </is>
      </c>
      <c r="B384" s="2">
        <f>INDEX(C384:M384,MATCH(template_selected_display_language,$C$3:$M$3,0))</f>
        <v/>
      </c>
      <c r="C384" s="2" t="inlineStr">
        <is>
          <t>DISCLAIMER:</t>
        </is>
      </c>
      <c r="D384" s="563" t="inlineStr">
        <is>
          <t>ANSVARSFRASKRIVELSE:</t>
        </is>
      </c>
      <c r="E384" s="563" t="inlineStr">
        <is>
          <t xml:space="preserve">DISCLAIMER
</t>
        </is>
      </c>
      <c r="F384" s="563" t="inlineStr">
        <is>
          <t>AVERTISSEMENT :</t>
        </is>
      </c>
      <c r="G384" s="366" t="inlineStr">
        <is>
          <t>HAFTUNGSAUSSCHLUSS:</t>
        </is>
      </c>
      <c r="H384" s="366" t="inlineStr">
        <is>
          <t>SÉANADH:</t>
        </is>
      </c>
      <c r="I384" s="2" t="inlineStr">
        <is>
          <t>AVVERTENZA:</t>
        </is>
      </c>
      <c r="J384" s="357" t="inlineStr">
        <is>
          <t>Paaiškinimas</t>
        </is>
      </c>
      <c r="K384" s="357" t="inlineStr">
        <is>
          <t>ZASTRZEŻENIE:</t>
        </is>
      </c>
      <c r="L384" s="357" t="inlineStr">
        <is>
          <t>AVISO:</t>
        </is>
      </c>
      <c r="M384" s="357" t="inlineStr">
        <is>
          <t>AVISO LEGAL:</t>
        </is>
      </c>
    </row>
    <row r="385" ht="115.2" customHeight="1">
      <c r="A385" s="2" t="inlineStr">
        <is>
          <t>template_label_this_converter_is_intended_solely_to_illustrate_how_energy_consumption_in_mwh</t>
        </is>
      </c>
      <c r="B385" s="2">
        <f>INDEX(C385:M385,MATCH(template_selected_display_language,$C$3:$M$3,0))</f>
        <v/>
      </c>
      <c r="C385" s="2"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385" s="563" t="inlineStr">
        <is>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is>
      </c>
      <c r="E385" s="563" t="inlineStr">
        <is>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is>
      </c>
      <c r="F385" s="563" t="inlineStr">
        <is>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is>
      </c>
      <c r="G385" s="366" t="inlineStr">
        <is>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is>
      </c>
      <c r="H385" s="366" t="inlineStr">
        <is>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is>
      </c>
      <c r="I385" s="2" t="inlineStr">
        <is>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is>
      </c>
      <c r="J385" s="357"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K385" s="357"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L385" s="357"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M385" s="357"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386" ht="144" customHeight="1">
      <c r="A386" s="2" t="inlineStr">
        <is>
          <t>template_label_please_note_that_the_typical_values_for_net_calorific_value_and_density_are_provided_for_each_fuel_type</t>
        </is>
      </c>
      <c r="B386" s="2">
        <f>INDEX(C386:M386,MATCH(template_selected_display_language,$C$3:$M$3,0))</f>
        <v/>
      </c>
      <c r="C386" s="2"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386" s="563" t="inlineStr">
        <is>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is>
      </c>
      <c r="E386" s="563" t="inlineStr">
        <is>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is>
      </c>
      <c r="F386" s="563" t="inlineStr">
        <is>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is>
      </c>
      <c r="G386" s="366" t="inlineStr">
        <is>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is>
      </c>
      <c r="H386" s="366" t="inlineStr">
        <is>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is>
      </c>
      <c r="I386" s="2" t="inlineStr">
        <is>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is>
      </c>
      <c r="J386" s="357"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K386" s="357"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L386" s="357"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M386" s="357"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387" ht="129.6" customHeight="1">
      <c r="A387" s="2" t="inlineStr">
        <is>
          <t>template_label_additionally_users_are_encouraged_to_determine_the_renewability_status_of_each_fuel_based_on_guarantees_of_origin</t>
        </is>
      </c>
      <c r="B387" s="2">
        <f>INDEX(C387:M387,MATCH(template_selected_display_language,$C$3:$M$3,0))</f>
        <v/>
      </c>
      <c r="C387" s="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387" s="563" t="inlineStr">
        <is>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is>
      </c>
      <c r="E387" s="563" t="inlineStr">
        <is>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is>
      </c>
      <c r="F387" s="563" t="inlineStr">
        <is>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is>
      </c>
      <c r="G387" s="366" t="inlineStr">
        <is>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is>
      </c>
      <c r="H387" s="366" t="inlineStr">
        <is>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is>
      </c>
      <c r="I387" s="2" t="inlineStr">
        <is>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is>
      </c>
      <c r="J387" s="357"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K387" s="357"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L387" s="357"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M387" s="357"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388" ht="57.6" customHeight="1">
      <c r="A388" s="2" t="inlineStr">
        <is>
          <t>template_label_indicates_that_the_cell_should_be_filled_either_by_selecting_a_value_from_the_dropdown</t>
        </is>
      </c>
      <c r="B388" s="2">
        <f>INDEX(C388:M388,MATCH(template_selected_display_language,$C$3:$M$3,0))</f>
        <v/>
      </c>
      <c r="C388" s="2" t="inlineStr">
        <is>
          <t>Indicates that the cell should be filled either by selecting a value from the dropdown (e.g. Type of fuel or Unit of Measurement) or by entering an amount.</t>
        </is>
      </c>
      <c r="D388" s="563" t="inlineStr">
        <is>
          <t>Angiver, at cellen skal udfyldes enten ved at vælge en værdi fra dropdown-menuen (f.eks. Type af brændstof eller Måleenhed) eller ved at indtaste en mængde.</t>
        </is>
      </c>
      <c r="E388" s="563" t="inlineStr">
        <is>
          <t>Geeft aan dat de cel moet worden ingevuld door een waarde te selecteren uit  het keuzemenu  (bijv. Brandstoftype of Meeteenheid) of door een  hoeveelheid in te voeren.</t>
        </is>
      </c>
      <c r="F388" s="563" t="inlineStr">
        <is>
          <t>Indique que la cellule doit être remplie soit en sélectionnant une valeur dans la liste déroulante (par exemple, le type de carburant ou l’unité de mesure), soit en saisissant un montant.</t>
        </is>
      </c>
      <c r="G388" s="366" t="inlineStr">
        <is>
          <t>Bedeutet, dass die Zelle entweder durch Auswahl eines Wertes aus dem Dropdown-Menü (z. B. Brennstoffart oder Maßeinheit) oder durch Eingabe eines Betrags ausgefüllt werden soll.</t>
        </is>
      </c>
      <c r="H388" s="366" t="inlineStr">
        <is>
          <t>Léiríonn sé gur chóir an chill a líonadh trí luach a roghnú ón roghchlár anuas (m.sh. Cineál breosla nó Aonad Tomhais) nó trí mhéid a chur isteach ann.</t>
        </is>
      </c>
      <c r="I388" s="2" t="inlineStr">
        <is>
          <t>Indica che la cella deve essere compilata selezionando un valore dal menu a tendina (ad esempio Tipo di carburante o Unità di misura) oppure inserendo un importo.</t>
        </is>
      </c>
      <c r="J388" s="357" t="inlineStr">
        <is>
          <t>Nurodo, kad langelis turi būti užpildytas pasirenkant reikšmę iš išskleidžiamojo sąrašo (pvz., kuro tipą arba matavimo vienetą) arba įvedant kiekį.</t>
        </is>
      </c>
      <c r="K388" s="357" t="inlineStr">
        <is>
          <t>Wskazuje, że komórka powinna być wypełniona przez wybranie wartości z listy rozwijanej (np. Rodzaj paliwa lub Jednostka miary) lub przez wprowadzenie ilości.</t>
        </is>
      </c>
      <c r="L388" s="357" t="inlineStr">
        <is>
          <t>Indica que a célula deve ser preenchida selecionando um valor da lista pendente (por exemplo, Tipo de combustível ou Unidade de Medida) ou introduzindo um montante.</t>
        </is>
      </c>
      <c r="M388" s="357" t="inlineStr">
        <is>
          <t>Indica que la celda debe rellenarse bien seleccionando un valor del desplegable (por ejemplo, Tipo de combustible o Unidad de medida) o introduciendo una cantidad.</t>
        </is>
      </c>
    </row>
    <row r="389">
      <c r="A389" s="2" t="inlineStr">
        <is>
          <t>template_label_fuel_type</t>
        </is>
      </c>
      <c r="B389" s="2">
        <f>INDEX(C389:M389,MATCH(template_selected_display_language,$C$3:$M$3,0))</f>
        <v/>
      </c>
      <c r="C389" s="2" t="inlineStr">
        <is>
          <t>Fuel type</t>
        </is>
      </c>
      <c r="D389" s="563" t="inlineStr">
        <is>
          <t xml:space="preserve">Type af brædnstof </t>
        </is>
      </c>
      <c r="E389" s="563" t="inlineStr">
        <is>
          <t>Brandstoftype</t>
        </is>
      </c>
      <c r="F389" s="563" t="inlineStr">
        <is>
          <t>Type de carburant</t>
        </is>
      </c>
      <c r="G389" s="366" t="inlineStr">
        <is>
          <t>Brennstofftyp</t>
        </is>
      </c>
      <c r="H389" s="366" t="inlineStr">
        <is>
          <t>Cineál breosla</t>
        </is>
      </c>
      <c r="I389" s="2" t="inlineStr">
        <is>
          <t>Tipo di combustibile</t>
        </is>
      </c>
      <c r="J389" s="357" t="inlineStr">
        <is>
          <t>Degalų rūšis</t>
        </is>
      </c>
      <c r="K389" s="357" t="inlineStr">
        <is>
          <t>Rodzaj paliwa</t>
        </is>
      </c>
      <c r="L389" s="357" t="inlineStr">
        <is>
          <t>Tipo de combustível</t>
        </is>
      </c>
      <c r="M389" s="357" t="inlineStr">
        <is>
          <t>Tipo de combustible</t>
        </is>
      </c>
    </row>
    <row r="390">
      <c r="A390" s="2" t="inlineStr">
        <is>
          <t>template_label_amount</t>
        </is>
      </c>
      <c r="B390" s="2">
        <f>INDEX(C390:M390,MATCH(template_selected_display_language,$C$3:$M$3,0))</f>
        <v/>
      </c>
      <c r="C390" s="2" t="inlineStr">
        <is>
          <t>Amount</t>
        </is>
      </c>
      <c r="D390" s="563" t="inlineStr">
        <is>
          <t>Beløb</t>
        </is>
      </c>
      <c r="E390" s="563" t="inlineStr">
        <is>
          <t>Hoeveelheid</t>
        </is>
      </c>
      <c r="F390" s="563" t="inlineStr">
        <is>
          <t>Montant</t>
        </is>
      </c>
      <c r="G390" s="366" t="inlineStr">
        <is>
          <t>Betrag</t>
        </is>
      </c>
      <c r="H390" s="366" t="inlineStr">
        <is>
          <t>Méid</t>
        </is>
      </c>
      <c r="I390" s="2" t="inlineStr">
        <is>
          <t>Importo</t>
        </is>
      </c>
      <c r="J390" s="357" t="inlineStr">
        <is>
          <t>Kiekis</t>
        </is>
      </c>
      <c r="K390" s="357" t="inlineStr">
        <is>
          <t>Ilość</t>
        </is>
      </c>
      <c r="L390" s="357" t="inlineStr">
        <is>
          <t>Quantidade</t>
        </is>
      </c>
      <c r="M390" s="357" t="inlineStr">
        <is>
          <t>Cantidad</t>
        </is>
      </c>
    </row>
    <row r="391">
      <c r="A391" s="2" t="inlineStr">
        <is>
          <t>template_label_state_of_matter</t>
        </is>
      </c>
      <c r="B391" s="2">
        <f>INDEX(C391:M391,MATCH(template_selected_display_language,$C$3:$M$3,0))</f>
        <v/>
      </c>
      <c r="C391" s="2" t="inlineStr">
        <is>
          <t>State of matter</t>
        </is>
      </c>
      <c r="D391" s="563" t="inlineStr">
        <is>
          <t>Tilstand af stof</t>
        </is>
      </c>
      <c r="E391" s="563" t="inlineStr">
        <is>
          <t>Toestand van materie</t>
        </is>
      </c>
      <c r="F391" s="563" t="inlineStr">
        <is>
          <t>État de la matière</t>
        </is>
      </c>
      <c r="G391" s="366" t="inlineStr">
        <is>
          <t>Aggregatzustand</t>
        </is>
      </c>
      <c r="H391" s="366" t="inlineStr">
        <is>
          <t>Staid an ábhair</t>
        </is>
      </c>
      <c r="I391" s="2" t="inlineStr">
        <is>
          <t>Stato della materia</t>
        </is>
      </c>
      <c r="J391" s="357" t="inlineStr">
        <is>
          <t>Medžiagos būsena</t>
        </is>
      </c>
      <c r="K391" s="357" t="inlineStr">
        <is>
          <t>Stan skupienia</t>
        </is>
      </c>
      <c r="L391" s="357" t="inlineStr">
        <is>
          <t>Estado da matéria</t>
        </is>
      </c>
      <c r="M391" s="357" t="inlineStr">
        <is>
          <t>Estado de la materia</t>
        </is>
      </c>
    </row>
    <row r="392">
      <c r="A392" s="2" t="inlineStr">
        <is>
          <t>template_label_typical_renewable_state</t>
        </is>
      </c>
      <c r="B392" s="2">
        <f>INDEX(C392:M392,MATCH(template_selected_display_language,$C$3:$M$3,0))</f>
        <v/>
      </c>
      <c r="C392" s="2" t="inlineStr">
        <is>
          <t>Typical renewable state</t>
        </is>
      </c>
      <c r="D392" s="563" t="inlineStr">
        <is>
          <t>Typisk vedvarende tilstand</t>
        </is>
      </c>
      <c r="E392" s="563" t="inlineStr">
        <is>
          <t>Typische hernieuwbare staat</t>
        </is>
      </c>
      <c r="F392" s="563" t="inlineStr">
        <is>
          <t>État renouvelable type</t>
        </is>
      </c>
      <c r="G392" s="366" t="inlineStr">
        <is>
          <t>Typische Erneuerbarkeit</t>
        </is>
      </c>
      <c r="H392" s="366" t="inlineStr">
        <is>
          <t>Staid in-athnuaite tipiciúil</t>
        </is>
      </c>
      <c r="I392" s="2" t="inlineStr">
        <is>
          <t>Stato tipico delle energie rinnovabili</t>
        </is>
      </c>
      <c r="J392" s="357" t="inlineStr">
        <is>
          <t>Įprasta atsinaujinančios energijos būsena</t>
        </is>
      </c>
      <c r="K392" s="357" t="inlineStr">
        <is>
          <t>Typowy stan odnawialny</t>
        </is>
      </c>
      <c r="L392" s="357" t="inlineStr">
        <is>
          <t>Estado renovável típico</t>
        </is>
      </c>
      <c r="M392" s="357" t="inlineStr">
        <is>
          <t>Estado renovable típico</t>
        </is>
      </c>
    </row>
    <row r="393">
      <c r="A393" s="2" t="inlineStr">
        <is>
          <t>template_label_calculated_energy_in_mwh</t>
        </is>
      </c>
      <c r="B393" s="2">
        <f>INDEX(C393:M393,MATCH(template_selected_display_language,$C$3:$M$3,0))</f>
        <v/>
      </c>
      <c r="C393" s="2" t="inlineStr">
        <is>
          <t>Calculated Energy in MWh</t>
        </is>
      </c>
      <c r="D393" s="563" t="inlineStr">
        <is>
          <t>Beregnet energi i MWh</t>
        </is>
      </c>
      <c r="E393" s="563" t="inlineStr">
        <is>
          <t>Berekende Energie in MWh</t>
        </is>
      </c>
      <c r="F393" s="563" t="inlineStr">
        <is>
          <t>Énergie calculée en MWh</t>
        </is>
      </c>
      <c r="G393" s="366" t="inlineStr">
        <is>
          <t>Berechnete Energie in MWh</t>
        </is>
      </c>
      <c r="H393" s="366" t="inlineStr">
        <is>
          <t>Fuinneamh Ríofa i MWh</t>
        </is>
      </c>
      <c r="I393" s="2" t="inlineStr">
        <is>
          <t>Energia calcolata in MWh</t>
        </is>
      </c>
      <c r="J393" s="357" t="inlineStr">
        <is>
          <t>Apskaičiuota energija (MWh)</t>
        </is>
      </c>
      <c r="K393" s="357" t="inlineStr">
        <is>
          <t>Obliczona energia w MWh</t>
        </is>
      </c>
      <c r="L393" s="357" t="inlineStr">
        <is>
          <t>Energia Calculada em MWh</t>
        </is>
      </c>
      <c r="M393" s="357" t="inlineStr">
        <is>
          <t>Energía calculada en MWh</t>
        </is>
      </c>
    </row>
    <row r="394">
      <c r="A394" s="2" t="inlineStr">
        <is>
          <t>template_label_usage_of_fuel_converter</t>
        </is>
      </c>
      <c r="B394" s="2">
        <f>INDEX(C394:M394,MATCH(template_selected_display_language,$C$3:$M$3,0))</f>
        <v/>
      </c>
      <c r="C394" s="2" t="inlineStr">
        <is>
          <t>Usage of Fuel Converter:</t>
        </is>
      </c>
      <c r="D394" s="563" t="inlineStr">
        <is>
          <t>Brug af brændstofskonverter</t>
        </is>
      </c>
      <c r="E394" s="563" t="inlineStr">
        <is>
          <t>Gebruik van brandstofomzetter:</t>
        </is>
      </c>
      <c r="F394" s="563" t="inlineStr">
        <is>
          <t>Utilisation du convertisseur de carburant :</t>
        </is>
      </c>
      <c r="G394" s="366" t="inlineStr">
        <is>
          <t>Verwendung des Brennstoffumrechners:</t>
        </is>
      </c>
      <c r="H394" s="366" t="inlineStr">
        <is>
          <t>Úsáid Tiontaire Breosla:</t>
        </is>
      </c>
      <c r="I394" s="2" t="inlineStr">
        <is>
          <t>Utilizzo del convertitore di combustibile:</t>
        </is>
      </c>
      <c r="J394" s="357" t="inlineStr">
        <is>
          <t>Kuro kovertavimo įrankio naudojimas:</t>
        </is>
      </c>
      <c r="K394" s="357" t="inlineStr">
        <is>
          <t>Użytkowanie konwertera paliwa:</t>
        </is>
      </c>
      <c r="L394" s="357" t="inlineStr">
        <is>
          <t>Uso do Conversor de Combustível:</t>
        </is>
      </c>
      <c r="M394" s="357" t="inlineStr">
        <is>
          <t>Uso del Convertidor de Combustible:</t>
        </is>
      </c>
    </row>
    <row r="395" ht="72" customHeight="1">
      <c r="A395" s="2" t="inlineStr">
        <is>
          <t>template_label_1_in_cell_a9_select_the_fuel_used_searching_for_it_or_scrolling_down_the_list_displayed_clicking_the_cell</t>
        </is>
      </c>
      <c r="B395" s="2">
        <f>INDEX(C395:M395,MATCH(template_selected_display_language,$C$3:$M$3,0))</f>
        <v/>
      </c>
      <c r="C395" s="2" t="inlineStr">
        <is>
          <t>1. In cell A10 select the Fuel used, searching for it or scrolling down the list displayed clicking the cell</t>
        </is>
      </c>
      <c r="D395" s="563" t="inlineStr">
        <is>
          <t>1. I celle A10 skal du vælge det anvendte brændstof, enten ved at søge efter det eller ved at rulle ned i den viste liste og klikke på det.</t>
        </is>
      </c>
      <c r="E395" s="563" t="inlineStr">
        <is>
          <t xml:space="preserve">1. Selecteer in cel A10 de gebruikte brandstof door hiernaar te zoeken of door de weergegeven lijst te scrollen die zichtbaar wordt door op de cel te klikken. </t>
        </is>
      </c>
      <c r="F395" s="563" t="inlineStr">
        <is>
          <t>1. Dans la cellule A10, sélectionnez le carburant utilisé, en le recherchant ou en faisant défiler la liste affichée et en cliquant sur la cellule.</t>
        </is>
      </c>
      <c r="G395" s="366" t="inlineStr">
        <is>
          <t>1. Wählen Sie in Zelle A10 den verwendeten Brennstoff aus, indem Sie danach suchen oder in der angezeigten Liste nach unten scrollen und die Zelle anklicken.</t>
        </is>
      </c>
      <c r="H395" s="366" t="inlineStr">
        <is>
          <t>1. I gcill A10 roghnaigh an Breosla a úsáidtear, ag cuardach é nó ag scrollú síos an liosta a thaispeántar ag cliceáil ar an gcill</t>
        </is>
      </c>
      <c r="I395" s="2" t="inlineStr">
        <is>
          <t xml:space="preserve">1. Nella cella A10 selezionare il Combustibile utilizzato, cercandolo o scorrendo l'elenco visualizzato e cliccando sulla cella
</t>
        </is>
      </c>
      <c r="J395" s="357" t="inlineStr">
        <is>
          <t>1. Langelyje A10 pasirinkite naudojamą kurą, ieškodami jo arba slinkdami žemyn rodomame sąraše spustelėdami langelį.</t>
        </is>
      </c>
      <c r="K395" s="357" t="inlineStr">
        <is>
          <t>1. W komórce A10 wybierz użyte paliwo, wyszukując je lub przewijając w dół wyświetlaną listę i klikając komórkę</t>
        </is>
      </c>
      <c r="L395" s="357" t="inlineStr">
        <is>
          <t>1. Na célula A10 selecione o combustível utilizado, procurando-o ou deslocando-se para baixo na lista exibida e clicando na célula.</t>
        </is>
      </c>
      <c r="M395" s="357" t="inlineStr">
        <is>
          <t>1. En la celda A10, seleccione el combustible utilizado, buscándolo o desplazándose por la lista mostrada y haciendo clic en la celda.</t>
        </is>
      </c>
    </row>
    <row r="396" ht="28.8" customHeight="1">
      <c r="A396" s="2" t="inlineStr">
        <is>
          <t>template_label_2_in_cell_b9_select_the_unit_of_measurement_used</t>
        </is>
      </c>
      <c r="B396" s="2">
        <f>INDEX(C396:M396,MATCH(template_selected_display_language,$C$3:$M$3,0))</f>
        <v/>
      </c>
      <c r="C396" s="2" t="inlineStr">
        <is>
          <t>2. In cell B10 select the Unit of measurement used</t>
        </is>
      </c>
      <c r="D396" s="563" t="inlineStr">
        <is>
          <t>2. I celle B10 skal du vælge den anvendte måleenhed.</t>
        </is>
      </c>
      <c r="E396" s="563" t="inlineStr">
        <is>
          <t>2. Selecteer in cel B10 de gebruikte meeteenheid</t>
        </is>
      </c>
      <c r="F396" s="563" t="inlineStr">
        <is>
          <t>2. Dans la cellule B10, sélectionnez l’unité de mesure utilisée</t>
        </is>
      </c>
      <c r="G396" s="366" t="inlineStr">
        <is>
          <t>2. Wählen Sie in Zelle B10 die verwendete Maßeinheit aus.</t>
        </is>
      </c>
      <c r="H396" s="366" t="inlineStr">
        <is>
          <t>2. I gcill B10 roghnaigh an tAonad tomhais a úsáidtear</t>
        </is>
      </c>
      <c r="I396" s="2" t="inlineStr">
        <is>
          <t>2. Nella cella B10 selezionare l'unità di misura utilizzata</t>
        </is>
      </c>
      <c r="J396" s="357" t="inlineStr">
        <is>
          <t>2. Langelyje B10 pasirinkite naudojamą matavimo vienetą</t>
        </is>
      </c>
      <c r="K396" s="357" t="inlineStr">
        <is>
          <t>2. W komórce B10 wybierz użytą jednostkę miary</t>
        </is>
      </c>
      <c r="L396" s="357" t="inlineStr">
        <is>
          <t>2. Na célula B10 selecione a Unidade de medida utilizada.</t>
        </is>
      </c>
      <c r="M396" s="357" t="inlineStr">
        <is>
          <t>2. En la celda B10 seleccione la Unidad de medida utilizada</t>
        </is>
      </c>
    </row>
    <row r="397" ht="28.8" customHeight="1">
      <c r="A397" s="2" t="inlineStr">
        <is>
          <t>template_label_3_in_cell_c9_select_the_amount_of_fuel_used</t>
        </is>
      </c>
      <c r="B397" s="2">
        <f>INDEX(C397:M397,MATCH(template_selected_display_language,$C$3:$M$3,0))</f>
        <v/>
      </c>
      <c r="C397" s="2" t="inlineStr">
        <is>
          <t>3. In cell C10 select the Amount of fuel used</t>
        </is>
      </c>
      <c r="D397" s="563" t="inlineStr">
        <is>
          <t>3. I celle C10 skal du vælge den anvendte mængde brændstof.</t>
        </is>
      </c>
      <c r="E397" s="563" t="inlineStr">
        <is>
          <t>3. Selecteer in cel C10 de hoeveelheid gebruikte brandstof</t>
        </is>
      </c>
      <c r="F397" s="563" t="inlineStr">
        <is>
          <t>3. Dans la cellule C10, sélectionnez la quantité de carburant utilisée.</t>
        </is>
      </c>
      <c r="G397" s="366" t="inlineStr">
        <is>
          <t>3. Wählen Sie in Zelle C10 die genutzte Brennstoffmenge aus.</t>
        </is>
      </c>
      <c r="H397" s="366" t="inlineStr">
        <is>
          <t>3. I gcill C10 roghnaigh an Méid breosla a úsáidtear</t>
        </is>
      </c>
      <c r="I397" s="2" t="inlineStr">
        <is>
          <t>3. Nella cella C10 selezionare la Quantità di combustibile utilizzata</t>
        </is>
      </c>
      <c r="J397" s="357" t="inlineStr">
        <is>
          <t>3. Langelyje C10 pasirinkite sunaudoto kuro kiekį</t>
        </is>
      </c>
      <c r="K397" s="357" t="inlineStr">
        <is>
          <t>3. W komórce C10 wybierz Ilość zużytego paliwa</t>
        </is>
      </c>
      <c r="L397" s="357" t="inlineStr">
        <is>
          <t>3. Na célula C10 selecione a Quantidade de combustível usado</t>
        </is>
      </c>
      <c r="M397" s="357" t="inlineStr">
        <is>
          <t>3. En la celda C10 seleccione la Cantidad de combustible utilizado</t>
        </is>
      </c>
    </row>
    <row r="398" ht="57.6" customHeight="1">
      <c r="A398" s="2" t="inlineStr">
        <is>
          <t>template_label_4_in_cell_d9_it_is_displayed_the_state_of_matter_for_the_fuel_selected</t>
        </is>
      </c>
      <c r="B398" s="2">
        <f>INDEX(C398:M398,MATCH(template_selected_display_language,$C$3:$M$3,0))</f>
        <v/>
      </c>
      <c r="C398" s="2" t="inlineStr">
        <is>
          <t>4. In cell D10 it is displayed the State of matter for the Fuel selected</t>
        </is>
      </c>
      <c r="D398" s="563" t="inlineStr">
        <is>
          <t>4. I celle D10 vises tilstanden for det valgte brændstof</t>
        </is>
      </c>
      <c r="E398" s="563" t="inlineStr">
        <is>
          <t>In cel D10 wordt de weergegeven voor de geselecteerde brandstof.</t>
        </is>
      </c>
      <c r="F398" s="563" t="inlineStr">
        <is>
          <t>4. La cellule D10 affiche l'état de la matière pour le carburant sélectionné.</t>
        </is>
      </c>
      <c r="G398" s="366" t="inlineStr">
        <is>
          <t xml:space="preserve">4. In Zelle D10 wird der Aggregatzustand des ausgewählten Brennstoffs angezeigt. </t>
        </is>
      </c>
      <c r="H398" s="366" t="inlineStr">
        <is>
          <t>4. I gcill D10 taispeántar Staid an ábhair don Bhreosla a roghnaíodh</t>
        </is>
      </c>
      <c r="I398" s="2" t="inlineStr">
        <is>
          <t xml:space="preserve">4. Nella cella D10 è visualizzato lo Stato della materia per il Combustibile selezionato
</t>
        </is>
      </c>
      <c r="J398" s="357" t="inlineStr">
        <is>
          <t>Langelyje D10 rodoma pasirinkto kuro būsena</t>
        </is>
      </c>
      <c r="K398" s="357" t="inlineStr">
        <is>
          <t>4. W komórce D10 wyświetlany jest stan skupienia dla wybranego paliwa</t>
        </is>
      </c>
      <c r="L398" s="357" t="inlineStr">
        <is>
          <t>4. Na célula D10 é mostrado o Estado físico do Combustível selecionado</t>
        </is>
      </c>
      <c r="M398" s="357" t="inlineStr">
        <is>
          <t>4. En la celda D10 se muestra el estado de la materia para el combustible seleccionado.</t>
        </is>
      </c>
    </row>
    <row r="399" ht="57.6" customHeight="1">
      <c r="A399" s="2" t="inlineStr">
        <is>
          <t>template_label_5_in_cell_e9_it_is_displayed_the_typical_renewability_state_for_the_fuel_selected</t>
        </is>
      </c>
      <c r="B399" s="2">
        <f>INDEX(C399:M399,MATCH(template_selected_display_language,$C$3:$M$3,0))</f>
        <v/>
      </c>
      <c r="C399" s="2" t="inlineStr">
        <is>
          <t>5. In cell E10 it is displayed the Typical renewability state for the Fuel selected</t>
        </is>
      </c>
      <c r="D399" s="563" t="inlineStr">
        <is>
          <t>5. I celle E10 vises den typiske fornybarhedstilstand for det valgte brændstof</t>
        </is>
      </c>
      <c r="E399" s="563" t="inlineStr">
        <is>
          <t xml:space="preserve">In cel E10 wordt de typische hernieuwbaarheidstoestand voor de geselecteerde brandstof weergegeven.
</t>
        </is>
      </c>
      <c r="F399" s="563" t="inlineStr">
        <is>
          <t>5. La cellule E10 affiche le caractère renouvelable typique du carburant sélectionné.</t>
        </is>
      </c>
      <c r="G399" s="366" t="inlineStr">
        <is>
          <t>5. In Zelle E10 wird die typischeErneuerbarkeit für den ausgewählten Brennstoff angezeigt.</t>
        </is>
      </c>
      <c r="H399" s="366" t="inlineStr">
        <is>
          <t>5. I gcill E10 taispeántar an staid in-athnuaite tipiciúil don Bhreosla roghnaithe</t>
        </is>
      </c>
      <c r="I399" s="2" t="inlineStr">
        <is>
          <t xml:space="preserve">5. Nella cella E10 è indicato lo stato tipico di rinnovabilità per il Combustibile selezionato
</t>
        </is>
      </c>
      <c r="J399" s="357" t="inlineStr">
        <is>
          <t>5. Langelyje E10 rodoma pasirinkto kuro tipinė atsinaujinamumo būsena.</t>
        </is>
      </c>
      <c r="K399" s="357" t="inlineStr">
        <is>
          <t>5 W komórce E10 wyświetlany jest Typowy stan odnawialności dla wybranego paliwa</t>
        </is>
      </c>
      <c r="L399" s="357" t="inlineStr">
        <is>
          <t>5. Na célula E10 é exibido o estado típico de renovabilidade para o combustível selecionado.</t>
        </is>
      </c>
      <c r="M399" s="357" t="inlineStr">
        <is>
          <t>5. En la celda E10 se muestra el carácter renovable típico para el combustible seleccionado.</t>
        </is>
      </c>
    </row>
    <row r="400" ht="57.6" customHeight="1">
      <c r="A400" s="2" t="inlineStr">
        <is>
          <t>template_label_6_in_cell_f9_is_displayed_the_energy_produced_in_mega_watt_hours_by_the_amount_of_fuel_specified</t>
        </is>
      </c>
      <c r="B400" s="2">
        <f>INDEX(C400:M400,MATCH(template_selected_display_language,$C$3:$M$3,0))</f>
        <v/>
      </c>
      <c r="C400" s="2" t="inlineStr">
        <is>
          <t>6. In cell F10 is displayed the Energy produced in Mega Watt hours by the Amount of Fuel specified</t>
        </is>
      </c>
      <c r="D400" s="563" t="inlineStr">
        <is>
          <t>6. I celle F10 vises energien produceret megawatt-timer, baseret på den specificerede mængde brændstof</t>
        </is>
      </c>
      <c r="E400" s="563" t="inlineStr">
        <is>
          <t>In cel F10 wordt de energie weergegeven die in Megawattuur is geproduceerd door de opgegeven hoeveelheid brandstof.</t>
        </is>
      </c>
      <c r="F400" s="563" t="inlineStr">
        <is>
          <t>6. La cellule F10 affiche l'énergie produite, en méga wattheures (MWh), par la quantité de carburant spécifiée.</t>
        </is>
      </c>
      <c r="G400" s="366" t="inlineStr">
        <is>
          <t>6. In Zelle F10 wird die in Megawattstunden erzeugte Energie basierend auf der angegebenen Brennstoffmenge angezeigt.</t>
        </is>
      </c>
      <c r="H400" s="366" t="inlineStr">
        <is>
          <t>6. I gcill F10 taispeántar an Fuinneamh a tháirgtear in uair an chloig Mega Watt de réir an Méid Breosla a shonraítear</t>
        </is>
      </c>
      <c r="I400" s="2" t="inlineStr">
        <is>
          <t xml:space="preserve">6. Nella cella F10 è visualizzata l'energia prodotta in Megawatt-ora per la quantità di combustibile specificata
</t>
        </is>
      </c>
      <c r="J400" s="357" t="inlineStr">
        <is>
          <t>Langelyje F10 pateikiama energija, pagaminta megavatvalandėmis pagal nurodytą degalų kiekį.</t>
        </is>
      </c>
      <c r="K400" s="357" t="inlineStr">
        <is>
          <t>6. W komórce F10 wyświetlana jest energia wyprodukowana w megawatogodzinach (MWh) przez określoną ilość paliwa</t>
        </is>
      </c>
      <c r="L400" s="357" t="inlineStr">
        <is>
          <t>6. Na célula F10 é exibida a Energia produzida em Megawatts-hora pela Quantidade de Combustível especificada</t>
        </is>
      </c>
      <c r="M400" s="357" t="inlineStr">
        <is>
          <t>6. En la celda F10 se muestra la Energía producida en Mega Vatios hora por la Cantidad de Combustible especificada</t>
        </is>
      </c>
    </row>
    <row r="401" ht="28.8" customHeight="1">
      <c r="A401" s="2" t="inlineStr">
        <is>
          <t>template_label_7_in_cell_a28_is_displayed_the_total_energy_in_mega_watt_hours</t>
        </is>
      </c>
      <c r="B401" s="2">
        <f>INDEX(C401:M401,MATCH(template_selected_display_language,$C$3:$M$3,0))</f>
        <v/>
      </c>
      <c r="C401" s="2" t="inlineStr">
        <is>
          <t>7. In cell A29 is displayed the Total Energy in Mega Watt hours</t>
        </is>
      </c>
      <c r="D401" s="563" t="inlineStr">
        <is>
          <t>7. I celle A29 vises den samlede mængde energi i Megawatt-timer</t>
        </is>
      </c>
      <c r="E401" s="563" t="inlineStr">
        <is>
          <t>In cel A29 wordt het totale energieverbruik in megawattuur weergegeven.</t>
        </is>
      </c>
      <c r="F401" s="563" t="inlineStr">
        <is>
          <t>7. La cellule A29 affiche l’énergie totale en mégawattheures (MWh).</t>
        </is>
      </c>
      <c r="G401" s="366" t="inlineStr">
        <is>
          <t>7. In Zelle A29 wird der Gesamtenergieverbrauch in Megawattstunden angezeigt.</t>
        </is>
      </c>
      <c r="H401" s="366" t="inlineStr">
        <is>
          <t>7. I gcill A29 taispeántar an Fuinneamh Iomlán in uair an chloig Mega Watt</t>
        </is>
      </c>
      <c r="I401" s="2" t="inlineStr">
        <is>
          <t>7. Nella cella A29 è visualizzato il Consumo totale di energia in Megawatt-ora</t>
        </is>
      </c>
      <c r="J401" s="357" t="inlineStr">
        <is>
          <t>Langelyje A29 pateikiama bendroji energija megavatvalandėmis</t>
        </is>
      </c>
      <c r="K401" s="357" t="inlineStr">
        <is>
          <t>7. W komórce A29 wyświetlana jest całkowita energia w megawatogodzinach</t>
        </is>
      </c>
      <c r="L401" s="357" t="inlineStr">
        <is>
          <t>7. Em A29 é apresentada a Energia Total em Megawatt-hora</t>
        </is>
      </c>
      <c r="M401" s="357" t="inlineStr">
        <is>
          <t>7. En la celda A29 se muestra la Energía Total en Mega Vatios hora</t>
        </is>
      </c>
    </row>
    <row r="402" ht="57.6" customHeight="1">
      <c r="A402" s="2" t="inlineStr">
        <is>
          <t>template_label_8_in_cell_a31_is_displayed_the_total_renewable_energy_in_mega_watt_hours</t>
        </is>
      </c>
      <c r="B402" s="2">
        <f>INDEX(C402:M402,MATCH(template_selected_display_language,$C$3:$M$3,0))</f>
        <v/>
      </c>
      <c r="C402" s="2" t="inlineStr">
        <is>
          <t>8. In cell A32 is displayed the Total Renewable Energy in Mega Watt hours</t>
        </is>
      </c>
      <c r="D402" s="563" t="inlineStr">
        <is>
          <t>8. I celle A32 vises den samlede mængde vedvarende energi i Megawatt-timer</t>
        </is>
      </c>
      <c r="E402" s="563" t="inlineStr">
        <is>
          <t xml:space="preserve">In cel A32 wordt het totale hernieuwbare energieverbruik weergegeven in Megawattuur
</t>
        </is>
      </c>
      <c r="F402" s="563" t="inlineStr">
        <is>
          <t>8. La cellule A32 affiche l’énergie renouvelable totale en mégawattheures (MWh).</t>
        </is>
      </c>
      <c r="G402" s="366" t="inlineStr">
        <is>
          <t>8. In Zelle A32 wird die gesamte erneuerbare Energie in Megawattstunden angezeigt.</t>
        </is>
      </c>
      <c r="H402" s="366" t="inlineStr">
        <is>
          <t>8. I gcill A32 taispeántar an Fuinneamh In-athnuaite Iomlán in uair an chloig Mega Watt</t>
        </is>
      </c>
      <c r="I402" s="2" t="inlineStr">
        <is>
          <t>8. Nella cella A32 è visualizzato il Totale Energia Rinnovabile in Megawatt-ora</t>
        </is>
      </c>
      <c r="J402" s="357" t="inlineStr">
        <is>
          <t>Langelyje A32 rodoma bendro atsinaujinančios energijos, išreikštos megavatvalandėmis, suma.</t>
        </is>
      </c>
      <c r="K402" s="357" t="inlineStr">
        <is>
          <t>8. W komórce A32 wyświetlana jest całkowita energia odnawialna w megawatogodzinach</t>
        </is>
      </c>
      <c r="L402" s="357" t="inlineStr">
        <is>
          <t>8. Na célula A32 está exibida a Energia Renovável Total em Mega Watt horas</t>
        </is>
      </c>
      <c r="M402" s="357" t="inlineStr">
        <is>
          <t>8. En la celda A32 se muestra la Energía Renovable Total en Megavatios hora</t>
        </is>
      </c>
    </row>
    <row r="403" ht="28.8" customHeight="1">
      <c r="A403" s="2" t="inlineStr">
        <is>
          <t>template_label_9_in_cell_b31_is_displayed_the_total_nonrenewable_energy_in_mega_watt_hours</t>
        </is>
      </c>
      <c r="B403" s="2">
        <f>INDEX(C403:M403,MATCH(template_selected_display_language,$C$3:$M$3,0))</f>
        <v/>
      </c>
      <c r="C403" s="2" t="inlineStr">
        <is>
          <t>9. In cell B32 is displayed the Total Non-renewable Energy in Mega Watt hours</t>
        </is>
      </c>
      <c r="D403" s="563" t="inlineStr">
        <is>
          <t xml:space="preserve">9. I celle B32 vises den samlede mængde  ikkefornybare energi i Megawatt-timer </t>
        </is>
      </c>
      <c r="E403" s="563" t="inlineStr">
        <is>
          <t>In cel B32 wordt het totaal van niet-hernieuwbare energie weergegeven in Megawattuur.</t>
        </is>
      </c>
      <c r="F403" s="563" t="inlineStr">
        <is>
          <t>9. La cellule B32 affiche l’énergie non renouvelable totale en mégawattheures (MWh).</t>
        </is>
      </c>
      <c r="G403" s="366" t="inlineStr">
        <is>
          <t xml:space="preserve">In Zelle B32 wird die gesamte nicht erneuerbare Energie in Megawattstunden angezeigt. </t>
        </is>
      </c>
      <c r="H403" s="366" t="inlineStr">
        <is>
          <t>9. I gcill B32 taispeántar an Fuinneamh Neamh-inathnuaite Iomlán in uaireanta Mega Watt</t>
        </is>
      </c>
      <c r="I403" s="2" t="inlineStr">
        <is>
          <t>9. Nella cella B32 è visualizzato il Totale Energia Non Rinnovabile in Megawatt-ora</t>
        </is>
      </c>
      <c r="J403" s="357" t="inlineStr">
        <is>
          <t>Langelyje B32 rodoma bendroji neatsinaujinančios energijos suma megavatvalandėmis (MWh)</t>
        </is>
      </c>
      <c r="K403" s="357" t="inlineStr">
        <is>
          <t>9. W komórce B32 wyświetlana jest całkowita energia nieodnawialna w megawatogodzinach</t>
        </is>
      </c>
      <c r="L403" s="357" t="inlineStr">
        <is>
          <t>9. Na célula B32 é exibido o Total de Energia Não Renovável em Mega Watt hora</t>
        </is>
      </c>
      <c r="M403" s="357" t="inlineStr">
        <is>
          <t>9. En la celda B32 se muestra la Energía No Renovable Total en Megavatios hora</t>
        </is>
      </c>
    </row>
    <row r="404" ht="172.8" customHeight="1">
      <c r="A404" s="2" t="inlineStr">
        <is>
          <t>template_label_10_further_notes_can_be_found_below</t>
        </is>
      </c>
      <c r="B404" s="2">
        <f>INDEX(C404:M404,MATCH(template_selected_display_language,$C$3:$M$3,0))</f>
        <v/>
      </c>
      <c r="C404" s="2" t="inlineStr">
        <is>
          <t>10. Further notes can be found below</t>
        </is>
      </c>
      <c r="D404" s="563" t="inlineStr">
        <is>
          <t>10. Yderligere bemærkninger kan findes nedenfor</t>
        </is>
      </c>
      <c r="E404" s="563" t="inlineStr">
        <is>
          <t>10. Verdere opmerkingen kunnen hieronder worden gevonden</t>
        </is>
      </c>
      <c r="F404" s="563" t="inlineStr">
        <is>
          <t>10. Des notes complémentaires sont disponibles ci-dessous.</t>
        </is>
      </c>
      <c r="G404" s="366" t="inlineStr">
        <is>
          <t>10. Weitere Anmerkungen siehe unten</t>
        </is>
      </c>
      <c r="H404" s="366" t="inlineStr">
        <is>
          <t>10. Is féidir nótaí breise a fháil thíos</t>
        </is>
      </c>
      <c r="I404" s="2" t="inlineStr">
        <is>
          <t>10. Ulteriori note sono riportate di seguito</t>
        </is>
      </c>
      <c r="J404" s="357"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K404" s="357" t="inlineStr">
        <is>
          <t>10. Dalsze uwagi można znaleźć poniżej</t>
        </is>
      </c>
      <c r="L404" s="357" t="inlineStr">
        <is>
          <t>10. Notas adicionais podem ser encontradas abaixo</t>
        </is>
      </c>
      <c r="M404" s="357" t="inlineStr">
        <is>
          <t>10. Más notas se pueden encontrar a continuación</t>
        </is>
      </c>
    </row>
    <row r="405" ht="28.8" customHeight="1">
      <c r="A405" s="2" t="inlineStr">
        <is>
          <t>template_label_transfer_the_total_results_to_the_b3_fuel_energy_consumption_reporting_cell</t>
        </is>
      </c>
      <c r="B405" s="2">
        <f>INDEX(C405:M405,MATCH(template_selected_display_language,$C$3:$M$3,0))</f>
        <v/>
      </c>
      <c r="C405" s="2" t="inlineStr">
        <is>
          <t>Transfer the total calculated results to the B3 "Fuel Energy Consumption" reporting cell</t>
        </is>
      </c>
      <c r="D405" s="563" t="inlineStr">
        <is>
          <t>Overfør de samlede beregnede resultater til B3's rapporteringsfelt "Energiforbrug af brændstof"</t>
        </is>
      </c>
      <c r="E405" s="563" t="inlineStr">
        <is>
          <t>Draag de totaal berekende resultaten over naar de B3-rapportagecel "Brandstoffen Energieverbruik"</t>
        </is>
      </c>
      <c r="F405" s="563" t="inlineStr">
        <is>
          <t>Transférez les résultats totaux calculés dans la cellule B3 « Consommation d’énergie des carburants » du rapport.</t>
        </is>
      </c>
      <c r="G405" s="366" t="inlineStr">
        <is>
          <t>Übertragen Sie die berechneten Gesamtergebnisse in die Berichts-Zelle B3 „Brennstoffenergieverbrauch“</t>
        </is>
      </c>
      <c r="H405" s="366" t="inlineStr">
        <is>
          <t>Aistrigh na torthaí ríofa iomlána chuig an gcill tuairiscithe B3 "Tomhaltas Fuinnimh Breosla"</t>
        </is>
      </c>
      <c r="I405" s="2" t="inlineStr">
        <is>
          <t>Trasferire i risultati totali calcolati alla cella di B3 "Consumo di energia da combustibili"</t>
        </is>
      </c>
      <c r="J405" s="357" t="inlineStr">
        <is>
          <t>Perkelkite bendrą apskaičiuotą rezultatą į B3 „Kuro energijos suvartojimas“ ataskaitos langelį</t>
        </is>
      </c>
      <c r="K405" s="357" t="inlineStr">
        <is>
          <t>Przenieś całkowite obliczone wyniki do komórki B3 Zużycie energii paliwowej</t>
        </is>
      </c>
      <c r="L405" s="357" t="inlineStr">
        <is>
          <t>Transfira o total dos resultados calculados para a célula de relatório B3 "Consumo de Energia de Combustíveis"</t>
        </is>
      </c>
      <c r="M405" s="357" t="inlineStr">
        <is>
          <t>Transfiera los resultados totales calculados a la celda de reporte B3 "Consumo de Energía por Combustible"</t>
        </is>
      </c>
    </row>
    <row r="406">
      <c r="A406" s="2" t="inlineStr">
        <is>
          <t>template_label_total_energy</t>
        </is>
      </c>
      <c r="B406" s="2">
        <f>INDEX(C406:M406,MATCH(template_selected_display_language,$C$3:$M$3,0))</f>
        <v/>
      </c>
      <c r="C406" s="2" t="inlineStr">
        <is>
          <t>Total Energy [MWh]</t>
        </is>
      </c>
      <c r="D406" s="563" t="inlineStr">
        <is>
          <t>Samlet energi (MWh)</t>
        </is>
      </c>
      <c r="E406" s="563" t="inlineStr">
        <is>
          <t>Totaal energieverbruik [MWh]</t>
        </is>
      </c>
      <c r="F406" s="563" t="inlineStr">
        <is>
          <t>Consommation d’énergie totale [MWh]</t>
        </is>
      </c>
      <c r="G406" s="366" t="inlineStr">
        <is>
          <t>Gesamtenergie [MWh]</t>
        </is>
      </c>
      <c r="H406" s="366" t="inlineStr">
        <is>
          <t>Fuinneamh Iomlán [MWh]</t>
        </is>
      </c>
      <c r="I406" s="2" t="inlineStr">
        <is>
          <t>Totale consumo di energia [MWh]</t>
        </is>
      </c>
      <c r="J406" s="357" t="inlineStr">
        <is>
          <t>Bendra energija [MWh]</t>
        </is>
      </c>
      <c r="K406" s="357" t="inlineStr">
        <is>
          <t>Całkowita energia [MWh]</t>
        </is>
      </c>
      <c r="L406" s="357" t="inlineStr">
        <is>
          <t>Energia Total [MWh]</t>
        </is>
      </c>
      <c r="M406" s="357" t="inlineStr">
        <is>
          <t>Consumo total de energía [MWh]</t>
        </is>
      </c>
    </row>
    <row r="407" ht="57.6" customHeight="1">
      <c r="A407" s="2" t="inlineStr">
        <is>
          <t>template_label_total_renewable_energy</t>
        </is>
      </c>
      <c r="B407" s="2">
        <f>INDEX(C407:M407,MATCH(template_selected_display_language,$C$3:$M$3,0))</f>
        <v/>
      </c>
      <c r="C407" s="2" t="inlineStr">
        <is>
          <t>Total Renewable Energy [MWh]</t>
        </is>
      </c>
      <c r="D407" s="563" t="inlineStr">
        <is>
          <t xml:space="preserve">
Samlet vedvarende energi (MWh) 
</t>
        </is>
      </c>
      <c r="E407" s="563" t="inlineStr">
        <is>
          <t>Totaal hernieuwbare energie [MWh]</t>
        </is>
      </c>
      <c r="F407" s="563" t="inlineStr">
        <is>
          <t>Énergie renouvelable totale [MWh]</t>
        </is>
      </c>
      <c r="G407" s="366" t="inlineStr">
        <is>
          <t>Gesamte erneuerbare Energien [MWh]</t>
        </is>
      </c>
      <c r="H407" s="366" t="inlineStr">
        <is>
          <t>Fuinneamh In-athnuaite Iomlán [MWh]</t>
        </is>
      </c>
      <c r="I407" s="2" t="inlineStr">
        <is>
          <t>Totale consumo di energia rinnovabile [MWh]</t>
        </is>
      </c>
      <c r="J407" s="357" t="inlineStr">
        <is>
          <t>Atsinaujinančiųjų išteklių energija (MWh)</t>
        </is>
      </c>
      <c r="K407" s="357" t="inlineStr">
        <is>
          <t>Całkowita energia odnawialna [MWh]</t>
        </is>
      </c>
      <c r="L407" s="357" t="inlineStr">
        <is>
          <t>Consumo Total de Energia Renovável [MWh]</t>
        </is>
      </c>
      <c r="M407" s="357" t="inlineStr">
        <is>
          <t>Consumo total de energía renovable [MWh]</t>
        </is>
      </c>
    </row>
    <row r="408">
      <c r="A408" s="2" t="inlineStr">
        <is>
          <t>template_label_total_nonrenewable_energy</t>
        </is>
      </c>
      <c r="B408" s="2">
        <f>INDEX(C408:M408,MATCH(template_selected_display_language,$C$3:$M$3,0))</f>
        <v/>
      </c>
      <c r="C408" s="2" t="inlineStr">
        <is>
          <t>Total Non-renewable Energy [MWh]</t>
        </is>
      </c>
      <c r="D408" s="563" t="inlineStr">
        <is>
          <t>Samlet ikke-vedvarened energi [MWh]</t>
        </is>
      </c>
      <c r="E408" s="563" t="inlineStr">
        <is>
          <t>Totaal verbruik niet-hernieuwbare energie [MWh]</t>
        </is>
      </c>
      <c r="F408" s="563" t="inlineStr">
        <is>
          <t>Consommation d’énergie non renouvelable [MWh]</t>
        </is>
      </c>
      <c r="G408" s="366" t="inlineStr">
        <is>
          <t>Gesamte nicht erneuerbare Energien [MWh]</t>
        </is>
      </c>
      <c r="H408" s="366" t="inlineStr">
        <is>
          <t>Fuinneamh Neamh-inathnuaite Iomlán [MWh]</t>
        </is>
      </c>
      <c r="I408" s="2" t="inlineStr">
        <is>
          <t>Totale consumo di energia non rinnovabile [MWh]</t>
        </is>
      </c>
      <c r="J408" s="357" t="inlineStr">
        <is>
          <t>Bendras neatsinaujinančios energijos suvartojimas [MWh]</t>
        </is>
      </c>
      <c r="K408" s="357" t="inlineStr">
        <is>
          <t>Całkowita energia nieodnawialna [MWh]</t>
        </is>
      </c>
      <c r="L408" s="357" t="inlineStr">
        <is>
          <t>Consumo total de energia não renovável [MWh]</t>
        </is>
      </c>
      <c r="M408" s="357" t="inlineStr">
        <is>
          <t>Consumo de energías no renovables [MWh]</t>
        </is>
      </c>
    </row>
    <row r="409">
      <c r="A409" s="2" t="inlineStr">
        <is>
          <t>template_label_further_notes</t>
        </is>
      </c>
      <c r="B409" s="2">
        <f>INDEX(C409:M409,MATCH(template_selected_display_language,$C$3:$M$3,0))</f>
        <v/>
      </c>
      <c r="C409" s="2" t="inlineStr">
        <is>
          <t>Further notes:</t>
        </is>
      </c>
      <c r="D409" s="563" t="inlineStr">
        <is>
          <t>Yderligere bemærkninger:</t>
        </is>
      </c>
      <c r="E409" s="563" t="inlineStr">
        <is>
          <t>Verdere opmerkingen:</t>
        </is>
      </c>
      <c r="F409" s="563" t="inlineStr">
        <is>
          <t>Notes complémentaires :</t>
        </is>
      </c>
      <c r="G409" s="366" t="inlineStr">
        <is>
          <t>Weitere Hinweise:</t>
        </is>
      </c>
      <c r="H409" s="366" t="inlineStr">
        <is>
          <t>Nótaí breise:</t>
        </is>
      </c>
      <c r="I409" s="2" t="inlineStr">
        <is>
          <t>Ulteriori note:</t>
        </is>
      </c>
      <c r="J409" s="357" t="inlineStr">
        <is>
          <t>Tolimesnės pastabos:</t>
        </is>
      </c>
      <c r="K409" s="357" t="inlineStr">
        <is>
          <t>Dalsze uwagi:</t>
        </is>
      </c>
      <c r="L409" s="357" t="inlineStr">
        <is>
          <t>Notas adicionais:</t>
        </is>
      </c>
      <c r="M409" s="357" t="inlineStr">
        <is>
          <t>Notas adicionales:</t>
        </is>
      </c>
    </row>
    <row r="410" ht="15" customHeight="1" thickBot="1">
      <c r="A410" s="358" t="inlineStr">
        <is>
          <t>template_label_the_converter_offers_the_possibility_of_calculating_simultaneously_up_to_10_different_types_of_fuel</t>
        </is>
      </c>
      <c r="B410" s="358">
        <f>INDEX(C410:M410,MATCH(template_selected_display_language,$C$3:$M$3,0))</f>
        <v/>
      </c>
      <c r="C410" s="358"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10" s="373" t="inlineStr">
        <is>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is>
      </c>
      <c r="E410" s="373" t="inlineStr">
        <is>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is>
      </c>
      <c r="F410" s="373" t="inlineStr">
        <is>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is>
      </c>
      <c r="G410" s="367" t="inlineStr">
        <is>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is>
      </c>
      <c r="H410" s="367" t="inlineStr">
        <is>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is>
      </c>
      <c r="I410" s="358" t="inlineStr">
        <is>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is>
      </c>
      <c r="J410" s="371"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K410" s="371"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L410" s="371"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M410" s="371"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11" ht="28.8" customHeight="1">
      <c r="A411" s="2" t="inlineStr">
        <is>
          <t>template_label_energy_consumption_per_hour_in_mwh_for_solid_fuels</t>
        </is>
      </c>
      <c r="B411" s="2">
        <f>INDEX(C411:M411,MATCH(template_selected_display_language,$C$3:$M$3,0))</f>
        <v/>
      </c>
      <c r="C411" s="2" t="inlineStr">
        <is>
          <t>Energy Consumption per Hour in MWh for Solid Fuels:</t>
        </is>
      </c>
      <c r="D411" s="563" t="inlineStr">
        <is>
          <t>Energiforbrug per time i MWh for faste brændstoffer:</t>
        </is>
      </c>
      <c r="E411" s="563" t="inlineStr">
        <is>
          <t>Energieverbruik per uur in MWh voor vaste brandstoffen:</t>
        </is>
      </c>
      <c r="F411" s="563" t="inlineStr">
        <is>
          <t>Consommation d'énergie par heure en MWh pour les combustibles solides :</t>
        </is>
      </c>
      <c r="G411" s="366" t="inlineStr">
        <is>
          <t>Energieverbrauch pro Stunde in MWh für feste Brennstoffe:</t>
        </is>
      </c>
      <c r="H411" s="366" t="inlineStr">
        <is>
          <t>Tomhaltas fuinnimh in aghaidh na huaire i MWh le haghaidh breoslaí soladacha:</t>
        </is>
      </c>
      <c r="I411" s="2" t="inlineStr">
        <is>
          <t>Consumo di energia orario in MWh per combustibili solidi:</t>
        </is>
      </c>
      <c r="J411" s="357" t="inlineStr">
        <is>
          <t>Kietojo kuro energijos suvartojimas per valandą (MWh):</t>
        </is>
      </c>
      <c r="K411" s="357" t="inlineStr">
        <is>
          <t>Zużycie energii na godzinę w MWh dla paliw stałych:</t>
        </is>
      </c>
      <c r="L411" s="357" t="inlineStr">
        <is>
          <t>Consumo de Energia por Hora em MWh para Combustíveis Sólidos:</t>
        </is>
      </c>
      <c r="M411" s="357" t="inlineStr">
        <is>
          <t>Consumo de energía por hora en MWh para combustibles sólidos:</t>
        </is>
      </c>
    </row>
    <row r="412" ht="43.2" customHeight="1">
      <c r="A412" s="2" t="inlineStr">
        <is>
          <t>template_label_energy_solid_fuels</t>
        </is>
      </c>
      <c r="B412" s="2">
        <f>INDEX(C412:M412,MATCH(template_selected_display_language,$C$3:$M$3,0))</f>
        <v/>
      </c>
      <c r="C412" s="2" t="inlineStr">
        <is>
          <t>Energy [MWh] = Mass [t] * NCV [MWh/t]</t>
        </is>
      </c>
      <c r="D412" s="563" t="inlineStr">
        <is>
          <t>Energi [MWh] = Masse [t] * NCV [MWh/t]</t>
        </is>
      </c>
      <c r="E412" s="563" t="inlineStr">
        <is>
          <t>Energie [MWh] = Massa [t] * NCV [MWh/t]</t>
        </is>
      </c>
      <c r="F412" s="563" t="inlineStr">
        <is>
          <t>Énergie [MWh] = Masse [t] * PCN [MWh/t]</t>
        </is>
      </c>
      <c r="G412" s="366" t="inlineStr">
        <is>
          <t>Energie [MWh] = Masse [t] * NCV [MWh/t]</t>
        </is>
      </c>
      <c r="H412" s="366" t="inlineStr">
        <is>
          <t>Fuinneamh [MWh] = Mais [t] * NCV [MWh/t]</t>
        </is>
      </c>
      <c r="I412" s="2" t="inlineStr">
        <is>
          <t>Energia [MWh] = Massa [t] * PCN [MWh/t]</t>
        </is>
      </c>
      <c r="J412" s="357" t="inlineStr">
        <is>
          <t>Energija [MWh] = Masė [t] * NCV [MWh/t]</t>
        </is>
      </c>
      <c r="K412" s="357" t="inlineStr">
        <is>
          <t>Energia [MWh] = Masa [t] * NCV [MWh/t]</t>
        </is>
      </c>
      <c r="L412" s="357" t="inlineStr">
        <is>
          <t>Energia [MWh] = Massa [t] * PCI [MWh/t]</t>
        </is>
      </c>
      <c r="M412" s="357" t="inlineStr">
        <is>
          <t xml:space="preserve">Energía [MWh] = Masa [t] * PCI [MWh/t] 
</t>
        </is>
      </c>
    </row>
    <row r="413" ht="28.8" customHeight="1">
      <c r="A413" s="2" t="inlineStr">
        <is>
          <t>template_label_energy_consumption_per_hour_in_mwh_for_liquid_fuels</t>
        </is>
      </c>
      <c r="B413" s="2">
        <f>INDEX(C413:M413,MATCH(template_selected_display_language,$C$3:$M$3,0))</f>
        <v/>
      </c>
      <c r="C413" s="2" t="inlineStr">
        <is>
          <t>Energy Consumption per Hour in MWh for Liquid Fuels:</t>
        </is>
      </c>
      <c r="D413" s="563" t="inlineStr">
        <is>
          <t>Energiforbrug pr. time i MWh for flydende brændstoffer:</t>
        </is>
      </c>
      <c r="E413" s="563" t="inlineStr">
        <is>
          <t>Energieverbruik per uur in MWh voor vloeibare brandstoffen:</t>
        </is>
      </c>
      <c r="F413" s="563" t="inlineStr">
        <is>
          <t>Consommation d'énergie par heure en MWh pour les combustibles liquides :</t>
        </is>
      </c>
      <c r="G413" s="366" t="inlineStr">
        <is>
          <t>Energieverbrauch pro Stunde in MWh für flüssige Brennstoffe:</t>
        </is>
      </c>
      <c r="H413" s="366" t="inlineStr">
        <is>
          <t>Tomhaltas fuinnimh in aghaidh na huaire i MWh le haghaidh breoslaí leachtacha:</t>
        </is>
      </c>
      <c r="I413" s="2" t="inlineStr">
        <is>
          <t>Consumo di energia orario in MWh per combustibili liquidi:</t>
        </is>
      </c>
      <c r="J413" s="357" t="inlineStr">
        <is>
          <t>Skystųjų degalų energijos suvartojimas per valandą MWh:</t>
        </is>
      </c>
      <c r="K413" s="357" t="inlineStr">
        <is>
          <t>Zużycie energii na godzinę w MWh dla paliw ciekłych:</t>
        </is>
      </c>
      <c r="L413" s="357" t="inlineStr">
        <is>
          <t>Consumo de Energia por Hora em MWh para Combustíveis Líquidos:</t>
        </is>
      </c>
      <c r="M413" s="357" t="inlineStr">
        <is>
          <t>Consumo de energía por hora en MWh para combustibles líquidos:</t>
        </is>
      </c>
    </row>
    <row r="414">
      <c r="A414" s="2" t="inlineStr">
        <is>
          <t>template_label_mass_liquid_fuels</t>
        </is>
      </c>
      <c r="B414" s="2">
        <f>INDEX(C414:M414,MATCH(template_selected_display_language,$C$3:$M$3,0))</f>
        <v/>
      </c>
      <c r="C414" s="2" t="inlineStr">
        <is>
          <t>Mass [t] = Volume [L] * Density [t/L]</t>
        </is>
      </c>
      <c r="D414" s="563" t="inlineStr">
        <is>
          <t>Masse [t] = Volumen [L] * Densitet [t/L]</t>
        </is>
      </c>
      <c r="E414" s="563" t="inlineStr">
        <is>
          <t>Massa [t] = Volume [L] * Dichtheid [t/L]</t>
        </is>
      </c>
      <c r="F414" s="563" t="inlineStr">
        <is>
          <t>Masse [t] = Volume [L] * Densité [t/L]</t>
        </is>
      </c>
      <c r="G414" s="366" t="inlineStr">
        <is>
          <t>Masse [t] = Volumen [L] * Dichte [t/L]</t>
        </is>
      </c>
      <c r="H414" s="366" t="inlineStr">
        <is>
          <t>Mais [t] = Toirt [L] * Dlús [t / L]</t>
        </is>
      </c>
      <c r="I414" s="2" t="inlineStr">
        <is>
          <t>Massa [t] = Volume [L] * Densità [t/L]</t>
        </is>
      </c>
      <c r="J414" s="357" t="inlineStr">
        <is>
          <t>Masė [t] = Tūris [L] * Tankis [t/L]</t>
        </is>
      </c>
      <c r="K414" s="357" t="inlineStr">
        <is>
          <t>Masa [t] = Objętość [L] * Gęstość [t/L]</t>
        </is>
      </c>
      <c r="L414" s="357" t="inlineStr">
        <is>
          <t>Massa [t] = Volume [L] * Densidade [t/L]</t>
        </is>
      </c>
      <c r="M414" s="357" t="inlineStr">
        <is>
          <t>Masa [t] = Volumen [L] * Densidad [t/L]</t>
        </is>
      </c>
    </row>
    <row r="415">
      <c r="A415" s="2" t="inlineStr">
        <is>
          <t>template_label_energy_liquid_fuels</t>
        </is>
      </c>
      <c r="B415" s="2">
        <f>INDEX(C415:M415,MATCH(template_selected_display_language,$C$3:$M$3,0))</f>
        <v/>
      </c>
      <c r="C415" s="2" t="inlineStr">
        <is>
          <t>Energy [MWh] = Mass [t] * [MWh/t]</t>
        </is>
      </c>
      <c r="D415" s="563" t="inlineStr">
        <is>
          <t>Energi [MWh] = Masse [t] * [MWh/t]</t>
        </is>
      </c>
      <c r="E415" s="563" t="inlineStr">
        <is>
          <t>Energie [MWh] = Massa [t] * [MWh/t]</t>
        </is>
      </c>
      <c r="F415" s="563" t="inlineStr">
        <is>
          <t>Énergie [MWh] = Masse [t] * [MWh/t]</t>
        </is>
      </c>
      <c r="G415" s="366" t="inlineStr">
        <is>
          <t xml:space="preserve">Energie [MWh] = Masse [t] * NCV [MWh/t] </t>
        </is>
      </c>
      <c r="H415" s="366" t="inlineStr">
        <is>
          <t>Fuinneamh [MWh] = Mais [t] * [MWh/t]</t>
        </is>
      </c>
      <c r="I415" s="2" t="inlineStr">
        <is>
          <t>Energia [MWh] = Massa [t] * [MWh/t]</t>
        </is>
      </c>
      <c r="J415" s="357" t="inlineStr">
        <is>
          <t>Energija [MWh] = Masė [t] * [MWh/t]</t>
        </is>
      </c>
      <c r="K415" s="357" t="inlineStr">
        <is>
          <t>Energia [MWh] = Masa [t] * [MWh/t]</t>
        </is>
      </c>
      <c r="L415" s="357" t="inlineStr">
        <is>
          <t>Energia [MWh] = Massa [t] * [MWh/t]</t>
        </is>
      </c>
      <c r="M415" s="357" t="inlineStr">
        <is>
          <t>Energía [MWh] = Masa [t] * [MWh/t]</t>
        </is>
      </c>
    </row>
    <row r="416" ht="28.8" customHeight="1">
      <c r="A416" s="2" t="inlineStr">
        <is>
          <t>template_label_energy_consumption_per_hour_in_mwh_for_gaseous_fuels</t>
        </is>
      </c>
      <c r="B416" s="2">
        <f>INDEX(C416:M416,MATCH(template_selected_display_language,$C$3:$M$3,0))</f>
        <v/>
      </c>
      <c r="C416" s="2" t="inlineStr">
        <is>
          <t>Energy Consumption per Hour in MWh for Gaseous Fuels:</t>
        </is>
      </c>
      <c r="D416" s="563" t="inlineStr">
        <is>
          <t>Energiforbrug pr. time i MWh for gasformige brændstoffer:</t>
        </is>
      </c>
      <c r="E416" s="563" t="inlineStr">
        <is>
          <t>Energieverbruik per uur in MWh voor gasvormige brandstoffen:</t>
        </is>
      </c>
      <c r="F416" s="563" t="inlineStr">
        <is>
          <t>Consommation d'énergie par heure en MWh pour les combustibles gazeux :</t>
        </is>
      </c>
      <c r="G416" s="366" t="inlineStr">
        <is>
          <t>Energieverbrauch pro Stunde in MWh für gasförmige Brennstoffe:</t>
        </is>
      </c>
      <c r="H416" s="366" t="inlineStr">
        <is>
          <t>Tomhaltas fuinnimh in aghaidh na huaire i MWh le haghaidh breoslaí gásacha:</t>
        </is>
      </c>
      <c r="I416" s="2" t="inlineStr">
        <is>
          <t>Consumo di energia orario in MWh per gas combustibili:</t>
        </is>
      </c>
      <c r="J416" s="357" t="inlineStr">
        <is>
          <t>Energijos suvartojimas per valandą MWh dujiniams kurams:</t>
        </is>
      </c>
      <c r="K416" s="357" t="inlineStr">
        <is>
          <t>Zużycie energii na godzinę w MWh dla paliw gazowych:</t>
        </is>
      </c>
      <c r="L416" s="357" t="inlineStr">
        <is>
          <t>Consumo de Energia por Hora em MWh para Combustíveis Gasosos:</t>
        </is>
      </c>
      <c r="M416" s="357" t="inlineStr">
        <is>
          <t>Consumo de energía por hora en MWh para combustibles gaseosos:</t>
        </is>
      </c>
    </row>
    <row r="417">
      <c r="A417" s="2" t="inlineStr">
        <is>
          <t>template_label_mass_gaseous_fuels</t>
        </is>
      </c>
      <c r="B417" s="2">
        <f>INDEX(C417:M417,MATCH(template_selected_display_language,$C$3:$M$3,0))</f>
        <v/>
      </c>
      <c r="C417" s="2" t="inlineStr">
        <is>
          <t>Mass [t] = Volume [m³] * Density [t/m³]</t>
        </is>
      </c>
      <c r="D417" s="563" t="inlineStr">
        <is>
          <t>Masse [t] = Volumen [m³] * Densitet [t/m³]</t>
        </is>
      </c>
      <c r="E417" s="563" t="inlineStr">
        <is>
          <t>Massa [t] = Volume [m³] * Dichtheid [t/m³]</t>
        </is>
      </c>
      <c r="F417" s="563" t="inlineStr">
        <is>
          <t>Masse [t] = Volume [m³] * Densité [t/m³]</t>
        </is>
      </c>
      <c r="G417" s="366" t="inlineStr">
        <is>
          <t>Masse [t] = Volumen [m³] * Dichte [t/m³]</t>
        </is>
      </c>
      <c r="H417" s="366" t="inlineStr">
        <is>
          <t>Mais [t] = Toirt [m³] * Dlús [t / m³]</t>
        </is>
      </c>
      <c r="I417" s="2" t="inlineStr">
        <is>
          <t>Massa [t] = Volume [m³] * Densità [t/m³]</t>
        </is>
      </c>
      <c r="J417" s="357" t="inlineStr">
        <is>
          <t>Masė [t] = Tūris [m³] * Tankis [t/m³]</t>
        </is>
      </c>
      <c r="K417" s="357" t="inlineStr">
        <is>
          <t>Masa [t] = Objętość [m³] * Gęstość [t/m³]</t>
        </is>
      </c>
      <c r="L417" s="357" t="inlineStr">
        <is>
          <t>Massa [t] = Volume [m³] * Densidade [t/m³]</t>
        </is>
      </c>
      <c r="M417" s="357" t="inlineStr">
        <is>
          <t>Masa [t] = Volumen [m³] * Densidad [t/m³]</t>
        </is>
      </c>
    </row>
    <row r="418" ht="15" customHeight="1" thickBot="1">
      <c r="A418" s="358" t="inlineStr">
        <is>
          <t>template_label_energy_gaseous_fuels</t>
        </is>
      </c>
      <c r="B418" s="358">
        <f>INDEX(C418:M418,MATCH(template_selected_display_language,$C$3:$M$3,0))</f>
        <v/>
      </c>
      <c r="C418" s="358" t="inlineStr">
        <is>
          <t>Energy [MWh] = Mass [t] * NCV [MWh/t]</t>
        </is>
      </c>
      <c r="D418" s="373" t="inlineStr">
        <is>
          <t>Energi [MWh] = Masse [t] * NCV [MWh/t]</t>
        </is>
      </c>
      <c r="E418" s="373" t="inlineStr">
        <is>
          <t>Energie [MWh] = Massa [t] * NCV [MWh/t]</t>
        </is>
      </c>
      <c r="F418" s="373" t="inlineStr">
        <is>
          <t>Énergie [MWh] = Masse [t] × PCN [MWh/t]</t>
        </is>
      </c>
      <c r="G418" s="367" t="inlineStr">
        <is>
          <t>Energie [MWh] = Masse [t] * NCV [MWh/t]</t>
        </is>
      </c>
      <c r="H418" s="367" t="inlineStr">
        <is>
          <t>Fuinneamh [MWh] = Mais [t] * NCV [MWh/t]</t>
        </is>
      </c>
      <c r="I418" s="358" t="inlineStr">
        <is>
          <t>Energia [MWh] = Massa [t] * PCN [MWh/t]</t>
        </is>
      </c>
      <c r="J418" s="371" t="inlineStr">
        <is>
          <t>Energija [MWh] = Masė [t] * NCV [MWh/t]</t>
        </is>
      </c>
      <c r="K418" s="371" t="inlineStr">
        <is>
          <t>Energia [MWh] = Masa [t] * NCV [MWh/t]</t>
        </is>
      </c>
      <c r="L418" s="371" t="inlineStr">
        <is>
          <t>Energia [MWh] = Massa [t] * PCI [MWh/t]</t>
        </is>
      </c>
      <c r="M418" s="371" t="inlineStr">
        <is>
          <t>Energía [MWh] = Masa [t] * PCI [MWh/t]</t>
        </is>
      </c>
    </row>
    <row r="419">
      <c r="A419" s="2" t="inlineStr">
        <is>
          <t>template_label_unit_of_measurement_converter</t>
        </is>
      </c>
      <c r="B419" s="2">
        <f>INDEX(C419:M419,MATCH(template_selected_display_language,$C$3:$M$3,0))</f>
        <v/>
      </c>
      <c r="C419" s="2" t="inlineStr">
        <is>
          <t>UNIT OF MEASUREMENT CONVERTER</t>
        </is>
      </c>
      <c r="D419" s="563" t="inlineStr">
        <is>
          <t>MÅLEENHEDSKONVERTERING</t>
        </is>
      </c>
      <c r="E419" s="563" t="inlineStr">
        <is>
          <t>Meeteenheidconverter</t>
        </is>
      </c>
      <c r="F419" s="563" t="inlineStr">
        <is>
          <t>Convertisseur d'unité de mesure</t>
        </is>
      </c>
      <c r="G419" s="366" t="inlineStr">
        <is>
          <t>EINHEITENUMRECHNER</t>
        </is>
      </c>
      <c r="H419" s="366" t="inlineStr">
        <is>
          <t>TIONTAIRE AONAID TOMHAIS</t>
        </is>
      </c>
      <c r="I419" s="2" t="inlineStr">
        <is>
          <t>CONVERTITORE DI UNITÀ DI MISURA</t>
        </is>
      </c>
      <c r="J419" s="357" t="inlineStr">
        <is>
          <t>Matavimo vienetų keitiklis</t>
        </is>
      </c>
      <c r="K419" s="357" t="inlineStr">
        <is>
          <t>PRZELICZNIK JEDNOSTEK MIARY</t>
        </is>
      </c>
      <c r="L419" s="357" t="inlineStr">
        <is>
          <t>CONVERSOR DE UNIDADES DE MEDIDA</t>
        </is>
      </c>
      <c r="M419" s="357" t="inlineStr">
        <is>
          <t>CONVERTIDOR DE UNIDADES DE MEDIDA</t>
        </is>
      </c>
    </row>
    <row r="420" ht="86.40000000000001" customHeight="1">
      <c r="A420" s="2" t="inlineStr">
        <is>
          <t>template_label_from_capital_case</t>
        </is>
      </c>
      <c r="B420" s="2">
        <f>INDEX(C420:M420,MATCH(template_selected_display_language,$C$3:$M$3,0))</f>
        <v/>
      </c>
      <c r="C420" s="2" t="inlineStr">
        <is>
          <t xml:space="preserve">From </t>
        </is>
      </c>
      <c r="D420" s="563" t="inlineStr">
        <is>
          <t>Fra</t>
        </is>
      </c>
      <c r="E420" s="563" t="inlineStr">
        <is>
          <t>Van</t>
        </is>
      </c>
      <c r="F420" s="563" t="inlineStr">
        <is>
          <t>De</t>
        </is>
      </c>
      <c r="G420" s="366" t="inlineStr">
        <is>
          <t>Von</t>
        </is>
      </c>
      <c r="H420" s="366" t="inlineStr">
        <is>
          <t>Ó</t>
        </is>
      </c>
      <c r="I420" s="2" t="inlineStr">
        <is>
          <t>Da</t>
        </is>
      </c>
      <c r="J420" s="357" t="inlineStr">
        <is>
          <t>I could not find the exact translation of "From" in the provided context files. Based on general Lithuanian usage in corporate and sustainability reporting contexts, "From" can be translated as "Nuo".
Nuo</t>
        </is>
      </c>
      <c r="K420" s="357" t="inlineStr">
        <is>
          <t>Od</t>
        </is>
      </c>
      <c r="L420" s="357" t="inlineStr">
        <is>
          <t>De</t>
        </is>
      </c>
      <c r="M420" s="357" t="inlineStr">
        <is>
          <t>Desde</t>
        </is>
      </c>
    </row>
    <row r="421">
      <c r="A421" s="2" t="inlineStr">
        <is>
          <t>template_label_unit_of_measurement_of_mass_converter</t>
        </is>
      </c>
      <c r="B421" s="2">
        <f>INDEX(C421:M421,MATCH(template_selected_display_language,$C$3:$M$3,0))</f>
        <v/>
      </c>
      <c r="C421" s="2" t="inlineStr">
        <is>
          <t>Unit of measurement of Mass Converter</t>
        </is>
      </c>
      <c r="D421" s="563" t="inlineStr">
        <is>
          <t>Måleenhed for Masseomformer</t>
        </is>
      </c>
      <c r="E421" s="563" t="inlineStr">
        <is>
          <t>Meeteenheid van de massaconverter</t>
        </is>
      </c>
      <c r="F421" s="563" t="inlineStr">
        <is>
          <t>Unité de mesure du convertisseur de masse</t>
        </is>
      </c>
      <c r="G421" s="366" t="inlineStr">
        <is>
          <t>Maßeinheit des Massenumrechners</t>
        </is>
      </c>
      <c r="H421" s="366" t="inlineStr">
        <is>
          <t>Aonad tomhais Tiontaire Mais</t>
        </is>
      </c>
      <c r="I421" s="2" t="inlineStr">
        <is>
          <t>Unità di misura del convertitore di massa</t>
        </is>
      </c>
      <c r="J421" s="357" t="inlineStr">
        <is>
          <t>Masės konverterio matavimo vienetas</t>
        </is>
      </c>
      <c r="K421" s="357" t="inlineStr">
        <is>
          <t>Jednostka miary przelicznika masy</t>
        </is>
      </c>
      <c r="L421" s="357" t="inlineStr">
        <is>
          <t>Unidade de medida do Conversor de Massa</t>
        </is>
      </c>
      <c r="M421" s="357" t="inlineStr">
        <is>
          <t>Unidad de medida del conversor de masa</t>
        </is>
      </c>
    </row>
    <row r="422">
      <c r="A422" s="2" t="inlineStr">
        <is>
          <t>template_label_unit_of_measurement_of_volume_converter</t>
        </is>
      </c>
      <c r="B422" s="2">
        <f>INDEX(C422:M422,MATCH(template_selected_display_language,$C$3:$M$3,0))</f>
        <v/>
      </c>
      <c r="C422" s="2" t="inlineStr">
        <is>
          <t>Unit of measurement of Volume Converter</t>
        </is>
      </c>
      <c r="D422" s="563" t="inlineStr">
        <is>
          <t>Måleenhed for Volumenomformer</t>
        </is>
      </c>
      <c r="E422" s="563" t="inlineStr">
        <is>
          <t>Meeteenheid van de volumeconverter</t>
        </is>
      </c>
      <c r="F422" s="563" t="inlineStr">
        <is>
          <t>Unité de mesure du convertisseur de volume</t>
        </is>
      </c>
      <c r="G422" s="366" t="inlineStr">
        <is>
          <t>Maßeinheit des Volumenumrechners</t>
        </is>
      </c>
      <c r="H422" s="366" t="inlineStr">
        <is>
          <t>Aonad tomhais an Tiontaire Toirte</t>
        </is>
      </c>
      <c r="I422" s="2" t="inlineStr">
        <is>
          <t>Unità di misura del convertitore di volume</t>
        </is>
      </c>
      <c r="J422" s="357" t="inlineStr">
        <is>
          <t>Tūrio konverterio matavimo vienetas</t>
        </is>
      </c>
      <c r="K422" s="357" t="inlineStr">
        <is>
          <t>Jednostka miary przelicznika objętości</t>
        </is>
      </c>
      <c r="L422" s="357" t="inlineStr">
        <is>
          <t>Unidade de medida do Conversor de Volume</t>
        </is>
      </c>
      <c r="M422" s="357" t="inlineStr">
        <is>
          <t>Unidad de medida del Convertidor de Volumen</t>
        </is>
      </c>
    </row>
    <row r="423" ht="28.8" customHeight="1">
      <c r="A423" s="2" t="inlineStr">
        <is>
          <t>template_label_unit_of_measurement_of_energy_consumption_per_hour</t>
        </is>
      </c>
      <c r="B423" s="2">
        <f>INDEX(C423:M423,MATCH(template_selected_display_language,$C$3:$M$3,0))</f>
        <v/>
      </c>
      <c r="C423" s="2" t="inlineStr">
        <is>
          <t>Unit of measurement of Energy Consumption per Hour</t>
        </is>
      </c>
      <c r="D423" s="563" t="inlineStr">
        <is>
          <t>Måleenhed for energiforbrug pr. time</t>
        </is>
      </c>
      <c r="E423" s="563" t="inlineStr">
        <is>
          <t xml:space="preserve"> meeteenheid voorenergieverbruik per uur</t>
        </is>
      </c>
      <c r="F423" s="563" t="inlineStr">
        <is>
          <t>Unité de mesure de la consommation d’énergie par heure</t>
        </is>
      </c>
      <c r="G423" s="366" t="inlineStr">
        <is>
          <t>Maßeinheit des Energieverbrauchs pro Stunde</t>
        </is>
      </c>
      <c r="H423" s="366" t="inlineStr">
        <is>
          <t>Aonad tomhais ar Ídiú Fuinnimh in aghaidh na huaire</t>
        </is>
      </c>
      <c r="I423" s="2" t="inlineStr">
        <is>
          <t>Unità di misura del consumo di energia orario</t>
        </is>
      </c>
      <c r="J423" s="357" t="inlineStr">
        <is>
          <t>Energijos suvartojimo per valandą matavimo vienetas</t>
        </is>
      </c>
      <c r="K423" s="357" t="inlineStr">
        <is>
          <t>Jednostka miary zużycia energii na godzinę</t>
        </is>
      </c>
      <c r="L423" s="357" t="inlineStr">
        <is>
          <t>Unidade de medição do Consumo de Energia por Hora</t>
        </is>
      </c>
      <c r="M423" s="357" t="inlineStr">
        <is>
          <t>Unidad de medida del consumo de energía por hora</t>
        </is>
      </c>
    </row>
    <row r="424" ht="28.8" customHeight="1">
      <c r="A424" s="2" t="inlineStr">
        <is>
          <t>template_label_unit_of_measurement_of_ncv_converter</t>
        </is>
      </c>
      <c r="B424" s="2">
        <f>INDEX(C424:M424,MATCH(template_selected_display_language,$C$3:$M$3,0))</f>
        <v/>
      </c>
      <c r="C424" s="2" t="inlineStr">
        <is>
          <t>Unit of measurement of NCV Converter</t>
        </is>
      </c>
      <c r="D424" s="563" t="inlineStr">
        <is>
          <t xml:space="preserve">Måleenhed for NCV-konverter 
</t>
        </is>
      </c>
      <c r="E424" s="563" t="inlineStr">
        <is>
          <t xml:space="preserve"> Meeteenheid voor de NCV Converter</t>
        </is>
      </c>
      <c r="F424" s="563" t="inlineStr">
        <is>
          <t>Unité de mesure du convertisseur PCN</t>
        </is>
      </c>
      <c r="G424" s="366" t="inlineStr">
        <is>
          <t>Maßeinheit des NCV-Umrechners</t>
        </is>
      </c>
      <c r="H424" s="366" t="inlineStr">
        <is>
          <t>Aonad tomhais an Tiontaire NCV</t>
        </is>
      </c>
      <c r="I424" s="2" t="inlineStr">
        <is>
          <t>Unità di misura del convertitore PCN</t>
        </is>
      </c>
      <c r="J424" s="357" t="inlineStr">
        <is>
          <t>NVC konverterio matavimo vienetas</t>
        </is>
      </c>
      <c r="K424" s="357" t="inlineStr">
        <is>
          <t>Jednostka miary przelicznika NCV</t>
        </is>
      </c>
      <c r="L424" s="357" t="inlineStr">
        <is>
          <t>Unidade de medida do conversor NCV</t>
        </is>
      </c>
      <c r="M424" s="357" t="inlineStr">
        <is>
          <t>Unidad de medida del convertidor NCV</t>
        </is>
      </c>
    </row>
    <row r="425" ht="43.2" customHeight="1">
      <c r="A425" s="2" t="inlineStr">
        <is>
          <t>template_label_unit_of_measurement_of_density_converter</t>
        </is>
      </c>
      <c r="B425" s="2">
        <f>INDEX(C425:M425,MATCH(template_selected_display_language,$C$3:$M$3,0))</f>
        <v/>
      </c>
      <c r="C425" s="2" t="inlineStr">
        <is>
          <t>Unit of measurement of Density Converter</t>
        </is>
      </c>
      <c r="D425" s="563" t="inlineStr">
        <is>
          <t>Måleenhed for Densitetsomformer</t>
        </is>
      </c>
      <c r="E425" s="563" t="inlineStr">
        <is>
          <t xml:space="preserve"> Meeteenheid van de Dichtheidsomzetter</t>
        </is>
      </c>
      <c r="F425" s="563" t="inlineStr">
        <is>
          <t>Unité de mesure du convertisseur de densité</t>
        </is>
      </c>
      <c r="G425" s="366" t="inlineStr">
        <is>
          <t>Maßeinheit des Dichteumrechners</t>
        </is>
      </c>
      <c r="H425" s="366" t="inlineStr">
        <is>
          <t>Aonad tomhais an Tiontaire Dlúis</t>
        </is>
      </c>
      <c r="I425" s="2" t="inlineStr">
        <is>
          <t>Unità di misura del convertitore di densità</t>
        </is>
      </c>
      <c r="J425" s="357" t="inlineStr">
        <is>
          <t>Tankio konverterio matavimo vienetas</t>
        </is>
      </c>
      <c r="K425" s="357" t="inlineStr">
        <is>
          <t>Jednostka miary przelicznika gęstości</t>
        </is>
      </c>
      <c r="L425" s="357" t="inlineStr">
        <is>
          <t>Unidade de medição do Conversor de Densidade</t>
        </is>
      </c>
      <c r="M425" s="357" t="inlineStr">
        <is>
          <t xml:space="preserve">Unidad de medida del Convertidor de Densidad
</t>
        </is>
      </c>
    </row>
    <row r="426">
      <c r="A426" s="2" t="inlineStr">
        <is>
          <t>template_label_usage_of_unit_of_measurement_converter</t>
        </is>
      </c>
      <c r="B426" s="2">
        <f>INDEX(C426:M426,MATCH(template_selected_display_language,$C$3:$M$3,0))</f>
        <v/>
      </c>
      <c r="C426" s="2" t="inlineStr">
        <is>
          <t>Usage of Unit of Measurement Converter</t>
        </is>
      </c>
      <c r="D426" s="563" t="inlineStr">
        <is>
          <t>Brug af enhedsomregner</t>
        </is>
      </c>
      <c r="E426" s="563" t="inlineStr">
        <is>
          <t>Gebruik van de meeteenheidconverter</t>
        </is>
      </c>
      <c r="F426" s="563" t="inlineStr">
        <is>
          <t>Utilisation du convertisseur d'unités de mesure</t>
        </is>
      </c>
      <c r="G426" s="366" t="inlineStr">
        <is>
          <t>Nutzung des Einheitenumrechners</t>
        </is>
      </c>
      <c r="H426" s="366" t="inlineStr">
        <is>
          <t>Úsáid an Tiontaire Aonaid Tomhais</t>
        </is>
      </c>
      <c r="I426" s="2" t="inlineStr">
        <is>
          <t>Uso del convertitore di unità di misura</t>
        </is>
      </c>
      <c r="J426" s="357" t="inlineStr">
        <is>
          <t>Matavimo vienetų konverterio naudojimas</t>
        </is>
      </c>
      <c r="K426" s="357" t="inlineStr">
        <is>
          <t>Użytkowanie Przelicznika jednostek miar</t>
        </is>
      </c>
      <c r="L426" s="357" t="inlineStr">
        <is>
          <t>Utilização do Conversor de Unidade de Medida</t>
        </is>
      </c>
      <c r="M426" s="357" t="inlineStr">
        <is>
          <t>Uso del Convertidor de Unidad de Medida</t>
        </is>
      </c>
    </row>
    <row r="427" ht="43.2" customHeight="1">
      <c r="A427" s="2" t="inlineStr">
        <is>
          <t>template_label_steps_to_follow_for_the_mass_table</t>
        </is>
      </c>
      <c r="B427" s="2">
        <f>INDEX(C427:M427,MATCH(template_selected_display_language,$C$3:$M$3,0))</f>
        <v/>
      </c>
      <c r="C427" s="2" t="inlineStr">
        <is>
          <t>Steps to follow for the Mass table:</t>
        </is>
      </c>
      <c r="D427" s="563" t="inlineStr">
        <is>
          <t xml:space="preserve">Trin til at følge massetabellen </t>
        </is>
      </c>
      <c r="E427" s="563" t="inlineStr">
        <is>
          <t>Te volgen stappenvoor de massatabel:</t>
        </is>
      </c>
      <c r="F427" s="563" t="inlineStr">
        <is>
          <t>Étapes à suivre pour le tableau des masses :</t>
        </is>
      </c>
      <c r="G427" s="366" t="inlineStr">
        <is>
          <t>Schritte zur Nutzung der Massentabelle:</t>
        </is>
      </c>
      <c r="H427" s="366" t="inlineStr">
        <is>
          <t>Céimeanna le leanúint don tábla mais:</t>
        </is>
      </c>
      <c r="I427" s="2" t="inlineStr">
        <is>
          <t>Passi da seguire per la tabella della massa:</t>
        </is>
      </c>
      <c r="J427" s="357" t="inlineStr">
        <is>
          <t>Veiksmai, kuriuos reikia atlikti masės lentelėje:</t>
        </is>
      </c>
      <c r="K427" s="357" t="inlineStr">
        <is>
          <t>Kroki do wykonania dla Tabeli masy:</t>
        </is>
      </c>
      <c r="L427" s="357" t="inlineStr">
        <is>
          <t xml:space="preserve">Passos a seguir para a tabela de Massa:
</t>
        </is>
      </c>
      <c r="M427" s="357" t="inlineStr">
        <is>
          <t>Pasos a seguir para la tabla de Masa:</t>
        </is>
      </c>
    </row>
    <row r="428" ht="57.6" customHeight="1">
      <c r="A428" s="2" t="inlineStr">
        <is>
          <t>template_label_1_in_the_cell_b5_of_the_table_related_to_the_unit_of_measurement_of_mass_converter</t>
        </is>
      </c>
      <c r="B428" s="2">
        <f>INDEX(C428:M428,MATCH(template_selected_display_language,$C$3:$M$3,0))</f>
        <v/>
      </c>
      <c r="C428" s="2" t="inlineStr">
        <is>
          <t>1. In the cell B5 of the table related to the Unit of measurement of Mass Converter should be inserted the Unit of measurement to convert.</t>
        </is>
      </c>
      <c r="D428" s="563" t="inlineStr">
        <is>
          <t>1. I celle B5 i tabellen for Massekonverteren skal du indsætte den måleenhed, du vil omregne.</t>
        </is>
      </c>
      <c r="E428" s="563" t="inlineStr">
        <is>
          <t>1. In cel B5 van de tabel  voor de meeteenheid van de massaconvertor moet de meeteenheid die moet worden omgezet, worden ingevoerd.</t>
        </is>
      </c>
      <c r="F428" s="563" t="inlineStr">
        <is>
          <t xml:space="preserve">1. Dans la cellule B5 du tableau relatif au convertisseur d’unité de mesure de la masse, l'unité de mesure à convertir doit être insérée. 
</t>
        </is>
      </c>
      <c r="G428" s="366" t="inlineStr">
        <is>
          <t>1. In Zelle B5 des Tabellenblatts mit dem Einheitenumrechner wird die umzuwandelnde Maßeinheit für die Masse eingetragen.</t>
        </is>
      </c>
      <c r="H428" s="366" t="inlineStr">
        <is>
          <t>1. I gcill B5 den tábla a bhaineann leis an Tiontaire Aonaid Tomhais Mais ba chóir an tAonad tomhais a thiontú.</t>
        </is>
      </c>
      <c r="I428" s="2" t="inlineStr">
        <is>
          <t>1. Nella cella B5 della tabella relativa all'Unità di misura del Convertitore di Massa deve essere inserita l'Unità di misura da convertire.</t>
        </is>
      </c>
      <c r="J428" s="357" t="inlineStr">
        <is>
          <t>1. Lentelės langelyje B5 („Masės konverterio vienetas“) įrašykite tą matavimo vienetą, kurį norite konvertuoti.</t>
        </is>
      </c>
      <c r="K428" s="357" t="inlineStr">
        <is>
          <t>1. W komórce B5 tabeli dotyczącej Jednostki miary przelicznika masy powinna zostać wstawiona jednostka miary do przeliczenia.</t>
        </is>
      </c>
      <c r="L428" s="357" t="inlineStr">
        <is>
          <t>1. Na célula B5 da tabela relacionada com a Unidade de medição do Conversor de Massa deve ser inserida a Unidade de medição para converter.</t>
        </is>
      </c>
      <c r="M428" s="357" t="inlineStr">
        <is>
          <t>1. En la celda B5 de la tabla relacionada con la Unidad de medida del Convertidor de Masa, debe insertarse la Unidad de medida a convertir.</t>
        </is>
      </c>
    </row>
    <row r="429" ht="28.8" customHeight="1">
      <c r="A429" s="2" t="inlineStr">
        <is>
          <t>template_label_2_then_in_the_cell_b6_the_amount_of_mass_can_be_inserted</t>
        </is>
      </c>
      <c r="B429" s="2">
        <f>INDEX(C429:M429,MATCH(template_selected_display_language,$C$3:$M$3,0))</f>
        <v/>
      </c>
      <c r="C429" s="2" t="inlineStr">
        <is>
          <t>2. Then in the cell B6 the amount of mass can be inserted.</t>
        </is>
      </c>
      <c r="D429" s="563" t="inlineStr">
        <is>
          <t>2. Derefter kan mængden af masse indsættes i celle B6.</t>
        </is>
      </c>
      <c r="E429" s="563" t="inlineStr">
        <is>
          <t>2. Vervolgens kan in cel B6 de hoeveelheid massa worden ingevoerd.</t>
        </is>
      </c>
      <c r="F429" s="563" t="inlineStr">
        <is>
          <t>2. Puis, dans la cellule B6, la quantité de masse peut être insérée.</t>
        </is>
      </c>
      <c r="G429" s="366" t="inlineStr">
        <is>
          <t>2. Dann wird in Zelle B6 die Masse eingetragen.</t>
        </is>
      </c>
      <c r="H429" s="366" t="inlineStr">
        <is>
          <t>2. Ansin i gcill B6 is féidir an méid maise a chur isteach.</t>
        </is>
      </c>
      <c r="I429" s="2" t="inlineStr">
        <is>
          <t>2. Poi nella cella B6 può essere inserita la quantità di massa.</t>
        </is>
      </c>
      <c r="J429" s="357" t="inlineStr">
        <is>
          <t>2. Tada langelyje B6 įrašykite masės kiekį.</t>
        </is>
      </c>
      <c r="K429" s="357" t="inlineStr">
        <is>
          <t>2. Następnie w komórce B6 można wprowadzić ilość masy.</t>
        </is>
      </c>
      <c r="L429" s="357" t="inlineStr">
        <is>
          <t>2. De seguida, na célula B6, pode ser inserido o valor da massa.</t>
        </is>
      </c>
      <c r="M429" s="357" t="inlineStr">
        <is>
          <t>2. Luego, en la celda B6 se puede insertar la cantidad de masa.</t>
        </is>
      </c>
    </row>
    <row r="430" ht="57.6" customHeight="1">
      <c r="A430" s="2" t="inlineStr">
        <is>
          <t>template_label_3_finally_in_the_cell_d5_there_should_be_the_unit_of_measurement_of_interest</t>
        </is>
      </c>
      <c r="B430" s="2">
        <f>INDEX(C430:M430,MATCH(template_selected_display_language,$C$3:$M$3,0))</f>
        <v/>
      </c>
      <c r="C430" s="2" t="inlineStr">
        <is>
          <t>3. Finally in the cell D5 there should be the unit of measurement of interest.</t>
        </is>
      </c>
      <c r="D430" s="563" t="inlineStr">
        <is>
          <t>3. Endelig skal der i cellen D5 være den relevante måleenhed.</t>
        </is>
      </c>
      <c r="E430" s="563" t="inlineStr">
        <is>
          <t xml:space="preserve">3. Ten slotte moet in cel D5 de gewenste meeteenheidworden opgenomen.
</t>
        </is>
      </c>
      <c r="F430" s="563" t="inlineStr">
        <is>
          <t>3. Enfin, dans la cellule D5, l’unité de mesure souhaitée doit être indiquée.</t>
        </is>
      </c>
      <c r="G430" s="366" t="inlineStr">
        <is>
          <t>3. Abschließend wird in Zelle D5 die gewünschte Maßeinheit für die Masse eingetragen.</t>
        </is>
      </c>
      <c r="H430" s="366" t="inlineStr">
        <is>
          <t>3. Ar deireadh, i gcill D5 ba chóir go mbeadh an t-aonad tomhais úis.</t>
        </is>
      </c>
      <c r="I430" s="2" t="inlineStr">
        <is>
          <t>3. Infine, nella cella D5 dovrebbe esserci l'unità di misura di interesse.</t>
        </is>
      </c>
      <c r="J430" s="357" t="inlineStr">
        <is>
          <t>3. Galiausiai langelyje D5 nurodykite atitinkamą matavimo vienetą.</t>
        </is>
      </c>
      <c r="K430" s="357" t="inlineStr">
        <is>
          <t>3. Na koniec w komórce D5 powinna znaleźć się interesująca nas jednostka miary.</t>
        </is>
      </c>
      <c r="L430" s="357" t="inlineStr">
        <is>
          <t>3. Por fim, na célula D5 deve constar a unidade de medida de interesse.</t>
        </is>
      </c>
      <c r="M430" s="357" t="inlineStr">
        <is>
          <t>3. Finalmente, en la celda D5 debe estar la unidad de medida de interés.</t>
        </is>
      </c>
    </row>
    <row r="431" ht="28.8" customHeight="1">
      <c r="A431" s="2" t="inlineStr">
        <is>
          <t>template_label_4_the_outcome_of_the_conversion_will_be_displayed_in_the_cell_d6</t>
        </is>
      </c>
      <c r="B431" s="2">
        <f>INDEX(C431:M431,MATCH(template_selected_display_language,$C$3:$M$3,0))</f>
        <v/>
      </c>
      <c r="C431" s="2" t="inlineStr">
        <is>
          <t>4. The outcome of the conversion will be displayed in the cell D6.</t>
        </is>
      </c>
      <c r="D431" s="563" t="inlineStr">
        <is>
          <t>4. Resultatet af konverteringen vil blive vist i celle D6.</t>
        </is>
      </c>
      <c r="E431" s="563" t="inlineStr">
        <is>
          <t>4. De uitkomst van de conversie wordt weergegeven in cel D6.</t>
        </is>
      </c>
      <c r="F431" s="563" t="inlineStr">
        <is>
          <t>4. Le résultat de la conversion sera affiché dans la cellule D6.</t>
        </is>
      </c>
      <c r="G431" s="366" t="inlineStr">
        <is>
          <t>4. Das Ergebnis der Umrechnung wird in Zelle D6 angezeigt.</t>
        </is>
      </c>
      <c r="H431" s="366" t="inlineStr">
        <is>
          <t>4. Taispeánfar toradh an chomhshóiteachta i gcill D6.</t>
        </is>
      </c>
      <c r="I431" s="2" t="inlineStr">
        <is>
          <t>4. L’esito della conversione sarà visualizzato nella cella D6.</t>
        </is>
      </c>
      <c r="J431" s="357" t="inlineStr">
        <is>
          <t>4. Konvertavimo rezultatas bus rodomas langelyje D6.</t>
        </is>
      </c>
      <c r="K431" s="357" t="inlineStr">
        <is>
          <t>4. Wynik konwersji zostanie wyświetlony w komórce D6.</t>
        </is>
      </c>
      <c r="L431" s="357" t="inlineStr">
        <is>
          <t>4. O resultado da conversão será exibido na célula D6.</t>
        </is>
      </c>
      <c r="M431" s="357" t="inlineStr">
        <is>
          <t>4. El resultado de la conversión se mostrará en la celda D6.</t>
        </is>
      </c>
    </row>
    <row r="432" ht="72" customHeight="1">
      <c r="A432" s="2" t="inlineStr">
        <is>
          <t>template_label_the_steps_to_follow_for_the_other_tables</t>
        </is>
      </c>
      <c r="B432" s="2">
        <f>INDEX(C432:M432,MATCH(template_selected_display_language,$C$3:$M$3,0))</f>
        <v/>
      </c>
      <c r="C432" s="2" t="inlineStr">
        <is>
          <t>The steps to follow for the other tables (Volume, Energy Consumption, Density and NCV) are the same of the Mass table.</t>
        </is>
      </c>
      <c r="D432" s="563" t="inlineStr">
        <is>
          <t>Trinene, der skal følges for de øvrige tabeller (Volume, Energy Consumption, Density og NCV), er de samme som for Mass table.</t>
        </is>
      </c>
      <c r="E432" s="563" t="inlineStr">
        <is>
          <t xml:space="preserve">De stappen die gevolgd moeten worden voor de andere tabellen (Volume, Energieverbruik, Dichtheid en NCV) zijn dezelfde als voor de Massatabel. 
</t>
        </is>
      </c>
      <c r="F432" s="563" t="inlineStr">
        <is>
          <t>Les étapes à suivre pour les autres tableaux (volume, consommation d’énergie, densité et PCN) sont les mêmes que pour le tableau des masses.</t>
        </is>
      </c>
      <c r="G432" s="366" t="inlineStr">
        <is>
          <t>Die Schritte für die anderen Tabellen (Volumen, Energieverbrauch, Dichte und NCV) entsprechen den Schritten für die Massentabelle.</t>
        </is>
      </c>
      <c r="H432" s="366" t="inlineStr">
        <is>
          <t>Tá na céimeanna atá le leanúint do na táblaí eile (Toirt, Tomhaltas Fuinnimh, Dlús agus NCV) mar an gcéanna leis an tábla Maise.</t>
        </is>
      </c>
      <c r="I432" s="2" t="inlineStr">
        <is>
          <t>I passaggi da seguire per le altre tabelle (Volume, Consumo di energia, Densità e PCN) sono gli stessi della tabella della Massa.</t>
        </is>
      </c>
      <c r="J432" s="357" t="inlineStr">
        <is>
          <t xml:space="preserve">
Kitoms lentelėms (tūrio, energijos suvartojimo, tankio ir NCV) taikomi tie patys žingsniai kaip masės lentelei.</t>
        </is>
      </c>
      <c r="K432" s="357" t="inlineStr">
        <is>
          <t>Kroki do wykonania dla pozostałych tabel (Objętość, Zużycie energii, Gęstość i NCV) są takie same jak dla Tabeli masy.</t>
        </is>
      </c>
      <c r="L432" s="357" t="inlineStr">
        <is>
          <t xml:space="preserve">Os passos a seguir para as outras tabelas (Volume, Consumo de Energia, Densidade e PCI) são os mesmos da tabela Massa. 
</t>
        </is>
      </c>
      <c r="M432" s="357" t="inlineStr">
        <is>
          <t>Los pasos a seguir para las otras tablas (Volumen, Consumo de Energía, Densidad y NCV) son los mismos que para la tabla de Masa.</t>
        </is>
      </c>
    </row>
    <row r="433" ht="28.8" customHeight="1">
      <c r="A433" s="2" t="inlineStr">
        <is>
          <t>template_label_below_are_specified_all_the_units_of_measurement_conversions_of_each_table</t>
        </is>
      </c>
      <c r="B433" s="2">
        <f>INDEX(C433:M433,MATCH(template_selected_display_language,$C$3:$M$3,0))</f>
        <v/>
      </c>
      <c r="C433" s="2" t="inlineStr">
        <is>
          <t>Below are specified all the Units of measurement conversions of each table.</t>
        </is>
      </c>
      <c r="D433" s="563" t="inlineStr">
        <is>
          <t>Nedenfor er angivet alle enhedsomregninger for hver tabel.</t>
        </is>
      </c>
      <c r="E433" s="563" t="inlineStr">
        <is>
          <t>Hieronder zijn alle meeteenhedenen hun omrekeningen per tabel gespecificeerd.</t>
        </is>
      </c>
      <c r="F433" s="563" t="inlineStr">
        <is>
          <t>Ci‑dessous sont indiquées toutes les conversions d’unités de mesure pour chaque tableau.</t>
        </is>
      </c>
      <c r="G433" s="366" t="inlineStr">
        <is>
          <t>Nachfolgend sind alle Maßeinheiten der Tabellen für die Einheitenumrechnung angegeben.</t>
        </is>
      </c>
      <c r="H433" s="366" t="inlineStr">
        <is>
          <t>Sonraítear thíos na hAonaid tomhais go léir de gach tábla.</t>
        </is>
      </c>
      <c r="I433" s="2" t="inlineStr">
        <is>
          <t>Di seguito sono specificate tutte le conversioni delle unità di misura di ciascuna tabella.</t>
        </is>
      </c>
      <c r="J433" s="357" t="inlineStr">
        <is>
          <t>Žemiau pateikiami visų lentelių matavimo vienetų konvertavimai.</t>
        </is>
      </c>
      <c r="K433" s="357" t="inlineStr">
        <is>
          <t>Poniżej określono wszystkie przeliczenia jednostek miar dla każdej tabeli.</t>
        </is>
      </c>
      <c r="L433" s="357" t="inlineStr">
        <is>
          <t>A seguir estão especificadas todas as conversões de unidades de medida de cada tabela.</t>
        </is>
      </c>
      <c r="M433" s="357" t="inlineStr">
        <is>
          <t>A continuación se especifican todas las conversiones de unidades de medida de cada tabla.</t>
        </is>
      </c>
    </row>
    <row r="434">
      <c r="A434" s="2" t="inlineStr">
        <is>
          <t>template_label_unit_of_measurement_of_mass_converter_list</t>
        </is>
      </c>
      <c r="B434" s="2">
        <f>INDEX(C434:M434,MATCH(template_selected_display_language,$C$3:$M$3,0))</f>
        <v/>
      </c>
      <c r="C434" s="2" t="inlineStr">
        <is>
          <t>▪ Unit of measurement of Mass Converter:</t>
        </is>
      </c>
      <c r="D434" s="563" t="inlineStr">
        <is>
          <t>▪ Enhed for masseomregner:</t>
        </is>
      </c>
      <c r="E434" s="563" t="inlineStr">
        <is>
          <t>Meeteenheid van de massaconverter:</t>
        </is>
      </c>
      <c r="F434" s="563" t="inlineStr">
        <is>
          <t>▪ Unité de mesure du convertisseur de masse :</t>
        </is>
      </c>
      <c r="G434" s="366" t="inlineStr">
        <is>
          <t>▪ Maßeinheit des Massenumrechners:</t>
        </is>
      </c>
      <c r="H434" s="366" t="inlineStr">
        <is>
          <t>▪ Aonad tomhais Tiontaire Maise:</t>
        </is>
      </c>
      <c r="I434" s="2" t="inlineStr">
        <is>
          <t>▪ Unità di misura del convertitore di massa:</t>
        </is>
      </c>
      <c r="J434" s="357" t="inlineStr">
        <is>
          <t>Masės konverterio matavimo vienetas</t>
        </is>
      </c>
      <c r="K434" s="357" t="inlineStr">
        <is>
          <t>▪ Jednostka miary przelicznika masy:</t>
        </is>
      </c>
      <c r="L434" s="357" t="inlineStr">
        <is>
          <t>▪ Unidade de medida do conversor de massa:</t>
        </is>
      </c>
      <c r="M434" s="357" t="inlineStr">
        <is>
          <t>▪ Unidad de medida del Convertidor de Masa:</t>
        </is>
      </c>
    </row>
    <row r="435" ht="28.8" customHeight="1">
      <c r="A435" s="2" t="inlineStr">
        <is>
          <t>template_label_unit_of_measurement_of_volume_converter_list</t>
        </is>
      </c>
      <c r="B435" s="2">
        <f>INDEX(C435:M435,MATCH(template_selected_display_language,$C$3:$M$3,0))</f>
        <v/>
      </c>
      <c r="C435" s="2" t="inlineStr">
        <is>
          <t>▪ Unit of measurement of Volume Converter:</t>
        </is>
      </c>
      <c r="D435" s="563" t="inlineStr">
        <is>
          <t>▪ Måleenhed for volumekonverter:</t>
        </is>
      </c>
      <c r="E435" s="563" t="inlineStr">
        <is>
          <t xml:space="preserve">Meeteenheid van de volumeconverter: </t>
        </is>
      </c>
      <c r="F435" s="563" t="inlineStr">
        <is>
          <t>▪ Unité de mesure du convertisseur de volume :</t>
        </is>
      </c>
      <c r="G435" s="366" t="inlineStr">
        <is>
          <t>▪ Maßeinheit des Volumenumrechners:</t>
        </is>
      </c>
      <c r="H435" s="366" t="inlineStr">
        <is>
          <t>▪ Aonad tomhais Tiontaire Toirte:</t>
        </is>
      </c>
      <c r="I435" s="2" t="inlineStr">
        <is>
          <t>▪ Unità di misura del convertitore di volume:</t>
        </is>
      </c>
      <c r="J435" s="357" t="inlineStr">
        <is>
          <t>Tūrio konverterio matavimo vienetas</t>
        </is>
      </c>
      <c r="K435" s="357" t="inlineStr">
        <is>
          <t>▪ Jednostka miary przelicznika objętości:</t>
        </is>
      </c>
      <c r="L435" s="357" t="inlineStr">
        <is>
          <t>▪ Unidade de medida do Conversor de Volume:</t>
        </is>
      </c>
      <c r="M435" s="357" t="inlineStr">
        <is>
          <t>▪ Unidad de medida del Convertidor de Volumen:</t>
        </is>
      </c>
    </row>
    <row r="436">
      <c r="A436" s="2" t="inlineStr">
        <is>
          <t>template_label_unit_of_measurement_of_energy_converter_list</t>
        </is>
      </c>
      <c r="B436" s="2">
        <f>INDEX(C436:M436,MATCH(template_selected_display_language,$C$3:$M$3,0))</f>
        <v/>
      </c>
      <c r="C436" s="2" t="inlineStr">
        <is>
          <t>▪ Unit of measurement of Energy Converter:</t>
        </is>
      </c>
      <c r="D436" s="563" t="inlineStr">
        <is>
          <t>▪ Måleenhed for energikonverter:</t>
        </is>
      </c>
      <c r="E436" s="563" t="inlineStr">
        <is>
          <t>Meeteenheid van de energieconverter:</t>
        </is>
      </c>
      <c r="F436" s="563" t="inlineStr">
        <is>
          <t>▪ Unité de mesure du convertisseur d'énergie :</t>
        </is>
      </c>
      <c r="G436" s="366" t="inlineStr">
        <is>
          <t>▪ Maßeinheit des Energieumrechners:</t>
        </is>
      </c>
      <c r="H436" s="366" t="inlineStr">
        <is>
          <t>▪ Aonad tomhais Tiontaire Fuinnimh:</t>
        </is>
      </c>
      <c r="I436" s="2" t="inlineStr">
        <is>
          <t>▪ Unità di misura del Convertitore di Energia:</t>
        </is>
      </c>
      <c r="J436" s="357" t="inlineStr">
        <is>
          <t>Energijos konverterio matavimo vienetas</t>
        </is>
      </c>
      <c r="K436" s="357" t="inlineStr">
        <is>
          <t>▪ Jednostka miary przelicznika energii:</t>
        </is>
      </c>
      <c r="L436" s="357" t="inlineStr">
        <is>
          <t>▪ Unidade de medida do Conversor de Energia:</t>
        </is>
      </c>
      <c r="M436" s="357" t="inlineStr">
        <is>
          <t>▪ Unidad de medida del Convertidor de Energía:</t>
        </is>
      </c>
    </row>
    <row r="437">
      <c r="A437" s="2" t="inlineStr">
        <is>
          <t>template_label_unit_of_measurement_of_density_converter_list</t>
        </is>
      </c>
      <c r="B437" s="2">
        <f>INDEX(C437:M437,MATCH(template_selected_display_language,$C$3:$M$3,0))</f>
        <v/>
      </c>
      <c r="C437" s="2" t="inlineStr">
        <is>
          <t>▪ Unit of measurement of Density Converter:</t>
        </is>
      </c>
      <c r="D437" s="563" t="inlineStr">
        <is>
          <t>▪ Måleenhed for densitetskonverter:</t>
        </is>
      </c>
      <c r="E437" s="563" t="inlineStr">
        <is>
          <t>Meeteenheid van meting de dichtheidconverter:</t>
        </is>
      </c>
      <c r="F437" s="563" t="inlineStr">
        <is>
          <t>▪ Unité de mesure du convertisseur de densité :</t>
        </is>
      </c>
      <c r="G437" s="366" t="inlineStr">
        <is>
          <t>▪ Maßeinheit des Dichteumrechners:</t>
        </is>
      </c>
      <c r="H437" s="366" t="inlineStr">
        <is>
          <t>▪ Aonad tomhais Tiontaire Dlúis:</t>
        </is>
      </c>
      <c r="I437" s="2" t="inlineStr">
        <is>
          <t>▪ Unità di misura del convertitore di densità:</t>
        </is>
      </c>
      <c r="J437" s="357" t="inlineStr">
        <is>
          <t>Tankio konverterio matavimo vienetas</t>
        </is>
      </c>
      <c r="K437" s="357" t="inlineStr">
        <is>
          <t>▪ Jednostka miary przelicznika gęstości:</t>
        </is>
      </c>
      <c r="L437" s="357" t="inlineStr">
        <is>
          <t>▪ Unidade de medida do Conversor de Densidade:</t>
        </is>
      </c>
      <c r="M437" s="357" t="inlineStr">
        <is>
          <t>▪ Unidad de medida del Convertidor de Densidad:</t>
        </is>
      </c>
    </row>
    <row r="438" ht="15" customHeight="1" thickBot="1">
      <c r="A438" s="358" t="inlineStr">
        <is>
          <t>template_label_unit_of_measurement_of_ncv_converter_list</t>
        </is>
      </c>
      <c r="B438" s="358">
        <f>INDEX(C438:M438,MATCH(template_selected_display_language,$C$3:$M$3,0))</f>
        <v/>
      </c>
      <c r="C438" s="358" t="inlineStr">
        <is>
          <t>▪ Unit of measurement of NCV Converter:</t>
        </is>
      </c>
      <c r="D438" s="373" t="inlineStr">
        <is>
          <t>▪ Måleenhed for NCV-konverter:</t>
        </is>
      </c>
      <c r="E438" s="373" t="inlineStr">
        <is>
          <t>Meeteenheid van de NCV-r:</t>
        </is>
      </c>
      <c r="F438" s="373" t="inlineStr">
        <is>
          <t>▪ Unité de mesure du convertisseur PCN :</t>
        </is>
      </c>
      <c r="G438" s="367" t="inlineStr">
        <is>
          <t>▪ Maßeinheit des NCV-Umrechners:</t>
        </is>
      </c>
      <c r="H438" s="367" t="inlineStr">
        <is>
          <t>▪ Aonad tomhais Tiontaire NCV:</t>
        </is>
      </c>
      <c r="I438" s="358" t="inlineStr">
        <is>
          <t>▪ Unità di misura del convertitore PCN:</t>
        </is>
      </c>
      <c r="J438" s="371" t="inlineStr">
        <is>
          <t>NVC konverterio matavimo vienetas</t>
        </is>
      </c>
      <c r="K438" s="371" t="inlineStr">
        <is>
          <t>▪ Jednostka miary przelicznika NCV:</t>
        </is>
      </c>
      <c r="L438" s="371" t="inlineStr">
        <is>
          <t>▪ Unidade de medida do Conversor NCV:</t>
        </is>
      </c>
      <c r="M438" s="371" t="inlineStr">
        <is>
          <t>▪ Unidad de medida del convertidor NCV:</t>
        </is>
      </c>
    </row>
    <row r="439">
      <c r="A439" s="2" t="inlineStr">
        <is>
          <t>template_label_incomplete</t>
        </is>
      </c>
      <c r="B439" s="2">
        <f>INDEX(C439:M439,MATCH(template_selected_display_language,$C$3:$M$3,0))</f>
        <v/>
      </c>
      <c r="C439" s="2" t="inlineStr">
        <is>
          <t>INCOMPLETE</t>
        </is>
      </c>
      <c r="D439" s="563" t="inlineStr">
        <is>
          <t xml:space="preserve">UFÆRDIG </t>
        </is>
      </c>
      <c r="E439" s="563" t="inlineStr">
        <is>
          <t>ONVOLLEDIG</t>
        </is>
      </c>
      <c r="F439" s="563" t="inlineStr">
        <is>
          <t>INCOMPLET</t>
        </is>
      </c>
      <c r="G439" s="366" t="inlineStr">
        <is>
          <t>UNVOLLSTÄNDIG</t>
        </is>
      </c>
      <c r="H439" s="366" t="inlineStr">
        <is>
          <t>NEAMHIOMLÁN</t>
        </is>
      </c>
      <c r="I439" s="2" t="inlineStr">
        <is>
          <t>INCOMPLETO</t>
        </is>
      </c>
      <c r="J439" s="357" t="inlineStr">
        <is>
          <t>NEBAIGTA</t>
        </is>
      </c>
      <c r="K439" s="357" t="inlineStr">
        <is>
          <t>NIEKOMPLETNY</t>
        </is>
      </c>
      <c r="L439" s="357" t="inlineStr">
        <is>
          <t>INCOMPLETO</t>
        </is>
      </c>
      <c r="M439" s="357" t="inlineStr">
        <is>
          <t>INCOMPLETO</t>
        </is>
      </c>
    </row>
    <row r="440" ht="28.8" customHeight="1">
      <c r="A440" s="2" t="inlineStr">
        <is>
          <t>template_label_complete</t>
        </is>
      </c>
      <c r="B440" s="2">
        <f>INDEX(C440:M440,MATCH(template_selected_display_language,$C$3:$M$3,0))</f>
        <v/>
      </c>
      <c r="C440" s="2" t="inlineStr">
        <is>
          <t>COMPLETE</t>
        </is>
      </c>
      <c r="D440" s="563" t="inlineStr">
        <is>
          <t xml:space="preserve">FÆRDIG </t>
        </is>
      </c>
      <c r="E440" s="563" t="inlineStr">
        <is>
          <t>COMPLEET</t>
        </is>
      </c>
      <c r="F440" s="563" t="inlineStr">
        <is>
          <t>COMPLET</t>
        </is>
      </c>
      <c r="G440" s="366" t="inlineStr">
        <is>
          <t xml:space="preserve">VOLLSTÄNDIG
</t>
        </is>
      </c>
      <c r="H440" s="366" t="inlineStr">
        <is>
          <t>CRÍOCHNAITHE</t>
        </is>
      </c>
      <c r="I440" s="2" t="inlineStr">
        <is>
          <t>COMPLETO</t>
        </is>
      </c>
      <c r="J440" s="357" t="inlineStr">
        <is>
          <t>Baigta</t>
        </is>
      </c>
      <c r="K440" s="357" t="inlineStr">
        <is>
          <t>KOMPLETNY</t>
        </is>
      </c>
      <c r="L440" s="357" t="inlineStr">
        <is>
          <t>COMPLETO</t>
        </is>
      </c>
      <c r="M440" s="357" t="inlineStr">
        <is>
          <t>COMPLETO</t>
        </is>
      </c>
    </row>
    <row r="441" ht="43.2" customHeight="1">
      <c r="A441" s="2" t="inlineStr">
        <is>
          <t>template_label_missing_value</t>
        </is>
      </c>
      <c r="B441" s="2">
        <f>INDEX(C441:M441,MATCH(template_selected_display_language,$C$3:$M$3,0))</f>
        <v/>
      </c>
      <c r="C441" s="2" t="inlineStr">
        <is>
          <t>MISSING VALUE</t>
        </is>
      </c>
      <c r="D441" s="563" t="inlineStr">
        <is>
          <t>MANGLENDE VÆRDI</t>
        </is>
      </c>
      <c r="E441" s="563" t="inlineStr">
        <is>
          <t>ONTBREKENDE WAARDE</t>
        </is>
      </c>
      <c r="F441" s="563" t="inlineStr">
        <is>
          <t>VALEUR MANQUANTE</t>
        </is>
      </c>
      <c r="G441" s="366" t="inlineStr">
        <is>
          <t>FEHLENDER WERT</t>
        </is>
      </c>
      <c r="H441" s="366" t="inlineStr">
        <is>
          <t>LUACH IN EASNAMH</t>
        </is>
      </c>
      <c r="I441" s="2" t="inlineStr">
        <is>
          <t xml:space="preserve">VALORE MANCANTE
</t>
        </is>
      </c>
      <c r="J441" s="357" t="inlineStr">
        <is>
          <t>TRŪKSTAMA REIKŠMĖ</t>
        </is>
      </c>
      <c r="K441" s="357" t="inlineStr">
        <is>
          <t>BRAK WARTOŚCI</t>
        </is>
      </c>
      <c r="L441" s="357" t="inlineStr">
        <is>
          <t>VALOR EM FALTA</t>
        </is>
      </c>
      <c r="M441" s="357" t="inlineStr">
        <is>
          <t xml:space="preserve">VALOR NO INFORMADO </t>
        </is>
      </c>
    </row>
    <row r="442">
      <c r="A442" s="2" t="inlineStr">
        <is>
          <t>template_label_error</t>
        </is>
      </c>
      <c r="B442" s="2">
        <f>INDEX(C442:M442,MATCH(template_selected_display_language,$C$3:$M$3,0))</f>
        <v/>
      </c>
      <c r="C442" s="2" t="inlineStr">
        <is>
          <t>ERROR</t>
        </is>
      </c>
      <c r="D442" s="563" t="inlineStr">
        <is>
          <t>FEJL</t>
        </is>
      </c>
      <c r="E442" s="563" t="inlineStr">
        <is>
          <t>FOUT</t>
        </is>
      </c>
      <c r="F442" s="563" t="inlineStr">
        <is>
          <t>ERREUR</t>
        </is>
      </c>
      <c r="G442" s="366" t="inlineStr">
        <is>
          <t>FEHLER</t>
        </is>
      </c>
      <c r="H442" s="366" t="inlineStr">
        <is>
          <t>EARRÁID</t>
        </is>
      </c>
      <c r="I442" s="2" t="inlineStr">
        <is>
          <t>ERRORE</t>
        </is>
      </c>
      <c r="J442" s="357" t="inlineStr">
        <is>
          <t>KLAIDA</t>
        </is>
      </c>
      <c r="K442" s="357" t="inlineStr">
        <is>
          <t>BŁĄD</t>
        </is>
      </c>
      <c r="L442" s="357" t="inlineStr">
        <is>
          <t>ERRO</t>
        </is>
      </c>
      <c r="M442" s="357" t="inlineStr">
        <is>
          <t>ERROR</t>
        </is>
      </c>
    </row>
    <row r="443" ht="43.2" customHeight="1">
      <c r="A443" s="2" t="inlineStr">
        <is>
          <t>template_label_value_inconsistency</t>
        </is>
      </c>
      <c r="B443" s="2">
        <f>INDEX(C443:M443,MATCH(template_selected_display_language,$C$3:$M$3,0))</f>
        <v/>
      </c>
      <c r="C443" s="2" t="inlineStr">
        <is>
          <t>VALUE INCONSISTENCY</t>
        </is>
      </c>
      <c r="D443" s="563" t="inlineStr">
        <is>
          <t>UOVERENSSTEMMELSE I VÆRDIER</t>
        </is>
      </c>
      <c r="E443" s="563" t="inlineStr">
        <is>
          <t>WAARDE-INCONSISTENTIE</t>
        </is>
      </c>
      <c r="F443" s="563" t="inlineStr">
        <is>
          <t>VALEUR INCOHÉRENTE</t>
        </is>
      </c>
      <c r="G443" s="366" t="inlineStr">
        <is>
          <t>INKONSISTENTER WERT</t>
        </is>
      </c>
      <c r="H443" s="366" t="inlineStr">
        <is>
          <t>NEAMHRÉIREACHT LUACHA</t>
        </is>
      </c>
      <c r="I443" s="2" t="inlineStr">
        <is>
          <t xml:space="preserve">INCOERENZA DI VALORE 
</t>
        </is>
      </c>
      <c r="J443" s="357" t="inlineStr">
        <is>
          <t>VERTĖS NESUTAPIMAS</t>
        </is>
      </c>
      <c r="K443" s="357" t="inlineStr">
        <is>
          <t>NIESPÓJNOŚĆ WARTOŚCI</t>
        </is>
      </c>
      <c r="L443" s="357" t="inlineStr">
        <is>
          <t>INCONSISTÊNCIA DE VALORES</t>
        </is>
      </c>
      <c r="M443" s="357" t="inlineStr">
        <is>
          <t>INCONSISTENCIA DE VALOR</t>
        </is>
      </c>
    </row>
    <row r="444">
      <c r="A444" s="2" t="inlineStr">
        <is>
          <t>template_label_error_plus_value_inconsistency</t>
        </is>
      </c>
      <c r="B444" s="2">
        <f>INDEX(C444:M444,MATCH(template_selected_display_language,$C$3:$M$3,0))</f>
        <v/>
      </c>
      <c r="C444" s="2" t="inlineStr">
        <is>
          <t>ERROR + VALUE INCONSISTENCY</t>
        </is>
      </c>
      <c r="D444" s="563" t="inlineStr">
        <is>
          <t>FEJL + UOVERENSSTEMMELSE I VÆRDIER</t>
        </is>
      </c>
      <c r="E444" s="563" t="inlineStr">
        <is>
          <t>FOUT + WAARDE-INCONSISTENTIE</t>
        </is>
      </c>
      <c r="F444" s="563" t="inlineStr">
        <is>
          <t>ERREUR + VALEUR INCOHÉRENTE</t>
        </is>
      </c>
      <c r="G444" s="366" t="inlineStr">
        <is>
          <t>FEHLER + INKONSISTENTER WERT</t>
        </is>
      </c>
      <c r="H444" s="366" t="inlineStr">
        <is>
          <t>EARRÁID + NEAMHRÉIREACHT LUACHA</t>
        </is>
      </c>
      <c r="I444" s="2" t="inlineStr">
        <is>
          <t>ERRORE + INCOERENZA DI VALORE</t>
        </is>
      </c>
      <c r="J444" s="357" t="inlineStr">
        <is>
          <t>KLAIDA + VERTĖS NESUTAPIMAS</t>
        </is>
      </c>
      <c r="K444" s="357" t="inlineStr">
        <is>
          <t>BŁĄD + NIESPÓJNOŚĆ WARTOŚCI</t>
        </is>
      </c>
      <c r="L444" s="357" t="inlineStr">
        <is>
          <t>ERRO + INCONSISTÊNCIA DE VALOR</t>
        </is>
      </c>
      <c r="M444" s="357" t="inlineStr">
        <is>
          <t>ERROR+INCONSISTENCIA DE VALOR</t>
        </is>
      </c>
    </row>
    <row r="445" ht="28.8" customHeight="1">
      <c r="A445" s="2" t="inlineStr">
        <is>
          <t>template_label_error_plus_missing_value_plus_value_inconsistency</t>
        </is>
      </c>
      <c r="B445" s="2">
        <f>INDEX(C445:M445,MATCH(template_selected_display_language,$C$3:$M$3,0))</f>
        <v/>
      </c>
      <c r="C445" s="2" t="inlineStr">
        <is>
          <t>ERROR + MISSING VALUE + VALUE INCONSISTENCY</t>
        </is>
      </c>
      <c r="D445" s="563" t="inlineStr">
        <is>
          <t xml:space="preserve">FEJL + MANGLENDE VÆRDI +  UOVERENSSTEMMELSE I VÆRDIER </t>
        </is>
      </c>
      <c r="E445" s="563" t="inlineStr">
        <is>
          <t>FOUT + MISSENDE WAARDE + WAARDE-INCONSISTENTIE</t>
        </is>
      </c>
      <c r="F445" s="563" t="inlineStr">
        <is>
          <t>ERREUR + VALEUR MANQUANTE + VALEUR INCOHÉRENTE</t>
        </is>
      </c>
      <c r="G445" s="366" t="inlineStr">
        <is>
          <t>FEHLER + FEHLENDER WERT + INKONSISTENTER WERT</t>
        </is>
      </c>
      <c r="H445" s="366" t="inlineStr">
        <is>
          <t>EARRÁID + LUACH IN EASNAMH + NEAMHRÉIREACHT LUACHA</t>
        </is>
      </c>
      <c r="I445" s="2" t="inlineStr">
        <is>
          <t>ERRORE + VALORE MANCANTE + INCOERENZA DI VALORE</t>
        </is>
      </c>
      <c r="J445" s="357" t="inlineStr">
        <is>
          <t>KLAIDA + TRŪKSTAMA REIKŠMĖ + VERTĖS NENUOSEKLUMAS</t>
        </is>
      </c>
      <c r="K445" s="357" t="inlineStr">
        <is>
          <t>BŁĄD + BRAK WARTOŚCI + NIESPÓJNOŚĆ WARTOŚCI</t>
        </is>
      </c>
      <c r="L445" s="357" t="inlineStr">
        <is>
          <t>ERRO + VALOR EM FALTA + INCONSISTÊNCIA DE VALOR</t>
        </is>
      </c>
      <c r="M445" s="357" t="inlineStr">
        <is>
          <t>ERROR+VALOR NO INFORMADO+INCONSISTENCIA DE VALOR</t>
        </is>
      </c>
    </row>
    <row r="446">
      <c r="A446" s="2" t="inlineStr">
        <is>
          <t>template_label_error_plus_missing_value</t>
        </is>
      </c>
      <c r="B446" s="2">
        <f>INDEX(C446:M446,MATCH(template_selected_display_language,$C$3:$M$3,0))</f>
        <v/>
      </c>
      <c r="C446" s="2" t="inlineStr">
        <is>
          <t>ERROR + MISSING VALUE</t>
        </is>
      </c>
      <c r="D446" s="563" t="inlineStr">
        <is>
          <t>FEJL + MANGLENDE VÆRDI</t>
        </is>
      </c>
      <c r="E446" s="563" t="inlineStr">
        <is>
          <t>FOUT + ONTBREKENDE WAARDE</t>
        </is>
      </c>
      <c r="F446" s="563" t="inlineStr">
        <is>
          <t>ERREUR + VALEUR MANQUANTE</t>
        </is>
      </c>
      <c r="G446" s="366" t="inlineStr">
        <is>
          <t>FEHLER + FEHLENDER WERT</t>
        </is>
      </c>
      <c r="H446" s="366" t="inlineStr">
        <is>
          <t>EARRÁID + LUACH IN EASNAMH</t>
        </is>
      </c>
      <c r="I446" s="2" t="inlineStr">
        <is>
          <t>ERRORE + VALORE MANCANTE</t>
        </is>
      </c>
      <c r="J446" s="357" t="inlineStr">
        <is>
          <t>KLAIDA + TRŪKSTAMA VERTĖ</t>
        </is>
      </c>
      <c r="K446" s="357" t="inlineStr">
        <is>
          <t>BŁĄD + BRAK WARTOŚCI</t>
        </is>
      </c>
      <c r="L446" s="357" t="inlineStr">
        <is>
          <t>ERRO + VALOR EM FALTA</t>
        </is>
      </c>
      <c r="M446" s="357" t="inlineStr">
        <is>
          <t xml:space="preserve">ERROR+VALOR NO INFORMADO </t>
        </is>
      </c>
    </row>
    <row r="447">
      <c r="A447" s="2" t="inlineStr">
        <is>
          <t>template_label_missing_value_plus_value_inconsistency</t>
        </is>
      </c>
      <c r="B447" s="2">
        <f>INDEX(C447:M447,MATCH(template_selected_display_language,$C$3:$M$3,0))</f>
        <v/>
      </c>
      <c r="C447" s="2" t="inlineStr">
        <is>
          <t>MISSING VALUE + VALUE INCONSISTENCY</t>
        </is>
      </c>
      <c r="D447" s="563" t="inlineStr">
        <is>
          <t>MANGLENDE VÆRDI + UOVERENSSTEMMELSE I VÆRDIER</t>
        </is>
      </c>
      <c r="E447" s="563" t="inlineStr">
        <is>
          <t xml:space="preserve">  ONTBREKENDE WAARDE + WAARDE-INCONSISTENTIE</t>
        </is>
      </c>
      <c r="F447" s="563" t="inlineStr">
        <is>
          <t>VALEUR MANQUANTE + VALEUR INCOHÉRENTE</t>
        </is>
      </c>
      <c r="G447" s="366" t="inlineStr">
        <is>
          <t>FEHLENDER WERT + INKONSISTENTER WERT</t>
        </is>
      </c>
      <c r="H447" s="366" t="inlineStr">
        <is>
          <t>NEAMHRÉIREACHT LUACHA + LUACH IN EASNAMH</t>
        </is>
      </c>
      <c r="I447" s="2" t="inlineStr">
        <is>
          <t>VALORE MANCANTE + INCOERENZA DI VALORE</t>
        </is>
      </c>
      <c r="J447" s="357" t="inlineStr">
        <is>
          <t>TRŪKSTAMA REIKŠMĖ + VERTĖS NEATITIKIMAS</t>
        </is>
      </c>
      <c r="K447" s="357" t="inlineStr">
        <is>
          <t>BRAKUJĄCA WARTOŚĆ + NIESPÓJNOŚĆ WARTOŚCI</t>
        </is>
      </c>
      <c r="L447" s="357" t="inlineStr">
        <is>
          <t>VALOR EM FALTA + INCONSISTÊNCIA DE VALOR</t>
        </is>
      </c>
      <c r="M447" s="357" t="inlineStr">
        <is>
          <t>VALOR NO INFORMADO+ INCOSISTENCIA DE VALOR</t>
        </is>
      </c>
    </row>
    <row r="448">
      <c r="A448" s="2" t="inlineStr">
        <is>
          <t>template_label_invalid_url</t>
        </is>
      </c>
      <c r="B448" s="2">
        <f>INDEX(C448:M448,MATCH(template_selected_display_language,$C$3:$M$3,0))</f>
        <v/>
      </c>
      <c r="C448" s="2" t="inlineStr">
        <is>
          <t>INVALID URL</t>
        </is>
      </c>
      <c r="D448" s="563" t="inlineStr">
        <is>
          <t>UGYLDIG URL</t>
        </is>
      </c>
      <c r="E448" s="563" t="inlineStr">
        <is>
          <t>ONGELDIGE URL</t>
        </is>
      </c>
      <c r="F448" s="563" t="inlineStr">
        <is>
          <t>URL INVALIDE</t>
        </is>
      </c>
      <c r="G448" s="366" t="inlineStr">
        <is>
          <t>UNGÜLTIGE URL</t>
        </is>
      </c>
      <c r="H448" s="366" t="inlineStr">
        <is>
          <t>URL NEAMHBHAILÍ</t>
        </is>
      </c>
      <c r="I448" s="2" t="inlineStr">
        <is>
          <t>URL NON VALIDO</t>
        </is>
      </c>
      <c r="J448" s="357" t="inlineStr">
        <is>
          <t>NETINKAMAS URL</t>
        </is>
      </c>
      <c r="K448" s="357" t="inlineStr">
        <is>
          <t>NIEPOPRAWNY URL</t>
        </is>
      </c>
      <c r="L448" s="357" t="inlineStr">
        <is>
          <t>URL INVÁLIDO</t>
        </is>
      </c>
      <c r="M448" s="357" t="inlineStr">
        <is>
          <t>URL NO VÁLIDA</t>
        </is>
      </c>
    </row>
    <row r="449">
      <c r="A449" s="2" t="inlineStr">
        <is>
          <t>template_label_ok</t>
        </is>
      </c>
      <c r="B449" s="2">
        <f>INDEX(C449:M449,MATCH(template_selected_display_language,$C$3:$M$3,0))</f>
        <v/>
      </c>
      <c r="C449" s="2" t="inlineStr">
        <is>
          <t>OK</t>
        </is>
      </c>
      <c r="D449" s="563" t="inlineStr">
        <is>
          <t>OK</t>
        </is>
      </c>
      <c r="E449" s="563" t="inlineStr">
        <is>
          <t>OK</t>
        </is>
      </c>
      <c r="F449" s="563" t="inlineStr">
        <is>
          <t>OK</t>
        </is>
      </c>
      <c r="G449" s="366" t="inlineStr">
        <is>
          <t>OK</t>
        </is>
      </c>
      <c r="H449" s="366" t="inlineStr">
        <is>
          <t>CEART GO LEOR</t>
        </is>
      </c>
      <c r="I449" s="2" t="inlineStr">
        <is>
          <t>OK</t>
        </is>
      </c>
      <c r="J449" s="357" t="inlineStr">
        <is>
          <t>TINKAMA</t>
        </is>
      </c>
      <c r="K449" s="357" t="inlineStr">
        <is>
          <t>OK</t>
        </is>
      </c>
      <c r="L449" s="357" t="inlineStr">
        <is>
          <t>OK</t>
        </is>
      </c>
      <c r="M449" s="357" t="inlineStr">
        <is>
          <t>CORRECTO</t>
        </is>
      </c>
    </row>
    <row r="450">
      <c r="A450" s="2" t="inlineStr">
        <is>
          <t>template_label_classified_or_sensitive_information</t>
        </is>
      </c>
      <c r="B450" s="2">
        <f>INDEX(C450:M450,MATCH(template_selected_display_language,$C$3:$M$3,0))</f>
        <v/>
      </c>
      <c r="C450" s="2" t="inlineStr">
        <is>
          <t>CLASSIFIED OR SENSITIVE INFORMATION</t>
        </is>
      </c>
      <c r="D450" s="563" t="inlineStr">
        <is>
          <t>KLASSIFICEREDE ELLER FØLSOMME OPLYSNINGER</t>
        </is>
      </c>
      <c r="E450" s="563" t="inlineStr">
        <is>
          <t>GECLASSIFICEERDE OF GEVOELIGE INFORMATIE</t>
        </is>
      </c>
      <c r="F450" s="563" t="inlineStr">
        <is>
          <t>INFORMATIONS CLASSIFIÉES OU SENSIBLES</t>
        </is>
      </c>
      <c r="G450" s="563" t="inlineStr">
        <is>
          <t>KLASSIFIZIERTE ODER SENSIBLE INFORMATIONEN</t>
        </is>
      </c>
      <c r="H450" s="563" t="inlineStr">
        <is>
          <t>FAISNÉIS RÚNAICMITHE NÓ ÍOGAIR</t>
        </is>
      </c>
      <c r="I450" s="563" t="inlineStr">
        <is>
          <t>INFORMAZIONI CLASSIFICATE O SENSIBILI</t>
        </is>
      </c>
      <c r="J450" s="563" t="inlineStr">
        <is>
          <t>ĮSLAPTINTA ARBA NESKELBTINA INFORMACIJA</t>
        </is>
      </c>
      <c r="K450" s="563" t="inlineStr">
        <is>
          <t>INFORMACJE TAJNE LUB WRAŻLIWE</t>
        </is>
      </c>
      <c r="L450" s="563" t="inlineStr">
        <is>
          <t>INFORMAÇÕES CLASSIFICADAS OU SENSÍVEIS</t>
        </is>
      </c>
      <c r="M450" s="563" t="inlineStr">
        <is>
          <t>INFORMACIÓN CLASIFICADA O SENSIBLE</t>
        </is>
      </c>
    </row>
    <row r="451" ht="28.8" customHeight="1">
      <c r="A451" s="2" t="inlineStr">
        <is>
          <t>template_label_liquid_warning</t>
        </is>
      </c>
      <c r="B451" s="2">
        <f>INDEX(C451:M451,MATCH(template_selected_display_language,$C$3:$M$3,0))</f>
        <v/>
      </c>
      <c r="C451" s="2" t="inlineStr">
        <is>
          <t>ℹ️ Liquid fuel: please select one unit of measurement among m³ and L</t>
        </is>
      </c>
      <c r="D451" s="563" t="inlineStr">
        <is>
          <t>ℹ️ Flydende brændstof: vælg venligst en måleenhed blandt m³ og L</t>
        </is>
      </c>
      <c r="E451" s="563" t="inlineStr">
        <is>
          <t>ℹ️ Vloeibare brandstof: selecteer een meeteenheid uit m³ en L</t>
        </is>
      </c>
      <c r="F451" s="563" t="inlineStr">
        <is>
          <t>ℹ️ Combustible liquide : veuillez sélectionner une unité de mesure parmi m³ et L</t>
        </is>
      </c>
      <c r="G451" s="366" t="inlineStr">
        <is>
          <t>ℹ️ Flüssiger Brennstoff: Bitte wählen Sie eine Maßeinheit aus m³ und L aus</t>
        </is>
      </c>
      <c r="H451" s="366" t="inlineStr">
        <is>
          <t>ℹ️Breosla leachtach: roghnaigh aonad tomhais amháin i measc m³ agus L</t>
        </is>
      </c>
      <c r="I451" s="2" t="inlineStr">
        <is>
          <t>ℹ️ Combustibile liquido: selezionare un'unità di misura tra m³ e L</t>
        </is>
      </c>
      <c r="J451" s="357" t="inlineStr">
        <is>
          <t>ℹ️ Skystas kuras: pasirinkite vieną matavimo vienetą iš m³ ir L</t>
        </is>
      </c>
      <c r="K451" s="357" t="inlineStr">
        <is>
          <t>ℹ️ Paliwo ciekłe: proszę wybrać jedną jednostkę miary spośród m³ i L</t>
        </is>
      </c>
      <c r="L451" s="357" t="inlineStr">
        <is>
          <t>ℹ️ Combustível líquido: selecione uma unidade de medida entre m³ e L</t>
        </is>
      </c>
      <c r="M451" s="357" t="inlineStr">
        <is>
          <t>ℹ️ Combustible líquido: por favor seleccione una unidad de medida entre m³ y L</t>
        </is>
      </c>
    </row>
    <row r="452" ht="28.8" customHeight="1">
      <c r="A452" s="2" t="inlineStr">
        <is>
          <t>template_label_solid_warning</t>
        </is>
      </c>
      <c r="B452" s="2">
        <f>INDEX(C452:M452,MATCH(template_selected_display_language,$C$3:$M$3,0))</f>
        <v/>
      </c>
      <c r="C452" s="2" t="inlineStr">
        <is>
          <t>ℹ️ Solid fuel: please select one unit of measurement among Gg, t, Kg and g</t>
        </is>
      </c>
      <c r="D452" s="563" t="inlineStr">
        <is>
          <t>ℹ️ Fast brændsel: vælg venligst en måleenhed blandt Gg, t, Kg og g</t>
        </is>
      </c>
      <c r="E452" s="563" t="inlineStr">
        <is>
          <t>ℹ️ Vaste brandstof: selecteer een meeteenheid uit Gg, t, Kg en g</t>
        </is>
      </c>
      <c r="F452" s="563" t="inlineStr">
        <is>
          <t>ℹ️ Combustible solide : veuillez choisir une unité de mesure parmi Gg, t, Kg et g</t>
        </is>
      </c>
      <c r="G452" s="366" t="inlineStr">
        <is>
          <t>ℹ️ Feste Brennstoffe: Bitte wählen Sie eine Maßeinheit aus Gg, t, Kg und g aus</t>
        </is>
      </c>
      <c r="H452" s="366" t="inlineStr">
        <is>
          <t>ℹ️ Breosla soladach: roghnaigh aonad tomhais amháin le do thoil i measc Gg, t, Kg agus g</t>
        </is>
      </c>
      <c r="I452" s="2" t="inlineStr">
        <is>
          <t>ℹ️ Combustibile solido: selezionare un'unità di misura tra Gg, t, Kg e g</t>
        </is>
      </c>
      <c r="J452" s="357" t="inlineStr">
        <is>
          <t>ℹ️ Kietasis kuras: pasirinkite vieną matavimo vienetą tarp Gg, t, kg ir g</t>
        </is>
      </c>
      <c r="K452" s="357" t="inlineStr">
        <is>
          <t>ℹ️ Paliwo stałe: proszę wybrać jedną jednostkę miary spośród Gg, t, Kg i g</t>
        </is>
      </c>
      <c r="L452" s="357" t="inlineStr">
        <is>
          <t>ℹ️ Combustível sólido: por favor, selecione uma unidade de medida entre Gg, t, Kg e g</t>
        </is>
      </c>
      <c r="M452" s="357" t="inlineStr">
        <is>
          <t>ℹ️ Combustible sólido: seleccione una unidad de medida entre Gg, t, Kg y g</t>
        </is>
      </c>
    </row>
    <row r="453" ht="28.8" customHeight="1">
      <c r="A453" s="2" t="inlineStr">
        <is>
          <t>template_label_gaseous_warning</t>
        </is>
      </c>
      <c r="B453" s="2">
        <f>INDEX(C453:M453,MATCH(template_selected_display_language,$C$3:$M$3,0))</f>
        <v/>
      </c>
      <c r="C453" s="2" t="inlineStr">
        <is>
          <t>ℹ️ Gaseous fuel: please select one unit of measurement among m³ and L</t>
        </is>
      </c>
      <c r="D453" s="563" t="inlineStr">
        <is>
          <t>ℹ️ Gasformigt brændstof: vælg venligst en måleenhed blandt m³ og L</t>
        </is>
      </c>
      <c r="E453" s="563" t="inlineStr">
        <is>
          <t>ℹ️ Gassoortige brandstof: selecteer een meeteenheid, m³ of L.</t>
        </is>
      </c>
      <c r="F453" s="563" t="inlineStr">
        <is>
          <t>ℹ️ Combustible gazeux : veuillez sélectionner une unité de mesure parmi m³ et L</t>
        </is>
      </c>
      <c r="G453" s="366" t="inlineStr">
        <is>
          <t>ℹ️ Gasförmige Brennstoffe: Bitte wählen Sie eine Maßeinheit aus m³ und L aus</t>
        </is>
      </c>
      <c r="H453" s="366" t="inlineStr">
        <is>
          <t>ℹ️ Breosla gásach: roghnaigh aonad tomhais amháin i measc m³ agus L</t>
        </is>
      </c>
      <c r="I453" s="2" t="inlineStr">
        <is>
          <t>ℹ️ Gas combustibili: selezionare un'unità di misura tra m³ e L</t>
        </is>
      </c>
      <c r="J453" s="357" t="inlineStr">
        <is>
          <t>ℹ️ Dujinis kuras: pasirinkite vieną matavimo vienetą tarp m³ ir L</t>
        </is>
      </c>
      <c r="K453" s="357" t="inlineStr">
        <is>
          <t>ℹ️ Paliwo gazowe: proszę wybrać jedną jednostkę miary spośród m³ i L</t>
        </is>
      </c>
      <c r="L453" s="357" t="inlineStr">
        <is>
          <t>ℹ️ Combustível gasoso: por favor selecione uma unidade de medida entre m³ e L</t>
        </is>
      </c>
      <c r="M453" s="357" t="inlineStr">
        <is>
          <t>ℹ️ Combustible gaseoso: seleccione una unidad de medida entre m³ y L</t>
        </is>
      </c>
    </row>
    <row r="454" ht="100.8" customHeight="1">
      <c r="A454" s="2" t="inlineStr">
        <is>
          <t>template_label_identifier_warning</t>
        </is>
      </c>
      <c r="B454" s="2">
        <f>INDEX(C454:M454,MATCH(template_selected_display_language,$C$3:$M$3,0))</f>
        <v/>
      </c>
      <c r="C454" s="2" t="inlineStr">
        <is>
          <t xml:space="preserve">ℹ️  The entity identifier is a unique ID, that will enable identifying the company that has reported the information. The VSME Standard does not require any specific identifier. An entity identifier is required for the digital reporting. </t>
        </is>
      </c>
      <c r="D454" s="563" t="inlineStr">
        <is>
          <t>ℹ️ Virksomhedsidentifikatoren er et unikt ID, som muliggør identifikation af den virksomhed, der har indberettet oplysningerne. VSME-standarden kræver ikke noget specifikt identifikationsnummer. En virksomhedsidentifikator er påkrævet for digital rapportering.</t>
        </is>
      </c>
      <c r="E454" s="563" t="inlineStr">
        <is>
          <t>ℹ️ De entiteitsidentificatie is een unieke ID die het mogelijk maakt het bedrijf te identificeren dat de informatie heeft gerapporteerd. De VSME-standaard vereist geen specifieke identificatie. Een entiteitsidentificatie is vereist voor de digitale rapportage.</t>
        </is>
      </c>
      <c r="F454" s="563" t="inlineStr">
        <is>
          <t>ℹ️ L'identifiant de l'entreprise est un ID unique qui permet d'identifier l'entreprise ayant fourni les informations. La norme VSME ne requiert aucun identifiant spécifique. Un identifiant d'entreprise est nécessaire pour le reporting numérique.</t>
        </is>
      </c>
      <c r="G454" s="366" t="inlineStr">
        <is>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is>
      </c>
      <c r="H454" s="366" t="inlineStr">
        <is>
          <t>ℹ️  Is aitheantóir uathúil é an t-aitheantóir gnóthais, a éascóidh an cuideachta a thuairiscigh an fhaisnéis a aithint. Ní éilíonn an Caighdeán VSME aon aitheantóir sonrach. Tá aitheantóir gnóthais ag teastáil don tuairisciú digiteach.</t>
        </is>
      </c>
      <c r="I454" s="2" t="inlineStr">
        <is>
          <t>ℹ️ L'identificatore dell'impresa è un ID unico che consente di identificare l'impresa che ha fornito le informazioni. Il principio VSME non richiede alcun identificatore specifico. Un identificatore dell'impresa è necessario per la rendicontazione digitale.</t>
        </is>
      </c>
      <c r="J454" s="357" t="inlineStr">
        <is>
          <t>ℹ️ Įmonės identifikatorius yra unikalus ID, kuris leis identifikuoti įmonę, kuri pateikė informaciją. VSME standartas nereikalauja jokio konkretaus identifikatoriaus. Įmonės identifikatorius yra privalomas skaitmeniniam ataskaitų teikimui.</t>
        </is>
      </c>
      <c r="K454" s="357" t="inlineStr">
        <is>
          <t>ℹ️ Identyfikator jednostki to unikalne ID, które umożliwi identyfikację jednostki, która przekazała informacje. Standard VSME nie wymaga konkretnego identyfikatora. Identyfikator jednostki jest wymagany do sprawozdawczości elektronicznej.</t>
        </is>
      </c>
      <c r="L454" s="357" t="inlineStr">
        <is>
          <t>ℹ️ O identificador da entidade é um ID único que permitirá identificar a empresa que reportou a informação. A Norma VSME não exige nenhum identificador específico. Um identificador da entidade é necessário para a reporte digital.</t>
        </is>
      </c>
      <c r="M454" s="357"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55" ht="72" customHeight="1">
      <c r="A455" s="2" t="inlineStr">
        <is>
          <t>template_label_date_warning</t>
        </is>
      </c>
      <c r="B455" s="2">
        <f>INDEX(C455:M455,MATCH(template_selected_display_language,$C$3:$M$3,0))</f>
        <v/>
      </c>
      <c r="C455" s="2" t="inlineStr">
        <is>
          <t>ℹ️ If VALUE INCONSISTENCY message appears on the right, please ensure that the reporting period end date is greater than the reporting period start date.</t>
        </is>
      </c>
      <c r="D455" s="563" t="inlineStr">
        <is>
          <t>ℹ️ Hvis beskeden UOVERENSSTEMMELSE I VÆRDIER vises til højre, skal du sikre dig, at rapporteringsperiodens slutdato er større end rapporteringsperiodens startdato.</t>
        </is>
      </c>
      <c r="E455" s="563" t="inlineStr">
        <is>
          <t>ℹ️ Als er een bericht over WAARDE-INCONSISTENTIE  aan de rechterkant verschijnt, zorg er dan voor dat de einddatum van de rapportageperiode later is dan de begindatum van de rapportageperiode.</t>
        </is>
      </c>
      <c r="F455" s="563" t="inlineStr">
        <is>
          <t>ℹ️ Si un message VALEUR INCOHERENTE apparaît à droite, veuillez vous assurer que la date de fin de la période de reporting est postérieure à la date de début de la période de reporting.</t>
        </is>
      </c>
      <c r="G455" s="366" t="inlineStr">
        <is>
          <t xml:space="preserve">ℹ️ Wenn rechts die Meldung INKONSISTENTER WERT erscheint, stellen Sie bitte sicher, dass das Enddatum des Berichtszeitraums chronologisch nach dem Anfangsdatum liegt.
</t>
        </is>
      </c>
      <c r="H455" s="366" t="inlineStr">
        <is>
          <t>ℹ️  Má tá teachtaireacht NEAMHRÉIREACHT LUACHA le feiceáil ar dheis, déan cinnte go bhfuil dáta deiridh na tréimhse tuairiscithe níos mó ná dáta tosaigh na tréimhse tuairiscithe.</t>
        </is>
      </c>
      <c r="I455" s="2" t="inlineStr">
        <is>
          <t>ℹ️ Se sul lato destro appare il messaggio INCOERENZA DI VALORE, assicurarsi che la data di fine del periodo di riferimento sia successiva alla data di inizio del periodo di riferimento.</t>
        </is>
      </c>
      <c r="J455" s="357" t="inlineStr">
        <is>
          <t>ℹ️ Jei dešinėje pusėje pasirodys ŽINUTĖ APIE VERTĖS NESUTAPIMĄ, įsitikinkite, kad ataskaitinio laikotarpio pabaigos data yra vėlesnė už ataskaitinio laikotarpio pradžios datą.</t>
        </is>
      </c>
      <c r="K455" s="357" t="inlineStr">
        <is>
          <t>ℹ️ Jeśli po prawej stronie pojawi się komunikat NIESPÓJNOŚĆ WARTOŚCI, upewnij się, że data zakończenia okresu sprawozdawczego jest późniejsza niż data rozpoczęcia okresu sprawozdawczego.</t>
        </is>
      </c>
      <c r="L455" s="357" t="inlineStr">
        <is>
          <t>ℹ️ Se a mensagem VALOR INCONSISTENTE aparecer à direita, por favor assegure-se de que a data final do período de reporte é superior à data inicial do período de reporte.</t>
        </is>
      </c>
      <c r="M455" s="357" t="inlineStr">
        <is>
          <t>ℹ️ Si aparece el mensaje INCONSISTENCIA DE VALOR a la derecha, por favor asegúrese de que la fecha de finalización del período informado sea posterior a la fecha de inicio del período informado.</t>
        </is>
      </c>
    </row>
    <row r="456" ht="72" customHeight="1">
      <c r="A456" s="2" t="inlineStr">
        <is>
          <t>template_label_additional_rows_warning</t>
        </is>
      </c>
      <c r="B456" s="2">
        <f>INDEX(C456:M456,MATCH(template_selected_display_language,$C$3:$M$3,0))</f>
        <v/>
      </c>
      <c r="C456" s="2" t="inlineStr">
        <is>
          <t>ℹ️  Lists can be expanded using the little [+] button on the left.  If the number of rows is not sufficient, those can be added by right clicking the second row and selecting "Insert row".</t>
        </is>
      </c>
      <c r="D456" s="563" t="inlineStr">
        <is>
          <t>ℹ️ Lister kan udvides ved hjælp af den lille [+] knap til venstre. Hvis antallet af rækker ikke er tilstrækkeligt, kan de tilføjes ved at højreklikke på anden række og vælge "Indsæt række".</t>
        </is>
      </c>
      <c r="E456" s="563" t="inlineStr">
        <is>
          <t>ℹ️ Lijsten kunnen worden uitgebreid met de kleine [+] knop aan de linkerkant. Als het aantal rijen niet voldoende is, kunnen deze worden toegevoegd door met de rechtermuisknop op de tweede rij te klikken en "Rij invoegen" te selecteren.</t>
        </is>
      </c>
      <c r="F456" s="563" t="inlineStr">
        <is>
          <t>ℹ️Les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456" s="366" t="inlineStr">
        <is>
          <t>ℹ️ Listen können mit dem kleinen [+]-Button auf der linken Seite ausgeklappt werden. Wenn die Anzahl der Zeilen nicht ausreicht, können weitere hinzugefügt werden, indem in die zweite Zeile mit der rechten Maustaste geklickt und „Zeile einfügen“ ausgewählt wird.</t>
        </is>
      </c>
      <c r="H456" s="366" t="inlineStr">
        <is>
          <t>ℹ️  Is féidir liostaí a leathnú ag baint úsáide as an gcnaipe beag [+] ar chlé.  Mura leor líon na sraitheanna, is féidir iad sin a chur leis trí chliceáil ar dheis ar an dara sraith agus "Cuir isteach sraith" a roghnú.</t>
        </is>
      </c>
      <c r="I456" s="2" t="inlineStr">
        <is>
          <t>ℹ️ Le liste possono essere espanse utilizzando il pulsante piccolo [+] a sinistra. Se il numero di righe non è sufficiente, è possibile aggiungerle facendo clic con il tasto destro sulla seconda riga e selezionando "Inserisci riga".</t>
        </is>
      </c>
      <c r="J456" s="357" t="inlineStr">
        <is>
          <t>ℹ️ Sąrašai gali būti išplėsti paspaudus mažą mygtuką [+] kairėje. Jei eilučių skaičius yra nepakankamas, jas galima pridėti dešiniuoju pelės klavišu spustelėjus antrą eilutę ir pasirinkus "Įterpti eilutę".</t>
        </is>
      </c>
      <c r="K456" s="357" t="inlineStr">
        <is>
          <t>ℹ️ Listy można rozwijać, używając małego przycisku [+] po lewej stronie. Jeśli liczba wierszy jest niewystarczająca, można je dodać, klikając prawym przyciskiem myszy drugi wiersz i wybierając „Wstaw wiersz”.</t>
        </is>
      </c>
      <c r="L456" s="357" t="inlineStr">
        <is>
          <t>ℹ️ As listas podem ser expandidas usando o pequeno botão [+] à esquerda. Se o número de linhas não for suficiente, podem ser adicionadas outras clicando com o botão direito do mouse na segunda linha e selecionando "Inserir linha".</t>
        </is>
      </c>
      <c r="M456" s="357" t="inlineStr">
        <is>
          <t>ℹ️ Las listas pueden ampliarse usando el pequeño botón [+] a la izquierda. Si el número de filas no es suficiente, se pueden añadir haciendo clic derecho en la segunda fila y seleccionando "Insertar fila".</t>
        </is>
      </c>
    </row>
    <row r="457" ht="57.6" customHeight="1">
      <c r="A457" s="2" t="inlineStr">
        <is>
          <t>template_label_other_warning</t>
        </is>
      </c>
      <c r="B457" s="2">
        <f>INDEX(C457:M457,MATCH(template_selected_display_language,$C$3:$M$3,0))</f>
        <v/>
      </c>
      <c r="C457" s="2" t="inlineStr">
        <is>
          <t>ℹ️ When "other" is chosen as undertaking legal form please fill the row below</t>
        </is>
      </c>
      <c r="D457" s="563" t="inlineStr">
        <is>
          <t>ℹ️ Når "andet" vælges som virksomhedsretlig form, bedes du udfylde rækken nedenfor.</t>
        </is>
      </c>
      <c r="E457" s="563" t="inlineStr">
        <is>
          <t>ℹ️ Wanneer "overig" wordt gekozen als rechtsvorm van de onderneming, vul dan de onderstaande regel in</t>
        </is>
      </c>
      <c r="F457" s="563" t="inlineStr">
        <is>
          <t>ℹ️ Lorsque "autre" est choisi comme forme juridique de l'entreprise, veuillez remplir la ligne ci-dessous</t>
        </is>
      </c>
      <c r="G457" s="366" t="inlineStr">
        <is>
          <t xml:space="preserve">ℹ️ Wenn „sonstige“ als Rechtsform des Unternehmens gewählt wird, füllen Sie bitte die nachfolgende Zeile aus. </t>
        </is>
      </c>
      <c r="H457" s="366" t="inlineStr">
        <is>
          <t>ℹ️  Nuair a roghnaítear "eile" mar fhoirm dhlíthiúil gealltanais, líon isteach an tsraith thíos le do thoil</t>
        </is>
      </c>
      <c r="I457" s="2" t="inlineStr">
        <is>
          <t xml:space="preserve">ℹ️ Quando si sceglie "altro" come forma giuridica dell'impresa, si prega di compilare la riga sottostante
</t>
        </is>
      </c>
      <c r="J457" s="357" t="inlineStr">
        <is>
          <t>Jei įmonės teisinė forma pasirenkama „kita“, užpildykite žemiau esančią eilutę.</t>
        </is>
      </c>
      <c r="K457" s="357" t="inlineStr">
        <is>
          <t>ℹ️ Jeżeli wybrano „inne” jako formę prawną jednostki, proszę wypełnić poniższy wiersz.</t>
        </is>
      </c>
      <c r="L457" s="357" t="inlineStr">
        <is>
          <t>ℹ️ Quando for escolhida a opção 'outro' como forma jurídica da entidade, por favor preencha a linha abaixo.</t>
        </is>
      </c>
      <c r="M457" s="357" t="inlineStr">
        <is>
          <t>ℹ️ Cuando se elige "otra" como forma jurídica de la empresa, por favor rellene la fila de abajo</t>
        </is>
      </c>
    </row>
    <row r="458" ht="57.6" customHeight="1">
      <c r="A458" s="2" t="inlineStr">
        <is>
          <t>template_label_NACE_warning</t>
        </is>
      </c>
      <c r="B458" s="2">
        <f>INDEX(C458:M458,MATCH(template_selected_display_language,$C$3:$M$3,0))</f>
        <v/>
      </c>
      <c r="C458" s="2" t="inlineStr">
        <is>
          <t>ℹ️  Please select a NACE code rather than a category else an ERROR message will appear.</t>
        </is>
      </c>
      <c r="D458" s="563" t="inlineStr">
        <is>
          <t xml:space="preserve">ℹ️ Vælg venligst en NACE-kode i stedet for en kategori, ellers vil en FEJL-meddelelse blive vist.
</t>
        </is>
      </c>
      <c r="E458" s="563" t="inlineStr">
        <is>
          <t>ℹ️ Selecteer een NACE-code in plaats van een categorie, anders verschijnt er een FOUTmelding.</t>
        </is>
      </c>
      <c r="F458" s="563" t="inlineStr">
        <is>
          <t>ℹ️ Veuillez sélectionner un code NACE plutôt qu'une catégorie, sinon un message d'ERREUR apparaîtra.</t>
        </is>
      </c>
      <c r="G458" s="366" t="inlineStr">
        <is>
          <t>ℹ️ Bitte wählen Sie einen NACE-Code anstelle einer Kategorie aus, da sonst die Meldung FEHLER erscheint.</t>
        </is>
      </c>
      <c r="H458" s="366" t="inlineStr">
        <is>
          <t>ℹ️  Roghnaigh cód NACE seachas catagóir, nó feicfear teachtaireacht EARRÁIDE.</t>
        </is>
      </c>
      <c r="I458" s="2" t="inlineStr">
        <is>
          <t>ℹ️ Si prega di selezionare un codice NACE anziché una categoria, altrimenti verrà visualizzato un messaggio di ERRORE.</t>
        </is>
      </c>
      <c r="J458" s="357" t="inlineStr">
        <is>
          <t>Pasirinkite NACE kodą, o ne kategoriją; priešingu atveju bus rodomas KLAIDOS pranešimas.</t>
        </is>
      </c>
      <c r="K458" s="357" t="inlineStr">
        <is>
          <t>ℹ️ Proszę wybrać kod NACE zamiast kategorii, w przeciwnym razie pojawi się komunikat BŁĄD.</t>
        </is>
      </c>
      <c r="L458" s="357" t="inlineStr">
        <is>
          <t>ℹ️ Por favor, selecione um código NACE em vez de uma categoria, caso contrário, aparecerá uma mensagem de ERRO.</t>
        </is>
      </c>
      <c r="M458" s="357" t="inlineStr">
        <is>
          <t>ℹ️ Por favor, seleccione un código NACE en lugar de una categoría, de lo contrario aparecerá un mensaje de ERROR.</t>
        </is>
      </c>
    </row>
    <row r="459" ht="43.2" customHeight="1">
      <c r="A459" s="2" t="inlineStr">
        <is>
          <t>template_label_geolocalisation_warning</t>
        </is>
      </c>
      <c r="B459" s="2">
        <f>INDEX(C459:M459,MATCH(template_selected_display_language,$C$3:$M$3,0))</f>
        <v/>
      </c>
      <c r="C459" s="2" t="inlineStr">
        <is>
          <t>ℹ️  Please be careful to separate each street number and house number using the slash symbol "/" and not the comma ","</t>
        </is>
      </c>
      <c r="D459" s="563" t="inlineStr">
        <is>
          <t>ℹ️ Vær venlig at sørge for at adskille hvert gadenummer og husnummer med skråstregsymbolet \"/\" og ikke kommaet \",\"</t>
        </is>
      </c>
      <c r="E459" s="563" t="inlineStr">
        <is>
          <t>ℹ️  Zorg ervoor dat u elk straatnummer en huisnummer  scheidt met het schuine streepje "/" en niet met de komma ","</t>
        </is>
      </c>
      <c r="F459" s="563" t="inlineStr">
        <is>
          <t>ℹ️ Veuillez faire attention à séparer chaque numéro de rue et numéro de maison en utilisant le symbole slash "/" et non la virgule ","</t>
        </is>
      </c>
      <c r="G459" s="366" t="inlineStr">
        <is>
          <t>ℹ️ Bitte achten Sie darauf, jede Straßen- und Hausnummer mit dem Schrägstrich-Symbol "/" und nicht mit dem Komma "," zu trennen.</t>
        </is>
      </c>
      <c r="H459" s="366" t="inlineStr">
        <is>
          <t>ℹ️  Bí cúramach le do thoil gach uimhir sráide agus uimhir tí a scaradh ag baint úsáide as an tsiombail slais "/" agus ní an camóg ","</t>
        </is>
      </c>
      <c r="I459" s="2" t="inlineStr">
        <is>
          <t>ℹ️ Si prega di fare attenzione a separare ogni numero della via e numero civico utilizzando il simbolo barra "/" e non la virgola ","</t>
        </is>
      </c>
      <c r="J459" s="357" t="inlineStr">
        <is>
          <t>ℹ️ Prašome atidžiai atskirti kiekvieną gatvės numerį ir namo numerį naudojant pasvirąjį brūkšnį "/" o ne kablelį ",".</t>
        </is>
      </c>
      <c r="K459" s="357" t="inlineStr">
        <is>
          <t>ℹ️ Proszę pamiętać, aby oddzielać każdy numer ulicy i numer domu za pomocą symbolu ukośnika "/" a nie przecinka ",".</t>
        </is>
      </c>
      <c r="L459" s="357" t="inlineStr">
        <is>
          <t>ℹ️ Por favor, tenha cuidado para separar cada número de rua e número da casa utilizando o símbolo barra \"/\" e não a vírgula \",\".</t>
        </is>
      </c>
      <c r="M459" s="357" t="inlineStr">
        <is>
          <t>ℹ️ Por favor, tenga cuidado de separar cada número de calle y número de casa usando el símbolo de barra "/" y no la coma ",".</t>
        </is>
      </c>
    </row>
    <row r="460" ht="43.2" customHeight="1">
      <c r="A460" s="2" t="inlineStr">
        <is>
          <t>template_label_energy_consumption_warning</t>
        </is>
      </c>
      <c r="B460" s="2">
        <f>INDEX(C460:M460,MATCH(template_selected_display_language,$C$3:$M$3,0))</f>
        <v/>
      </c>
      <c r="C460" s="2" t="inlineStr">
        <is>
          <t xml:space="preserve">ℹ️  Please note that the formula present in this cell may be overwritten in case the undertaking wants to directly provide the value. </t>
        </is>
      </c>
      <c r="D460" s="563" t="inlineStr">
        <is>
          <t>ℹ️ Bemærk, at formlen i denne celle kan blive overskrevet, hvis virksomheden ønsker at angive værdien direkte.</t>
        </is>
      </c>
      <c r="E460" s="563" t="inlineStr">
        <is>
          <t>ℹ️ Houd er rekening mee dat de formule  in deze cel  kan worden overschreven als de onderneming de waarde direct wil leveren.</t>
        </is>
      </c>
      <c r="F460" s="563" t="inlineStr">
        <is>
          <t>ℹ️ Veuillez noter que la formule présente dans cette cellule peut être écrasée si l'entité souhaite fournir directement la valeur.</t>
        </is>
      </c>
      <c r="G460" s="366" t="inlineStr">
        <is>
          <t xml:space="preserve">ℹ️ Bitte beachten Sie, dass die in dieser Zelle vorhandene Formel überschrieben werden kann, falls das Unternehmen den Wert direkt angeben möchte. </t>
        </is>
      </c>
      <c r="H460" s="366" t="inlineStr">
        <is>
          <t>ℹ️  Tabhair faoi deara le do thoil go bhféadfaí an fhoirmle atá i láthair sa chill seo a fhorscríobh i gcás gur mian leis an ngnóthas an luach a sholáthar go díreach.</t>
        </is>
      </c>
      <c r="I460" s="2" t="inlineStr">
        <is>
          <t>ℹ️ Si prega di notare che la formula presente in questa cella potrebbe essere sovrascritta nel caso in cui l'impresa voglia fornire direttamente il valore.</t>
        </is>
      </c>
      <c r="J460" s="357" t="inlineStr">
        <is>
          <t>ℹ️ Atkreipkite dėmesį, kad šiame langelyje esanti formulė gali būti perrašyta, jei įmonė nori reikšmę pateikti tiesiogiai.</t>
        </is>
      </c>
      <c r="K460" s="357" t="inlineStr">
        <is>
          <t>ℹ️ Proszę zauważyć, że formuła obecna w tej komórce może zostać nadpisana, jeśli jednostka zdecyduje się bezpośrednio wprowadzić wartość.</t>
        </is>
      </c>
      <c r="L460" s="357" t="inlineStr">
        <is>
          <t>ℹ️ Por favor, note que a fórmula presente nesta célula pode ser sobrescrita caso a empresa queira fornecer diretamente o valor.</t>
        </is>
      </c>
      <c r="M460" s="357" t="inlineStr">
        <is>
          <t>ℹ️ Tenga en cuenta que la fórmula presente en esta celda puede ser sobrescrita en caso de que la empresa quiera proporcionar directamente el valor.</t>
        </is>
      </c>
    </row>
    <row r="461" ht="100.8" customHeight="1">
      <c r="A461" s="2" t="inlineStr">
        <is>
          <t>template_label_scope_3_categories_warning</t>
        </is>
      </c>
      <c r="B461" s="2">
        <f>INDEX(C461:M461,MATCH(template_selected_display_language,$C$3:$M$3,0))</f>
        <v/>
      </c>
      <c r="C461" s="2" t="inlineStr">
        <is>
          <t>ℹ️  Scope 3 categories according to the GHG protocol might help to calculate the total Scope 3 GHG emissions. In case the undertaking wants to, it can directly provide the Total Scope 3 GHG emissions in the respective cell.</t>
        </is>
      </c>
      <c r="D461" s="563" t="inlineStr">
        <is>
          <t xml:space="preserve">ℹ️ Kategorier for Scope 3 i henhold til GHG-protokollen kan hjælpe med at beregne de samlede Scope 3-drivhusgasemissioner. Hvis virksomheden ønsker det, kan den direkte oplyse de samlede Scope 3-drivhusgasemissioner i den respektive celle. 
</t>
        </is>
      </c>
      <c r="E461" s="563" t="inlineStr">
        <is>
          <t>ℹ️ De Scope 3-categorieën volgens het GHGprotocol kunnen helpen bij het berekenen van de totale broeikasgasemissies van Scope 3. Als de onderneming dat wenst, kan zij de totale broeikasgasemissies van Scope 3 rechtstreeks in de betreffende cel verstrekken.</t>
        </is>
      </c>
      <c r="F461" s="563" t="inlineStr">
        <is>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is>
      </c>
      <c r="G461" s="366" t="inlineStr">
        <is>
          <t xml:space="preserve">ℹ️ Die Scope 3-Kategorien gemäß THG-Protokoll können dabei helfen, die gesamten Scope 3-Treibhausgasmissionen zu berechnen. Falls das Unternehmen dies möchte, kann es die gesamten Scope 3-Treibhausgasemissionen direkt in der jeweiligen Zelle angeben. </t>
        </is>
      </c>
      <c r="H461" s="366" t="inlineStr">
        <is>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is>
      </c>
      <c r="I461" s="2" t="inlineStr">
        <is>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is>
      </c>
      <c r="J461" s="357" t="inlineStr">
        <is>
          <t>Trečios apimties kategorijos pagal ŠESD protokolą gali padėti apskaičiuoti bendras trečios apimties ŠESD emisijas. Jei įmonė pageidauja, jis gali tiesiogiai pateikti bendras trečios apimties ŠESD emisijas atitinkamame langelyje.</t>
        </is>
      </c>
      <c r="K461" s="357"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L461" s="357" t="inlineStr">
        <is>
          <t xml:space="preserve">ℹ️ As categorias do Âmbito 3 segundo o Protocolo GEE podem ajudar a calcular as emissões totais de GEE do Âmbito 3. Caso a empresa deseje, pode fornecer diretamente as Emissões Totais de GEE do Âmbito 3 na célula respetiva.
</t>
        </is>
      </c>
      <c r="M461" s="357"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62" ht="57.6" customHeight="1">
      <c r="A462" s="2" t="inlineStr">
        <is>
          <t>template_label_site_ID_value_inconsistency_warning</t>
        </is>
      </c>
      <c r="B462" s="2">
        <f>INDEX(C462:M462,MATCH(template_selected_display_language,$C$3:$M$3,0))</f>
        <v/>
      </c>
      <c r="C462" s="2" t="inlineStr">
        <is>
          <t>ℹ️  If a validation related to value inconsistency is displayed, please select a site ID that is different from one of those previously selected.</t>
        </is>
      </c>
      <c r="D462" s="563" t="inlineStr">
        <is>
          <t>ℹ️ Hvis der vises en validering relateret til værdikonsistens, bedes du vælge et site-ID, der er forskelligt fra et af dem, der tidligere er valgt.</t>
        </is>
      </c>
      <c r="E462" s="563" t="inlineStr">
        <is>
          <t>ℹ️ Als er een validatie  wordt weergegeven die betrekking heeft op inconsistente waarden, selecteer dan een site-ID die verschilt van een van de eerdere selectie.</t>
        </is>
      </c>
      <c r="F462" s="563" t="inlineStr">
        <is>
          <t>ℹ️ Si une validation liée à une incohérence de valeur s'affiche, veuillez sélectionner un identifiant de site différent de ceux précédemment sélectionnés.</t>
        </is>
      </c>
      <c r="G462" s="366" t="inlineStr">
        <is>
          <t>ℹ️ Wenn eine Überprüfung im Zusammenhang mit inkonsistenten Werten angezeigt wird, wählen Sie bitte eine Standort-Nr. aus, die sich von den zuvor ausgewählten unterscheidet.</t>
        </is>
      </c>
      <c r="H462" s="366" t="inlineStr">
        <is>
          <t>ℹ️  Má thaispeántar bailíochtú a bhaineann le neamhréireacht luacha, roghnaigh aitheantóir suímh atá difriúil ó cheann de na cinn a roghnaíodh roimhe seo.</t>
        </is>
      </c>
      <c r="I462" s="2" t="inlineStr">
        <is>
          <t>ℹ️ Se viene visualizzata una convalida relativa all'incoerenza di valore, selezionare un ID sito diverso da quelli precedentemente selezionati.</t>
        </is>
      </c>
      <c r="J462" s="357" t="inlineStr">
        <is>
          <t>ℹ️ Jei rodoma vertės neatitikimo susijusi patikra, pasirinkite kitokį svetainės ID nei anksčiau pasirinkti.</t>
        </is>
      </c>
      <c r="K462" s="357" t="inlineStr">
        <is>
          <t>ℹ️ Jeśli pojawi się walidacja dotycząca niespójności wartości, proszę wybrać identyfikator lokalizacji (site ID) różny od wcześniej wybranych.</t>
        </is>
      </c>
      <c r="L462" s="357" t="inlineStr">
        <is>
          <t>ℹ️ Se for apresentada uma validação relacionada com inconsistência de valores, selecione um ID do local diferente de um dos anteriormente selecionados.</t>
        </is>
      </c>
      <c r="M462" s="357" t="inlineStr">
        <is>
          <t>ℹ️ Si se muestra una validación relacionada con la inconsistencia de valores, seleccione un ID de sitio diferente a uno de los seleccionados previamente.</t>
        </is>
      </c>
    </row>
    <row r="463" ht="57.6" customHeight="1">
      <c r="A463" s="2" t="inlineStr">
        <is>
          <t>template_label_type_of_waste_warning</t>
        </is>
      </c>
      <c r="B463" s="2">
        <f>INDEX(C463:M463,MATCH(template_selected_display_language,$C$3:$M$3,0))</f>
        <v/>
      </c>
      <c r="C463" s="2" t="inlineStr">
        <is>
          <t>ℹ️  Please select a Type of waste (Hazardous or Non-Hazardous) rather than a category else an ERROR message will appear.</t>
        </is>
      </c>
      <c r="D463" s="563" t="inlineStr">
        <is>
          <t xml:space="preserve">ℹ️ Vælg venligst en affaldstype (farligt eller ikke-farligt) i stedet for en kategori, ellers vil meldingen FEJL  fremkomme. </t>
        </is>
      </c>
      <c r="E463" s="563" t="inlineStr">
        <is>
          <t>ℹ️ Selecteer een type afval (gevaarlijk of niet-gevaarlijk) in plaats van een categorie, anders verschijnt er een FOUTmelding.</t>
        </is>
      </c>
      <c r="F463" s="563" t="inlineStr">
        <is>
          <t xml:space="preserve">ℹ️ Veuillez sélectionner un Type de déchet (dangereux ou non dangereux) plutôt qu'une catégorie, sinon un message d'ERREUR apparaîtra."
</t>
        </is>
      </c>
      <c r="G463" s="366" t="inlineStr">
        <is>
          <t>ℹ️ Bitte wählen Sie die Art des Abfalls (gefährlich oder nicht gefährlich) anstelle einer Kategorie, andernfalls erscheint die Meldung FEHLER.</t>
        </is>
      </c>
      <c r="H463" s="366" t="inlineStr">
        <is>
          <t>ℹ️  Roghnaigh Cineál dramhaíola (Guaiseach nó Neamh-Ghuaiseach) seachas catagóir nó beidh teachtaireacht EARRÁIDE le feiceáil.</t>
        </is>
      </c>
      <c r="I463" s="2" t="inlineStr">
        <is>
          <t>ℹ️ Si prega di selezionare un Tipo di rifiuto (Pericoloso o Non Pericoloso) piuttosto che una categoria altrimenti apparirà un messaggio di ERRORE.</t>
        </is>
      </c>
      <c r="J463" s="357" t="inlineStr">
        <is>
          <t>ℹ️ Prašome pasirinkti atliekų rūšį (pavojingas arba nepavojingas), o ne kategoriją, kitaip bus parodytas KLAIDOS pranešimas.</t>
        </is>
      </c>
      <c r="K463" s="357" t="inlineStr">
        <is>
          <t>ℹ️ Proszę wybrać Rodzaj odpadu (niebezpieczny lub inne niż niebezpieczny), a nie kategorię, w przeciwnym razie pojawi się komunikat BŁĄD.</t>
        </is>
      </c>
      <c r="L463" s="357" t="inlineStr">
        <is>
          <t>ℹ️ Por favor, selecione um Tipo de resíduo (Perigoso ou Não Perigoso) em vez de uma categoria, caso contrário aparecerá uma mensagem de ERRO.</t>
        </is>
      </c>
      <c r="M463" s="357" t="inlineStr">
        <is>
          <t>ℹ️ Por favor seleccione un Tipo de residuo (Peligroso o No Peligroso) en lugar de una categoría, de lo contrario aparecerá un mensaje de ERROR.</t>
        </is>
      </c>
    </row>
    <row r="464" ht="72" customHeight="1">
      <c r="A464" s="2" t="inlineStr">
        <is>
          <t>template_label_number_of_employees_warning</t>
        </is>
      </c>
      <c r="B464" s="2">
        <f>INDEX(C464:M464,MATCH(template_selected_display_language,$C$3:$M$3,0))</f>
        <v/>
      </c>
      <c r="C464" s="2" t="inlineStr">
        <is>
          <t xml:space="preserve">ℹ️  Please make sure that the total number of employees is the same as the one provided in the "General Information" sheet cell E55
</t>
        </is>
      </c>
      <c r="D464" s="563" t="inlineStr">
        <is>
          <t xml:space="preserve">ℹ️ Sørg venligst for, at det samlede antal ansatte er det samme som det, der er angivet i arket "Generelle oplysninger" celle E55
</t>
        </is>
      </c>
      <c r="E464" s="563" t="inlineStr">
        <is>
          <t xml:space="preserve">ℹ️ Zorg ervoor dat het totale aantal medewerkers hetzelfde is als het aantal dat is opgegeven in cel E55 van het blad "Algemene Informatie" 
</t>
        </is>
      </c>
      <c r="F464" s="563" t="inlineStr">
        <is>
          <t>ℹ️ Veuillez vous assurer que le nombre total de salariés est identique à celui indiqué dans la cellule E55 de la feuille « Informations générales »</t>
        </is>
      </c>
      <c r="G464" s="366" t="inlineStr">
        <is>
          <t>ℹ️ Bitte stellen Sie sicher, dass die Gesamtzahl der Beschäftigten mit der in Zelle E55 des Tabellenblatts „General Information“ angegebenen Zahl übereinstimmt.</t>
        </is>
      </c>
      <c r="H464" s="366" t="inlineStr">
        <is>
          <t xml:space="preserve">ℹ️  Déan cinnte le do thoil go bhfuil líon iomlán na bhfostaithe mar an gcéanna leis an gceann a chuirtear ar fáil sa chill bhileog "Faisnéis Ghinearálta" E55
</t>
        </is>
      </c>
      <c r="I464" s="2" t="inlineStr">
        <is>
          <t>ℹ️ Si prega di assicurarsi che il numero totale di dipendenti sia lo stesso indicato nella cella E55 del foglio "Informazioni Generali"</t>
        </is>
      </c>
      <c r="J464" s="357" t="inlineStr">
        <is>
          <t>ℹ️ Prašome įsitikinti, kad bendras darbuotojų skaičius yra toks pat, kaip nurodyta skiltyje „Bendroji informacija“, langelyje E55</t>
        </is>
      </c>
      <c r="K464" s="357" t="inlineStr">
        <is>
          <t>ℹ️ Prosimy upewnić się, że łączna liczba pracowników jest taka sama jak podana w arkuszu "Informacje ogólne" w komórce E55.</t>
        </is>
      </c>
      <c r="L464" s="357" t="inlineStr">
        <is>
          <t>ℹ️ Por favor, certifique-se de que o número total de trabalhadores é igual ao indicado na célula E55 da folha "Informações Gerais"</t>
        </is>
      </c>
      <c r="M464" s="357" t="inlineStr">
        <is>
          <t>ℹ️ Por favor, asegúrese de que el número total de empleados sea el mismo que el proporcionado en la celda E55 de la hoja "Información General"</t>
        </is>
      </c>
    </row>
    <row r="465" ht="100.8" customHeight="1">
      <c r="A465" s="2" t="inlineStr">
        <is>
          <t>template_label_health_and_safety_formula_warning</t>
        </is>
      </c>
      <c r="B465" s="2">
        <f>INDEX(C465:M465,MATCH(template_selected_display_language,$C$3:$M$3,0))</f>
        <v/>
      </c>
      <c r="C465" s="2" t="inlineStr">
        <is>
          <t>ℹ️  The undertaking can modify the value in this cell as 2,000 hours is based on the assumption that one full-time worker works 2,000 hours per year. This figure may vary by country or sector, depending on national rules or collective bargaining agreements.</t>
        </is>
      </c>
      <c r="D465" s="563" t="inlineStr">
        <is>
          <t xml:space="preserve">ℹ️ Virksomheden kan ændre værdien i denne celle, da 2.000 timer er baseret på antagelsen om, at en fuldtidsansat arbejder 2.000 timer om året. Dette tal kan variere efter land eller sektor, afhængigt af nationale regler eller kollektive overenskomster. 
</t>
        </is>
      </c>
      <c r="E465" s="563" t="inlineStr">
        <is>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is>
      </c>
      <c r="F465" s="563" t="inlineStr">
        <is>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is>
      </c>
      <c r="G465" s="366" t="inlineStr">
        <is>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is>
      </c>
      <c r="H465" s="366" t="inlineStr">
        <is>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is>
      </c>
      <c r="I465" s="2" t="inlineStr">
        <is>
          <t>ℹ️ L'impresa può modificare il valore in questa cella poiché le 2.000 ore si basano sull'assunzione che un lavoratore a tempo pieno lavori 2.000 ore all'anno. Questo valore può variare a seconda del paese o del settore, in base a regole nazionali o accordi collettivi di lavoro.</t>
        </is>
      </c>
      <c r="J465" s="357"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K465" s="357"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L465" s="357"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M465" s="357"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66" ht="43.2" customHeight="1">
      <c r="A466" s="2" t="inlineStr">
        <is>
          <t>template_label_bold_omitted_information</t>
        </is>
      </c>
      <c r="B466" s="2">
        <f>INDEX(C466:M466,MATCH(template_selected_display_language,$C$3:$M$3,0))</f>
        <v/>
      </c>
      <c r="C466" s="2" t="inlineStr">
        <is>
          <t>ℹ️  Whenever a disclosure is fully omitted because sensitive or classfied, it will be highligted in bold</t>
        </is>
      </c>
      <c r="D466" s="563" t="inlineStr">
        <is>
          <t>ℹ️  Når en oplysning fuldstændigt udelades, fordi den er følsom eller klassificeret, vil den blive fremhævet med fed skrift</t>
        </is>
      </c>
      <c r="E466" s="563" t="inlineStr">
        <is>
          <t>ℹ️  Wanneer een openbaarmaking volledig wordt weggelaten omdat ze gevoelig of geclassificeerd is, wordt deze vetgedrukt gepresenteerd</t>
        </is>
      </c>
      <c r="F466" s="563" t="inlineStr">
        <is>
          <t>ℹ️  Chaque fois qu’une divulgation est complètement omise parce qu’elle est sensible ou classifiée, elle sera surlignée en gras</t>
        </is>
      </c>
      <c r="G466" s="563" t="inlineStr">
        <is>
          <t>ℹ️  Immer wenn eine Offenlegung als sensibel oder klassifiziert weggelassen wird, wird sie fett hervorgehoben</t>
        </is>
      </c>
      <c r="H466" s="563" t="inlineStr">
        <is>
          <t>ℹ️  Aon uair a fhágtar nochtadh ar lár go hiomlán toisc go bhfuil sé íogair nó aicmithe, beidh sé ardaithe i gcló trom</t>
        </is>
      </c>
      <c r="I466" s="563" t="inlineStr">
        <is>
          <t>ℹ️  Ogni volta che una divulgazione viene completamente omessa perché sensibile o classificata, sarà evidenziata in grassetto</t>
        </is>
      </c>
      <c r="J466" s="563" t="inlineStr">
        <is>
          <t>ℹ️  Kai atskleidimas visiškai praleidžiamas dėl slapto ar įslaptinto, jis bus paryškintas</t>
        </is>
      </c>
      <c r="K466" s="563" t="inlineStr">
        <is>
          <t>ℹ️  Za każdym razem, gdy ujawnienie jest całkowicie pomijane z powodu wrażliwości lub utajnienia, jest ono oznaczone pogrubieniem</t>
        </is>
      </c>
      <c r="L466" s="563" t="inlineStr">
        <is>
          <t>ℹ️  Sempre que uma divulgação for totalmente omitida por ser sensível ou classificada, ela será destacada em negrito</t>
        </is>
      </c>
      <c r="M466" s="563" t="inlineStr">
        <is>
          <t>ℹ️  Siempre que una divulgación se omita completamente por ser sensible o clasificada, se resaltará en negrita</t>
        </is>
      </c>
    </row>
    <row r="467" ht="43.8" customHeight="1" thickBot="1">
      <c r="A467" s="358" t="inlineStr">
        <is>
          <t>template_label_GHG_calculator</t>
        </is>
      </c>
      <c r="B467" s="358">
        <f>INDEX(C467:M467,MATCH(template_selected_display_language,$C$3:$M$3,0))</f>
        <v/>
      </c>
      <c r="C467" s="358" t="inlineStr">
        <is>
          <t>ℹ️ Check EFRAG website for a non-exhaustive list of GHG calculators.</t>
        </is>
      </c>
      <c r="D467" s="373" t="inlineStr">
        <is>
          <t>ℹ️ Tjek EFRAGs hjemmeside for en ikke-udtømmende liste over drivhusgasberegnere.</t>
        </is>
      </c>
      <c r="E467" s="373" t="inlineStr">
        <is>
          <t>ℹ️ Bekijk de EFRAG-website voor een niet-uitputtende lijst van BKG-calculators.</t>
        </is>
      </c>
      <c r="F467" s="358" t="inlineStr">
        <is>
          <t>ℹ️ Consultez le site web de l’EFRAG pour une liste non exhaustive de calculateurs de GES.</t>
        </is>
      </c>
      <c r="G467" s="358" t="inlineStr">
        <is>
          <t>ℹ️ Besuchen Sie die EFRAG-Website für eine nicht vollständige Liste der THG-Rechner.</t>
        </is>
      </c>
      <c r="H467" s="358" t="inlineStr">
        <is>
          <t>ℹ️ Seiceáil láithreán gréasáin EFRAG le haghaidh liosta neamhuileghabhálach d'áireamháin ghnó ceaptha teasa.</t>
        </is>
      </c>
      <c r="I467" s="358" t="inlineStr">
        <is>
          <t>ℹ️ Controlla il sito EFRAG per un elenco non esaustivo di calcolatori di gas serra.</t>
        </is>
      </c>
      <c r="J467" s="358" t="inlineStr">
        <is>
          <t>ℹ️ EFRAG svetainėje rasite neišsamų ŠESD skaičiuoklių sąrašą.</t>
        </is>
      </c>
      <c r="K467" s="358" t="inlineStr">
        <is>
          <t>ℹ️ Na stronie internetowej EFRAG znajduje się niewyczerpująca lista kalkulatorów emisji gazów cieplarnianych.</t>
        </is>
      </c>
      <c r="L467" s="358" t="inlineStr">
        <is>
          <t>ℹ️ Consulte o sítio Web do EFRAG para obter uma lista não exaustiva de calculadoras de GEE.</t>
        </is>
      </c>
      <c r="M467" s="358" t="inlineStr">
        <is>
          <t>ℹ️ Consulte el sitio web del EFRAG para obtener una lista no exhaustiva de calculadoras de GEI.</t>
        </is>
      </c>
    </row>
    <row r="468" ht="43.2" customHeight="1">
      <c r="A468" s="2" t="inlineStr">
        <is>
          <t>template_label_supporting_guidance_c2</t>
        </is>
      </c>
      <c r="B468" s="356">
        <f>INDEX(C468:M468,MATCH(template_selected_display_language,$C$3:$M$3,0))</f>
        <v/>
      </c>
      <c r="C468" s="2" t="inlineStr">
        <is>
          <t>ℹ️ VSME Supporting Guidance on Disclosure C2 - Comprehensive Module (Practices, Policies, and Future Initiatives)</t>
        </is>
      </c>
      <c r="D468" s="563" t="inlineStr">
        <is>
          <t>ℹ️ VSME Støttevejledning om Oplysning C2 - Omfattende modul (Praksisser, Politikker og Fremtidige Initiativer)</t>
        </is>
      </c>
      <c r="E468" s="563" t="inlineStr">
        <is>
          <t>ℹ️ VSME Ondersteunende Richtlijnen voor Openbaarmaking C2 - Uitgebreide Module (Praktijken, Beleid en Toekomstige Initiatieven)</t>
        </is>
      </c>
      <c r="F468" s="563" t="inlineStr">
        <is>
          <t>ℹ️ Directives de soutien VSME sur la divulgation C2 - Module complet (Pratiques, politiques et initiatives futures)</t>
        </is>
      </c>
      <c r="G468" s="563" t="inlineStr">
        <is>
          <t>ℹ️ VSME-Unterstützungsleitlinien zur Offenlegung C2 – Umfassendes Modul (Praktiken, Richtlinien und zukünftige Initiativen)</t>
        </is>
      </c>
      <c r="H468" s="563" t="inlineStr">
        <is>
          <t xml:space="preserve"> ℹ️ Treoir Tacaíochta VSME maidir le Nochtadh C2 - Modúl Cuimsitheach (Cleachtais, Beartais, agus Tionscnaimh sa Todhchaí)</t>
        </is>
      </c>
      <c r="I468" s="563" t="inlineStr">
        <is>
          <t>ℹ️ Linee guida di supporto VSME sulla divulgazione C2 - Modulo completo (Pratiche, Politiche e Iniziative Future)</t>
        </is>
      </c>
      <c r="J468" s="563" t="inlineStr">
        <is>
          <t>ℹ️ VSME pagalbinės gairės dėl informacijos atskleidimo C2 – išsamus modulis (praktika, politika ir ateities iniciatyvos)</t>
        </is>
      </c>
      <c r="K468" s="563" t="inlineStr">
        <is>
          <t>ℹ️ VSME Wspierające Wytyczne dotyczące ujawniania C2 – Moduł kompleksowy (Praktyki, Polityki i Przyszłe Inicjatywy)</t>
        </is>
      </c>
      <c r="L468" s="563" t="inlineStr">
        <is>
          <t>ℹ️ Orientação de Apoio do VSME sobre Divulgação C2 - Módulo Abrangente (Práticas, Políticas e Iniciativas Futuras)</t>
        </is>
      </c>
      <c r="M468" s="563" t="inlineStr">
        <is>
          <t>ℹ️ Guía de apoyo de VSME sobre divulgación C2 - Módulo integral (Prácticas, políticas e iniciativas futuras)</t>
        </is>
      </c>
    </row>
    <row r="469" ht="43.2" customHeight="1">
      <c r="A469" s="2" t="inlineStr">
        <is>
          <t>template_label_supporting_guidance_c3</t>
        </is>
      </c>
      <c r="B469" s="356">
        <f>INDEX(C469:M469,MATCH(template_selected_display_language,$C$3:$M$3,0))</f>
        <v/>
      </c>
      <c r="C469" s="2" t="inlineStr">
        <is>
          <t>ℹ️ VSME Supporting guide on Disclosure C3 - Comprehensive Module (GHG reduction targets and climate transition)</t>
        </is>
      </c>
      <c r="D469" s="563" t="inlineStr">
        <is>
          <t>ℹ️ VSME-støttevejledning om oplysning C3 – Omfattende modul (mål for reduktion af drivhusgasser og klimaomstilling)</t>
        </is>
      </c>
      <c r="E469" s="563" t="inlineStr">
        <is>
          <t>ℹ️ VSME Ondersteunende gids over Openbaarmaking C3 – Uitgebreide module (THG-reductiedoelstellingen en klimaattransitie)</t>
        </is>
      </c>
      <c r="F469" s="563" t="inlineStr">
        <is>
          <t>ℹ️ Guide de soutien VSME sur la divulgation C3 – Module complet (objectifs de réduction des GES et transition climatique)</t>
        </is>
      </c>
      <c r="G469" s="563" t="inlineStr">
        <is>
          <t>ℹ️ VSME-Unterstützungsleitfaden zur Offenlegung C3 – Umfassendes Modul (Treibhausgasreduktionsziele und Klimawandelumstellung)</t>
        </is>
      </c>
      <c r="H469" s="563" t="inlineStr">
        <is>
          <t>ℹ️ VSME Treoir Tacaíochta maidir le Nochtadh C3 – Modúl Cuimsitheach (spriocanna laghdaithe gás ceaptha teasa agus aistriú aeráide)</t>
        </is>
      </c>
      <c r="I469" s="563" t="inlineStr">
        <is>
          <t>ℹ️ Guida di supporto VSME sulla Disclosure C3 – Modulo Completo (obiettivi di riduzione dei gas serra e transizione climatica)</t>
        </is>
      </c>
      <c r="J469" s="563" t="inlineStr">
        <is>
          <t>ℹ️ VSME pagalbinis informacijos atskleidimo vadovas C3 – išsamus modulis (ŠESD mažinimo tikslai ir klimato kaitos pertvarka)</t>
        </is>
      </c>
      <c r="K469" s="563" t="inlineStr">
        <is>
          <t>ℹ️ VSME Przewodnik wspierający ujawnianie C3 – Moduł kompleksowy (cele redukcji emisji gazów cieplarnianych i transformacja klimatyczna)</t>
        </is>
      </c>
      <c r="L469" s="563" t="inlineStr">
        <is>
          <t>ℹ️ Guia de apoio VSME sobre Divulgação C3 – Módulo Abrangente (metas de redução de GEE e transição climática)</t>
        </is>
      </c>
      <c r="M469" s="563" t="inlineStr">
        <is>
          <t>ℹ️ Guía de apoyo de VSME sobre divulgación C3 – Módulo integral (objetivos de reducción de gases de emersión y transición climática)</t>
        </is>
      </c>
    </row>
    <row r="470" ht="43.2" customHeight="1">
      <c r="A470" s="2" t="inlineStr">
        <is>
          <t>template_label_supporting_guidance_c7</t>
        </is>
      </c>
      <c r="B470" s="356">
        <f>INDEX(C470:M470,MATCH(template_selected_display_language,$C$3:$M$3,0))</f>
        <v/>
      </c>
      <c r="C470" s="2" t="inlineStr">
        <is>
          <t>ℹ️ VSME Supporting Guide to Disclosure C7 - Comprehensive Module (Severe negative human rights incidents (paragraph 62(c))</t>
        </is>
      </c>
      <c r="D470" s="563" t="inlineStr">
        <is>
          <t>ℹ️ VSME Støttevejledning til Oplysning C7 – Omfattende modul (Alvorlige negative menneskerettighedshændelser (afsnit 62(c))</t>
        </is>
      </c>
      <c r="E470" s="563" t="inlineStr">
        <is>
          <t>ℹ️ VSME Ondersteunende Gids voor Openbaarmaking C7 – Uitgebreide Module (Ernstige negatieve mensenrechtenincidenten (paragraaf 62(c))</t>
        </is>
      </c>
      <c r="F470" s="563" t="inlineStr">
        <is>
          <t>ℹ️ Guide de soutien VSME à la divulgation C7 – Module complet (Incidents graves négatifs liés aux droits de l’homme (paragraphe 62(c))</t>
        </is>
      </c>
      <c r="G470" s="563" t="inlineStr">
        <is>
          <t>ℹ️ VSME Supporting Guide to Disclosure C7 – Umfassendes Modul (Schwere negative Menschenrechtsvorfälle (Absatz 62(c))</t>
        </is>
      </c>
      <c r="H470" s="563" t="inlineStr">
        <is>
          <t>ℹ️ Treoir Tacaíochta VSME maidir le Nochtadh C7 – Modúl Cuimsitheach (Teagmhais dhiúltacha tromchúiseacha ar chearta an duine (mír 62(c))</t>
        </is>
      </c>
      <c r="I470" s="563" t="inlineStr">
        <is>
          <t>ℹ️ Guida di supporto VSME alla Divulgazione C7 – Modulo Completo (Gravi episodi negativi di diritti umani (paragrafo 62(c))</t>
        </is>
      </c>
      <c r="J470" s="563" t="inlineStr">
        <is>
          <t>ℹ️ VSME pagalbinis informacijos atskleidimo vadovas C7 – išsamus modulis (Sunkūs neigiami žmogaus teisių incidentai (62 dalies c punktas))</t>
        </is>
      </c>
      <c r="K470" s="563" t="inlineStr">
        <is>
          <t>ℹ️ VSME Wspierający Przewodnik po ujawnianiu C7 – Moduł kompleksowy (Poważne negatywne incydenty dotyczące praw człowieka (paragraf 62(c))</t>
        </is>
      </c>
      <c r="L470" s="563" t="inlineStr">
        <is>
          <t>ℹ️ Guia de Apoio VSME para Divulgação C7 – Módulo Abrangente (Incidentes negativos graves de direitos humanos (parágrafo 62(c))</t>
        </is>
      </c>
      <c r="M470" s="563" t="inlineStr">
        <is>
          <t>ℹ️ Guía de Apoyo de VSME para la Divulgación C7 – Módulo Completo (Incidentes negativos graves de derechos humanos (párrafo 62(c))</t>
        </is>
      </c>
    </row>
    <row r="471">
      <c r="D471" s="563" t="n"/>
      <c r="E471" s="563" t="n"/>
    </row>
    <row r="472">
      <c r="D472" s="563" t="n"/>
      <c r="E472" s="563" t="n"/>
    </row>
    <row r="473">
      <c r="D473" s="563" t="n"/>
      <c r="E473" s="563" t="n"/>
    </row>
    <row r="474">
      <c r="D474" s="563" t="n"/>
      <c r="E474" s="563" t="n"/>
    </row>
    <row r="475">
      <c r="D475" s="563" t="n"/>
      <c r="E475" s="563" t="n"/>
    </row>
    <row r="476">
      <c r="D476" s="563" t="n"/>
      <c r="E476" s="563" t="n"/>
    </row>
    <row r="477">
      <c r="D477" s="563" t="n"/>
      <c r="E477" s="563" t="n"/>
    </row>
    <row r="478">
      <c r="D478" s="563" t="n"/>
      <c r="E478" s="563" t="n"/>
    </row>
    <row r="479">
      <c r="D479" s="563" t="n"/>
      <c r="E479" s="563" t="n"/>
    </row>
    <row r="480">
      <c r="D480" s="563" t="n"/>
      <c r="E480" s="563" t="n"/>
    </row>
    <row r="481">
      <c r="D481" s="563" t="n"/>
      <c r="E481" s="563" t="n"/>
    </row>
    <row r="482">
      <c r="D482" s="563" t="n"/>
      <c r="E482" s="563" t="n"/>
    </row>
    <row r="483">
      <c r="D483" s="563" t="n"/>
      <c r="E483" s="563" t="n"/>
    </row>
    <row r="484">
      <c r="D484" s="563" t="n"/>
      <c r="E484" s="563" t="n"/>
    </row>
    <row r="485">
      <c r="D485" s="563" t="n"/>
      <c r="E485" s="563" t="n"/>
    </row>
    <row r="486">
      <c r="D486" s="563" t="n"/>
      <c r="E486" s="563" t="n"/>
    </row>
    <row r="487">
      <c r="D487" s="563" t="n"/>
      <c r="E487" s="563" t="n"/>
    </row>
    <row r="488">
      <c r="D488" s="563" t="n"/>
      <c r="E488" s="563" t="n"/>
    </row>
    <row r="489">
      <c r="D489" s="563" t="n"/>
      <c r="E489" s="563" t="n"/>
    </row>
    <row r="490">
      <c r="D490" s="563" t="n"/>
      <c r="E490" s="563" t="n"/>
    </row>
    <row r="491">
      <c r="D491" s="563" t="n"/>
      <c r="E491" s="563" t="n"/>
    </row>
    <row r="492">
      <c r="D492" s="563" t="n"/>
      <c r="E492" s="563" t="n"/>
    </row>
    <row r="493">
      <c r="D493" s="563" t="n"/>
      <c r="E493" s="563" t="n"/>
    </row>
    <row r="494">
      <c r="D494" s="563" t="n"/>
      <c r="E494" s="563" t="n"/>
    </row>
    <row r="495">
      <c r="D495" s="563" t="n"/>
      <c r="E495" s="563" t="n"/>
    </row>
    <row r="496">
      <c r="D496" s="563" t="n"/>
      <c r="E496" s="563" t="n"/>
    </row>
    <row r="497">
      <c r="D497" s="563" t="n"/>
      <c r="E497" s="563" t="n"/>
    </row>
    <row r="498">
      <c r="D498" s="563" t="n"/>
      <c r="E498" s="563" t="n"/>
    </row>
    <row r="499">
      <c r="D499" s="563" t="n"/>
      <c r="E499" s="563" t="n"/>
    </row>
    <row r="500">
      <c r="D500" s="563" t="n"/>
      <c r="E500" s="563" t="n"/>
    </row>
    <row r="501">
      <c r="D501" s="563" t="n"/>
      <c r="E501" s="563" t="n"/>
    </row>
    <row r="502">
      <c r="D502" s="563" t="n"/>
      <c r="E502" s="563" t="n"/>
    </row>
    <row r="503">
      <c r="D503" s="563" t="n"/>
      <c r="E503" s="563" t="n"/>
    </row>
    <row r="504">
      <c r="D504" s="563" t="n"/>
      <c r="E504" s="563" t="n"/>
    </row>
    <row r="505">
      <c r="D505" s="563" t="n"/>
      <c r="E505" s="563" t="n"/>
    </row>
    <row r="506">
      <c r="D506" s="563" t="n"/>
      <c r="E506" s="563" t="n"/>
    </row>
    <row r="507">
      <c r="D507" s="563" t="n"/>
      <c r="E507" s="563" t="n"/>
    </row>
    <row r="508">
      <c r="D508" s="563" t="n"/>
      <c r="E508" s="563" t="n"/>
    </row>
    <row r="509">
      <c r="D509" s="563" t="n"/>
      <c r="E509" s="563" t="n"/>
    </row>
    <row r="510">
      <c r="D510" s="563" t="n"/>
      <c r="E510" s="563" t="n"/>
    </row>
    <row r="511">
      <c r="D511" s="563" t="n"/>
      <c r="E511" s="563" t="n"/>
    </row>
    <row r="512">
      <c r="D512" s="563" t="n"/>
      <c r="E512" s="563" t="n"/>
    </row>
    <row r="513">
      <c r="D513" s="563" t="n"/>
      <c r="E513" s="563" t="n"/>
    </row>
    <row r="514">
      <c r="D514" s="563" t="n"/>
      <c r="E514" s="563" t="n"/>
    </row>
    <row r="515">
      <c r="D515" s="563" t="n"/>
      <c r="E515" s="563" t="n"/>
    </row>
    <row r="516">
      <c r="D516" s="563" t="n"/>
      <c r="E516" s="563" t="n"/>
    </row>
    <row r="517">
      <c r="D517" s="563" t="n"/>
      <c r="E517" s="563" t="n"/>
    </row>
    <row r="518">
      <c r="D518" s="563" t="n"/>
      <c r="E518" s="563" t="n"/>
    </row>
    <row r="519">
      <c r="D519" s="563" t="n"/>
      <c r="E519" s="563" t="n"/>
    </row>
    <row r="520">
      <c r="D520" s="563" t="n"/>
      <c r="E520" s="563" t="n"/>
    </row>
    <row r="521">
      <c r="D521" s="563" t="n"/>
      <c r="E521" s="563" t="n"/>
    </row>
    <row r="522">
      <c r="D522" s="563" t="n"/>
      <c r="E522" s="563" t="n"/>
    </row>
    <row r="523">
      <c r="D523" s="563" t="n"/>
      <c r="E523" s="563" t="n"/>
    </row>
    <row r="524">
      <c r="D524" s="563" t="n"/>
      <c r="E524" s="563" t="n"/>
    </row>
    <row r="525">
      <c r="D525" s="563" t="n"/>
      <c r="E525" s="563" t="n"/>
    </row>
    <row r="526">
      <c r="D526" s="563" t="n"/>
      <c r="E526" s="563" t="n"/>
    </row>
    <row r="527">
      <c r="D527" s="563" t="n"/>
      <c r="E527" s="563" t="n"/>
    </row>
    <row r="528">
      <c r="D528" s="563" t="n"/>
      <c r="E528" s="563" t="n"/>
    </row>
    <row r="529">
      <c r="D529" s="563" t="n"/>
      <c r="E529" s="563" t="n"/>
    </row>
    <row r="530">
      <c r="D530" s="563" t="n"/>
      <c r="E530" s="563" t="n"/>
    </row>
    <row r="531">
      <c r="D531" s="563" t="n"/>
      <c r="E531" s="563" t="n"/>
    </row>
    <row r="532">
      <c r="D532" s="563" t="n"/>
      <c r="E532" s="563" t="n"/>
    </row>
    <row r="533">
      <c r="D533" s="563" t="n"/>
      <c r="E533" s="563" t="n"/>
    </row>
    <row r="534">
      <c r="D534" s="563" t="n"/>
      <c r="E534" s="563" t="n"/>
    </row>
    <row r="535">
      <c r="D535" s="563" t="n"/>
      <c r="E535" s="563" t="n"/>
    </row>
    <row r="536">
      <c r="D536" s="563" t="n"/>
      <c r="E536" s="563" t="n"/>
    </row>
    <row r="537">
      <c r="D537" s="563" t="n"/>
      <c r="E537" s="563" t="n"/>
    </row>
    <row r="538">
      <c r="D538" s="563" t="n"/>
      <c r="E538" s="563" t="n"/>
    </row>
    <row r="539">
      <c r="D539" s="563" t="n"/>
      <c r="E539" s="563" t="n"/>
    </row>
    <row r="540">
      <c r="D540" s="563" t="n"/>
      <c r="E540" s="563" t="n"/>
    </row>
    <row r="541">
      <c r="D541" s="563" t="n"/>
      <c r="E541" s="563" t="n"/>
    </row>
    <row r="542">
      <c r="D542" s="563" t="n"/>
      <c r="E542" s="563" t="n"/>
    </row>
    <row r="543">
      <c r="D543" s="563" t="n"/>
      <c r="E543" s="563" t="n"/>
    </row>
    <row r="544">
      <c r="D544" s="563" t="n"/>
      <c r="E544" s="563" t="n"/>
    </row>
    <row r="545">
      <c r="D545" s="563" t="n"/>
      <c r="E545" s="563" t="n"/>
    </row>
    <row r="546">
      <c r="D546" s="563" t="n"/>
      <c r="E546" s="563" t="n"/>
    </row>
    <row r="547">
      <c r="D547" s="563" t="n"/>
      <c r="E547" s="563" t="n"/>
    </row>
    <row r="548">
      <c r="D548" s="563" t="n"/>
      <c r="E548" s="563" t="n"/>
    </row>
    <row r="549">
      <c r="D549" s="563" t="n"/>
      <c r="E549" s="563" t="n"/>
    </row>
    <row r="550">
      <c r="D550" s="563" t="n"/>
      <c r="E550" s="563" t="n"/>
    </row>
    <row r="551">
      <c r="D551" s="563" t="n"/>
      <c r="E551" s="563" t="n"/>
    </row>
    <row r="552">
      <c r="D552" s="563" t="n"/>
      <c r="E552" s="563" t="n"/>
    </row>
    <row r="553">
      <c r="D553" s="563" t="n"/>
      <c r="E553" s="563" t="n"/>
    </row>
    <row r="554">
      <c r="D554" s="563" t="n"/>
      <c r="E554" s="563" t="n"/>
    </row>
    <row r="555">
      <c r="D555" s="563" t="n"/>
      <c r="E555" s="563" t="n"/>
    </row>
    <row r="556">
      <c r="D556" s="563" t="n"/>
      <c r="E556" s="563" t="n"/>
    </row>
    <row r="557">
      <c r="D557" s="563" t="n"/>
      <c r="E557" s="563" t="n"/>
    </row>
    <row r="558">
      <c r="D558" s="563" t="n"/>
      <c r="E558" s="563" t="n"/>
    </row>
    <row r="559">
      <c r="D559" s="563" t="n"/>
      <c r="E559" s="563" t="n"/>
    </row>
    <row r="560">
      <c r="D560" s="563" t="n"/>
      <c r="E560" s="563" t="n"/>
    </row>
    <row r="561">
      <c r="D561" s="563" t="n"/>
      <c r="E561" s="563" t="n"/>
    </row>
    <row r="562">
      <c r="D562" s="563" t="n"/>
      <c r="E562" s="563" t="n"/>
    </row>
    <row r="563">
      <c r="D563" s="563" t="n"/>
      <c r="E563" s="563" t="n"/>
    </row>
    <row r="564">
      <c r="D564" s="563" t="n"/>
      <c r="E564" s="563" t="n"/>
    </row>
    <row r="565">
      <c r="D565" s="563" t="n"/>
      <c r="E565" s="563" t="n"/>
    </row>
    <row r="566">
      <c r="D566" s="563" t="n"/>
      <c r="E566" s="563" t="n"/>
    </row>
    <row r="567">
      <c r="D567" s="563" t="n"/>
      <c r="E567" s="563" t="n"/>
    </row>
    <row r="568">
      <c r="D568" s="563" t="n"/>
      <c r="E568" s="563" t="n"/>
    </row>
    <row r="569">
      <c r="D569" s="563" t="n"/>
      <c r="E569" s="563" t="n"/>
    </row>
    <row r="570">
      <c r="D570" s="563" t="n"/>
      <c r="E570" s="563" t="n"/>
    </row>
    <row r="571">
      <c r="D571" s="563" t="n"/>
      <c r="E571" s="563" t="n"/>
    </row>
    <row r="572">
      <c r="D572" s="563" t="n"/>
      <c r="E572" s="563" t="n"/>
    </row>
    <row r="573">
      <c r="D573" s="563" t="n"/>
      <c r="E573" s="563" t="n"/>
    </row>
    <row r="574">
      <c r="D574" s="563" t="n"/>
      <c r="E574" s="563" t="n"/>
    </row>
    <row r="575">
      <c r="D575" s="563" t="n"/>
      <c r="E575" s="563" t="n"/>
    </row>
    <row r="576">
      <c r="D576" s="563" t="n"/>
      <c r="E576" s="563" t="n"/>
    </row>
    <row r="577">
      <c r="D577" s="563" t="n"/>
      <c r="E577" s="563" t="n"/>
    </row>
    <row r="578">
      <c r="D578" s="563" t="n"/>
      <c r="E578" s="563" t="n"/>
    </row>
    <row r="579">
      <c r="D579" s="563" t="n"/>
      <c r="E579" s="563" t="n"/>
    </row>
    <row r="580">
      <c r="D580" s="563" t="n"/>
      <c r="E580" s="563" t="n"/>
    </row>
    <row r="581">
      <c r="D581" s="563" t="n"/>
      <c r="E581" s="563" t="n"/>
    </row>
    <row r="582">
      <c r="D582" s="563" t="n"/>
      <c r="E582" s="563" t="n"/>
    </row>
    <row r="583">
      <c r="D583" s="563" t="n"/>
      <c r="E583" s="563" t="n"/>
    </row>
    <row r="584">
      <c r="D584" s="563" t="n"/>
      <c r="E584" s="563" t="n"/>
    </row>
    <row r="585">
      <c r="D585" s="563" t="n"/>
      <c r="E585" s="563" t="n"/>
    </row>
    <row r="586">
      <c r="D586" s="563" t="n"/>
      <c r="E586" s="563" t="n"/>
    </row>
    <row r="587">
      <c r="D587" s="563" t="n"/>
      <c r="E587" s="563" t="n"/>
    </row>
    <row r="588">
      <c r="D588" s="563" t="n"/>
      <c r="E588" s="563" t="n"/>
    </row>
    <row r="589">
      <c r="D589" s="563" t="n"/>
      <c r="E589" s="563" t="n"/>
    </row>
    <row r="590">
      <c r="D590" s="563" t="n"/>
      <c r="E590" s="563" t="n"/>
    </row>
    <row r="591">
      <c r="D591" s="563" t="n"/>
      <c r="E591" s="563" t="n"/>
    </row>
    <row r="592">
      <c r="D592" s="563" t="n"/>
      <c r="E592" s="563" t="n"/>
    </row>
    <row r="593">
      <c r="D593" s="563" t="n"/>
      <c r="E593" s="563" t="n"/>
    </row>
    <row r="594">
      <c r="D594" s="563" t="n"/>
      <c r="E594" s="563" t="n"/>
    </row>
    <row r="595">
      <c r="D595" s="563" t="n"/>
      <c r="E595" s="563" t="n"/>
    </row>
    <row r="596">
      <c r="D596" s="563" t="n"/>
      <c r="E596" s="563" t="n"/>
    </row>
    <row r="597">
      <c r="D597" s="563" t="n"/>
      <c r="E597" s="563" t="n"/>
    </row>
    <row r="598">
      <c r="D598" s="563" t="n"/>
      <c r="E598" s="563" t="n"/>
    </row>
    <row r="599">
      <c r="D599" s="563" t="n"/>
      <c r="E599" s="563" t="n"/>
    </row>
    <row r="600">
      <c r="D600" s="563" t="n"/>
      <c r="E600" s="563" t="n"/>
    </row>
    <row r="601">
      <c r="D601" s="563" t="n"/>
      <c r="E601" s="563" t="n"/>
    </row>
    <row r="602">
      <c r="D602" s="563" t="n"/>
      <c r="E602" s="563" t="n"/>
    </row>
    <row r="603">
      <c r="D603" s="563" t="n"/>
      <c r="E603" s="563" t="n"/>
    </row>
    <row r="604">
      <c r="D604" s="563" t="n"/>
      <c r="E604" s="563" t="n"/>
    </row>
    <row r="605">
      <c r="D605" s="563" t="n"/>
      <c r="E605" s="563" t="n"/>
    </row>
    <row r="606">
      <c r="D606" s="563" t="n"/>
      <c r="E606" s="563" t="n"/>
    </row>
    <row r="607">
      <c r="D607" s="563" t="n"/>
      <c r="E607" s="563" t="n"/>
    </row>
    <row r="608">
      <c r="D608" s="563" t="n"/>
      <c r="E608" s="563" t="n"/>
    </row>
    <row r="609">
      <c r="D609" s="563" t="n"/>
      <c r="E609" s="563" t="n"/>
    </row>
    <row r="610">
      <c r="D610" s="563" t="n"/>
      <c r="E610" s="563" t="n"/>
    </row>
    <row r="611">
      <c r="D611" s="563" t="n"/>
      <c r="E611" s="563" t="n"/>
    </row>
    <row r="612">
      <c r="D612" s="563" t="n"/>
      <c r="E612" s="563" t="n"/>
    </row>
    <row r="613">
      <c r="D613" s="563" t="n"/>
      <c r="E613" s="563" t="n"/>
    </row>
    <row r="614">
      <c r="D614" s="563" t="n"/>
      <c r="E614" s="563" t="n"/>
    </row>
    <row r="615">
      <c r="D615" s="563" t="n"/>
      <c r="E615" s="563" t="n"/>
    </row>
    <row r="616">
      <c r="D616" s="563" t="n"/>
      <c r="E616" s="563" t="n"/>
    </row>
    <row r="617">
      <c r="D617" s="563" t="n"/>
      <c r="E617" s="563" t="n"/>
    </row>
    <row r="618">
      <c r="D618" s="563" t="n"/>
      <c r="E618" s="563" t="n"/>
    </row>
    <row r="619">
      <c r="D619" s="563" t="n"/>
      <c r="E619" s="563" t="n"/>
    </row>
    <row r="620">
      <c r="D620" s="563" t="n"/>
      <c r="E620" s="563" t="n"/>
    </row>
    <row r="621">
      <c r="D621" s="563" t="n"/>
      <c r="E621" s="563" t="n"/>
    </row>
    <row r="622">
      <c r="D622" s="563" t="n"/>
      <c r="E622" s="563" t="n"/>
    </row>
    <row r="623">
      <c r="D623" s="563" t="n"/>
      <c r="E623" s="563" t="n"/>
    </row>
    <row r="624">
      <c r="D624" s="563" t="n"/>
      <c r="E624" s="563" t="n"/>
    </row>
    <row r="625">
      <c r="D625" s="563" t="n"/>
      <c r="E625" s="563" t="n"/>
    </row>
    <row r="626">
      <c r="D626" s="563" t="n"/>
      <c r="E626" s="563" t="n"/>
    </row>
    <row r="627">
      <c r="D627" s="563" t="n"/>
      <c r="E627" s="563" t="n"/>
    </row>
    <row r="628">
      <c r="D628" s="563" t="n"/>
      <c r="E628" s="563" t="n"/>
    </row>
    <row r="629">
      <c r="D629" s="563" t="n"/>
      <c r="E629" s="563" t="n"/>
    </row>
    <row r="630">
      <c r="D630" s="563" t="n"/>
      <c r="E630" s="563" t="n"/>
    </row>
    <row r="631">
      <c r="D631" s="563" t="n"/>
      <c r="E631" s="563" t="n"/>
    </row>
    <row r="632">
      <c r="D632" s="563" t="n"/>
      <c r="E632" s="563" t="n"/>
    </row>
    <row r="633">
      <c r="D633" s="563" t="n"/>
      <c r="E633" s="563" t="n"/>
    </row>
    <row r="634">
      <c r="D634" s="563" t="n"/>
      <c r="E634" s="563" t="n"/>
    </row>
    <row r="635">
      <c r="D635" s="563" t="n"/>
      <c r="E635" s="563" t="n"/>
    </row>
    <row r="636">
      <c r="D636" s="563" t="n"/>
      <c r="E636" s="563" t="n"/>
    </row>
    <row r="637">
      <c r="D637" s="563" t="n"/>
      <c r="E637" s="563" t="n"/>
    </row>
    <row r="638">
      <c r="D638" s="563" t="n"/>
      <c r="E638" s="563" t="n"/>
    </row>
    <row r="639">
      <c r="D639" s="563" t="n"/>
      <c r="E639" s="563" t="n"/>
    </row>
    <row r="640">
      <c r="D640" s="563" t="n"/>
      <c r="E640" s="563" t="n"/>
    </row>
    <row r="641">
      <c r="D641" s="563" t="n"/>
      <c r="E641" s="563" t="n"/>
    </row>
    <row r="642">
      <c r="D642" s="563" t="n"/>
      <c r="E642" s="563" t="n"/>
    </row>
    <row r="643">
      <c r="D643" s="563" t="n"/>
      <c r="E643" s="563" t="n"/>
    </row>
    <row r="644">
      <c r="D644" s="563" t="n"/>
      <c r="E644" s="563" t="n"/>
    </row>
    <row r="645">
      <c r="D645" s="563" t="n"/>
      <c r="E645" s="563" t="n"/>
    </row>
    <row r="646">
      <c r="D646" s="563" t="n"/>
      <c r="E646" s="563" t="n"/>
    </row>
    <row r="647">
      <c r="D647" s="563" t="n"/>
      <c r="E647" s="563" t="n"/>
    </row>
    <row r="648">
      <c r="D648" s="563" t="n"/>
      <c r="E648" s="563" t="n"/>
    </row>
    <row r="649">
      <c r="D649" s="563" t="n"/>
      <c r="E649" s="563" t="n"/>
    </row>
    <row r="650">
      <c r="D650" s="563" t="n"/>
      <c r="E650" s="563" t="n"/>
    </row>
    <row r="651">
      <c r="D651" s="563" t="n"/>
      <c r="E651" s="563" t="n"/>
    </row>
    <row r="652">
      <c r="D652" s="563" t="n"/>
      <c r="E652" s="563" t="n"/>
    </row>
    <row r="653">
      <c r="D653" s="563" t="n"/>
      <c r="E653" s="563" t="n"/>
    </row>
    <row r="654">
      <c r="D654" s="563" t="n"/>
      <c r="E654" s="563" t="n"/>
    </row>
    <row r="655">
      <c r="D655" s="563" t="n"/>
      <c r="E655" s="563" t="n"/>
    </row>
    <row r="656">
      <c r="D656" s="563" t="n"/>
      <c r="E656" s="563" t="n"/>
    </row>
    <row r="657">
      <c r="D657" s="563" t="n"/>
      <c r="E657" s="563" t="n"/>
    </row>
    <row r="658">
      <c r="D658" s="563" t="n"/>
      <c r="E658" s="563" t="n"/>
    </row>
    <row r="659">
      <c r="D659" s="563" t="n"/>
      <c r="E659" s="563" t="n"/>
    </row>
    <row r="660">
      <c r="D660" s="563" t="n"/>
      <c r="E660" s="563" t="n"/>
    </row>
    <row r="661">
      <c r="D661" s="563" t="n"/>
      <c r="E661" s="563" t="n"/>
    </row>
    <row r="662">
      <c r="D662" s="563" t="n"/>
      <c r="E662" s="563" t="n"/>
    </row>
    <row r="663">
      <c r="D663" s="563" t="n"/>
      <c r="E663" s="563" t="n"/>
    </row>
    <row r="664">
      <c r="D664" s="563" t="n"/>
      <c r="E664" s="563" t="n"/>
    </row>
    <row r="665">
      <c r="D665" s="563" t="n"/>
      <c r="E665" s="563" t="n"/>
    </row>
    <row r="666">
      <c r="D666" s="563" t="n"/>
      <c r="E666" s="563" t="n"/>
    </row>
    <row r="667">
      <c r="D667" s="563" t="n"/>
      <c r="E667" s="563" t="n"/>
    </row>
    <row r="668">
      <c r="D668" s="563" t="n"/>
      <c r="E668" s="563" t="n"/>
    </row>
    <row r="669">
      <c r="D669" s="563" t="n"/>
      <c r="E669" s="563" t="n"/>
    </row>
    <row r="670">
      <c r="D670" s="563" t="n"/>
      <c r="E670" s="563" t="n"/>
    </row>
    <row r="671">
      <c r="D671" s="563" t="n"/>
      <c r="E671" s="563" t="n"/>
    </row>
    <row r="672">
      <c r="D672" s="563" t="n"/>
      <c r="E672" s="563" t="n"/>
    </row>
    <row r="673">
      <c r="D673" s="563" t="n"/>
      <c r="E673" s="563" t="n"/>
    </row>
    <row r="674">
      <c r="D674" s="563" t="n"/>
      <c r="E674" s="563" t="n"/>
    </row>
    <row r="675">
      <c r="D675" s="563" t="n"/>
      <c r="E675" s="563" t="n"/>
    </row>
    <row r="676">
      <c r="D676" s="563" t="n"/>
      <c r="E676" s="563" t="n"/>
    </row>
    <row r="677">
      <c r="D677" s="563" t="n"/>
      <c r="E677" s="563" t="n"/>
    </row>
    <row r="678">
      <c r="D678" s="563" t="n"/>
      <c r="E678" s="563" t="n"/>
    </row>
    <row r="679">
      <c r="D679" s="563" t="n"/>
      <c r="E679" s="563" t="n"/>
    </row>
    <row r="680">
      <c r="D680" s="563" t="n"/>
      <c r="E680" s="563" t="n"/>
    </row>
    <row r="681">
      <c r="D681" s="563" t="n"/>
      <c r="E681" s="563" t="n"/>
    </row>
    <row r="682">
      <c r="D682" s="563" t="n"/>
      <c r="E682" s="563" t="n"/>
    </row>
    <row r="683">
      <c r="D683" s="563" t="n"/>
      <c r="E683" s="563" t="n"/>
    </row>
    <row r="684">
      <c r="D684" s="563" t="n"/>
      <c r="E684" s="563" t="n"/>
    </row>
    <row r="685">
      <c r="D685" s="563" t="n"/>
      <c r="E685" s="563" t="n"/>
    </row>
    <row r="686">
      <c r="D686" s="563" t="n"/>
      <c r="E686" s="563" t="n"/>
    </row>
    <row r="687">
      <c r="D687" s="563" t="n"/>
      <c r="E687" s="563" t="n"/>
    </row>
    <row r="688">
      <c r="D688" s="563" t="n"/>
      <c r="E688" s="563" t="n"/>
    </row>
    <row r="689">
      <c r="D689" s="563" t="n"/>
      <c r="E689" s="563" t="n"/>
    </row>
    <row r="690">
      <c r="D690" s="563" t="n"/>
      <c r="E690" s="563" t="n"/>
    </row>
    <row r="691">
      <c r="D691" s="563" t="n"/>
      <c r="E691" s="563" t="n"/>
    </row>
    <row r="692">
      <c r="D692" s="563" t="n"/>
      <c r="E692" s="563" t="n"/>
    </row>
    <row r="693">
      <c r="D693" s="563" t="n"/>
      <c r="E693" s="563" t="n"/>
    </row>
    <row r="694">
      <c r="D694" s="563" t="n"/>
      <c r="E694" s="563" t="n"/>
    </row>
    <row r="695">
      <c r="D695" s="563" t="n"/>
      <c r="E695" s="563" t="n"/>
    </row>
    <row r="696">
      <c r="D696" s="563" t="n"/>
      <c r="E696" s="563" t="n"/>
    </row>
    <row r="697">
      <c r="D697" s="563" t="n"/>
      <c r="E697" s="563" t="n"/>
    </row>
    <row r="698">
      <c r="D698" s="563" t="n"/>
      <c r="E698" s="563" t="n"/>
    </row>
    <row r="699">
      <c r="D699" s="563" t="n"/>
      <c r="E699" s="563" t="n"/>
    </row>
    <row r="700">
      <c r="D700" s="563" t="n"/>
      <c r="E700" s="563" t="n"/>
    </row>
    <row r="701">
      <c r="D701" s="563" t="n"/>
      <c r="E701" s="563" t="n"/>
    </row>
    <row r="702">
      <c r="D702" s="563" t="n"/>
      <c r="E702" s="563" t="n"/>
    </row>
    <row r="703">
      <c r="D703" s="563" t="n"/>
      <c r="E703" s="563" t="n"/>
    </row>
    <row r="704">
      <c r="D704" s="563" t="n"/>
      <c r="E704" s="563" t="n"/>
    </row>
    <row r="705">
      <c r="D705" s="563" t="n"/>
      <c r="E705" s="563" t="n"/>
    </row>
    <row r="706">
      <c r="D706" s="563" t="n"/>
      <c r="E706" s="563" t="n"/>
    </row>
    <row r="707">
      <c r="D707" s="563" t="n"/>
      <c r="E707" s="563" t="n"/>
    </row>
    <row r="708">
      <c r="D708" s="563" t="n"/>
      <c r="E708" s="563" t="n"/>
    </row>
    <row r="709">
      <c r="D709" s="563" t="n"/>
      <c r="E709" s="563" t="n"/>
    </row>
    <row r="710">
      <c r="D710" s="563" t="n"/>
      <c r="E710" s="563" t="n"/>
    </row>
    <row r="711">
      <c r="D711" s="563" t="n"/>
      <c r="E711" s="563" t="n"/>
    </row>
    <row r="712">
      <c r="D712" s="563" t="n"/>
      <c r="E712" s="563" t="n"/>
    </row>
    <row r="713">
      <c r="D713" s="563" t="n"/>
      <c r="E713" s="563" t="n"/>
    </row>
    <row r="714">
      <c r="D714" s="563" t="n"/>
      <c r="E714" s="563" t="n"/>
    </row>
    <row r="715">
      <c r="D715" s="563" t="n"/>
      <c r="E715" s="563" t="n"/>
    </row>
    <row r="716">
      <c r="D716" s="563" t="n"/>
      <c r="E716" s="563" t="n"/>
    </row>
    <row r="717">
      <c r="D717" s="563" t="n"/>
      <c r="E717" s="563" t="n"/>
    </row>
    <row r="718">
      <c r="D718" s="563" t="n"/>
      <c r="E718" s="563" t="n"/>
    </row>
    <row r="719">
      <c r="D719" s="563" t="n"/>
      <c r="E719" s="563" t="n"/>
    </row>
    <row r="720">
      <c r="D720" s="563" t="n"/>
      <c r="E720" s="563" t="n"/>
    </row>
    <row r="721">
      <c r="D721" s="563" t="n"/>
      <c r="E721" s="563" t="n"/>
    </row>
    <row r="722">
      <c r="D722" s="563" t="n"/>
      <c r="E722" s="563" t="n"/>
    </row>
    <row r="723">
      <c r="D723" s="563" t="n"/>
      <c r="E723" s="563" t="n"/>
    </row>
    <row r="724">
      <c r="D724" s="563" t="n"/>
      <c r="E724" s="563" t="n"/>
    </row>
    <row r="725">
      <c r="D725" s="563" t="n"/>
      <c r="E725" s="563" t="n"/>
    </row>
    <row r="726">
      <c r="D726" s="563" t="n"/>
      <c r="E726" s="563" t="n"/>
    </row>
    <row r="727">
      <c r="D727" s="563" t="n"/>
      <c r="E727" s="563" t="n"/>
    </row>
    <row r="728">
      <c r="D728" s="563" t="n"/>
      <c r="E728" s="563" t="n"/>
    </row>
    <row r="729">
      <c r="D729" s="563" t="n"/>
      <c r="E729" s="563" t="n"/>
    </row>
    <row r="730">
      <c r="D730" s="563" t="n"/>
      <c r="E730" s="563" t="n"/>
    </row>
    <row r="731">
      <c r="D731" s="563" t="n"/>
      <c r="E731" s="563" t="n"/>
    </row>
    <row r="732">
      <c r="D732" s="563" t="n"/>
      <c r="E732" s="563" t="n"/>
    </row>
    <row r="733">
      <c r="D733" s="563" t="n"/>
      <c r="E733" s="563" t="n"/>
    </row>
    <row r="734">
      <c r="D734" s="563" t="n"/>
      <c r="E734" s="563" t="n"/>
    </row>
    <row r="735">
      <c r="D735" s="563" t="n"/>
      <c r="E735" s="563" t="n"/>
    </row>
    <row r="736">
      <c r="D736" s="563" t="n"/>
      <c r="E736" s="563" t="n"/>
    </row>
    <row r="737">
      <c r="D737" s="563" t="n"/>
      <c r="E737" s="563" t="n"/>
    </row>
    <row r="738">
      <c r="D738" s="563" t="n"/>
      <c r="E738" s="563" t="n"/>
    </row>
    <row r="739">
      <c r="D739" s="563" t="n"/>
      <c r="E739" s="563" t="n"/>
    </row>
    <row r="740">
      <c r="D740" s="563" t="n"/>
      <c r="E740" s="563" t="n"/>
    </row>
    <row r="741">
      <c r="D741" s="563" t="n"/>
      <c r="E741" s="563" t="n"/>
    </row>
    <row r="742">
      <c r="D742" s="563" t="n"/>
      <c r="E742" s="563" t="n"/>
    </row>
    <row r="743">
      <c r="D743" s="563" t="n"/>
      <c r="E743" s="563" t="n"/>
    </row>
    <row r="744">
      <c r="D744" s="563" t="n"/>
      <c r="E744" s="563" t="n"/>
    </row>
    <row r="745">
      <c r="D745" s="563" t="n"/>
      <c r="E745" s="563" t="n"/>
    </row>
    <row r="746">
      <c r="D746" s="563" t="n"/>
      <c r="E746" s="563" t="n"/>
    </row>
    <row r="747">
      <c r="D747" s="563" t="n"/>
      <c r="E747" s="563" t="n"/>
    </row>
    <row r="748">
      <c r="D748" s="563" t="n"/>
      <c r="E748" s="563" t="n"/>
    </row>
    <row r="749">
      <c r="D749" s="563" t="n"/>
      <c r="E749" s="563" t="n"/>
    </row>
    <row r="750">
      <c r="D750" s="563" t="n"/>
      <c r="E750" s="563" t="n"/>
    </row>
    <row r="751">
      <c r="D751" s="563" t="n"/>
      <c r="E751" s="563" t="n"/>
    </row>
    <row r="752">
      <c r="D752" s="563" t="n"/>
      <c r="E752" s="563" t="n"/>
    </row>
    <row r="753">
      <c r="D753" s="563" t="n"/>
      <c r="E753" s="563" t="n"/>
    </row>
    <row r="754">
      <c r="D754" s="563" t="n"/>
      <c r="E754" s="563" t="n"/>
    </row>
    <row r="755">
      <c r="D755" s="563" t="n"/>
      <c r="E755" s="563" t="n"/>
    </row>
    <row r="756">
      <c r="D756" s="563" t="n"/>
      <c r="E756" s="563" t="n"/>
    </row>
    <row r="757">
      <c r="D757" s="563" t="n"/>
      <c r="E757" s="563" t="n"/>
    </row>
    <row r="758">
      <c r="D758" s="563" t="n"/>
      <c r="E758" s="563" t="n"/>
    </row>
    <row r="759">
      <c r="D759" s="563" t="n"/>
      <c r="E759" s="563" t="n"/>
    </row>
    <row r="760">
      <c r="D760" s="563" t="n"/>
      <c r="E760" s="563" t="n"/>
    </row>
    <row r="761">
      <c r="D761" s="563" t="n"/>
      <c r="E761" s="563" t="n"/>
    </row>
    <row r="762">
      <c r="D762" s="563" t="n"/>
      <c r="E762" s="563" t="n"/>
    </row>
    <row r="763">
      <c r="D763" s="563" t="n"/>
      <c r="E763" s="563" t="n"/>
    </row>
    <row r="764">
      <c r="D764" s="563" t="n"/>
      <c r="E764" s="563" t="n"/>
    </row>
    <row r="765">
      <c r="D765" s="563" t="n"/>
      <c r="E765" s="563" t="n"/>
    </row>
    <row r="766">
      <c r="D766" s="563" t="n"/>
      <c r="E766" s="563" t="n"/>
    </row>
    <row r="767">
      <c r="D767" s="563" t="n"/>
      <c r="E767" s="563" t="n"/>
    </row>
    <row r="768">
      <c r="D768" s="563" t="n"/>
      <c r="E768" s="563" t="n"/>
    </row>
    <row r="769">
      <c r="D769" s="563" t="n"/>
      <c r="E769" s="563" t="n"/>
    </row>
    <row r="770">
      <c r="D770" s="563" t="n"/>
      <c r="E770" s="563" t="n"/>
    </row>
    <row r="771">
      <c r="D771" s="563" t="n"/>
      <c r="E771" s="563" t="n"/>
    </row>
    <row r="772">
      <c r="D772" s="563" t="n"/>
      <c r="E772" s="563" t="n"/>
    </row>
    <row r="773">
      <c r="D773" s="563" t="n"/>
      <c r="E773" s="563" t="n"/>
    </row>
    <row r="774">
      <c r="D774" s="563" t="n"/>
      <c r="E774" s="563" t="n"/>
    </row>
    <row r="775">
      <c r="D775" s="563" t="n"/>
      <c r="E775" s="563" t="n"/>
    </row>
    <row r="776">
      <c r="D776" s="563" t="n"/>
      <c r="E776" s="563" t="n"/>
    </row>
    <row r="777">
      <c r="D777" s="563" t="n"/>
      <c r="E777" s="563" t="n"/>
    </row>
    <row r="778">
      <c r="D778" s="563" t="n"/>
      <c r="E778" s="563" t="n"/>
    </row>
    <row r="779">
      <c r="D779" s="563" t="n"/>
      <c r="E779" s="563" t="n"/>
    </row>
    <row r="780">
      <c r="D780" s="563" t="n"/>
      <c r="E780" s="563" t="n"/>
    </row>
    <row r="781">
      <c r="D781" s="563" t="n"/>
      <c r="E781" s="563" t="n"/>
    </row>
    <row r="782">
      <c r="D782" s="563" t="n"/>
      <c r="E782" s="563" t="n"/>
    </row>
    <row r="783">
      <c r="D783" s="563" t="n"/>
      <c r="E783" s="563" t="n"/>
    </row>
    <row r="784">
      <c r="D784" s="563" t="n"/>
      <c r="E784" s="563" t="n"/>
    </row>
    <row r="785">
      <c r="D785" s="563" t="n"/>
      <c r="E785" s="563" t="n"/>
    </row>
    <row r="786">
      <c r="D786" s="563" t="n"/>
      <c r="E786" s="563" t="n"/>
    </row>
    <row r="787">
      <c r="D787" s="563" t="n"/>
      <c r="E787" s="563" t="n"/>
    </row>
    <row r="788">
      <c r="D788" s="563" t="n"/>
      <c r="E788" s="563" t="n"/>
    </row>
    <row r="789">
      <c r="D789" s="563" t="n"/>
      <c r="E789" s="563" t="n"/>
    </row>
    <row r="790">
      <c r="D790" s="563" t="n"/>
      <c r="E790" s="563" t="n"/>
    </row>
    <row r="791">
      <c r="D791" s="563" t="n"/>
      <c r="E791" s="563" t="n"/>
    </row>
    <row r="792">
      <c r="D792" s="563" t="n"/>
      <c r="E792" s="563" t="n"/>
    </row>
    <row r="793">
      <c r="D793" s="563" t="n"/>
      <c r="E793" s="563" t="n"/>
    </row>
    <row r="794">
      <c r="D794" s="563" t="n"/>
      <c r="E794" s="563" t="n"/>
    </row>
    <row r="795">
      <c r="D795" s="563" t="n"/>
      <c r="E795" s="563" t="n"/>
    </row>
    <row r="796">
      <c r="D796" s="563" t="n"/>
      <c r="E796" s="563" t="n"/>
    </row>
    <row r="797">
      <c r="D797" s="563" t="n"/>
      <c r="E797" s="563" t="n"/>
    </row>
    <row r="798">
      <c r="D798" s="563" t="n"/>
      <c r="E798" s="563" t="n"/>
    </row>
    <row r="799">
      <c r="D799" s="563" t="n"/>
      <c r="E799" s="563" t="n"/>
    </row>
    <row r="800">
      <c r="D800" s="563" t="n"/>
      <c r="E800" s="563" t="n"/>
    </row>
    <row r="801">
      <c r="D801" s="563" t="n"/>
      <c r="E801" s="563" t="n"/>
    </row>
  </sheetData>
  <autoFilter ref="A1:B46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167"/>
  <sheetViews>
    <sheetView workbookViewId="0">
      <selection activeCell="C18" sqref="C18"/>
    </sheetView>
  </sheetViews>
  <sheetFormatPr baseColWidth="8" defaultColWidth="8.88671875" defaultRowHeight="14.4"/>
  <cols>
    <col width="21.33203125" bestFit="1" customWidth="1" min="1" max="1"/>
    <col width="59.6640625" bestFit="1" customWidth="1" min="2" max="2"/>
    <col width="46.6640625" bestFit="1" customWidth="1" min="3" max="3"/>
    <col width="89" customWidth="1" min="4" max="4"/>
    <col width="35.88671875" customWidth="1" min="5" max="5"/>
    <col width="34.6640625" bestFit="1"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278">
        <f>IF(AND('General Information'!$H$403=TRUE, 'General Information'!D404&lt;&gt;"", 'General Information'!E404&lt;&gt;"", 'General Information'!F404&lt;&gt;"", 'General Information'!G404&lt;&gt;""), _xlfn.WEBSERVICE("https://nominatim.openstreetmap.org/search?q=" &amp; 'General Information'!K404 &amp; "&amp;format=json&amp;polygon=1&amp;addressdetails=1"), "")</f>
        <v/>
      </c>
      <c r="E2" s="279">
        <f>MID(D2,SEARCH("""lat"":""",D2)+7,SEARCH("""lon"":""",D2)-SEARCH("""lat"":""",D2)-9)</f>
        <v/>
      </c>
      <c r="F2" s="279">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278">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9">
        <f>MID(D3,SEARCH("""lat"":""",D3)+7,SEARCH("""lon"":""",D3)-SEARCH("""lat"":""",D3)-9)</f>
        <v/>
      </c>
      <c r="F3" s="279">
        <f>MID(D3, SEARCH("""lon"":""", D3) + 7, SEARCH("""class""", D3) - SEARCH("""lon"":""", D3) - 9)</f>
        <v/>
      </c>
      <c r="G3">
        <f>E3 &amp; "," &amp; F3</f>
        <v/>
      </c>
    </row>
    <row r="4">
      <c r="D4" s="278">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9">
        <f>MID(D4,SEARCH("""lat"":""",D4)+7,SEARCH("""lon"":""",D4)-SEARCH("""lat"":""",D4)-9)</f>
        <v/>
      </c>
      <c r="F4" s="279">
        <f>MID(D4, SEARCH("""lon"":""", D4) + 7, SEARCH("""class""", D4) - SEARCH("""lon"":""", D4) - 9)</f>
        <v/>
      </c>
      <c r="G4">
        <f>E4 &amp; "," &amp; F4</f>
        <v/>
      </c>
    </row>
    <row r="5">
      <c r="D5" s="278">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9">
        <f>MID(D5,SEARCH("""lat"":""",D5)+7,SEARCH("""lon"":""",D5)-SEARCH("""lat"":""",D5)-9)</f>
        <v/>
      </c>
      <c r="F5" s="279">
        <f>MID(D5, SEARCH("""lon"":""", D5) + 7, SEARCH("""class""", D5) - SEARCH("""lon"":""", D5) - 9)</f>
        <v/>
      </c>
      <c r="G5">
        <f>E5 &amp; "," &amp; F5</f>
        <v/>
      </c>
    </row>
    <row r="6">
      <c r="D6" s="278">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9">
        <f>MID(D6,SEARCH("""lat"":""",D6)+7,SEARCH("""lon"":""",D6)-SEARCH("""lat"":""",D6)-9)</f>
        <v/>
      </c>
      <c r="F6" s="279">
        <f>MID(D6, SEARCH("""lon"":""", D6) + 7, SEARCH("""class""", D6) - SEARCH("""lon"":""", D6) - 9)</f>
        <v/>
      </c>
      <c r="G6">
        <f>E6 &amp; "," &amp; F6</f>
        <v/>
      </c>
    </row>
    <row r="7">
      <c r="D7" s="278">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9">
        <f>MID(D7,SEARCH("""lat"":""",D7)+7,SEARCH("""lon"":""",D7)-SEARCH("""lat"":""",D7)-9)</f>
        <v/>
      </c>
      <c r="F7" s="279">
        <f>MID(D7, SEARCH("""lon"":""", D7) + 7, SEARCH("""class""", D7) - SEARCH("""lon"":""", D7) - 9)</f>
        <v/>
      </c>
      <c r="G7">
        <f>E7 &amp; "," &amp; F7</f>
        <v/>
      </c>
    </row>
    <row r="8">
      <c r="D8" s="278">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9">
        <f>MID(D8,SEARCH("""lat"":""",D8)+7,SEARCH("""lon"":""",D8)-SEARCH("""lat"":""",D8)-9)</f>
        <v/>
      </c>
      <c r="F8" s="279">
        <f>MID(D8, SEARCH("""lon"":""", D8) + 7, SEARCH("""class""", D8) - SEARCH("""lon"":""", D8) - 9)</f>
        <v/>
      </c>
      <c r="G8">
        <f>E8 &amp; "," &amp; F8</f>
        <v/>
      </c>
    </row>
    <row r="9">
      <c r="D9" s="278">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9">
        <f>MID(D9,SEARCH("""lat"":""",D9)+7,SEARCH("""lon"":""",D9)-SEARCH("""lat"":""",D9)-9)</f>
        <v/>
      </c>
      <c r="F9" s="279">
        <f>MID(D9, SEARCH("""lon"":""", D9) + 7, SEARCH("""class""", D9) - SEARCH("""lon"":""", D9) - 9)</f>
        <v/>
      </c>
      <c r="G9">
        <f>E9 &amp; "," &amp; F9</f>
        <v/>
      </c>
    </row>
    <row r="10">
      <c r="D10" s="278">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9">
        <f>MID(D10,SEARCH("""lat"":""",D10)+7,SEARCH("""lon"":""",D10)-SEARCH("""lat"":""",D10)-9)</f>
        <v/>
      </c>
      <c r="F10" s="279">
        <f>MID(D10, SEARCH("""lon"":""", D10) + 7, SEARCH("""class""", D10) - SEARCH("""lon"":""", D10) - 9)</f>
        <v/>
      </c>
      <c r="G10">
        <f>E10 &amp; "," &amp; F10</f>
        <v/>
      </c>
    </row>
    <row r="11">
      <c r="D11" s="278">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9">
        <f>MID(D11,SEARCH("""lat"":""",D11)+7,SEARCH("""lon"":""",D11)-SEARCH("""lat"":""",D11)-9)</f>
        <v/>
      </c>
      <c r="F11" s="279">
        <f>MID(D11, SEARCH("""lon"":""", D11) + 7, SEARCH("""class""", D11) - SEARCH("""lon"":""", D11) - 9)</f>
        <v/>
      </c>
      <c r="G11">
        <f>E11 &amp; "," &amp; F11</f>
        <v/>
      </c>
    </row>
    <row r="12">
      <c r="D12" s="278">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9">
        <f>MID(D12,SEARCH("""lat"":""",D12)+7,SEARCH("""lon"":""",D12)-SEARCH("""lat"":""",D12)-9)</f>
        <v/>
      </c>
      <c r="F12" s="279">
        <f>MID(D12, SEARCH("""lon"":""", D12) + 7, SEARCH("""class""", D12) - SEARCH("""lon"":""", D12) - 9)</f>
        <v/>
      </c>
      <c r="G12">
        <f>E12 &amp; "," &amp; F12</f>
        <v/>
      </c>
    </row>
    <row r="13">
      <c r="D13" s="278">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9">
        <f>MID(D13,SEARCH("""lat"":""",D13)+7,SEARCH("""lon"":""",D13)-SEARCH("""lat"":""",D13)-9)</f>
        <v/>
      </c>
      <c r="F13" s="279">
        <f>MID(D13, SEARCH("""lon"":""", D13) + 7, SEARCH("""class""", D13) - SEARCH("""lon"":""", D13) - 9)</f>
        <v/>
      </c>
      <c r="G13">
        <f>E13 &amp; "," &amp; F13</f>
        <v/>
      </c>
    </row>
    <row r="14">
      <c r="D14" s="278">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9">
        <f>MID(D14,SEARCH("""lat"":""",D14)+7,SEARCH("""lon"":""",D14)-SEARCH("""lat"":""",D14)-9)</f>
        <v/>
      </c>
      <c r="F14" s="279">
        <f>MID(D14, SEARCH("""lon"":""", D14) + 7, SEARCH("""class""", D14) - SEARCH("""lon"":""", D14) - 9)</f>
        <v/>
      </c>
      <c r="G14">
        <f>E14 &amp; "," &amp; F14</f>
        <v/>
      </c>
    </row>
    <row r="15">
      <c r="D15" s="278">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9">
        <f>MID(D15,SEARCH("""lat"":""",D15)+7,SEARCH("""lon"":""",D15)-SEARCH("""lat"":""",D15)-9)</f>
        <v/>
      </c>
      <c r="F15" s="279">
        <f>MID(D15, SEARCH("""lon"":""", D15) + 7, SEARCH("""class""", D15) - SEARCH("""lon"":""", D15) - 9)</f>
        <v/>
      </c>
      <c r="G15">
        <f>E15 &amp; "," &amp; F15</f>
        <v/>
      </c>
    </row>
    <row r="16">
      <c r="D16" s="278">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9">
        <f>MID(D16,SEARCH("""lat"":""",D16)+7,SEARCH("""lon"":""",D16)-SEARCH("""lat"":""",D16)-9)</f>
        <v/>
      </c>
      <c r="F16" s="279">
        <f>MID(D16, SEARCH("""lon"":""", D16) + 7, SEARCH("""class""", D16) - SEARCH("""lon"":""", D16) - 9)</f>
        <v/>
      </c>
      <c r="G16">
        <f>E16 &amp; "," &amp; F16</f>
        <v/>
      </c>
    </row>
    <row r="17">
      <c r="A17" s="518" t="inlineStr">
        <is>
          <t xml:space="preserve">GPS </t>
        </is>
      </c>
      <c r="D17" s="278">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9">
        <f>MID(D17,SEARCH("""lat"":""",D17)+7,SEARCH("""lon"":""",D17)-SEARCH("""lat"":""",D17)-9)</f>
        <v/>
      </c>
      <c r="F17" s="279">
        <f>MID(D17, SEARCH("""lon"":""", D17) + 7, SEARCH("""class""", D17) - SEARCH("""lon"":""", D17) - 9)</f>
        <v/>
      </c>
      <c r="G17">
        <f>E17 &amp; "," &amp; F17</f>
        <v/>
      </c>
    </row>
    <row r="18">
      <c r="D18" s="278">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9">
        <f>MID(D18,SEARCH("""lat"":""",D18)+7,SEARCH("""lon"":""",D18)-SEARCH("""lat"":""",D18)-9)</f>
        <v/>
      </c>
      <c r="F18" s="279">
        <f>MID(D18, SEARCH("""lon"":""", D18) + 7, SEARCH("""class""", D18) - SEARCH("""lon"":""", D18) - 9)</f>
        <v/>
      </c>
      <c r="G18">
        <f>E18 &amp; "," &amp; F18</f>
        <v/>
      </c>
    </row>
    <row r="19">
      <c r="D19" s="278">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9">
        <f>MID(D19,SEARCH("""lat"":""",D19)+7,SEARCH("""lon"":""",D19)-SEARCH("""lat"":""",D19)-9)</f>
        <v/>
      </c>
      <c r="F19" s="279">
        <f>MID(D19, SEARCH("""lon"":""", D19) + 7, SEARCH("""class""", D19) - SEARCH("""lon"":""", D19) - 9)</f>
        <v/>
      </c>
      <c r="G19">
        <f>E19 &amp; "," &amp; F19</f>
        <v/>
      </c>
    </row>
    <row r="20">
      <c r="D20" s="278">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9">
        <f>MID(D20,SEARCH("""lat"":""",D20)+7,SEARCH("""lon"":""",D20)-SEARCH("""lat"":""",D20)-9)</f>
        <v/>
      </c>
      <c r="F20" s="279">
        <f>MID(D20, SEARCH("""lon"":""", D20) + 7, SEARCH("""class""", D20) - SEARCH("""lon"":""", D20) - 9)</f>
        <v/>
      </c>
      <c r="G20">
        <f>E20 &amp; "," &amp; F20</f>
        <v/>
      </c>
    </row>
    <row r="21">
      <c r="D21" s="278">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9">
        <f>MID(D21,SEARCH("""lat"":""",D21)+7,SEARCH("""lon"":""",D21)-SEARCH("""lat"":""",D21)-9)</f>
        <v/>
      </c>
      <c r="F21" s="279">
        <f>MID(D21, SEARCH("""lon"":""", D21) + 7, SEARCH("""class""", D21) - SEARCH("""lon"":""", D21) - 9)</f>
        <v/>
      </c>
      <c r="G21">
        <f>E21 &amp; "," &amp; F21</f>
        <v/>
      </c>
    </row>
    <row r="22">
      <c r="D22" s="278">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9">
        <f>MID(D22,SEARCH("""lat"":""",D22)+7,SEARCH("""lon"":""",D22)-SEARCH("""lat"":""",D22)-9)</f>
        <v/>
      </c>
      <c r="F22" s="279">
        <f>MID(D22, SEARCH("""lon"":""", D22) + 7, SEARCH("""class""", D22) - SEARCH("""lon"":""", D22) - 9)</f>
        <v/>
      </c>
      <c r="G22">
        <f>E22 &amp; "," &amp; F22</f>
        <v/>
      </c>
    </row>
    <row r="23">
      <c r="D23" s="278">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9">
        <f>MID(D23,SEARCH("""lat"":""",D23)+7,SEARCH("""lon"":""",D23)-SEARCH("""lat"":""",D23)-9)</f>
        <v/>
      </c>
      <c r="F23" s="279">
        <f>MID(D23, SEARCH("""lon"":""", D23) + 7, SEARCH("""class""", D23) - SEARCH("""lon"":""", D23) - 9)</f>
        <v/>
      </c>
      <c r="G23">
        <f>E23 &amp; "," &amp; F23</f>
        <v/>
      </c>
    </row>
    <row r="24">
      <c r="D24" s="278">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9">
        <f>MID(D24,SEARCH("""lat"":""",D24)+7,SEARCH("""lon"":""",D24)-SEARCH("""lat"":""",D24)-9)</f>
        <v/>
      </c>
      <c r="F24" s="279">
        <f>MID(D24, SEARCH("""lon"":""", D24) + 7, SEARCH("""class""", D24) - SEARCH("""lon"":""", D24) - 9)</f>
        <v/>
      </c>
      <c r="G24">
        <f>E24 &amp; "," &amp; F24</f>
        <v/>
      </c>
    </row>
    <row r="25">
      <c r="D25" s="278">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9">
        <f>MID(D25,SEARCH("""lat"":""",D25)+7,SEARCH("""lon"":""",D25)-SEARCH("""lat"":""",D25)-9)</f>
        <v/>
      </c>
      <c r="F25" s="279">
        <f>MID(D25, SEARCH("""lon"":""", D25) + 7, SEARCH("""class""", D25) - SEARCH("""lon"":""", D25) - 9)</f>
        <v/>
      </c>
      <c r="G25">
        <f>E25 &amp; "," &amp; F25</f>
        <v/>
      </c>
    </row>
    <row r="26" ht="15" customFormat="1" customHeight="1" s="12" thickBot="1">
      <c r="D26" s="452">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53">
        <f>MID(D26,SEARCH("""lat"":""",D26)+7,SEARCH("""lon"":""",D26)-SEARCH("""lat"":""",D26)-9)</f>
        <v/>
      </c>
      <c r="F26" s="453">
        <f>MID(D26, SEARCH("""lon"":""", D26) + 7, SEARCH("""class""", D26) - SEARCH("""lon"":""", D26) - 9)</f>
        <v/>
      </c>
      <c r="G26" s="12">
        <f>E26 &amp; "," &amp; F26</f>
        <v/>
      </c>
    </row>
    <row r="27" ht="57.6" customHeight="1">
      <c r="A27" s="451" t="inlineStr">
        <is>
          <t>Numbers for xlookup related to validation for info deemed classified or sensitive</t>
        </is>
      </c>
    </row>
    <row r="28">
      <c r="A28" s="450" t="n">
        <v>1</v>
      </c>
    </row>
    <row r="29">
      <c r="A29" s="450" t="n">
        <v>2</v>
      </c>
    </row>
    <row r="30">
      <c r="A30" s="450" t="n">
        <v>3</v>
      </c>
    </row>
    <row r="31">
      <c r="A31" s="450" t="n">
        <v>4</v>
      </c>
    </row>
    <row r="32">
      <c r="A32" s="450" t="n">
        <v>5</v>
      </c>
    </row>
    <row r="33">
      <c r="A33" s="450" t="n">
        <v>6</v>
      </c>
    </row>
    <row r="34">
      <c r="A34" s="450" t="n">
        <v>7</v>
      </c>
    </row>
    <row r="35">
      <c r="A35" s="450" t="n">
        <v>8</v>
      </c>
    </row>
    <row r="36">
      <c r="A36" s="450" t="n">
        <v>9</v>
      </c>
    </row>
    <row r="37">
      <c r="A37" s="450" t="n">
        <v>10</v>
      </c>
    </row>
    <row r="38">
      <c r="A38" s="450" t="n">
        <v>11</v>
      </c>
    </row>
    <row r="39">
      <c r="A39" s="450" t="n">
        <v>12</v>
      </c>
    </row>
    <row r="40">
      <c r="A40" s="450" t="n">
        <v>13</v>
      </c>
    </row>
    <row r="41">
      <c r="A41" s="450" t="n">
        <v>14</v>
      </c>
    </row>
    <row r="42">
      <c r="A42" s="450" t="n">
        <v>15</v>
      </c>
    </row>
    <row r="43">
      <c r="A43" s="450" t="n">
        <v>16</v>
      </c>
    </row>
    <row r="44">
      <c r="A44" s="450" t="n">
        <v>17</v>
      </c>
    </row>
    <row r="45">
      <c r="A45" s="450" t="n">
        <v>18</v>
      </c>
    </row>
    <row r="46">
      <c r="A46" s="450" t="n">
        <v>19</v>
      </c>
    </row>
    <row r="47">
      <c r="A47" s="450" t="n">
        <v>20</v>
      </c>
    </row>
    <row r="48">
      <c r="A48" s="450" t="n">
        <v>21</v>
      </c>
    </row>
    <row r="49">
      <c r="A49" s="450" t="n">
        <v>22</v>
      </c>
    </row>
    <row r="50">
      <c r="A50" s="450" t="n">
        <v>23</v>
      </c>
    </row>
    <row r="51">
      <c r="A51" s="450" t="n">
        <v>24</v>
      </c>
    </row>
    <row r="52">
      <c r="A52" s="450" t="n">
        <v>25</v>
      </c>
    </row>
    <row r="53">
      <c r="A53" s="450" t="n">
        <v>26</v>
      </c>
    </row>
    <row r="54">
      <c r="A54" s="450" t="n">
        <v>27</v>
      </c>
    </row>
    <row r="55">
      <c r="A55" s="450" t="n">
        <v>28</v>
      </c>
    </row>
    <row r="56">
      <c r="A56" s="450" t="n">
        <v>29</v>
      </c>
    </row>
    <row r="57">
      <c r="A57" s="450" t="n">
        <v>30</v>
      </c>
    </row>
    <row r="58">
      <c r="A58" s="450" t="n">
        <v>31</v>
      </c>
    </row>
    <row r="59">
      <c r="A59" s="450" t="n">
        <v>32</v>
      </c>
    </row>
    <row r="60">
      <c r="A60" s="450" t="n">
        <v>33</v>
      </c>
    </row>
    <row r="61">
      <c r="A61" s="450" t="n">
        <v>34</v>
      </c>
    </row>
    <row r="62">
      <c r="A62" s="450" t="n">
        <v>35</v>
      </c>
    </row>
    <row r="63">
      <c r="A63" s="450" t="n">
        <v>36</v>
      </c>
    </row>
    <row r="64">
      <c r="A64" s="450" t="n">
        <v>37</v>
      </c>
    </row>
    <row r="65">
      <c r="A65" s="450" t="n">
        <v>38</v>
      </c>
    </row>
    <row r="66">
      <c r="A66" s="450" t="n">
        <v>39</v>
      </c>
    </row>
    <row r="67">
      <c r="A67" s="450" t="n">
        <v>40</v>
      </c>
    </row>
    <row r="68">
      <c r="A68" s="450" t="n">
        <v>41</v>
      </c>
    </row>
    <row r="69">
      <c r="A69" s="450" t="n">
        <v>42</v>
      </c>
    </row>
    <row r="70">
      <c r="A70" s="450" t="n">
        <v>43</v>
      </c>
    </row>
    <row r="71">
      <c r="A71" s="450" t="n">
        <v>44</v>
      </c>
    </row>
    <row r="72">
      <c r="A72" s="450" t="n">
        <v>45</v>
      </c>
    </row>
    <row r="73">
      <c r="A73" s="450" t="n">
        <v>46</v>
      </c>
    </row>
    <row r="74">
      <c r="A74" s="450" t="n">
        <v>47</v>
      </c>
    </row>
    <row r="75">
      <c r="A75" s="450" t="n">
        <v>48</v>
      </c>
    </row>
    <row r="76">
      <c r="A76" s="450" t="n">
        <v>49</v>
      </c>
    </row>
    <row r="77">
      <c r="A77" s="450" t="n">
        <v>50</v>
      </c>
    </row>
    <row r="78">
      <c r="A78" s="450" t="n">
        <v>51</v>
      </c>
    </row>
    <row r="79">
      <c r="A79" s="450" t="n">
        <v>52</v>
      </c>
    </row>
    <row r="80">
      <c r="A80" s="450" t="n">
        <v>53</v>
      </c>
    </row>
    <row r="81">
      <c r="A81" s="450" t="n">
        <v>54</v>
      </c>
    </row>
    <row r="82">
      <c r="A82" s="450" t="n">
        <v>55</v>
      </c>
    </row>
    <row r="83">
      <c r="A83" s="450" t="n">
        <v>56</v>
      </c>
    </row>
    <row r="84">
      <c r="A84" s="450" t="n">
        <v>57</v>
      </c>
    </row>
    <row r="85">
      <c r="A85" s="450" t="n">
        <v>58</v>
      </c>
    </row>
    <row r="86">
      <c r="A86" s="450" t="n">
        <v>59</v>
      </c>
    </row>
    <row r="87">
      <c r="A87" s="450" t="n">
        <v>60</v>
      </c>
    </row>
    <row r="88">
      <c r="A88" s="450" t="n">
        <v>61</v>
      </c>
    </row>
    <row r="89">
      <c r="A89" s="450" t="n">
        <v>62</v>
      </c>
    </row>
    <row r="90">
      <c r="A90" s="450" t="n">
        <v>63</v>
      </c>
    </row>
    <row r="91">
      <c r="A91" s="450" t="n">
        <v>64</v>
      </c>
    </row>
    <row r="92">
      <c r="A92" s="450" t="n">
        <v>65</v>
      </c>
    </row>
    <row r="93">
      <c r="A93" s="450" t="n">
        <v>66</v>
      </c>
    </row>
    <row r="94">
      <c r="A94" s="450" t="n">
        <v>67</v>
      </c>
    </row>
    <row r="95">
      <c r="A95" s="450" t="n">
        <v>68</v>
      </c>
    </row>
    <row r="96">
      <c r="A96" s="450" t="n">
        <v>69</v>
      </c>
    </row>
    <row r="97" ht="15" customFormat="1" customHeight="1" s="508" thickBot="1">
      <c r="A97" s="3" t="n">
        <v>70</v>
      </c>
    </row>
    <row r="98" ht="31.2" customHeight="1">
      <c r="A98" s="1032" t="n"/>
      <c r="B98" s="476" t="inlineStr">
        <is>
          <t>Table of Contents</t>
        </is>
      </c>
      <c r="C98" s="477" t="inlineStr">
        <is>
          <t>Overall Validation Status</t>
        </is>
      </c>
      <c r="D98" s="478" t="inlineStr">
        <is>
          <t>Classified or sensitive information</t>
        </is>
      </c>
    </row>
    <row r="99" ht="14.7" customHeight="1">
      <c r="A99" s="1032" t="n"/>
      <c r="B99" s="515" t="inlineStr">
        <is>
          <t>Contents grouping follows template's framework</t>
        </is>
      </c>
      <c r="C99" s="472" t="inlineStr">
        <is>
          <t>INCOMPLETE</t>
        </is>
      </c>
      <c r="D99" s="550" t="inlineStr">
        <is>
          <t>Filling the checkboxes below will fill automatically the list of mitted disclosures in B1 (from row 123 to 172 within General Information sheet)</t>
        </is>
      </c>
    </row>
    <row r="100" ht="18" customHeight="1">
      <c r="A100" s="1032" t="n"/>
      <c r="B100" s="1119" t="n"/>
      <c r="C100" s="468" t="inlineStr">
        <is>
          <t>Specific Content Validation Status</t>
        </is>
      </c>
      <c r="D100" s="1119" t="n"/>
    </row>
    <row r="101" ht="18" customHeight="1">
      <c r="A101" s="1032" t="n"/>
      <c r="B101" s="487" t="inlineStr">
        <is>
          <t>General Information</t>
        </is>
      </c>
      <c r="C101" s="496" t="n"/>
      <c r="D101" s="444" t="n"/>
    </row>
    <row r="102" ht="18" customHeight="1">
      <c r="A102" s="1032" t="n"/>
      <c r="B102" s="491" t="inlineStr">
        <is>
          <t>Information on the report necessary for  XBRL</t>
        </is>
      </c>
      <c r="C102" s="497" t="n"/>
      <c r="D102" s="445" t="n"/>
    </row>
    <row r="103" ht="18.6" customHeight="1" thickBot="1">
      <c r="A103" s="1032" t="n"/>
      <c r="B103" s="491" t="inlineStr">
        <is>
          <t>Information on previous reporting period</t>
        </is>
      </c>
      <c r="C103" s="497" t="n"/>
      <c r="D103" s="445" t="n"/>
    </row>
    <row r="104" ht="18" customHeight="1">
      <c r="A104" s="1032" t="n"/>
      <c r="B104" s="404" t="inlineStr">
        <is>
          <t>Basic Module</t>
        </is>
      </c>
      <c r="C104" s="498" t="n"/>
      <c r="D104" s="446" t="n"/>
      <c r="E104" s="381" t="inlineStr">
        <is>
          <t>ID classified or sensitive information</t>
        </is>
      </c>
      <c r="F104" s="484" t="inlineStr">
        <is>
          <t>Counting sensitie information disclosures</t>
        </is>
      </c>
    </row>
    <row r="105">
      <c r="A105" s="1032" t="n"/>
      <c r="B105" s="487" t="inlineStr">
        <is>
          <t>General Information</t>
        </is>
      </c>
      <c r="C105" s="496" t="n"/>
      <c r="D105" s="447" t="n"/>
      <c r="E105" s="383" t="n"/>
      <c r="F105" s="485">
        <f>IF('Table of Contents &amp; Validation'!D9=TRUE,1,0)</f>
        <v/>
      </c>
    </row>
    <row r="106">
      <c r="A106" s="1032" t="n"/>
      <c r="B106" s="488" t="inlineStr">
        <is>
          <t>B1 - Basis for Preparation</t>
        </is>
      </c>
      <c r="C106" s="497" t="n"/>
      <c r="D106" s="502" t="b">
        <v>0</v>
      </c>
      <c r="E106" s="383">
        <f>IF('Table of Contents &amp; Validation'!D10=TRUE,COUNTIF('Table of Contents &amp; Validation'!$D$10:D10,TRUE),"")</f>
        <v/>
      </c>
      <c r="F106" s="485">
        <f>IF('Table of Contents &amp; Validation'!D10=TRUE,1,0)</f>
        <v/>
      </c>
    </row>
    <row r="107">
      <c r="A107" s="1032" t="n"/>
      <c r="B107" s="492" t="inlineStr">
        <is>
          <t>B1 - Basis for Preparation &amp; Module</t>
        </is>
      </c>
      <c r="C107" s="497" t="n"/>
      <c r="D107" s="503" t="n"/>
      <c r="E107" s="383">
        <f>IF('Table of Contents &amp; Validation'!D11=TRUE,COUNTIF('Table of Contents &amp; Validation'!$D$10:D11,TRUE),"")</f>
        <v/>
      </c>
      <c r="F107" s="485">
        <f>IF('Table of Contents &amp; Validation'!D11=TRUE,1,0)</f>
        <v/>
      </c>
    </row>
    <row r="108">
      <c r="A108" s="1032" t="n"/>
      <c r="B108" s="492" t="inlineStr">
        <is>
          <t>B1 - Other undertaking's general information</t>
        </is>
      </c>
      <c r="C108" s="497" t="n"/>
      <c r="D108" s="479" t="b">
        <v>0</v>
      </c>
      <c r="E108" s="383">
        <f>IF('Table of Contents &amp; Validation'!D12=TRUE,COUNTIF('Table of Contents &amp; Validation'!$D$10:D12,TRUE),"")</f>
        <v/>
      </c>
      <c r="F108" s="485">
        <f>IF('Table of Contents &amp; Validation'!D12=TRUE,1,0)</f>
        <v/>
      </c>
    </row>
    <row r="109">
      <c r="A109" s="1032" t="n"/>
      <c r="B109" s="492" t="inlineStr">
        <is>
          <t>B1 - List of subsidiaries</t>
        </is>
      </c>
      <c r="C109" s="497" t="n"/>
      <c r="D109" s="479" t="b">
        <v>0</v>
      </c>
      <c r="E109" s="383">
        <f>IF('Table of Contents &amp; Validation'!D13=TRUE,COUNTIF('Table of Contents &amp; Validation'!$D$10:D13,TRUE),"")</f>
        <v/>
      </c>
      <c r="F109" s="485">
        <f>IF('Table of Contents &amp; Validation'!D13=TRUE,1,0)</f>
        <v/>
      </c>
    </row>
    <row r="110">
      <c r="A110" s="1032" t="n"/>
      <c r="B110" s="492" t="inlineStr">
        <is>
          <t>B1 - Disclosure of sustainability-related certification(s) or label(s)</t>
        </is>
      </c>
      <c r="C110" s="497" t="n"/>
      <c r="D110" s="479" t="b">
        <v>0</v>
      </c>
      <c r="E110" s="383">
        <f>IF('Table of Contents &amp; Validation'!D14=TRUE,COUNTIF('Table of Contents &amp; Validation'!$D$10:D14,TRUE),"")</f>
        <v/>
      </c>
      <c r="F110" s="485">
        <f>IF('Table of Contents &amp; Validation'!D14=TRUE,1,0)</f>
        <v/>
      </c>
    </row>
    <row r="111">
      <c r="A111" s="1032" t="n"/>
      <c r="B111" s="492" t="inlineStr">
        <is>
          <t>B1 - List of site(s)</t>
        </is>
      </c>
      <c r="C111" s="497" t="n"/>
      <c r="D111" s="479" t="b">
        <v>0</v>
      </c>
      <c r="E111" s="383">
        <f>IF('Table of Contents &amp; Validation'!D15=TRUE,COUNTIF('Table of Contents &amp; Validation'!$D$10:D15,TRUE),"")</f>
        <v/>
      </c>
      <c r="F111" s="485">
        <f>IF('Table of Contents &amp; Validation'!D15=TRUE,1,0)</f>
        <v/>
      </c>
    </row>
    <row r="112" ht="28.8" customHeight="1">
      <c r="A112" s="1032" t="n"/>
      <c r="B112" s="491" t="inlineStr">
        <is>
          <t>B2 - Practices, policies and future initiatives for transitioning towards a more sustainable economy</t>
        </is>
      </c>
      <c r="C112" s="497" t="n"/>
      <c r="D112" s="503" t="b">
        <v>0</v>
      </c>
      <c r="E112" s="383">
        <f>IF('Table of Contents &amp; Validation'!D16=TRUE,COUNTIF('Table of Contents &amp; Validation'!$D$10:D16,TRUE),"")</f>
        <v/>
      </c>
      <c r="F112" s="485">
        <f>IF('Table of Contents &amp; Validation'!D16=TRUE,1,0)</f>
        <v/>
      </c>
    </row>
    <row r="113" ht="28.8" customHeight="1">
      <c r="A113" s="1032" t="n"/>
      <c r="B113" s="492" t="inlineStr">
        <is>
          <t>B2 - Practices policies and future initiatives for transitioning towards a more sustainable economy</t>
        </is>
      </c>
      <c r="C113" s="497" t="n"/>
      <c r="D113" s="479" t="b">
        <v>0</v>
      </c>
      <c r="E113" s="383">
        <f>IF('Table of Contents &amp; Validation'!D17=TRUE,COUNTIF('Table of Contents &amp; Validation'!$D$10:D17,TRUE),"")</f>
        <v/>
      </c>
      <c r="F113" s="485">
        <f>IF('Table of Contents &amp; Validation'!D17=TRUE,1,0)</f>
        <v/>
      </c>
    </row>
    <row r="114">
      <c r="A114" s="1032" t="n"/>
      <c r="B114" s="492" t="inlineStr">
        <is>
          <t>B2 - Cooperative specific disclosures</t>
        </is>
      </c>
      <c r="C114" s="497" t="n"/>
      <c r="D114" s="479" t="b">
        <v>0</v>
      </c>
      <c r="E114" s="383">
        <f>IF('Table of Contents &amp; Validation'!D18=TRUE,COUNTIF('Table of Contents &amp; Validation'!$D$10:D18,TRUE),"")</f>
        <v/>
      </c>
      <c r="F114" s="485">
        <f>IF('Table of Contents &amp; Validation'!D18=TRUE,1,0)</f>
        <v/>
      </c>
    </row>
    <row r="115">
      <c r="A115" s="1032" t="n"/>
      <c r="B115" s="489" t="inlineStr">
        <is>
          <t>Environmental Disclosures</t>
        </is>
      </c>
      <c r="C115" s="496" t="n"/>
      <c r="D115" s="504" t="n"/>
      <c r="E115" s="443">
        <f>IF('Table of Contents &amp; Validation'!D19=TRUE,COUNTIF('Table of Contents &amp; Validation'!$D$10:D19,TRUE),"")</f>
        <v/>
      </c>
      <c r="F115" s="485">
        <f>IF('Table of Contents &amp; Validation'!D19=TRUE,1,0)</f>
        <v/>
      </c>
    </row>
    <row r="116">
      <c r="A116" s="1032" t="n"/>
      <c r="B116" s="488" t="inlineStr">
        <is>
          <t>B3 - Energy and greenhouse gas emissions</t>
        </is>
      </c>
      <c r="C116" s="497" t="n"/>
      <c r="D116" s="503" t="b">
        <v>0</v>
      </c>
      <c r="E116" s="383">
        <f>IF('Table of Contents &amp; Validation'!D20=TRUE,COUNTIF('Table of Contents &amp; Validation'!$D$10:D20,TRUE),"")</f>
        <v/>
      </c>
      <c r="F116" s="485">
        <f>IF('Table of Contents &amp; Validation'!D20=TRUE,1,0)</f>
        <v/>
      </c>
    </row>
    <row r="117">
      <c r="A117" s="1032" t="n"/>
      <c r="B117" s="492" t="inlineStr">
        <is>
          <t>B3 - Total Energy Consumption (in MWh)</t>
        </is>
      </c>
      <c r="C117" s="497" t="n"/>
      <c r="D117" s="479" t="b">
        <v>0</v>
      </c>
      <c r="E117" s="383">
        <f>IF('Table of Contents &amp; Validation'!D21=TRUE,COUNTIF('Table of Contents &amp; Validation'!$D$10:D21,TRUE),"")</f>
        <v/>
      </c>
      <c r="F117" s="485">
        <f>IF('Table of Contents &amp; Validation'!D21=TRUE,1,0)</f>
        <v/>
      </c>
    </row>
    <row r="118">
      <c r="A118" s="1032" t="n"/>
      <c r="B118" s="492" t="inlineStr">
        <is>
          <t>B3 - Breakdown of energy consumption (in MWh)</t>
        </is>
      </c>
      <c r="C118" s="497" t="n"/>
      <c r="D118" s="479" t="b">
        <v>0</v>
      </c>
      <c r="E118" s="383">
        <f>IF('Table of Contents &amp; Validation'!D22=TRUE,COUNTIF('Table of Contents &amp; Validation'!$D$10:D22,TRUE),"")</f>
        <v/>
      </c>
      <c r="F118" s="485">
        <f>IF('Table of Contents &amp; Validation'!D22=TRUE,1,0)</f>
        <v/>
      </c>
    </row>
    <row r="119" ht="28.8" customHeight="1">
      <c r="A119" s="1032" t="n"/>
      <c r="B119" s="492" t="inlineStr">
        <is>
          <t>B3 - Estimated Greenhouse Gas Emissions considering the GHG Protocol Version 2004 (in tCO2e)</t>
        </is>
      </c>
      <c r="C119" s="497" t="n"/>
      <c r="D119" s="479" t="b">
        <v>0</v>
      </c>
      <c r="E119" s="383">
        <f>IF('Table of Contents &amp; Validation'!D23=TRUE,COUNTIF('Table of Contents &amp; Validation'!$D$10:D23,TRUE),"")</f>
        <v/>
      </c>
      <c r="F119" s="485">
        <f>IF('Table of Contents &amp; Validation'!D23=TRUE,1,0)</f>
        <v/>
      </c>
    </row>
    <row r="120">
      <c r="A120" s="1032" t="n"/>
      <c r="B120" s="492" t="inlineStr">
        <is>
          <t>B3 - Greenhouse gas emission intensity per turnover (in tCO2e)</t>
        </is>
      </c>
      <c r="C120" s="497" t="n"/>
      <c r="D120" s="479" t="b">
        <v>0</v>
      </c>
      <c r="E120" s="383">
        <f>IF('Table of Contents &amp; Validation'!D24=TRUE,COUNTIF('Table of Contents &amp; Validation'!$D$10:D24,TRUE),"")</f>
        <v/>
      </c>
      <c r="F120" s="485">
        <f>IF('Table of Contents &amp; Validation'!D24=TRUE,1,0)</f>
        <v/>
      </c>
    </row>
    <row r="121">
      <c r="A121" s="1032" t="n"/>
      <c r="B121" s="491" t="inlineStr">
        <is>
          <t>B4 - Pollution of air, water and soil</t>
        </is>
      </c>
      <c r="C121" s="497" t="n"/>
      <c r="D121" s="479" t="b">
        <v>0</v>
      </c>
      <c r="E121" s="383">
        <f>IF('Table of Contents &amp; Validation'!D25=TRUE,COUNTIF('Table of Contents &amp; Validation'!$D$10:D25,TRUE),"")</f>
        <v/>
      </c>
      <c r="F121" s="485">
        <f>IF('Table of Contents &amp; Validation'!D25=TRUE,1,0)</f>
        <v/>
      </c>
    </row>
    <row r="122">
      <c r="A122" s="1032" t="n"/>
      <c r="B122" s="491" t="inlineStr">
        <is>
          <t>B5 - Biodiversity</t>
        </is>
      </c>
      <c r="C122" s="497" t="n"/>
      <c r="D122" s="503" t="b">
        <v>0</v>
      </c>
      <c r="E122" s="383">
        <f>IF('Table of Contents &amp; Validation'!D26=TRUE,COUNTIF('Table of Contents &amp; Validation'!$D$10:D26,TRUE),"")</f>
        <v/>
      </c>
      <c r="F122" s="485">
        <f>IF('Table of Contents &amp; Validation'!D26=TRUE,1,0)</f>
        <v/>
      </c>
    </row>
    <row r="123">
      <c r="A123" s="1032" t="n"/>
      <c r="B123" s="492" t="inlineStr">
        <is>
          <t>B5 - Sites in biodiversity sensitive areas</t>
        </is>
      </c>
      <c r="C123" s="497" t="n"/>
      <c r="D123" s="479" t="b">
        <v>0</v>
      </c>
      <c r="E123" s="383">
        <f>IF('Table of Contents &amp; Validation'!D27=TRUE,COUNTIF('Table of Contents &amp; Validation'!$D$10:D27,TRUE),"")</f>
        <v/>
      </c>
      <c r="F123" s="485">
        <f>IF('Table of Contents &amp; Validation'!D27=TRUE,1,0)</f>
        <v/>
      </c>
    </row>
    <row r="124">
      <c r="A124" s="1032" t="n"/>
      <c r="B124" s="492" t="inlineStr">
        <is>
          <t>B5 - Biodiversity - Land-use</t>
        </is>
      </c>
      <c r="C124" s="497" t="n"/>
      <c r="D124" s="479" t="b">
        <v>0</v>
      </c>
      <c r="E124" s="383">
        <f>IF('Table of Contents &amp; Validation'!D28=TRUE,COUNTIF('Table of Contents &amp; Validation'!$D$10:D28,TRUE),"")</f>
        <v/>
      </c>
      <c r="F124" s="485">
        <f>IF('Table of Contents &amp; Validation'!D28=TRUE,1,0)</f>
        <v/>
      </c>
    </row>
    <row r="125">
      <c r="A125" s="1032" t="n"/>
      <c r="B125" s="491" t="inlineStr">
        <is>
          <t>B6 - Water</t>
        </is>
      </c>
      <c r="C125" s="497" t="n"/>
      <c r="D125" s="503" t="b">
        <v>0</v>
      </c>
      <c r="E125" s="383">
        <f>IF('Table of Contents &amp; Validation'!D29=TRUE,COUNTIF('Table of Contents &amp; Validation'!$D$10:D29,TRUE),"")</f>
        <v/>
      </c>
      <c r="F125" s="485">
        <f>IF('Table of Contents &amp; Validation'!D29=TRUE,1,0)</f>
        <v/>
      </c>
    </row>
    <row r="126">
      <c r="A126" s="1032" t="n"/>
      <c r="B126" s="492" t="inlineStr">
        <is>
          <t>B6 - Water Withdrawal</t>
        </is>
      </c>
      <c r="C126" s="497" t="n"/>
      <c r="D126" s="479" t="b">
        <v>0</v>
      </c>
      <c r="E126" s="383">
        <f>IF('Table of Contents &amp; Validation'!D30=TRUE,COUNTIF('Table of Contents &amp; Validation'!$D$10:D30,TRUE),"")</f>
        <v/>
      </c>
      <c r="F126" s="485">
        <f>IF('Table of Contents &amp; Validation'!D30=TRUE,1,0)</f>
        <v/>
      </c>
    </row>
    <row r="127">
      <c r="A127" s="1032" t="n"/>
      <c r="B127" s="492" t="inlineStr">
        <is>
          <t>B6 - Water Consumption</t>
        </is>
      </c>
      <c r="C127" s="497" t="n"/>
      <c r="D127" s="479" t="b">
        <v>0</v>
      </c>
      <c r="E127" s="383">
        <f>IF('Table of Contents &amp; Validation'!D31=TRUE,COUNTIF('Table of Contents &amp; Validation'!$D$10:D31,TRUE),"")</f>
        <v/>
      </c>
      <c r="F127" s="485">
        <f>IF('Table of Contents &amp; Validation'!D31=TRUE,1,0)</f>
        <v/>
      </c>
    </row>
    <row r="128">
      <c r="A128" s="1032" t="n"/>
      <c r="B128" s="491" t="inlineStr">
        <is>
          <t>B7 - Resource use, circular economy and waste management</t>
        </is>
      </c>
      <c r="C128" s="497" t="n"/>
      <c r="D128" s="503" t="b">
        <v>0</v>
      </c>
      <c r="E128" s="383">
        <f>IF('Table of Contents &amp; Validation'!D32=TRUE,COUNTIF('Table of Contents &amp; Validation'!$D$10:D32,TRUE),"")</f>
        <v/>
      </c>
      <c r="F128" s="485">
        <f>IF('Table of Contents &amp; Validation'!D32=TRUE,1,0)</f>
        <v/>
      </c>
    </row>
    <row r="129">
      <c r="A129" s="1032" t="n"/>
      <c r="B129" s="492" t="inlineStr">
        <is>
          <t>B7 - Description of circular economy principles</t>
        </is>
      </c>
      <c r="C129" s="497" t="n"/>
      <c r="D129" s="479" t="b">
        <v>0</v>
      </c>
      <c r="E129" s="383">
        <f>IF('Table of Contents &amp; Validation'!D33=TRUE,COUNTIF('Table of Contents &amp; Validation'!$D$10:D33,TRUE),"")</f>
        <v/>
      </c>
      <c r="F129" s="485">
        <f>IF('Table of Contents &amp; Validation'!D33=TRUE,1,0)</f>
        <v/>
      </c>
    </row>
    <row r="130">
      <c r="A130" s="1032" t="n"/>
      <c r="B130" s="492" t="inlineStr">
        <is>
          <t>B7 - Waste generated</t>
        </is>
      </c>
      <c r="C130" s="497" t="n"/>
      <c r="D130" s="479" t="b">
        <v>0</v>
      </c>
      <c r="E130" s="383">
        <f>IF('Table of Contents &amp; Validation'!D34=TRUE,COUNTIF('Table of Contents &amp; Validation'!$D$10:D34,TRUE),"")</f>
        <v/>
      </c>
      <c r="F130" s="485">
        <f>IF('Table of Contents &amp; Validation'!D34=TRUE,1,0)</f>
        <v/>
      </c>
    </row>
    <row r="131">
      <c r="A131" s="1032" t="n"/>
      <c r="B131" s="492" t="inlineStr">
        <is>
          <t>B7 - Annual mass-flow of relevant materials used</t>
        </is>
      </c>
      <c r="C131" s="497" t="n"/>
      <c r="D131" s="479" t="b">
        <v>0</v>
      </c>
      <c r="E131" s="383">
        <f>IF('Table of Contents &amp; Validation'!D35=TRUE,COUNTIF('Table of Contents &amp; Validation'!$D$10:D35,TRUE),"")</f>
        <v/>
      </c>
      <c r="F131" s="485">
        <f>IF('Table of Contents &amp; Validation'!D35=TRUE,1,0)</f>
        <v/>
      </c>
    </row>
    <row r="132">
      <c r="A132" s="1032" t="n"/>
      <c r="B132" s="489" t="inlineStr">
        <is>
          <t>Social Disclosures</t>
        </is>
      </c>
      <c r="C132" s="496" t="n"/>
      <c r="D132" s="505" t="n"/>
      <c r="E132" s="383">
        <f>IF('Table of Contents &amp; Validation'!D36=TRUE,COUNTIF('Table of Contents &amp; Validation'!$D$10:D36,TRUE),"")</f>
        <v/>
      </c>
      <c r="F132" s="485">
        <f>IF('Table of Contents &amp; Validation'!D36=TRUE,1,0)</f>
        <v/>
      </c>
    </row>
    <row r="133">
      <c r="A133" s="1032" t="n"/>
      <c r="B133" s="488" t="inlineStr">
        <is>
          <t>B8 - Workforce - General characteristics</t>
        </is>
      </c>
      <c r="C133" s="497" t="n"/>
      <c r="D133" s="503" t="b">
        <v>0</v>
      </c>
      <c r="E133" s="383">
        <f>IF('Table of Contents &amp; Validation'!D37=TRUE,COUNTIF('Table of Contents &amp; Validation'!$D$10:D37,TRUE),"")</f>
        <v/>
      </c>
      <c r="F133" s="485">
        <f>IF('Table of Contents &amp; Validation'!D37=TRUE,1,0)</f>
        <v/>
      </c>
    </row>
    <row r="134">
      <c r="A134" s="1032" t="n"/>
      <c r="B134" s="492" t="inlineStr">
        <is>
          <t>B8 - Workforce - General characteristics - Type of contract</t>
        </is>
      </c>
      <c r="C134" s="497" t="n"/>
      <c r="D134" s="479" t="b">
        <v>0</v>
      </c>
      <c r="E134" s="383">
        <f>IF('Table of Contents &amp; Validation'!D38=TRUE,COUNTIF('Table of Contents &amp; Validation'!$D$10:D38,TRUE),"")</f>
        <v/>
      </c>
      <c r="F134" s="485">
        <f>IF('Table of Contents &amp; Validation'!D38=TRUE,1,0)</f>
        <v/>
      </c>
    </row>
    <row r="135">
      <c r="A135" s="1032" t="n"/>
      <c r="B135" s="492" t="inlineStr">
        <is>
          <t>B8 - Workforce - General characteristics - Gender</t>
        </is>
      </c>
      <c r="C135" s="497" t="n"/>
      <c r="D135" s="479" t="b">
        <v>0</v>
      </c>
      <c r="E135" s="383">
        <f>IF('Table of Contents &amp; Validation'!D39=TRUE,COUNTIF('Table of Contents &amp; Validation'!$D$10:D39,TRUE),"")</f>
        <v/>
      </c>
      <c r="F135" s="485">
        <f>IF('Table of Contents &amp; Validation'!D39=TRUE,1,0)</f>
        <v/>
      </c>
    </row>
    <row r="136">
      <c r="A136" s="1032" t="n"/>
      <c r="B136" s="492" t="inlineStr">
        <is>
          <t>B8 - Workforce - General characteristics - Country of employment</t>
        </is>
      </c>
      <c r="C136" s="497" t="n"/>
      <c r="D136" s="479" t="b">
        <v>0</v>
      </c>
      <c r="E136" s="383">
        <f>IF('Table of Contents &amp; Validation'!D40=TRUE,COUNTIF('Table of Contents &amp; Validation'!$D$10:D40,TRUE),"")</f>
        <v/>
      </c>
      <c r="F136" s="485">
        <f>IF('Table of Contents &amp; Validation'!D40=TRUE,1,0)</f>
        <v/>
      </c>
    </row>
    <row r="137">
      <c r="A137" s="1032" t="n"/>
      <c r="B137" s="492" t="inlineStr">
        <is>
          <t>B8 - Workforce - General characteristics - Turnover rate</t>
        </is>
      </c>
      <c r="C137" s="497" t="n"/>
      <c r="D137" s="479" t="b">
        <v>0</v>
      </c>
      <c r="E137" s="383">
        <f>IF('Table of Contents &amp; Validation'!D41=TRUE,COUNTIF('Table of Contents &amp; Validation'!$D$10:D41,TRUE),"")</f>
        <v/>
      </c>
      <c r="F137" s="485">
        <f>IF('Table of Contents &amp; Validation'!D41=TRUE,1,0)</f>
        <v/>
      </c>
    </row>
    <row r="138">
      <c r="A138" s="1032" t="n"/>
      <c r="B138" s="491" t="inlineStr">
        <is>
          <t>B9 - Workforce - Health and safety</t>
        </is>
      </c>
      <c r="C138" s="497" t="n"/>
      <c r="D138" s="479" t="b">
        <v>0</v>
      </c>
      <c r="E138" s="383">
        <f>IF('Table of Contents &amp; Validation'!D42=TRUE,COUNTIF('Table of Contents &amp; Validation'!$D$10:D42,TRUE),"")</f>
        <v/>
      </c>
      <c r="F138" s="485">
        <f>IF('Table of Contents &amp; Validation'!D42=TRUE,1,0)</f>
        <v/>
      </c>
    </row>
    <row r="139">
      <c r="A139" s="1032" t="n"/>
      <c r="B139" s="491" t="inlineStr">
        <is>
          <t>B10 - Workforce - Remuneration, collective bargaining and training</t>
        </is>
      </c>
      <c r="C139" s="497" t="n"/>
      <c r="D139" s="503" t="b">
        <v>0</v>
      </c>
      <c r="E139" s="383">
        <f>IF('Table of Contents &amp; Validation'!D43=TRUE,COUNTIF('Table of Contents &amp; Validation'!$D$10:D43,TRUE),"")</f>
        <v/>
      </c>
      <c r="F139" s="485">
        <f>IF('Table of Contents &amp; Validation'!D43=TRUE,1,0)</f>
        <v/>
      </c>
    </row>
    <row r="140">
      <c r="A140" s="1032" t="n"/>
      <c r="B140" s="492" t="inlineStr">
        <is>
          <t>B10 - Workforce - Remuneration, collective bargaining and training</t>
        </is>
      </c>
      <c r="C140" s="497" t="n"/>
      <c r="D140" s="479" t="b">
        <v>0</v>
      </c>
      <c r="E140" s="383">
        <f>IF('Table of Contents &amp; Validation'!D44=TRUE,COUNTIF('Table of Contents &amp; Validation'!$D$10:D44,TRUE),"")</f>
        <v/>
      </c>
      <c r="F140" s="485">
        <f>IF('Table of Contents &amp; Validation'!D44=TRUE,1,0)</f>
        <v/>
      </c>
    </row>
    <row r="141" ht="28.8" customHeight="1">
      <c r="A141" s="1032" t="n"/>
      <c r="B141" s="492" t="inlineStr">
        <is>
          <t>B10 - Workforce - Number of annual training hours per employee during the reporting period</t>
        </is>
      </c>
      <c r="C141" s="497" t="n"/>
      <c r="D141" s="479" t="b">
        <v>0</v>
      </c>
      <c r="E141" s="383">
        <f>IF('Table of Contents &amp; Validation'!D45=TRUE,COUNTIF('Table of Contents &amp; Validation'!$D$10:D45,TRUE),"")</f>
        <v/>
      </c>
      <c r="F141" s="485">
        <f>IF('Table of Contents &amp; Validation'!D45=TRUE,1,0)</f>
        <v/>
      </c>
    </row>
    <row r="142">
      <c r="A142" s="1032" t="n"/>
      <c r="B142" s="489" t="inlineStr">
        <is>
          <t>Governance Disclosures</t>
        </is>
      </c>
      <c r="C142" s="496" t="n"/>
      <c r="D142" s="505" t="n"/>
      <c r="E142" s="383">
        <f>IF('Table of Contents &amp; Validation'!D46=TRUE,COUNTIF('Table of Contents &amp; Validation'!$D$10:D46,TRUE),"")</f>
        <v/>
      </c>
      <c r="F142" s="485">
        <f>IF('Table of Contents &amp; Validation'!D46=TRUE,1,0)</f>
        <v/>
      </c>
    </row>
    <row r="143" ht="15" customHeight="1" thickBot="1">
      <c r="A143" s="1032" t="n"/>
      <c r="B143" s="493" t="inlineStr">
        <is>
          <t>B11 - Convictions and fines for corruption and bribery</t>
        </is>
      </c>
      <c r="C143" s="499" t="n"/>
      <c r="D143" s="481" t="b">
        <v>0</v>
      </c>
      <c r="E143" s="383">
        <f>IF('Table of Contents &amp; Validation'!D47=TRUE,COUNTIF('Table of Contents &amp; Validation'!$D$10:D47,TRUE),"")</f>
        <v/>
      </c>
      <c r="F143" s="485">
        <f>IF('Table of Contents &amp; Validation'!D47=TRUE,1,0)</f>
        <v/>
      </c>
    </row>
    <row r="144" ht="18" customHeight="1">
      <c r="A144" s="1032" t="n"/>
      <c r="B144" s="404" t="inlineStr">
        <is>
          <t>Comprehensive Module</t>
        </is>
      </c>
      <c r="C144" s="498" t="n"/>
      <c r="D144" s="506" t="n"/>
      <c r="E144" s="383">
        <f>IF('Table of Contents &amp; Validation'!D48=TRUE,COUNTIF('Table of Contents &amp; Validation'!$D$10:D48,TRUE),"")</f>
        <v/>
      </c>
      <c r="F144" s="485">
        <f>IF('Table of Contents &amp; Validation'!D48=TRUE,1,0)</f>
        <v/>
      </c>
    </row>
    <row r="145">
      <c r="A145" s="1032" t="n"/>
      <c r="B145" s="487" t="inlineStr">
        <is>
          <t>General Information</t>
        </is>
      </c>
      <c r="C145" s="496" t="n"/>
      <c r="D145" s="505" t="n"/>
      <c r="E145" s="383">
        <f>IF('Table of Contents &amp; Validation'!D49=TRUE,COUNTIF('Table of Contents &amp; Validation'!$D$10:D49,TRUE),"")</f>
        <v/>
      </c>
      <c r="F145" s="485">
        <f>IF('Table of Contents &amp; Validation'!D49=TRUE,1,0)</f>
        <v/>
      </c>
    </row>
    <row r="146">
      <c r="A146" s="1032" t="n"/>
      <c r="B146" s="491" t="inlineStr">
        <is>
          <t>C1 - Strategy: Business Model and Sustainability - Related Initiatives</t>
        </is>
      </c>
      <c r="C146" s="497" t="n"/>
      <c r="D146" s="479" t="b">
        <v>0</v>
      </c>
      <c r="E146" s="383">
        <f>IF('Table of Contents &amp; Validation'!D50=TRUE,COUNTIF('Table of Contents &amp; Validation'!$D$10:D50,TRUE),"")</f>
        <v/>
      </c>
      <c r="F146" s="485">
        <f>IF('Table of Contents &amp; Validation'!D50=TRUE,1,0)</f>
        <v/>
      </c>
    </row>
    <row r="147" ht="28.8" customHeight="1">
      <c r="A147" s="1032" t="n"/>
      <c r="B147" s="491" t="inlineStr">
        <is>
          <t>C2 - Description of practices, policies and future initiatives for transitioning towards a more sustainable economy</t>
        </is>
      </c>
      <c r="C147" s="497" t="n"/>
      <c r="D147" s="479" t="b">
        <v>0</v>
      </c>
      <c r="E147" s="383">
        <f>IF('Table of Contents &amp; Validation'!D51=TRUE,COUNTIF('Table of Contents &amp; Validation'!$D$10:D51,TRUE),"")</f>
        <v/>
      </c>
      <c r="F147" s="485">
        <f>IF('Table of Contents &amp; Validation'!D51=TRUE,1,0)</f>
        <v/>
      </c>
    </row>
    <row r="148">
      <c r="A148" s="1032" t="n"/>
      <c r="B148" s="489" t="inlineStr">
        <is>
          <t>Environmental Disclosures</t>
        </is>
      </c>
      <c r="C148" s="496" t="n"/>
      <c r="D148" s="505" t="n"/>
      <c r="E148" s="383">
        <f>IF('Table of Contents &amp; Validation'!D52=TRUE,COUNTIF('Table of Contents &amp; Validation'!$D$10:D52,TRUE),"")</f>
        <v/>
      </c>
      <c r="F148" s="485">
        <f>IF('Table of Contents &amp; Validation'!D52=TRUE,1,0)</f>
        <v/>
      </c>
    </row>
    <row r="149">
      <c r="A149" s="1032" t="n"/>
      <c r="B149" s="488" t="inlineStr">
        <is>
          <t>C3 - GHG reduction targets and climate transition</t>
        </is>
      </c>
      <c r="C149" s="497" t="n"/>
      <c r="D149" s="503" t="b">
        <v>0</v>
      </c>
      <c r="E149" s="383">
        <f>IF('Table of Contents &amp; Validation'!D53=TRUE,COUNTIF('Table of Contents &amp; Validation'!$D$10:D53,TRUE),"")</f>
        <v/>
      </c>
      <c r="F149" s="485">
        <f>IF('Table of Contents &amp; Validation'!D53=TRUE,1,0)</f>
        <v/>
      </c>
    </row>
    <row r="150">
      <c r="A150" s="1032" t="n"/>
      <c r="B150" s="492" t="inlineStr">
        <is>
          <t>C3 - GHG reduction targets (in tC02e)</t>
        </is>
      </c>
      <c r="C150" s="497" t="n"/>
      <c r="D150" s="479" t="b">
        <v>0</v>
      </c>
      <c r="E150" s="383">
        <f>IF('Table of Contents &amp; Validation'!D54=TRUE,COUNTIF('Table of Contents &amp; Validation'!$D$10:D54,TRUE),"")</f>
        <v/>
      </c>
      <c r="F150" s="485">
        <f>IF('Table of Contents &amp; Validation'!D54=TRUE,1,0)</f>
        <v/>
      </c>
    </row>
    <row r="151" ht="28.8" customHeight="1">
      <c r="A151" s="1032" t="n"/>
      <c r="B151" s="492" t="inlineStr">
        <is>
          <t>C3 - Disclosure of list of main actions the entity seeks in order to achieve its targets</t>
        </is>
      </c>
      <c r="C151" s="497" t="n"/>
      <c r="D151" s="479" t="b">
        <v>0</v>
      </c>
      <c r="E151" s="383">
        <f>IF('Table of Contents &amp; Validation'!D55=TRUE,COUNTIF('Table of Contents &amp; Validation'!$D$10:D55,TRUE),"")</f>
        <v/>
      </c>
      <c r="F151" s="485">
        <f>IF('Table of Contents &amp; Validation'!D55=TRUE,1,0)</f>
        <v/>
      </c>
    </row>
    <row r="152" ht="28.8" customHeight="1">
      <c r="A152" s="1032" t="n"/>
      <c r="B152" s="492" t="inlineStr">
        <is>
          <t>C3 - Transition plan for undertakings operating in high climate impact sectors</t>
        </is>
      </c>
      <c r="C152" s="497" t="n"/>
      <c r="D152" s="479" t="b">
        <v>0</v>
      </c>
      <c r="E152" s="383">
        <f>IF('Table of Contents &amp; Validation'!D56=TRUE,COUNTIF('Table of Contents &amp; Validation'!$D$10:D56,TRUE),"")</f>
        <v/>
      </c>
      <c r="F152" s="485">
        <f>IF('Table of Contents &amp; Validation'!D56=TRUE,1,0)</f>
        <v/>
      </c>
    </row>
    <row r="153">
      <c r="A153" s="1032" t="n"/>
      <c r="B153" s="491" t="inlineStr">
        <is>
          <t>C4 - Climate risks</t>
        </is>
      </c>
      <c r="C153" s="497" t="n"/>
      <c r="D153" s="479" t="b">
        <v>0</v>
      </c>
      <c r="E153" s="383">
        <f>IF('Table of Contents &amp; Validation'!D57=TRUE,COUNTIF('Table of Contents &amp; Validation'!$D$10:D57,TRUE),"")</f>
        <v/>
      </c>
      <c r="F153" s="485">
        <f>IF('Table of Contents &amp; Validation'!D57=TRUE,1,0)</f>
        <v/>
      </c>
    </row>
    <row r="154">
      <c r="A154" s="1032" t="n"/>
      <c r="B154" s="489" t="inlineStr">
        <is>
          <t>Social Disclosures</t>
        </is>
      </c>
      <c r="C154" s="496" t="n"/>
      <c r="D154" s="505" t="n"/>
      <c r="E154" s="383">
        <f>IF('Table of Contents &amp; Validation'!D58=TRUE,COUNTIF('Table of Contents &amp; Validation'!$D$10:D58,TRUE),"")</f>
        <v/>
      </c>
      <c r="F154" s="485">
        <f>IF('Table of Contents &amp; Validation'!D58=TRUE,1,0)</f>
        <v/>
      </c>
    </row>
    <row r="155">
      <c r="A155" s="1032" t="n"/>
      <c r="B155" s="491" t="inlineStr">
        <is>
          <t>C5 - Additional (general) workforce characteristics</t>
        </is>
      </c>
      <c r="C155" s="497" t="n"/>
      <c r="D155" s="479" t="b">
        <v>0</v>
      </c>
      <c r="E155" s="383">
        <f>IF('Table of Contents &amp; Validation'!D59=TRUE,COUNTIF('Table of Contents &amp; Validation'!$D$10:D59,TRUE),"")</f>
        <v/>
      </c>
      <c r="F155" s="485">
        <f>IF('Table of Contents &amp; Validation'!D59=TRUE,1,0)</f>
        <v/>
      </c>
    </row>
    <row r="156" ht="28.8" customHeight="1">
      <c r="A156" s="1032" t="n"/>
      <c r="B156" s="491" t="inlineStr">
        <is>
          <t>C6 - Additional own workforce information - Human rights policies and processes</t>
        </is>
      </c>
      <c r="C156" s="497" t="n"/>
      <c r="D156" s="479" t="b">
        <v>0</v>
      </c>
      <c r="E156" s="383">
        <f>IF('Table of Contents &amp; Validation'!D60=TRUE,COUNTIF('Table of Contents &amp; Validation'!$D$10:D60,TRUE),"")</f>
        <v/>
      </c>
      <c r="F156" s="485">
        <f>IF('Table of Contents &amp; Validation'!D60=TRUE,1,0)</f>
        <v/>
      </c>
    </row>
    <row r="157">
      <c r="A157" s="1032" t="n"/>
      <c r="B157" s="494" t="inlineStr">
        <is>
          <t>C7 - Severe negative human rights incidents</t>
        </is>
      </c>
      <c r="C157" s="500" t="n"/>
      <c r="D157" s="479" t="b">
        <v>0</v>
      </c>
      <c r="E157" s="383">
        <f>IF('Table of Contents &amp; Validation'!D61=TRUE,COUNTIF('Table of Contents &amp; Validation'!$D$10:D61,TRUE),"")</f>
        <v/>
      </c>
      <c r="F157" s="485">
        <f>IF('Table of Contents &amp; Validation'!D61=TRUE,1,0)</f>
        <v/>
      </c>
    </row>
    <row r="158">
      <c r="A158" s="1032" t="n"/>
      <c r="B158" s="490" t="inlineStr">
        <is>
          <t>Governance Disclosures</t>
        </is>
      </c>
      <c r="C158" s="497" t="n"/>
      <c r="D158" s="505" t="n"/>
      <c r="E158" s="383">
        <f>IF('Table of Contents &amp; Validation'!D62=TRUE,COUNTIF('Table of Contents &amp; Validation'!$D$10:D62,TRUE),"")</f>
        <v/>
      </c>
      <c r="F158" s="485">
        <f>IF('Table of Contents &amp; Validation'!D62=TRUE,1,0)</f>
        <v/>
      </c>
    </row>
    <row r="159" ht="28.8" customHeight="1">
      <c r="A159" s="1032" t="n"/>
      <c r="B159" s="488" t="inlineStr">
        <is>
          <t>C8 - Revenues from certain activities and exclusion from EU reference benchmarks</t>
        </is>
      </c>
      <c r="C159" s="497" t="n"/>
      <c r="D159" s="503" t="b">
        <v>0</v>
      </c>
      <c r="E159" s="383">
        <f>IF('Table of Contents &amp; Validation'!D63=TRUE,COUNTIF('Table of Contents &amp; Validation'!$D$10:D63,TRUE),"")</f>
        <v/>
      </c>
      <c r="F159" s="485">
        <f>IF('Table of Contents &amp; Validation'!D63=TRUE,1,0)</f>
        <v/>
      </c>
    </row>
    <row r="160">
      <c r="A160" s="1032" t="n"/>
      <c r="B160" s="492" t="inlineStr">
        <is>
          <t>C8 - Revenues from certain activities</t>
        </is>
      </c>
      <c r="C160" s="497" t="n"/>
      <c r="D160" s="479" t="b">
        <v>0</v>
      </c>
      <c r="E160" s="383">
        <f>IF('Table of Contents &amp; Validation'!D64=TRUE,COUNTIF('Table of Contents &amp; Validation'!$D$10:D64,TRUE),"")</f>
        <v/>
      </c>
      <c r="F160" s="485">
        <f>IF('Table of Contents &amp; Validation'!D64=TRUE,1,0)</f>
        <v/>
      </c>
    </row>
    <row r="161">
      <c r="A161" s="1032" t="n"/>
      <c r="B161" s="492" t="inlineStr">
        <is>
          <t>C8 - Exclusion from EU reference benchmarks</t>
        </is>
      </c>
      <c r="C161" s="497" t="n"/>
      <c r="D161" s="479" t="b">
        <v>0</v>
      </c>
      <c r="E161" s="383">
        <f>IF('Table of Contents &amp; Validation'!D65=TRUE,COUNTIF('Table of Contents &amp; Validation'!$D$10:D65,TRUE),"")</f>
        <v/>
      </c>
      <c r="F161" s="485">
        <f>IF('Table of Contents &amp; Validation'!D65=TRUE,1,0)</f>
        <v/>
      </c>
    </row>
    <row r="162" ht="15" customHeight="1" thickBot="1">
      <c r="A162" s="1032" t="n"/>
      <c r="B162" s="491" t="inlineStr">
        <is>
          <t>C9 - Gender diversity ratio in the governance body</t>
        </is>
      </c>
      <c r="C162" s="497" t="n"/>
      <c r="D162" s="479" t="b">
        <v>0</v>
      </c>
      <c r="E162" s="383">
        <f>IF('Table of Contents &amp; Validation'!D66=TRUE,COUNTIF('Table of Contents &amp; Validation'!$D$10:D66,TRUE),"")</f>
        <v/>
      </c>
      <c r="F162" s="485">
        <f>IF('Table of Contents &amp; Validation'!D66=TRUE,1,0)</f>
        <v/>
      </c>
    </row>
    <row r="163">
      <c r="A163" s="1032" t="n"/>
      <c r="B163" s="495" t="inlineStr">
        <is>
          <t>Additional Disclosures</t>
        </is>
      </c>
      <c r="C163" s="501" t="n"/>
      <c r="D163" s="507" t="n"/>
      <c r="E163" s="383">
        <f>IF('Table of Contents &amp; Validation'!D67=TRUE,COUNTIF('Table of Contents &amp; Validation'!$D$10:D67,TRUE),"")</f>
        <v/>
      </c>
      <c r="F163" s="485">
        <f>IF('Table of Contents &amp; Validation'!D67=TRUE,1,0)</f>
        <v/>
      </c>
    </row>
    <row r="164" ht="28.8" customHeight="1">
      <c r="A164" s="1032" t="n"/>
      <c r="B164" s="491" t="inlineStr">
        <is>
          <t>Disclosure of any other general and or entity specific information on the reporting period</t>
        </is>
      </c>
      <c r="C164" s="497" t="n"/>
      <c r="D164" s="479" t="b">
        <v>0</v>
      </c>
      <c r="E164" s="383">
        <f>IF('Table of Contents &amp; Validation'!D68=TRUE,COUNTIF('Table of Contents &amp; Validation'!$D$10:D68,TRUE),"")</f>
        <v/>
      </c>
      <c r="F164" s="485">
        <f>IF('Table of Contents &amp; Validation'!D68=TRUE,1,0)</f>
        <v/>
      </c>
    </row>
    <row r="165" ht="28.8" customHeight="1">
      <c r="A165" s="1032" t="n"/>
      <c r="B165" s="491" t="inlineStr">
        <is>
          <t>Disclosure of any other environmental and or entity specific environmental disclosures</t>
        </is>
      </c>
      <c r="C165" s="497" t="n"/>
      <c r="D165" s="479" t="b">
        <v>0</v>
      </c>
      <c r="E165" s="383">
        <f>IF('Table of Contents &amp; Validation'!D69=TRUE,COUNTIF('Table of Contents &amp; Validation'!$D$10:D69,TRUE),"")</f>
        <v/>
      </c>
      <c r="F165" s="485">
        <f>IF('Table of Contents &amp; Validation'!D69=TRUE,1,0)</f>
        <v/>
      </c>
    </row>
    <row r="166">
      <c r="A166" s="1032" t="n"/>
      <c r="B166" s="491" t="inlineStr">
        <is>
          <t>Disclosure of any other social and or entity specific social disclosures</t>
        </is>
      </c>
      <c r="C166" s="497" t="n"/>
      <c r="D166" s="479" t="b">
        <v>0</v>
      </c>
      <c r="E166" s="383">
        <f>IF('Table of Contents &amp; Validation'!D70=TRUE,COUNTIF('Table of Contents &amp; Validation'!$D$10:D70,TRUE),"")</f>
        <v/>
      </c>
      <c r="F166" s="485">
        <f>IF('Table of Contents &amp; Validation'!D70=TRUE,1,0)</f>
        <v/>
      </c>
    </row>
    <row r="167" ht="29.4" customHeight="1" thickBot="1">
      <c r="A167" s="1032" t="n"/>
      <c r="B167" s="493" t="inlineStr">
        <is>
          <t>Disclosure of any other governance and or entity specific governance disclosures</t>
        </is>
      </c>
      <c r="C167" s="499" t="n"/>
      <c r="D167" s="481" t="b">
        <v>0</v>
      </c>
      <c r="E167" s="335">
        <f>IF('Table of Contents &amp; Validation'!D71=TRUE,COUNTIF('Table of Contents &amp; Validation'!$D$10:D71,TRUE),"")</f>
        <v/>
      </c>
      <c r="F167" s="486">
        <f>IF('Table of Contents &amp; Validation'!D71=TRUE,1,0)</f>
        <v/>
      </c>
    </row>
  </sheetData>
  <mergeCells count="3">
    <mergeCell ref="B99:B100"/>
    <mergeCell ref="D99:D100"/>
    <mergeCell ref="A17:B19"/>
  </mergeCells>
  <conditionalFormatting sqref="B98:C98">
    <cfRule type="expression" priority="49" dxfId="1">
      <formula>B$47="INCOMPLETE"</formula>
    </cfRule>
    <cfRule type="expression" priority="50" dxfId="0">
      <formula>B$47="COMPLETE"</formula>
    </cfRule>
  </conditionalFormatting>
  <conditionalFormatting sqref="C99">
    <cfRule type="expression" priority="47" dxfId="1">
      <formula>$C$3=template_label_incomplete</formula>
    </cfRule>
    <cfRule type="expression" priority="48" dxfId="0">
      <formula>$C$3=template_label_complete</formula>
    </cfRule>
  </conditionalFormatting>
  <conditionalFormatting sqref="C102:C104 C106:C144 C146:C167">
    <cfRule type="expression" priority="19" dxfId="27">
      <formula>$C102=template_label_classified_or_sensitive_information</formula>
    </cfRule>
    <cfRule type="expression" priority="38" dxfId="1">
      <formula>$C102=template_label_value_inconsistency</formula>
    </cfRule>
    <cfRule type="expression" priority="39" dxfId="1">
      <formula>$C102=template_label_invalid_url</formula>
    </cfRule>
    <cfRule type="expression" priority="40" dxfId="1">
      <formula>$C102=template_label_error_plus_missing_value_plus_value_inconsistency</formula>
    </cfRule>
    <cfRule type="expression" priority="41" dxfId="1">
      <formula>$C102=template_label_error_plus_value_inconsistency</formula>
    </cfRule>
    <cfRule type="expression" priority="42" dxfId="1">
      <formula>$C102=template_label_error_plus_missing_value</formula>
    </cfRule>
    <cfRule type="expression" priority="43" dxfId="1">
      <formula>$C102=template_label_missing_value_plus_value_inconsistency</formula>
    </cfRule>
    <cfRule type="expression" priority="44" dxfId="1">
      <formula>$C102=template_label_missing_value</formula>
    </cfRule>
    <cfRule type="expression" priority="45" dxfId="1">
      <formula>$C102=template_label_error</formula>
    </cfRule>
    <cfRule type="expression" priority="46" dxfId="0">
      <formula>$C102=template_label_ok</formula>
    </cfRule>
  </conditionalFormatting>
  <conditionalFormatting sqref="D104:D105">
    <cfRule type="expression" priority="20" dxfId="1">
      <formula>$C104=template_label_value_inconsistency</formula>
    </cfRule>
    <cfRule type="expression" priority="21" dxfId="1">
      <formula>$C104=template_label_invalid_url</formula>
    </cfRule>
    <cfRule type="expression" priority="22" dxfId="1">
      <formula>$C104=template_label_error_plus_missing_value_plus_value_inconsistency</formula>
    </cfRule>
    <cfRule type="expression" priority="23" dxfId="1">
      <formula>$C104=template_label_error_plus_value_inconsistency</formula>
    </cfRule>
    <cfRule type="expression" priority="24" dxfId="1">
      <formula>$C104=template_label_error_plus_missing_value</formula>
    </cfRule>
    <cfRule type="expression" priority="25" dxfId="1">
      <formula>$C104=template_label_missing_value_plus_value_inconsistency</formula>
    </cfRule>
    <cfRule type="expression" priority="26" dxfId="1">
      <formula>$C104=template_label_missing_value</formula>
    </cfRule>
    <cfRule type="expression" priority="27" dxfId="1">
      <formula>$C104=template_label_error</formula>
    </cfRule>
    <cfRule type="expression" priority="28" dxfId="0">
      <formula>$C104=template_label_ok</formula>
    </cfRule>
  </conditionalFormatting>
  <conditionalFormatting sqref="D115:E115">
    <cfRule type="expression" priority="1" dxfId="1">
      <formula>$C115=template_label_value_inconsistency</formula>
    </cfRule>
    <cfRule type="expression" priority="2" dxfId="1">
      <formula>$C115=template_label_invalid_url</formula>
    </cfRule>
    <cfRule type="expression" priority="3" dxfId="1">
      <formula>$C115=template_label_error_plus_missing_value_plus_value_inconsistency</formula>
    </cfRule>
    <cfRule type="expression" priority="4" dxfId="1">
      <formula>$C115=template_label_error_plus_value_inconsistency</formula>
    </cfRule>
    <cfRule type="expression" priority="5" dxfId="1">
      <formula>$C115=template_label_error_plus_missing_value</formula>
    </cfRule>
    <cfRule type="expression" priority="6" dxfId="1">
      <formula>$C115=template_label_missing_value_plus_value_inconsistency</formula>
    </cfRule>
    <cfRule type="expression" priority="7" dxfId="1">
      <formula>$C115=template_label_missing_value</formula>
    </cfRule>
    <cfRule type="expression" priority="8" dxfId="1">
      <formula>$C115=template_label_error</formula>
    </cfRule>
    <cfRule type="expression" priority="9" dxfId="0">
      <formula>$C115=template_label_ok</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2026-02-20T14:39:58Z</dcterms:modified>
  <cp:lastModifiedBy>Thibault Magro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