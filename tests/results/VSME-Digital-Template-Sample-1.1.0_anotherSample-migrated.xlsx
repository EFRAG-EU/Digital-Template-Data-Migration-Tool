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ciao</t>
        </is>
      </c>
      <c r="E3" s="1122" t="n"/>
      <c r="F3" s="598">
        <f>IF(D3 = "", template_label_missing_value, template_label_ok)</f>
        <v/>
      </c>
    </row>
    <row r="4" ht="14.4" customHeight="1">
      <c r="B4" s="87" t="n"/>
      <c r="C4" s="115">
        <f>template_label_identifier_of_the_reporting_entity</f>
        <v/>
      </c>
      <c r="D4" s="326" t="inlineStr">
        <is>
          <t>EU ID</t>
        </is>
      </c>
      <c r="E4" s="56" t="inlineStr">
        <is>
          <t>rh3qhreq</t>
        </is>
      </c>
      <c r="F4" s="598">
        <f>IF(OR(D4 = "", E4 = ""), template_label_missing_value, template_label_ok)</f>
        <v/>
      </c>
      <c r="G4">
        <f>template_label_identifier_warning</f>
        <v/>
      </c>
    </row>
    <row r="5" ht="14.4" customHeight="1" thickBot="1">
      <c r="C5" s="5">
        <f>template_label_currency_of_the_monetary_values_in_the_report</f>
        <v/>
      </c>
      <c r="D5" s="606" t="inlineStr">
        <is>
          <t>AMD</t>
        </is>
      </c>
      <c r="E5" s="1123" t="n"/>
      <c r="F5" s="598">
        <f>IF(D5 = "", template_label_missing_value, template_label_ok)</f>
        <v/>
      </c>
      <c r="H5" s="52" t="n"/>
    </row>
    <row r="6" ht="14.4" customHeight="1">
      <c r="C6" s="220">
        <f>template_label_starting_year</f>
        <v/>
      </c>
      <c r="D6" s="592" t="n">
        <v>2005</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3</v>
      </c>
      <c r="E7" s="1124" t="n"/>
    </row>
    <row r="8" ht="14.4" customHeight="1">
      <c r="C8" s="125">
        <f>template_label_starting_day</f>
        <v/>
      </c>
      <c r="D8" s="587" t="n">
        <v>5</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2006</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8</v>
      </c>
      <c r="E11" s="1124" t="n"/>
    </row>
    <row r="12" ht="14.4" customHeight="1">
      <c r="C12" s="125" t="inlineStr">
        <is>
          <t>Ending day</t>
        </is>
      </c>
      <c r="D12" s="594" t="n">
        <v>4</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0</v>
      </c>
      <c r="F18" s="598">
        <f>IF(E18 = FALSE, "", template_label_ok)</f>
        <v/>
      </c>
    </row>
    <row r="19" ht="14.4" customHeight="1">
      <c r="C19" s="597">
        <f>template_label_disclosures_for_which_no_changes_are_reported_compared_to_the_previous_period_reporting</f>
        <v/>
      </c>
      <c r="D19" s="1115" t="n"/>
      <c r="E19" s="764" t="n"/>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n"/>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n"/>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A (Basic Module only)</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an individual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sole proprietorship</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A - 01.12 Growing of rice</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n"/>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300000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50000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50</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At the end of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Headcount</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Albania</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n"/>
      <c r="E290" s="213" t="n"/>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0</v>
      </c>
      <c r="F394" s="1130" t="n"/>
      <c r="G394" s="1130" t="n"/>
      <c r="H394" s="1130" t="n"/>
    </row>
    <row r="395" ht="30" customHeight="1" thickBot="1">
      <c r="C395" s="600">
        <f>template_label_description_of_sustainability_related_certification_or_label</f>
        <v/>
      </c>
      <c r="D395" s="1131" t="n"/>
      <c r="E395" s="557" t="n"/>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Via Fabio Filzi 46/3</t>
        </is>
      </c>
      <c r="E404" s="73" t="inlineStr">
        <is>
          <t>30035</t>
        </is>
      </c>
      <c r="F404" s="413" t="inlineStr">
        <is>
          <t>Mirano</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0</v>
      </c>
      <c r="D510" s="184" t="b">
        <v>0</v>
      </c>
      <c r="E510" s="184" t="b">
        <v>0</v>
      </c>
      <c r="F510" s="184" t="b">
        <v>0</v>
      </c>
      <c r="G510" s="184" t="b">
        <v>0</v>
      </c>
      <c r="H510" s="184" t="b">
        <v>0</v>
      </c>
      <c r="I510" s="184" t="b">
        <v>0</v>
      </c>
      <c r="J510" s="184" t="b">
        <v>0</v>
      </c>
      <c r="K510" s="184" t="b">
        <v>0</v>
      </c>
      <c r="L510" s="184" t="b">
        <v>0</v>
      </c>
      <c r="M510" s="184" t="b">
        <v>0</v>
      </c>
      <c r="N510" s="184" t="b">
        <v>0</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n"/>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n"/>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rliaheqqrwg</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wgq3GQ3</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EQNBQERNBQE</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0</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n"/>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5000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0</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c r="H12" s="1130" t="n"/>
      <c r="I12" s="1124" t="n"/>
      <c r="J12" s="730" t="n"/>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c r="H13" s="1130" t="n"/>
      <c r="I13" s="1124" t="n"/>
      <c r="J13" s="730" t="n"/>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0</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c r="H21" s="1130" t="n"/>
      <c r="I21" s="1124" t="n"/>
      <c r="J21" s="976" t="n"/>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500</v>
      </c>
      <c r="E22" s="1130" t="n"/>
      <c r="F22" s="1124" t="n"/>
      <c r="G22" s="716" t="n"/>
      <c r="H22" s="1130" t="n"/>
      <c r="I22" s="1124" t="n"/>
      <c r="J22" s="730" t="n"/>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500</v>
      </c>
      <c r="E23" s="1130" t="n"/>
      <c r="F23" s="1124" t="n"/>
      <c r="G23" s="716" t="n"/>
      <c r="H23" s="1130" t="n"/>
      <c r="I23" s="1124" t="n"/>
      <c r="J23" s="730" t="n"/>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0</v>
      </c>
      <c r="H29" s="1130" t="n"/>
      <c r="I29" s="1130" t="n"/>
      <c r="J29" s="1130" t="n"/>
      <c r="K29" s="1124" t="n"/>
    </row>
    <row r="30" ht="14.7" customHeight="1">
      <c r="C30" s="613">
        <f>template_label_1_purchased_goods_and_services</f>
        <v/>
      </c>
      <c r="D30" s="645" t="n"/>
      <c r="E30" s="1130" t="n"/>
      <c r="F30" s="1124" t="n"/>
      <c r="G30" s="669" t="n"/>
      <c r="H30" s="1130" t="n"/>
      <c r="I30" s="1124" t="n"/>
      <c r="J30" s="645" t="n"/>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c r="E38" s="1130" t="n"/>
      <c r="F38" s="1124" t="n"/>
      <c r="G38" s="669" t="n"/>
      <c r="H38" s="1130" t="n"/>
      <c r="I38" s="1124" t="n"/>
      <c r="J38" s="645" t="n"/>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n"/>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n"/>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c r="J60" s="1130" t="n"/>
      <c r="K60" s="1138" t="n"/>
      <c r="L60" s="8" t="n"/>
    </row>
    <row r="61">
      <c r="A61" s="450" t="n"/>
      <c r="B61" s="387" t="n"/>
      <c r="C61" s="1133" t="n"/>
      <c r="D61" s="1151">
        <f>template_label_day</f>
        <v/>
      </c>
      <c r="E61" s="1106" t="n"/>
      <c r="F61" s="1106" t="n"/>
      <c r="G61" s="1106" t="n"/>
      <c r="H61" s="199" t="n"/>
      <c r="I61" s="1152" t="n"/>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0</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n"/>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n"/>
      <c r="E80" s="1130" t="n"/>
      <c r="F80" s="1124" t="n"/>
      <c r="G80" s="645" t="n"/>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n"/>
      <c r="E81" s="1130" t="n"/>
      <c r="F81" s="1124" t="n"/>
      <c r="G81" s="645" t="n"/>
      <c r="H81" s="1130" t="n"/>
      <c r="I81" s="1124" t="n"/>
      <c r="J81" s="645" t="n"/>
      <c r="K81" s="672" t="n"/>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n"/>
      <c r="E82" s="1132" t="n"/>
      <c r="F82" s="1123" t="n"/>
      <c r="G82" s="692" t="n"/>
      <c r="H82" s="1132" t="n"/>
      <c r="I82" s="1123" t="n"/>
      <c r="J82" s="692" t="n"/>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0</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n"/>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c r="H188" s="1130" t="n"/>
      <c r="I188" s="1130" t="n"/>
      <c r="J188" s="362" t="b">
        <v>0</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40</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30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0</v>
      </c>
      <c r="E309" s="852" t="n"/>
      <c r="F309" s="852" t="n"/>
      <c r="G309" s="518" t="n"/>
      <c r="H309" s="518" t="n"/>
      <c r="I309" s="518" t="n"/>
    </row>
    <row r="310">
      <c r="C310" s="603">
        <f>template_label_water_discharge_from_undertaking_production_processes</f>
        <v/>
      </c>
      <c r="D310" s="252" t="n"/>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01 03 06 - Non-Hazardous - Tailings other than those mentioned in 01 03 04 and 01 03 05</t>
        </is>
      </c>
      <c r="E323" s="1130" t="n"/>
      <c r="F323" s="1124" t="n"/>
      <c r="G323" s="649" t="inlineStr">
        <is>
          <t>cubic meters (m3)</t>
        </is>
      </c>
      <c r="H323" s="1130" t="n"/>
      <c r="I323" s="1124" t="n"/>
      <c r="J323" s="935" t="n">
        <v>10</v>
      </c>
      <c r="K323" s="935" t="n">
        <v>5</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n"/>
      <c r="E324" s="1130" t="n"/>
      <c r="F324" s="1124" t="n"/>
      <c r="G324" s="649" t="n"/>
      <c r="H324" s="1130" t="n"/>
      <c r="I324" s="1124" t="n"/>
      <c r="J324" s="245" t="n"/>
      <c r="K324" s="245" t="n"/>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n"/>
      <c r="E325" s="1132" t="n"/>
      <c r="F325" s="1123" t="n"/>
      <c r="G325" s="819" t="n"/>
      <c r="H325" s="1132" t="n"/>
      <c r="I325" s="1123" t="n"/>
      <c r="J325" s="724" t="n"/>
      <c r="K325" s="724" t="n"/>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n"/>
      <c r="E326" s="1136" t="n"/>
      <c r="F326" s="1122" t="n"/>
      <c r="G326" s="860" t="n"/>
      <c r="H326" s="1136" t="n"/>
      <c r="I326" s="1122" t="n"/>
      <c r="J326" s="249" t="n"/>
      <c r="K326" s="249" t="n"/>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n"/>
      <c r="E327" s="1130" t="n"/>
      <c r="F327" s="1124" t="n"/>
      <c r="G327" s="649" t="n"/>
      <c r="H327" s="1130" t="n"/>
      <c r="I327" s="1124" t="n"/>
      <c r="J327" s="245" t="n"/>
      <c r="K327" s="245" t="n"/>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n"/>
      <c r="E328" s="1130" t="n"/>
      <c r="F328" s="1124" t="n"/>
      <c r="G328" s="649" t="n"/>
      <c r="H328" s="1130" t="n"/>
      <c r="I328" s="1124" t="n"/>
      <c r="J328" s="245" t="n"/>
      <c r="K328" s="245" t="n"/>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n"/>
      <c r="E329" s="1130" t="n"/>
      <c r="F329" s="1124" t="n"/>
      <c r="G329" s="649" t="n"/>
      <c r="H329" s="1130" t="n"/>
      <c r="I329" s="1124" t="n"/>
      <c r="J329" s="245" t="n"/>
      <c r="K329" s="245" t="n"/>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n"/>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f>template_label_cubic_meters</f>
        <v/>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f>template_label_cubic_meters</f>
        <v/>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f>template_label_cubic_meters</f>
        <v/>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0</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n"/>
      <c r="E435" s="1130" t="n"/>
      <c r="F435" s="1124" t="n"/>
      <c r="G435" s="645" t="n"/>
      <c r="H435" s="1130" t="n"/>
      <c r="I435" s="1124" t="n"/>
      <c r="J435" s="778" t="n"/>
      <c r="K435" s="872">
        <f>IF(AND(G433=TRUE,D435&lt;&gt;"",G435&lt;&gt;"",J435&lt;&gt;""),
    template_label_ok,
    IF(AND(G433=TRUE,OR(D435="",G435="",J435="")),
        template_label_missing_value,
        ""
    )
)</f>
        <v/>
      </c>
    </row>
    <row r="436">
      <c r="C436" s="208" t="n">
        <v>2</v>
      </c>
      <c r="D436" s="759" t="n"/>
      <c r="E436" s="1130" t="n"/>
      <c r="F436" s="1124" t="n"/>
      <c r="G436" s="645" t="n"/>
      <c r="H436" s="1130" t="n"/>
      <c r="I436" s="1124" t="n"/>
      <c r="J436" s="778" t="n"/>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n"/>
    </row>
    <row r="536" ht="15" customHeight="1" thickBot="1">
      <c r="C536" s="706">
        <f>template_label_total_annual_mass_flow_of_relevant_materials_used_volume</f>
        <v/>
      </c>
      <c r="D536" s="1140" t="n"/>
      <c r="E536" s="1140" t="n"/>
      <c r="F536" s="1125" t="n"/>
      <c r="G536" s="671" t="n"/>
      <c r="H536" s="1140" t="n"/>
      <c r="I536" s="1125" t="n"/>
      <c r="J536" s="126" t="n"/>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0</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n"/>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n"/>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n"/>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n"/>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45</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30</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20</v>
      </c>
      <c r="E19" s="1130" t="n"/>
      <c r="F19" s="1130" t="n"/>
      <c r="G19" s="1124" t="n"/>
    </row>
    <row r="20">
      <c r="C20" s="134">
        <f>template_label_other</f>
        <v/>
      </c>
      <c r="D20" s="814" t="n"/>
      <c r="E20" s="1130" t="n"/>
      <c r="F20" s="1130" t="n"/>
      <c r="G20" s="1124" t="n"/>
    </row>
    <row r="21">
      <c r="C21" s="134">
        <f>template_label_not_reported</f>
        <v/>
      </c>
      <c r="D21" s="814" t="n"/>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0</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n"/>
      <c r="D29" s="1124" t="n"/>
      <c r="E29" s="876" t="n"/>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n"/>
      <c r="D30" s="1124" t="n"/>
      <c r="E30" s="876" t="n"/>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n"/>
      <c r="D31" s="1124" t="n"/>
      <c r="E31" s="876" t="n"/>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50</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50</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0</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2</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NO</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5</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5</v>
      </c>
      <c r="E158" s="1130" t="n"/>
      <c r="F158" s="1130" t="n"/>
      <c r="G158" s="1130" t="n"/>
      <c r="H158" s="1124" t="n"/>
    </row>
    <row r="159">
      <c r="C159" s="134">
        <f>template_label_other</f>
        <v/>
      </c>
      <c r="D159" s="935" t="n"/>
      <c r="E159" s="1130" t="n"/>
      <c r="F159" s="1130" t="n"/>
      <c r="G159" s="1130" t="n"/>
      <c r="H159" s="1124" t="n"/>
    </row>
    <row r="160">
      <c r="C160" s="134">
        <f>template_label_not_reported</f>
        <v/>
      </c>
      <c r="D160" s="935" t="n"/>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n"/>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0</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0</v>
      </c>
      <c r="E175" s="1130" t="n"/>
      <c r="F175" s="1130" t="n"/>
      <c r="G175" s="1130" t="n"/>
      <c r="H175" s="1138" t="n"/>
      <c r="I175" s="8" t="n"/>
    </row>
    <row r="176">
      <c r="A176" s="551" t="inlineStr">
        <is>
          <t>61(b)</t>
        </is>
      </c>
      <c r="B176" s="559" t="n">
        <v>173</v>
      </c>
      <c r="C176" s="144">
        <f>template_label_human_trafficking</f>
        <v/>
      </c>
      <c r="D176" s="959" t="b">
        <v>0</v>
      </c>
      <c r="E176" s="1130" t="n"/>
      <c r="F176" s="1130" t="n"/>
      <c r="G176" s="1130" t="n"/>
      <c r="H176" s="1138" t="n"/>
      <c r="I176" s="8" t="n"/>
    </row>
    <row r="177">
      <c r="A177" s="551" t="inlineStr">
        <is>
          <t>61(b)</t>
        </is>
      </c>
      <c r="B177" s="559" t="n">
        <v>173</v>
      </c>
      <c r="C177" s="144">
        <f>template_label_discrimination</f>
        <v/>
      </c>
      <c r="D177" s="959" t="b">
        <v>0</v>
      </c>
      <c r="E177" s="1130" t="n"/>
      <c r="F177" s="1130" t="n"/>
      <c r="G177" s="1130" t="n"/>
      <c r="H177" s="1138" t="n"/>
      <c r="I177" s="8" t="n"/>
    </row>
    <row r="178">
      <c r="A178" s="551" t="inlineStr">
        <is>
          <t>61(b)</t>
        </is>
      </c>
      <c r="B178" s="559" t="n">
        <v>173</v>
      </c>
      <c r="C178" s="145">
        <f>template_label_accident_prevention</f>
        <v/>
      </c>
      <c r="D178" s="977" t="b">
        <v>0</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n"/>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n"/>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n"/>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0</v>
      </c>
      <c r="I5" s="890" t="n"/>
    </row>
    <row r="6" ht="21.6" customFormat="1" customHeight="1" s="1032">
      <c r="C6" s="1023">
        <f>template_label_total_number_of_convictions_for_the_violation_of_anti_corruption_and_anti_bribery_laws</f>
        <v/>
      </c>
      <c r="D6" s="1106" t="n"/>
      <c r="E6" s="1106" t="n"/>
      <c r="F6" s="1106" t="n"/>
      <c r="G6" s="199" t="n"/>
      <c r="H6" s="252" t="n"/>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0</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0</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n"/>
      <c r="B10" s="327" t="n"/>
      <c r="C10" s="328" t="n"/>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n"/>
      <c r="B11" s="327" t="n"/>
      <c r="C11" s="328" t="n"/>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n"/>
      <c r="B12" s="327" t="n"/>
      <c r="C12" s="328" t="n"/>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2026-02-23T15:57:50Z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