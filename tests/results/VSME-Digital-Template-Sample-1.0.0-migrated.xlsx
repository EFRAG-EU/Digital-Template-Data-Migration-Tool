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1</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1</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1</v>
      </c>
    </row>
    <row r="24">
      <c r="B24" s="492">
        <f>template_label_b3_greenhouse_gas_emission_intensity_per_turnover</f>
        <v/>
      </c>
      <c r="C24" s="471">
        <f>IF(D24=TRUE, template_label_classified_or_sensitive_information,
IF(C23=template_label_ok,template_label_ok,"-")
)</f>
        <v/>
      </c>
      <c r="D24" s="479" t="b">
        <v>1</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1</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1</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1</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 xml:space="preserve">EUR  </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1</v>
      </c>
      <c r="F18" s="598">
        <f>IF(E18 = FALSE, "", template_label_ok)</f>
        <v/>
      </c>
    </row>
    <row r="19" ht="14.4" customHeight="1">
      <c r="C19" s="597">
        <f>template_label_disclosures_for_which_no_changes_are_reported_compared_to_the_previous_period_reporting</f>
        <v/>
      </c>
      <c r="D19" s="1115" t="n"/>
      <c r="E19" s="764" t="inlineStr">
        <is>
          <t>B2 – Practices, policies and future initiatives for transitioning towards a more sustainable economy</t>
        </is>
      </c>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inlineStr">
        <is>
          <t>www.TestReport.com</t>
        </is>
      </c>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151</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City,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15</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metric tonnes (t)</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inlineStr">
        <is>
          <t xml:space="preserve">    16 08 06 - Hazardous - Spent liquids used as catalysts</t>
        </is>
      </c>
      <c r="E324" s="1130" t="n"/>
      <c r="F324" s="1124" t="n"/>
      <c r="G324" s="649" t="inlineStr">
        <is>
          <t>kilograms (kg)</t>
        </is>
      </c>
      <c r="H324" s="1130" t="n"/>
      <c r="I324" s="1124" t="n"/>
      <c r="J324" s="245" t="n">
        <v>800</v>
      </c>
      <c r="K324" s="245" t="n">
        <v>400</v>
      </c>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inlineStr">
        <is>
          <t>Waste category         101102 Non-Hazardous Waste - Waste glass not present in new Regulation. Please, see https://eur-lex.europa.eu/legal-content/EN/TXT/PDF/?uri=CELEX:32014D0955</t>
        </is>
      </c>
      <c r="E325" s="1132" t="n"/>
      <c r="F325" s="1123" t="n"/>
      <c r="G325" s="819" t="inlineStr">
        <is>
          <t>metric tonnes (t)</t>
        </is>
      </c>
      <c r="H325" s="1132" t="n"/>
      <c r="I325" s="1123" t="n"/>
      <c r="J325" s="724" t="n">
        <v>500</v>
      </c>
      <c r="K325" s="724" t="n">
        <v>200</v>
      </c>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inlineStr">
        <is>
          <t xml:space="preserve">    15 01 04 - Non-Hazardous - Metallic packaging</t>
        </is>
      </c>
      <c r="E326" s="1136" t="n"/>
      <c r="F326" s="1122" t="n"/>
      <c r="G326" s="860" t="inlineStr">
        <is>
          <t>metric tonnes (t)</t>
        </is>
      </c>
      <c r="H326" s="1136" t="n"/>
      <c r="I326" s="1122" t="n"/>
      <c r="J326" s="249" t="n">
        <v>300</v>
      </c>
      <c r="K326" s="249" t="n">
        <v>100</v>
      </c>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inlineStr">
        <is>
          <t>Waste category         040201 Non-Hazardous Waste - Waste from unprocessed textile fibres and other natural fibrous substances mainly of vegetable origin not present in new Regulation. Please, see https://eur-lex.europa.eu/legal-content/EN/TXT/PDF/?uri=CELEX:32014D0955</t>
        </is>
      </c>
      <c r="E327" s="1130" t="n"/>
      <c r="F327" s="1124" t="n"/>
      <c r="G327" s="649" t="inlineStr">
        <is>
          <t>metric tonnes (t)</t>
        </is>
      </c>
      <c r="H327" s="1130" t="n"/>
      <c r="I327" s="1124" t="n"/>
      <c r="J327" s="245" t="n">
        <v>100</v>
      </c>
      <c r="K327" s="245" t="n">
        <v>150</v>
      </c>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inlineStr">
        <is>
          <t xml:space="preserve">    04 02 10 - Non-Hazardous - Organic matter from natural products (for example grease, wax)</t>
        </is>
      </c>
      <c r="E328" s="1130" t="n"/>
      <c r="F328" s="1124" t="n"/>
      <c r="G328" s="649" t="inlineStr">
        <is>
          <t>cubic meters (m3)</t>
        </is>
      </c>
      <c r="H328" s="1130" t="n"/>
      <c r="I328" s="1124" t="n"/>
      <c r="J328" s="245" t="n">
        <v>4000</v>
      </c>
      <c r="K328" s="245" t="n">
        <v>1000</v>
      </c>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inlineStr">
        <is>
          <t xml:space="preserve">    13 01 01 - Hazardous - Hydraulic oils, containing PCBs</t>
        </is>
      </c>
      <c r="E329" s="1130" t="n"/>
      <c r="F329" s="1124" t="n"/>
      <c r="G329" s="649" t="inlineStr">
        <is>
          <t>cubic meters (m3)</t>
        </is>
      </c>
      <c r="H329" s="1130" t="n"/>
      <c r="I329" s="1124" t="n"/>
      <c r="J329" s="245" t="n">
        <v>30</v>
      </c>
      <c r="K329" s="245" t="n">
        <v>70</v>
      </c>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t="inlineStr">
        <is>
          <t>cubic meters (m³)</t>
        </is>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t="inlineStr">
        <is>
          <t>cubic meters (m³)</t>
        </is>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t="inlineStr">
        <is>
          <t>cubic meters (m³)</t>
        </is>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inlineStr">
        <is>
          <t>kilograms (kg)</t>
        </is>
      </c>
    </row>
    <row r="536" ht="15" customHeight="1" thickBot="1">
      <c r="C536" s="706">
        <f>template_label_total_annual_mass_flow_of_relevant_materials_used_volume</f>
        <v/>
      </c>
      <c r="D536" s="1140" t="n"/>
      <c r="E536" s="1140" t="n"/>
      <c r="F536" s="1125" t="n"/>
      <c r="G536" s="671" t="n"/>
      <c r="H536" s="1140" t="n"/>
      <c r="I536" s="1125" t="n"/>
      <c r="J536" s="126" t="inlineStr">
        <is>
          <t>cubic meters (m³)</t>
        </is>
      </c>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0</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151</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n"/>
      <c r="D30" s="1124" t="n"/>
      <c r="E30" s="876" t="n"/>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n"/>
      <c r="D31" s="1124" t="n"/>
      <c r="E31" s="876" t="n"/>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2</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inlineStr">
        <is>
          <t>Biodiesel</t>
        </is>
      </c>
      <c r="B10" s="327" t="inlineStr">
        <is>
          <t>m³ - cubic meters</t>
        </is>
      </c>
      <c r="C10" s="328" t="n">
        <v>12</v>
      </c>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inlineStr">
        <is>
          <t>Methane</t>
        </is>
      </c>
      <c r="B11" s="327" t="inlineStr">
        <is>
          <t>L - Liter</t>
        </is>
      </c>
      <c r="C11" s="328" t="n">
        <v>23</v>
      </c>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inlineStr">
        <is>
          <t>Wood/Wood waste</t>
        </is>
      </c>
      <c r="B12" s="327" t="inlineStr">
        <is>
          <t>t - tonne</t>
        </is>
      </c>
      <c r="C12" s="328" t="n">
        <v>1234</v>
      </c>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2026-02-23T15:57:08Z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