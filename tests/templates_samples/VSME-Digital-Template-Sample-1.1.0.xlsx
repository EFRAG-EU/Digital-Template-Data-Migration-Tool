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241" documentId="8_{3CD4BC5B-C193-40A6-BA3C-8FD6355D31F8}" xr6:coauthVersionLast="47" xr6:coauthVersionMax="47" xr10:uidLastSave="{13773653-BCB6-4700-9619-59B311AB7418}"/>
  <bookViews>
    <workbookView xWindow="28680" yWindow="-120" windowWidth="29040" windowHeight="15720" tabRatio="672" activeTab="4" xr2:uid="{2424E359-BB1A-4C61-AEBD-805991FC6353}"/>
  </bookViews>
  <sheets>
    <sheet name="Cover Page Template Sampl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ranslations" sheetId="17" r:id="rId13"/>
    <sheet name="Technical Sheet" sheetId="11" r:id="rId14"/>
  </sheets>
  <externalReferences>
    <externalReference r:id="rId15"/>
  </externalReferences>
  <definedNames>
    <definedName name="_xlnm._FilterDatabase" localSheetId="12" hidden="1">Translations!$A$1:$B$407</definedName>
    <definedName name="AddressOfSite">'General Information'!$D$109:$D$133</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 localSheetId="0">'[1]Environmental Disclosures'!$D$170</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Disclosures'!$D$68</definedName>
    <definedName name="AverageNumberOfAnnualTrainingHoursPerMaleEmployee">'Social Disclosures'!$D$67</definedName>
    <definedName name="AverageNumberOfAnnualTrainingHoursPerNonReportedGenderEmployee">'Social Disclosures'!$D$70</definedName>
    <definedName name="AverageNumberOfAnnualTrainingHoursPerOtherGenderEmployee">'Social Disclosures'!$D$69</definedName>
    <definedName name="BaselineYearMember">'Environmental Disclosures'!$G$21</definedName>
    <definedName name="BasisForPreparation" localSheetId="0">'[1]General Information'!$E$32</definedName>
    <definedName name="BasisForPreparation">'General Information'!$E$32</definedName>
    <definedName name="BasisForReporting" localSheetId="0">'[1]General Information'!$E$42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Information'!$F$109:$F$133</definedName>
    <definedName name="CountryOfEmploymentContractAxis">'Social Disclosures'!$C$29:$D$38</definedName>
    <definedName name="CountryOfPrimaryOperationsAndLocationOfSignificantAssets">'General Information'!$E$65</definedName>
    <definedName name="CountryOfSite">'General Information'!$G$109:$G$133</definedName>
    <definedName name="DateOfAdoptionOfTransitionPlanForUndertakingNotHavingAdoptedTransitionPlanYet">'Environmental Disclosures'!$D$62</definedName>
    <definedName name="DescriptionOfActionsTakeToAddressTheConfirmedIncidents">'Social Disclosures'!$D$102</definedName>
    <definedName name="DescriptionOfATargetRelatedToAPolicy">'General Information'!$E$150</definedName>
    <definedName name="DescriptionOfATransitionPlanForClimateChangeMitigationIncludingAnExplanationOfHowItIsContributingToReduceGhgEmissions" localSheetId="0">'[1]Environmental Disclosures'!$D$58</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Information'!$E$161</definedName>
    <definedName name="DescriptionOfLimitsToTheDistributionOfProfitsConnectedToTheMutualisticNatureOrToTheNatureOfTheActivitiesConsistingInServicesOfGeneralEconomicInterestSGEI">'General Information'!$D$146</definedName>
    <definedName name="DescriptionOfMainBusinessRelationships">'General Information'!$E$157</definedName>
    <definedName name="DescriptionOfPracticesPoliciesAndOrFutureInitiatives" localSheetId="0">'[1]General Information'!$E$148</definedName>
    <definedName name="DescriptionOfPracticesPoliciesAndOrFutureInitiatives">'General Information'!$E$149</definedName>
    <definedName name="DescriptionOfSignificantGroupsOfProductsAndOrServicesOffered">'General Information'!$E$155</definedName>
    <definedName name="DescriptionOfSignificantMarketsTheUndertakingOperatesIn">'General Information'!$E$156</definedName>
    <definedName name="DescriptionOfSustainabilityRelatedCertificationsOrLabels">'General Information'!$E$100</definedName>
    <definedName name="DescriptionOfTheEffectiveParticipationOfWorkersUsersOrOtherInterestedPartiesOrCommunitiesInGovernance">'General Information'!$D$144</definedName>
    <definedName name="DisclosureOfAnyOtherEnvironmentalAndOrEntitySpecificEnvironmentalDisclosures">'Environmental Disclosures'!$C$244</definedName>
    <definedName name="DisclosureOfAnyOtherGeneralAndOrEntitySpecificInformation">'General Information'!$C$165</definedName>
    <definedName name="DisclosureOfAnyOtherGovernanceAndOrEntitySpecificGovernanceDisclosures">'Governance Disclosures'!$C$38</definedName>
    <definedName name="DisclosureOfAnyOtherSocialAndOrEntitySpecificSocialDisclosures">'Social Disclosures'!$C$110</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 localSheetId="0">'[1]Social Disclosures'!$D$56</definedName>
    <definedName name="EmployeesReceivePayEqualOrAboveMinimumWageDeterminedByNationalLawOrCollectiveAgreement">'Social Disclosures'!$D$57</definedName>
    <definedName name="EmployeeTurnoverRate">'Social Disclosures'!$D$47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 localSheetId="0">'[1]Enumeration Lists'!$AB$2:$AB$3</definedName>
    <definedName name="enum_employee_methodology">'Enumeration Lists'!$AB$2:$AB$3</definedName>
    <definedName name="enum_ImplementationStatus" localSheetId="0">'[1]Enumeration Lists'!$U$2:$U$3</definedName>
    <definedName name="enum_ImplementationStatus">'Enumeration Lists'!$U$2:$U$3</definedName>
    <definedName name="enum_ListBiodiversityArea">'Enumeration Lists'!$J$2:$J$3</definedName>
    <definedName name="enum_ListCountiesCode">'Enumeration Lists'!$G$2:$G$257</definedName>
    <definedName name="enum_ListCountriesName" localSheetId="0">'[1]Enumeration Lists'!$E$2:$E$257</definedName>
    <definedName name="enum_ListCountriesName">'Enumeration Lists'!$E$2:$E$257</definedName>
    <definedName name="enum_ListDays" localSheetId="0">'[1]Enumeration Lists'!$AC$2:$AC$32</definedName>
    <definedName name="enum_ListDays">'Enumeration Lists'!$AC$2:$AC$32</definedName>
    <definedName name="enum_ListDensity" localSheetId="0">'[1]Fuel Conversion Parameters'!$K$2:$K$9</definedName>
    <definedName name="enum_ListDensity">'Fuel Conversion Parameters'!$K$2:$K$9</definedName>
    <definedName name="enum_ListEnergy" localSheetId="0">'[1]Fuel Conversion Parameters'!$I$2:$I$3</definedName>
    <definedName name="enum_ListEnergy">'Fuel Conversion Parameters'!$I$2:$I$3</definedName>
    <definedName name="enum_ListFuel" localSheetId="0">'[1]Fuel Conversion Parameters'!$A$2:$A$61</definedName>
    <definedName name="enum_ListFuel">'Fuel Conversion Parameters'!$A$2:$A$61</definedName>
    <definedName name="enum_ListHectM2" localSheetId="0">'[1]Enumeration Lists'!$P$2:$P$3</definedName>
    <definedName name="enum_ListHectM2">'Enumeration Lists'!$P$2:$P$3</definedName>
    <definedName name="enum_ListIdentifier" localSheetId="0">'[1]Enumeration Lists'!$AD$2:$AD$5</definedName>
    <definedName name="enum_ListIdentifier">'Enumeration Lists'!$AD$2:$AD$5</definedName>
    <definedName name="enum_ListLegalForms">'Enumeration Lists'!$L$2:$L$6</definedName>
    <definedName name="enum_ListMass" localSheetId="0">'[1]Fuel Conversion Parameters'!$G$2:$G$5</definedName>
    <definedName name="enum_ListMass">'Fuel Conversion Parameters'!$G$2:$G$5</definedName>
    <definedName name="enum_ListMediumOfRelease">'Enumeration Lists'!$N$2:$N$4</definedName>
    <definedName name="enum_ListMonth" localSheetId="0">'[1]Enumeration Lists'!$T$2:$T$13</definedName>
    <definedName name="enum_ListMonth">'Enumeration Lists'!$T$2:$T$13</definedName>
    <definedName name="enum_ListNACECategories" localSheetId="0">'[1]Enumeration Lists'!$C$2:$C$399</definedName>
    <definedName name="enum_ListNACECategories">'Enumeration Lists'!$C$2:$C$399</definedName>
    <definedName name="enum_ListNACECode">'Enumeration Lists'!$A$3:$A$1049</definedName>
    <definedName name="enum_ListNACETechnicalName" localSheetId="0">'[1]Enumeration Lists'!$D$3:$D$1049</definedName>
    <definedName name="enum_ListNACETechnicalName">'Enumeration Lists'!$D$3:$D$1049</definedName>
    <definedName name="enum_ListNCV" localSheetId="0">'[1]Fuel Conversion Parameters'!$U$2:$U$13</definedName>
    <definedName name="enum_ListNCV">'Fuel Conversion Parameters'!$U$2:$U$13</definedName>
    <definedName name="enum_ListOfCurrencies" localSheetId="0">'[1]Enumeration Lists'!$AA$2:$AA$170</definedName>
    <definedName name="enum_ListOfCurrencies">'Enumeration Lists'!$AA$2:$AA$170</definedName>
    <definedName name="enum_ListOfFutureYears" localSheetId="0">'[1]Enumeration Lists'!$S$26:$S$102</definedName>
    <definedName name="enum_ListOfFutureYears">'Enumeration Lists'!$S$26:$S$102</definedName>
    <definedName name="enum_ListOfPastYears" localSheetId="0">'[1]Enumeration Lists'!$S$2:$S$26</definedName>
    <definedName name="enum_ListOfPastYears">'Enumeration Lists'!$S$2:$S$26</definedName>
    <definedName name="enum_ListOmittedDisclosures" localSheetId="0">'[1]Enumeration Lists'!$V$2:$V$21</definedName>
    <definedName name="enum_ListOmittedDisclosures">'Enumeration Lists'!$V$2:$V$21</definedName>
    <definedName name="enum_ListOmittedDisclosuresWithNone" localSheetId="0">'[1]Enumeration Lists'!$H$2:$H$22</definedName>
    <definedName name="enum_ListOmittedDisclosuresWithNone">'Enumeration Lists'!$H$2:$H$22</definedName>
    <definedName name="enum_ListPollutants" localSheetId="0">'[1]Enumeration Lists'!$I$2:$I$95</definedName>
    <definedName name="enum_ListPollutants">'Enumeration Lists'!$I$2:$I$95</definedName>
    <definedName name="enum_ListRenewabilityState" localSheetId="0">'[1]Fuel Conversion Parameters'!$AX$2:$AX$4</definedName>
    <definedName name="enum_ListRenewabilityState">'Fuel Conversion Parameters'!$AX$2:$AX$4</definedName>
    <definedName name="enum_ListStateOfMatter" localSheetId="0">'[1]Fuel Conversion Parameters'!$AW$2:$AW$5</definedName>
    <definedName name="enum_ListStateOfMatter">'Fuel Conversion Parameters'!$AW$2:$AW$5</definedName>
    <definedName name="enum_ListSustainabilityIssues">'Enumeration Lists'!$O$2:$O$12</definedName>
    <definedName name="enum_ListTypeOfWastes" localSheetId="0">'[1]Enumeration Lists'!$K$2:$K$820</definedName>
    <definedName name="enum_ListTypeOfWastes">'Enumeration Lists'!$K$2:$K$974</definedName>
    <definedName name="enum_ListUnitMeasurement" localSheetId="0">'[1]Enumeration Lists'!$M$2:$M$4</definedName>
    <definedName name="enum_ListUnitMeasurement">'Enumeration Lists'!$M$2:$M$4</definedName>
    <definedName name="enum_ListUnitMeasurement_mass_only" localSheetId="0">'[1]Enumeration Lists'!$Y$2:$Y$3</definedName>
    <definedName name="enum_ListUnitMeasurement_mass_only">'Enumeration Lists'!$Y$2:$Y$3</definedName>
    <definedName name="enum_ListVolume" localSheetId="0">'[1]Fuel Conversion Parameters'!$H$2:$H$3</definedName>
    <definedName name="enum_ListVolume">'Fuel Conversion Parameters'!$H$2:$H$3</definedName>
    <definedName name="enum_ListVolumeMass" localSheetId="0">'[1]Fuel Conversion Parameters'!$J$2:$J$7</definedName>
    <definedName name="enum_ListVolumeMass">'Fuel Conversion Parameters'!$J$2:$J$7</definedName>
    <definedName name="enum_ListWasteCategories" localSheetId="0">'[1]Enumeration Lists'!$Z$2:$Z$133</definedName>
    <definedName name="enum_ListWasteCategories">'Enumeration Lists'!$Z$2:$Z$133</definedName>
    <definedName name="enum_ListYear" localSheetId="0">'[1]Enumeration Lists'!$S$2:$S$102</definedName>
    <definedName name="enum_ListYear">'Enumeration Lists'!$S$2:$S$102</definedName>
    <definedName name="enum_ListYesNo" localSheetId="0">'[1]Enumeration Lists'!$Q$2:$Q$3</definedName>
    <definedName name="enum_ListYesNo">'Enumeration Lists'!$Q$2:$Q$3</definedName>
    <definedName name="FemaleToMaleRatioAtManagementLevelForTheReportingPeriod">'Social Disclosures'!$D$77</definedName>
    <definedName name="FinancialInvestmentInTheCapitalOrAssetsOfSocialEconomyEntities">'General Information'!$D$145</definedName>
    <definedName name="GenderDiversityRatioInGovernanceBody">'Governance Disclosures'!$H$33</definedName>
    <definedName name="GPSLocationOfSite">'General Information'!$H$109:$H$133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 localSheetId="0">'[1]General Information'!$C$108:$C$132</definedName>
    <definedName name="IdentifierOfSiteTypedAxis">'General Information'!$C$109:$C$133</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 localSheetId="0">'[1]General Information'!$C$108:$H$132</definedName>
    <definedName name="ListOfSitesTable">'General Information'!$C$109:$H$133</definedName>
    <definedName name="ListOfSubsidiaryTable">'General Information'!$C$70:$E$94</definedName>
    <definedName name="MostSeniorLevelAccountableForImplementationOfPolicies">'General Information'!$E$151</definedName>
    <definedName name="MostSeniorLevelAccountableForImplementationOfPracticesPoliciesAndOrFutureInitiatives">'[1]General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Disclosures'!$E$29:$H$38</definedName>
    <definedName name="NumberOfEmployeesForCountryOfEmploymentContractTable">'Social Disclosures'!$C$29:$H$38</definedName>
    <definedName name="NumberOfFatalitiesAsAResultOfWorkRelatedInjuriesAndWorkRelatedIllHealth" localSheetId="0">'[1]Social Disclosures'!$D$53</definedName>
    <definedName name="NumberOfFatalitiesAsAResultOfWorkRelatedInjuriesAndWorkRelatedIllHealth">'Social Disclosures'!$D$54</definedName>
    <definedName name="NumberOfFemaleEmployees" localSheetId="0">'[1]Social Disclosures'!$D$19</definedName>
    <definedName name="NumberOfFemaleEmployees">'Social Disclosures'!$D$19</definedName>
    <definedName name="NumberOfMaleEmployees" localSheetId="0">'[1]Social Disclosures'!$D$18</definedName>
    <definedName name="NumberOfMaleEmployees">'Social Disclosures'!$D$18</definedName>
    <definedName name="NumberOfNonReportedGenderEmployees" localSheetId="0">'[1]Social Disclosures'!$D$21</definedName>
    <definedName name="NumberOfNonReportedGenderEmployees">'Social Disclosures'!$D$21</definedName>
    <definedName name="NumberOfOtherGenderEmployees" localSheetId="0">'[1]Social Disclosures'!$D$20</definedName>
    <definedName name="NumberOfOtherGenderEmployees">'Social Disclosures'!$D$20</definedName>
    <definedName name="NumberOfPermanentContractEmployees">'Social Disclosures'!$D$10</definedName>
    <definedName name="NumberOfRecordableWorkRelatedAccidentsInTheReportingPeriod" localSheetId="0">'[1]Social Disclosures'!$D$49</definedName>
    <definedName name="NumberOfRecordableWorkRelatedAccidentsInTheReportingPeriod">'Social Disclosures'!$D$50</definedName>
    <definedName name="NumberOfTemporaryContractEmployees">'Social Disclosures'!$D$11</definedName>
    <definedName name="OtherUndertakingsLegalForm">'General Information'!$E$44</definedName>
    <definedName name="PercentageGapInPayBetweenFemaleAndMaleEmployees">'Social Disclosures'!$D$60</definedName>
    <definedName name="PercentageOfEmployeesCoveredByCollectiveBargainingAgreements">'Social Disclosures'!$D$62</definedName>
    <definedName name="PostalCodeOfSite">'General Information'!$E$109:$E$133</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Information'!$N$140</definedName>
    <definedName name="PubliclyAvailableDisclosure">'Environmental Disclosures'!$G$75</definedName>
    <definedName name="RateOfRecordableWorkRelatedAccidentsInTheReportingPeriod">'Social Disclosures'!$D$53</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Disclosures'!$D$104</definedName>
    <definedName name="SpecificationOfOtherHumanRightsRelatedToTheConfirmedIncident">'Social Disclosures'!$D$101</definedName>
    <definedName name="SpecificationOfOtherTypesOfContentCoveredByTheCodeOfConductOrHumanRightsPolicy">'Social Disclosures'!$D$90</definedName>
    <definedName name="SustainabilityIssueAddressedByPracticePolicyAndOrFutureInitiative">'General Information'!$D$140:$M$140</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Disclosures'!$C$56</definedName>
    <definedName name="template_b11_convictions_and_fines_for_corruption_and_bribery">'Governance Disclosures'!$C$2</definedName>
    <definedName name="template_b2_cooperative_specific_disclosures">'General Information'!$C$142</definedName>
    <definedName name="template_b2_practices_policies_and_future_initiatives_for_transitioning_towards_a_more_sustainable_economy">'General Information'!$C$135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Disclosures'!$C$41</definedName>
    <definedName name="template_b8_workforce_general_characteristics_type_of_contract">'Social Disclosures'!$C$6</definedName>
    <definedName name="template_b9_workforce_health_and_safety">'Social Disclosures'!$C$49</definedName>
    <definedName name="template_c1_strategy_business_model_and_sustainability">'General Information'!$C$154</definedName>
    <definedName name="template_c2_description_of_practices_policies_and_future_initiatives_for_transitioning_towards_a_more_sustainable_economy">'General Information'!$C$148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Disclosures'!$C$74</definedName>
    <definedName name="template_c6_additional_own_workforce_information_human_rights_policies_and_processes">'Social Disclosures'!$C$81</definedName>
    <definedName name="template_c7_severe_negative_human_rights_incidents">'Social Disclosures'!$C$93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 localSheetId="0">'[1]General Information'!$D$5</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Information'!$C$163</definedName>
    <definedName name="template_disclosure_of_any_other_governance_and_or_entity_specific_governance_disclosures">'Governance Disclosures'!$C$36</definedName>
    <definedName name="template_disclosure_of_any_other_social_and_or_entity_specific_social_disclosures">'Social Disclosures'!$C$108</definedName>
    <definedName name="template_ending_date_display" localSheetId="0">'[1]Technical Sheet'!$B$2</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 localSheetId="0">'[1]Technical Sheet'!$B$1</definedName>
    <definedName name="template_reporting_period_display">'Technical Sheet'!$B$1</definedName>
    <definedName name="template_reporting_period_enddate" localSheetId="0">'[1]General Information'!$D$13</definedName>
    <definedName name="template_reporting_period_enddate">'General Information'!$D$13</definedName>
    <definedName name="template_reporting_period_startdate" localSheetId="0">'[1]General Information'!$D$9</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 localSheetId="0">'[1]Environmental Disclosures'!$D$169</definedName>
    <definedName name="TotalAmountOfWaterWithdrawnFromAllSites">'Environmental Disclosures'!$D$169</definedName>
    <definedName name="TotalEnergyConsumption" localSheetId="0">'[1]Environmental Disclosures'!$G$5</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Disclosures'!$D$78</definedName>
    <definedName name="TotalNumberOfTemporaryWorkersProvidedByUndertakingsPrimarilyEngagedInEmploymentActivities">'Social Disclosures'!$D$79</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 localSheetId="0">'[1]General Information'!$E$61</definedName>
    <definedName name="Turnover">'General Information'!$E$61</definedName>
    <definedName name="TypeOfContentCoveredByTheCodeOfConductOrHumanRightsPolicyForItsOwnWorkforce">'Social Disclosures'!$D$84:$H$89</definedName>
    <definedName name="TypeOfHumanRightRelatedToTheConfirmedIncident">'Social Disclosures'!$D$96:$H$100</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 localSheetId="0">'[1]Environmental Disclosures'!$D$182</definedName>
    <definedName name="UndertakingAppliesCircularEconomyPrinciples">'Environmental Disclosures'!$D$182</definedName>
    <definedName name="UndertakingHasACodeOfConductOrHumanRightsPolicyForItsOwnWorkforce">'Social Disclosures'!$D$82</definedName>
    <definedName name="UndertakingHasAComplaintHandlingMechanismForItsOwnWorkforce">'Social Disclosures'!$D$91</definedName>
    <definedName name="UndertakingHasConfirmedHumanRightsIncidentsInItsOwnWorkforce">'Social Disclosures'!$D$94</definedName>
    <definedName name="UndertakingHasSetATargetWhichIsRelatedToAPolicy">'General Information'!$O$140</definedName>
    <definedName name="UndertakingIsAwareOfAnyConfirmedIncidentsInvolvingWorkersInTheValueChainAffectedCommunitiesConsumersAndEndUsers">'Social Disclosures'!$D$103</definedName>
    <definedName name="UndertakingsAreExcludedFromAnyEuReferenceBenchmarksThatAreAlignedWithTheParisAgreement">'Governance Disclosures'!$H$27</definedName>
    <definedName name="UndertakingsLegalForm" localSheetId="0">'[1]General Information'!$E$43</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Generated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a="1"/>
  <c r="B3" i="4" s="1"/>
  <c r="H33" i="7"/>
  <c r="D12" i="8"/>
  <c r="D13" i="8"/>
  <c r="D14" i="8"/>
  <c r="D15" i="8"/>
  <c r="D16" i="8"/>
  <c r="D17" i="8"/>
  <c r="D18" i="8"/>
  <c r="I38" i="7"/>
  <c r="I12" i="7"/>
  <c r="I110" i="12"/>
  <c r="I104" i="12"/>
  <c r="I102" i="12"/>
  <c r="I101" i="12"/>
  <c r="I96" i="12" a="1"/>
  <c r="I96" i="12" s="1"/>
  <c r="I90" i="12"/>
  <c r="I32" i="12"/>
  <c r="I33" i="12"/>
  <c r="I34" i="12"/>
  <c r="I35" i="12"/>
  <c r="I36" i="12"/>
  <c r="I37" i="12"/>
  <c r="I38" i="12"/>
  <c r="M244" i="1"/>
  <c r="L240" i="1"/>
  <c r="K219" i="1"/>
  <c r="K220" i="1"/>
  <c r="K221" i="1"/>
  <c r="K222" i="1"/>
  <c r="K223" i="1"/>
  <c r="K224" i="1"/>
  <c r="K225" i="1"/>
  <c r="K226" i="1"/>
  <c r="K227" i="1"/>
  <c r="K228" i="1"/>
  <c r="K229" i="1"/>
  <c r="K230" i="1"/>
  <c r="K218" i="1"/>
  <c r="M196" i="1" l="1"/>
  <c r="M197" i="1"/>
  <c r="M198" i="1"/>
  <c r="M199" i="1"/>
  <c r="M200" i="1"/>
  <c r="M201" i="1"/>
  <c r="M202" i="1"/>
  <c r="M203" i="1"/>
  <c r="H183" i="1"/>
  <c r="G159"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76" i="1"/>
  <c r="L75" i="1" a="1"/>
  <c r="L75" i="1" s="1"/>
  <c r="L58" i="1"/>
  <c r="L24" i="1"/>
  <c r="I165" i="3"/>
  <c r="H150" i="3"/>
  <c r="E146" i="3"/>
  <c r="E145" i="3"/>
  <c r="E144" i="3"/>
  <c r="F72" i="3"/>
  <c r="F73" i="3"/>
  <c r="F74" i="3"/>
  <c r="F75" i="3"/>
  <c r="F76" i="3"/>
  <c r="F77" i="3"/>
  <c r="F78" i="3"/>
  <c r="F79" i="3"/>
  <c r="F80" i="3"/>
  <c r="F81" i="3"/>
  <c r="F82" i="3"/>
  <c r="F83" i="3"/>
  <c r="F84" i="3"/>
  <c r="F85" i="3"/>
  <c r="F86" i="3"/>
  <c r="F87" i="3"/>
  <c r="F88" i="3"/>
  <c r="F89" i="3"/>
  <c r="F90" i="3"/>
  <c r="F91" i="3"/>
  <c r="F92" i="3"/>
  <c r="F93" i="3"/>
  <c r="F94" i="3"/>
  <c r="F71" i="3"/>
  <c r="F47" i="3"/>
  <c r="F48" i="3"/>
  <c r="F49" i="3"/>
  <c r="F50" i="3"/>
  <c r="F51" i="3"/>
  <c r="F52" i="3"/>
  <c r="F53" i="3"/>
  <c r="F54" i="3"/>
  <c r="F55" i="3"/>
  <c r="F56" i="3"/>
  <c r="F57" i="3"/>
  <c r="F58" i="3"/>
  <c r="F59" i="3"/>
  <c r="F44" i="3"/>
  <c r="F35" i="3"/>
  <c r="F36" i="3"/>
  <c r="F37" i="3"/>
  <c r="F38" i="3"/>
  <c r="F39" i="3"/>
  <c r="F40" i="3"/>
  <c r="F41" i="3"/>
  <c r="F34" i="3"/>
  <c r="F21" i="3"/>
  <c r="F22" i="3"/>
  <c r="F23" i="3"/>
  <c r="F24" i="3"/>
  <c r="F25" i="3"/>
  <c r="F26" i="3"/>
  <c r="F27" i="3"/>
  <c r="F28" i="3"/>
  <c r="D3" i="17" l="1"/>
  <c r="E3" i="17"/>
  <c r="F3" i="17"/>
  <c r="G3" i="17"/>
  <c r="C3" i="17"/>
  <c r="B21" i="17" l="1"/>
  <c r="B13" i="4" s="1"/>
  <c r="B490" i="17"/>
  <c r="A21" i="1" s="1"/>
  <c r="B334" i="17"/>
  <c r="C27" i="12" s="1"/>
  <c r="B19" i="17"/>
  <c r="B12" i="4" s="1"/>
  <c r="B486" i="17"/>
  <c r="M12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214" i="1" s="1"/>
  <c r="B318" i="17"/>
  <c r="B329" i="17"/>
  <c r="B341" i="17"/>
  <c r="B353" i="17"/>
  <c r="B365" i="17"/>
  <c r="B378" i="17"/>
  <c r="B4" i="17"/>
  <c r="B483" i="17"/>
  <c r="L109"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45"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51" i="12" s="1"/>
  <c r="B433" i="17"/>
  <c r="B463" i="17"/>
  <c r="B396" i="17"/>
  <c r="B34" i="17"/>
  <c r="B62" i="17"/>
  <c r="B91" i="17"/>
  <c r="B120" i="17"/>
  <c r="B150" i="17"/>
  <c r="B176" i="17"/>
  <c r="B228" i="17"/>
  <c r="B255" i="17"/>
  <c r="B311" i="17"/>
  <c r="B336" i="17"/>
  <c r="B361" i="17"/>
  <c r="B13" i="17"/>
  <c r="B414" i="17"/>
  <c r="B445" i="17"/>
  <c r="B474" i="17"/>
  <c r="L80" i="1" s="1"/>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189"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I7" i="7" l="1"/>
  <c r="I58" i="12"/>
  <c r="I6" i="7"/>
  <c r="I46" i="12"/>
  <c r="I30" i="12"/>
  <c r="I45" i="12"/>
  <c r="L239" i="1"/>
  <c r="I44" i="12"/>
  <c r="L238" i="1"/>
  <c r="L237" i="1"/>
  <c r="K217" i="1"/>
  <c r="I32" i="7"/>
  <c r="I75" i="12"/>
  <c r="C56" i="16" s="1"/>
  <c r="I29" i="12"/>
  <c r="L236" i="1"/>
  <c r="K216" i="1"/>
  <c r="I79" i="12"/>
  <c r="I78" i="12"/>
  <c r="I76" i="12"/>
  <c r="I31" i="12"/>
  <c r="M204" i="1" a="1"/>
  <c r="M204" i="1" s="1"/>
  <c r="I84" i="12"/>
  <c r="F19" i="3"/>
  <c r="I31" i="7"/>
  <c r="I59" i="12"/>
  <c r="M191" i="1"/>
  <c r="L81" i="1"/>
  <c r="H149" i="3"/>
  <c r="L52" i="1"/>
  <c r="H161" i="3"/>
  <c r="M192" i="1"/>
  <c r="E176" i="1"/>
  <c r="L78" i="1" a="1"/>
  <c r="L78" i="1" s="1"/>
  <c r="M194" i="1"/>
  <c r="L126" i="1"/>
  <c r="M195" i="1"/>
  <c r="L59" i="1"/>
  <c r="P140" i="3"/>
  <c r="F20" i="3"/>
  <c r="L30" i="1" a="1"/>
  <c r="L30" i="1" s="1"/>
  <c r="F29" i="3"/>
  <c r="M193" i="1"/>
  <c r="F70" i="3"/>
  <c r="F46" i="3"/>
  <c r="H151" i="3"/>
  <c r="I100" i="3"/>
  <c r="L21" i="1"/>
  <c r="M190" i="1"/>
  <c r="L82" i="1"/>
  <c r="F18" i="3"/>
  <c r="J29" i="12"/>
  <c r="I18" i="12"/>
  <c r="C66" i="16"/>
  <c r="C68" i="16"/>
  <c r="C17" i="16" a="1"/>
  <c r="C17" i="16" s="1"/>
  <c r="C67" i="16"/>
  <c r="C65" i="16"/>
  <c r="G6" i="3"/>
  <c r="G10" i="3"/>
  <c r="J100" i="12"/>
  <c r="J89" i="12"/>
  <c r="G43" i="3"/>
  <c r="G19" i="3"/>
  <c r="L218" i="1"/>
  <c r="N191" i="1"/>
  <c r="G70" i="3"/>
  <c r="M130" i="1"/>
  <c r="M82" i="1"/>
  <c r="L111"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X17" i="8"/>
  <c r="X16" i="8"/>
  <c r="T16" i="8"/>
  <c r="T10" i="8"/>
  <c r="T12" i="8" s="1"/>
  <c r="T17" i="8"/>
  <c r="AJ11" i="8" l="1"/>
  <c r="X12" i="8"/>
  <c r="AR11" i="8"/>
  <c r="T11" i="8"/>
  <c r="AB11" i="8"/>
  <c r="AZ11" i="8"/>
  <c r="AV11" i="8"/>
  <c r="AN11" i="8"/>
  <c r="AF11" i="8"/>
  <c r="D11" i="8" l="1"/>
  <c r="G11" i="8" s="1"/>
  <c r="P10" i="8"/>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8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29" i="3"/>
  <c r="C43" i="3"/>
  <c r="C63" i="3"/>
  <c r="C4" i="16"/>
  <c r="B41" i="16"/>
  <c r="B65" i="16"/>
  <c r="E69" i="3"/>
  <c r="D105" i="3"/>
  <c r="G139" i="3"/>
  <c r="B42" i="16"/>
  <c r="B54" i="16"/>
  <c r="B66" i="16"/>
  <c r="C7" i="3"/>
  <c r="C13" i="3"/>
  <c r="C44" i="3"/>
  <c r="C64" i="3"/>
  <c r="E105" i="3"/>
  <c r="B6" i="16"/>
  <c r="B19" i="16"/>
  <c r="B31" i="16"/>
  <c r="B67" i="16"/>
  <c r="F105" i="3"/>
  <c r="D138" i="3"/>
  <c r="H139" i="3"/>
  <c r="B7" i="16"/>
  <c r="B44" i="16"/>
  <c r="B56" i="16"/>
  <c r="B68" i="16"/>
  <c r="C8" i="3"/>
  <c r="C45" i="3"/>
  <c r="C65" i="3"/>
  <c r="B8" i="16"/>
  <c r="B45" i="16"/>
  <c r="B57" i="16"/>
  <c r="G105" i="3"/>
  <c r="N138" i="3"/>
  <c r="I139" i="3"/>
  <c r="B10" i="16"/>
  <c r="B58" i="16"/>
  <c r="C3" i="3"/>
  <c r="C9" i="3"/>
  <c r="C16" i="3"/>
  <c r="C32" i="3"/>
  <c r="C60" i="3"/>
  <c r="B47" i="16"/>
  <c r="C100" i="3"/>
  <c r="H105" i="3"/>
  <c r="O138" i="3"/>
  <c r="J139" i="3"/>
  <c r="B24" i="16"/>
  <c r="B36" i="16"/>
  <c r="B48" i="16"/>
  <c r="B60" i="16"/>
  <c r="D69" i="3"/>
  <c r="F139" i="3"/>
  <c r="C4" i="3"/>
  <c r="C33" i="3"/>
  <c r="C5" i="3"/>
  <c r="C42" i="3"/>
  <c r="B50" i="16"/>
  <c r="C10" i="3"/>
  <c r="C61" i="3"/>
  <c r="B3" i="16"/>
  <c r="H106" i="3"/>
  <c r="C11" i="3"/>
  <c r="B15" i="16"/>
  <c r="B63" i="16"/>
  <c r="C18" i="3"/>
  <c r="B25" i="16"/>
  <c r="D139" i="3"/>
  <c r="C19" i="3"/>
  <c r="E139" i="3"/>
  <c r="C2" i="16"/>
  <c r="C157" i="3"/>
  <c r="C71" i="12"/>
  <c r="B1" i="11"/>
  <c r="D59" i="1"/>
  <c r="D60" i="1"/>
  <c r="K139" i="3"/>
  <c r="C5" i="1"/>
  <c r="C21" i="1"/>
  <c r="L139" i="3"/>
  <c r="C22" i="1"/>
  <c r="C41" i="1"/>
  <c r="C75" i="1"/>
  <c r="C177" i="1"/>
  <c r="B9" i="8"/>
  <c r="D215" i="1"/>
  <c r="C11" i="12"/>
  <c r="C51" i="12"/>
  <c r="C94" i="12"/>
  <c r="C25" i="7"/>
  <c r="C149" i="3"/>
  <c r="C33" i="1"/>
  <c r="C42" i="1"/>
  <c r="C76" i="1"/>
  <c r="J188" i="1"/>
  <c r="C60" i="12"/>
  <c r="C77" i="12"/>
  <c r="C95" i="12"/>
  <c r="C103" i="12"/>
  <c r="C17" i="7"/>
  <c r="C26" i="7"/>
  <c r="B1" i="12"/>
  <c r="G19" i="1"/>
  <c r="C29" i="1"/>
  <c r="C66" i="1"/>
  <c r="G127" i="1"/>
  <c r="C176" i="1"/>
  <c r="J231" i="1"/>
  <c r="C10" i="12"/>
  <c r="C46" i="12"/>
  <c r="C76" i="12"/>
  <c r="C15" i="7"/>
  <c r="C144" i="3"/>
  <c r="C155" i="3"/>
  <c r="C10" i="1"/>
  <c r="D20" i="1"/>
  <c r="C30" i="1"/>
  <c r="C39" i="1"/>
  <c r="D79" i="1"/>
  <c r="J127" i="1"/>
  <c r="C163" i="1"/>
  <c r="L188" i="1"/>
  <c r="C232" i="1"/>
  <c r="C47" i="12"/>
  <c r="C5" i="7"/>
  <c r="C27" i="7"/>
  <c r="G20" i="1"/>
  <c r="C164" i="1"/>
  <c r="C182" i="1"/>
  <c r="C57" i="12"/>
  <c r="C78" i="12"/>
  <c r="C16" i="7"/>
  <c r="C145" i="3"/>
  <c r="C156" i="3"/>
  <c r="G11" i="1"/>
  <c r="C40" i="1"/>
  <c r="C68" i="1"/>
  <c r="D204" i="1"/>
  <c r="K11" i="1"/>
  <c r="C38" i="1"/>
  <c r="C57" i="1"/>
  <c r="C74" i="1"/>
  <c r="D127" i="1"/>
  <c r="D209" i="1"/>
  <c r="C235" i="1"/>
  <c r="C50" i="12"/>
  <c r="C91" i="12"/>
  <c r="C104" i="12"/>
  <c r="C12" i="1"/>
  <c r="C25" i="1"/>
  <c r="C77" i="1"/>
  <c r="K127" i="1"/>
  <c r="C170" i="1"/>
  <c r="C9" i="12"/>
  <c r="C18" i="7"/>
  <c r="C30" i="7"/>
  <c r="M139" i="3"/>
  <c r="C13" i="1"/>
  <c r="C43" i="1"/>
  <c r="C59" i="1"/>
  <c r="D188" i="1"/>
  <c r="C236" i="1"/>
  <c r="C28" i="12"/>
  <c r="C52" i="12"/>
  <c r="C79" i="12"/>
  <c r="C31" i="7"/>
  <c r="C31" i="1"/>
  <c r="G79" i="1"/>
  <c r="C204" i="1"/>
  <c r="C237" i="1"/>
  <c r="C54" i="12"/>
  <c r="C6" i="7"/>
  <c r="C146" i="3"/>
  <c r="C161" i="3"/>
  <c r="C32" i="1"/>
  <c r="C45" i="1"/>
  <c r="D61" i="1"/>
  <c r="C160" i="1"/>
  <c r="D205" i="1"/>
  <c r="G215" i="1"/>
  <c r="C238" i="1"/>
  <c r="C82" i="12"/>
  <c r="C21" i="7"/>
  <c r="C33" i="7"/>
  <c r="C34" i="1"/>
  <c r="C46" i="1"/>
  <c r="J79" i="1"/>
  <c r="D160" i="1"/>
  <c r="C175" i="1"/>
  <c r="C239" i="1"/>
  <c r="C83" i="12"/>
  <c r="J20" i="1"/>
  <c r="C35" i="1"/>
  <c r="K79" i="1"/>
  <c r="C161" i="1"/>
  <c r="D206" i="1"/>
  <c r="C44" i="12"/>
  <c r="C160" i="3"/>
  <c r="C14" i="1"/>
  <c r="C44" i="1"/>
  <c r="K188" i="1"/>
  <c r="C53" i="12"/>
  <c r="C32" i="7"/>
  <c r="K20" i="1"/>
  <c r="C183" i="1"/>
  <c r="C24" i="7"/>
  <c r="C2" i="12"/>
  <c r="C61" i="12"/>
  <c r="C101" i="12"/>
  <c r="C3" i="12"/>
  <c r="C62" i="12"/>
  <c r="C23" i="1"/>
  <c r="C102" i="12"/>
  <c r="C150" i="3"/>
  <c r="C124" i="1"/>
  <c r="C151" i="3"/>
  <c r="C36" i="1"/>
  <c r="D207" i="1"/>
  <c r="C10" i="7"/>
  <c r="D208" i="1"/>
  <c r="H11" i="7"/>
  <c r="C37" i="1"/>
  <c r="C127" i="1"/>
  <c r="C75" i="12"/>
  <c r="C12" i="7"/>
  <c r="C231" i="1"/>
  <c r="C13" i="7"/>
  <c r="C162" i="1"/>
  <c r="C45" i="12"/>
  <c r="J11" i="1"/>
  <c r="C90" i="12"/>
  <c r="C22" i="7"/>
  <c r="C169" i="1"/>
  <c r="C23" i="7"/>
  <c r="C14" i="7"/>
  <c r="C56" i="1"/>
  <c r="D21" i="1"/>
  <c r="I57" i="12" l="1"/>
  <c r="I94" i="12"/>
  <c r="I54" i="12"/>
  <c r="I50" i="12"/>
  <c r="I91" i="12"/>
  <c r="H10" i="12"/>
  <c r="C37" i="16" s="1"/>
  <c r="I22" i="7"/>
  <c r="C62" i="16" s="1"/>
  <c r="C60" i="16" s="1"/>
  <c r="I82" i="12"/>
  <c r="I67" i="12"/>
  <c r="C42" i="16" s="1"/>
  <c r="I103" i="12"/>
  <c r="I61" i="12"/>
  <c r="M189" i="1"/>
  <c r="F60" i="3"/>
  <c r="L5" i="1"/>
  <c r="C20" i="16" s="1"/>
  <c r="F65" i="3"/>
  <c r="F43" i="3"/>
  <c r="F62" i="3"/>
  <c r="F42" i="3"/>
  <c r="H156" i="3"/>
  <c r="H182" i="1"/>
  <c r="C32" i="16" s="1"/>
  <c r="F64" i="3"/>
  <c r="E170" i="1"/>
  <c r="H157" i="3"/>
  <c r="F63" i="3"/>
  <c r="F61" i="3"/>
  <c r="F33" i="3"/>
  <c r="F45" i="3"/>
  <c r="E169" i="1"/>
  <c r="L23" i="1"/>
  <c r="L22" i="1"/>
  <c r="H155" i="3"/>
  <c r="C30" i="16"/>
  <c r="C54" i="16"/>
  <c r="F10" i="3"/>
  <c r="F6" i="3" s="1"/>
  <c r="C16" i="16"/>
  <c r="C15" i="16" s="1"/>
  <c r="F32" i="3"/>
  <c r="C13" i="16"/>
  <c r="F5" i="3"/>
  <c r="C52" i="16"/>
  <c r="C40" i="16"/>
  <c r="C63" i="16"/>
  <c r="F4" i="3"/>
  <c r="C48" i="16"/>
  <c r="F3" i="3"/>
  <c r="C44" i="16"/>
  <c r="C51" i="16"/>
  <c r="G161" i="1"/>
  <c r="C7" i="7"/>
  <c r="C14" i="12"/>
  <c r="C6" i="12"/>
  <c r="A17" i="9"/>
  <c r="A21" i="9"/>
  <c r="A13" i="9"/>
  <c r="A5" i="9"/>
  <c r="A9" i="9"/>
  <c r="C13" i="9"/>
  <c r="C5" i="9"/>
  <c r="C21" i="9"/>
  <c r="C9" i="9"/>
  <c r="C17" i="9"/>
  <c r="C29" i="7"/>
  <c r="C58" i="12"/>
  <c r="C2" i="7"/>
  <c r="C59" i="12"/>
  <c r="C41" i="12"/>
  <c r="C20" i="7"/>
  <c r="C36" i="7"/>
  <c r="C56" i="12"/>
  <c r="C31" i="4"/>
  <c r="B7" i="8"/>
  <c r="C2" i="1"/>
  <c r="C155" i="1"/>
  <c r="C163" i="3"/>
  <c r="C64" i="1"/>
  <c r="C74" i="12"/>
  <c r="C234" i="1"/>
  <c r="C185" i="1"/>
  <c r="C242" i="1"/>
  <c r="C96" i="3"/>
  <c r="C108" i="12"/>
  <c r="C121" i="1"/>
  <c r="C9" i="7"/>
  <c r="C49" i="12"/>
  <c r="C148" i="3"/>
  <c r="C102" i="3"/>
  <c r="C93" i="12"/>
  <c r="C81" i="12"/>
  <c r="C179" i="1"/>
  <c r="C31" i="3"/>
  <c r="C172" i="1"/>
  <c r="C64" i="12"/>
  <c r="C49" i="1"/>
  <c r="C24" i="12"/>
  <c r="C67" i="3"/>
  <c r="C7" i="1"/>
  <c r="C142" i="3"/>
  <c r="C135" i="3"/>
  <c r="C71" i="1"/>
  <c r="C166" i="1"/>
  <c r="C211" i="1"/>
  <c r="C55" i="1"/>
  <c r="C159" i="3"/>
  <c r="C154" i="3"/>
  <c r="B1" i="1"/>
  <c r="A1" i="1"/>
  <c r="A1" i="12"/>
  <c r="D66" i="12"/>
  <c r="C18" i="12"/>
  <c r="C67" i="12"/>
  <c r="C98" i="12"/>
  <c r="C86" i="12"/>
  <c r="C85" i="12"/>
  <c r="C97" i="12"/>
  <c r="C66" i="12"/>
  <c r="C17" i="12"/>
  <c r="C62" i="3"/>
  <c r="E28" i="12"/>
  <c r="D17" i="12"/>
  <c r="D9" i="12"/>
  <c r="C96" i="12"/>
  <c r="C84" i="12"/>
  <c r="C69" i="12"/>
  <c r="C20" i="12"/>
  <c r="C70" i="12"/>
  <c r="C21" i="12"/>
  <c r="C87" i="12"/>
  <c r="C99" i="12"/>
  <c r="C68" i="12"/>
  <c r="C19" i="12"/>
  <c r="C39" i="12"/>
  <c r="C22" i="12"/>
  <c r="C12" i="12"/>
  <c r="C100" i="12"/>
  <c r="C89" i="12"/>
  <c r="B49" i="16"/>
  <c r="B18" i="16"/>
  <c r="B35" i="16"/>
  <c r="B55" i="16"/>
  <c r="G16" i="1"/>
  <c r="B59" i="16"/>
  <c r="B43" i="16"/>
  <c r="B5" i="16"/>
  <c r="B46" i="16"/>
  <c r="B9" i="16"/>
  <c r="C240" i="1"/>
  <c r="C47" i="1"/>
  <c r="C24" i="1"/>
  <c r="C69" i="1"/>
  <c r="C26" i="1"/>
  <c r="C67" i="1"/>
  <c r="C58" i="1"/>
  <c r="C16" i="1"/>
  <c r="J215" i="1"/>
  <c r="G188" i="1"/>
  <c r="A1" i="3"/>
  <c r="B1" i="3"/>
  <c r="G208" i="1"/>
  <c r="J232" i="1"/>
  <c r="G207" i="1"/>
  <c r="G209" i="1"/>
  <c r="C215" i="1"/>
  <c r="C188" i="1"/>
  <c r="C79" i="1"/>
  <c r="C125" i="1"/>
  <c r="C158" i="1"/>
  <c r="C2" i="3"/>
  <c r="C105" i="3"/>
  <c r="C69" i="3"/>
  <c r="C99" i="3"/>
  <c r="C138" i="3"/>
  <c r="C39" i="16"/>
  <c r="D52" i="12"/>
  <c r="D53" i="12" s="1"/>
  <c r="K31" i="1"/>
  <c r="K32" i="1"/>
  <c r="K33" i="1"/>
  <c r="K34" i="1"/>
  <c r="K35" i="1"/>
  <c r="K36" i="1"/>
  <c r="K37" i="1"/>
  <c r="K38" i="1"/>
  <c r="K39" i="1"/>
  <c r="K40" i="1"/>
  <c r="K41" i="1"/>
  <c r="K42" i="1"/>
  <c r="K43" i="1"/>
  <c r="K44" i="1"/>
  <c r="K30" i="1"/>
  <c r="C29" i="16" l="1"/>
  <c r="C28" i="16" s="1"/>
  <c r="C22" i="16"/>
  <c r="C23" i="16" s="1"/>
  <c r="C57" i="16"/>
  <c r="C47" i="16"/>
  <c r="C58" i="16"/>
  <c r="C6" i="16"/>
  <c r="C24" i="16"/>
  <c r="G25" i="1"/>
  <c r="J25" i="1"/>
  <c r="G231" i="1"/>
  <c r="C72" i="12"/>
  <c r="J112" i="3" l="1"/>
  <c r="J113" i="3"/>
  <c r="J114" i="3"/>
  <c r="J115" i="3"/>
  <c r="J116" i="3"/>
  <c r="J117" i="3"/>
  <c r="J118" i="3"/>
  <c r="J119" i="3"/>
  <c r="J120" i="3"/>
  <c r="J121" i="3"/>
  <c r="J122" i="3"/>
  <c r="J123" i="3"/>
  <c r="J124" i="3"/>
  <c r="J125" i="3"/>
  <c r="J126" i="3"/>
  <c r="J127" i="3"/>
  <c r="J128" i="3"/>
  <c r="J129" i="3"/>
  <c r="J130" i="3"/>
  <c r="J131" i="3"/>
  <c r="J132" i="3"/>
  <c r="J133" i="3"/>
  <c r="D146" i="1"/>
  <c r="L146" i="1" s="1"/>
  <c r="D145" i="1"/>
  <c r="L145" i="1" s="1"/>
  <c r="D141" i="1"/>
  <c r="L141" i="1" s="1"/>
  <c r="D129" i="1"/>
  <c r="L129" i="1" s="1"/>
  <c r="D128" i="1"/>
  <c r="L128" i="1" s="1"/>
  <c r="D130" i="1"/>
  <c r="L130" i="1" s="1"/>
  <c r="D131" i="1"/>
  <c r="L131" i="1" s="1"/>
  <c r="D132" i="1"/>
  <c r="L132" i="1" s="1"/>
  <c r="D133" i="1"/>
  <c r="L133" i="1" s="1"/>
  <c r="D134" i="1"/>
  <c r="L134" i="1" s="1"/>
  <c r="D135" i="1"/>
  <c r="L135" i="1" s="1"/>
  <c r="D136" i="1"/>
  <c r="L136" i="1" s="1"/>
  <c r="D137" i="1"/>
  <c r="L137" i="1" s="1"/>
  <c r="D138" i="1"/>
  <c r="L138" i="1" s="1"/>
  <c r="D139" i="1"/>
  <c r="L139" i="1" s="1"/>
  <c r="D140" i="1"/>
  <c r="L140" i="1" s="1"/>
  <c r="D142" i="1"/>
  <c r="L142" i="1" s="1"/>
  <c r="D143" i="1"/>
  <c r="L143" i="1" s="1"/>
  <c r="D144" i="1"/>
  <c r="L144" i="1" s="1"/>
  <c r="D147" i="1"/>
  <c r="L147" i="1" s="1"/>
  <c r="D148" i="1"/>
  <c r="L148" i="1" s="1"/>
  <c r="D149" i="1"/>
  <c r="L149" i="1" s="1"/>
  <c r="D150" i="1"/>
  <c r="L150" i="1" s="1"/>
  <c r="D151" i="1"/>
  <c r="L151" i="1" s="1"/>
  <c r="D152" i="1"/>
  <c r="L152" i="1" s="1"/>
  <c r="D153" i="1"/>
  <c r="L153" i="1" s="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11" i="16"/>
  <c r="C27" i="16"/>
  <c r="C33" i="16" l="1"/>
  <c r="G205" i="1"/>
  <c r="G206" i="1"/>
  <c r="L189" i="1" l="1"/>
  <c r="D77" i="12" l="1"/>
  <c r="G45" i="1" l="1"/>
  <c r="G47" i="1" s="1"/>
  <c r="D177"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62" i="12"/>
  <c r="D60" i="12"/>
  <c r="I51" i="12"/>
  <c r="C41" i="16" s="1"/>
  <c r="D47" i="12"/>
  <c r="E39" i="12"/>
  <c r="D22" i="12"/>
  <c r="H18" i="12" s="1"/>
  <c r="C38" i="16" s="1"/>
  <c r="C36" i="16" s="1"/>
  <c r="D12" i="12"/>
  <c r="D11" i="12" s="1"/>
  <c r="F3" i="12"/>
  <c r="F2" i="12"/>
  <c r="K125" i="3"/>
  <c r="H113" i="3"/>
  <c r="I113" i="3" s="1"/>
  <c r="G232" i="1"/>
  <c r="P22" i="8" l="1"/>
  <c r="H17" i="7"/>
  <c r="D6" i="9"/>
  <c r="H132" i="3" l="1"/>
  <c r="I132" i="3" s="1"/>
  <c r="K133" i="3"/>
  <c r="J45" i="1" l="1"/>
  <c r="J47" i="1" s="1"/>
  <c r="D45" i="1"/>
  <c r="D46" i="1" s="1"/>
  <c r="G68" i="1" s="1"/>
  <c r="K45" i="1" l="1"/>
  <c r="G46" i="1"/>
  <c r="J46" i="1"/>
  <c r="K110" i="3"/>
  <c r="D3" i="11" s="1"/>
  <c r="K111" i="3"/>
  <c r="K112" i="3"/>
  <c r="F5" i="11" s="1"/>
  <c r="K113" i="3"/>
  <c r="E6" i="11" s="1"/>
  <c r="K114" i="3"/>
  <c r="K115" i="3"/>
  <c r="K116" i="3"/>
  <c r="K117" i="3"/>
  <c r="K118" i="3"/>
  <c r="K119" i="3"/>
  <c r="K120" i="3"/>
  <c r="K121" i="3"/>
  <c r="F14" i="11" s="1"/>
  <c r="K122" i="3"/>
  <c r="K123" i="3"/>
  <c r="K124" i="3"/>
  <c r="E17" i="11" s="1"/>
  <c r="F18" i="11"/>
  <c r="K126" i="3"/>
  <c r="F19" i="11" s="1"/>
  <c r="K127" i="3"/>
  <c r="F20" i="11" s="1"/>
  <c r="K128" i="3"/>
  <c r="K129" i="3"/>
  <c r="K130" i="3"/>
  <c r="K131" i="3"/>
  <c r="K132" i="3"/>
  <c r="K109" i="3"/>
  <c r="D2" i="11" s="1"/>
  <c r="H118" i="3"/>
  <c r="I118" i="3" s="1"/>
  <c r="H119" i="3"/>
  <c r="I119" i="3" s="1"/>
  <c r="H120" i="3"/>
  <c r="I120" i="3" s="1"/>
  <c r="H121" i="3"/>
  <c r="I121" i="3" s="1"/>
  <c r="H122" i="3"/>
  <c r="I122" i="3" s="1"/>
  <c r="H123" i="3"/>
  <c r="I123" i="3" s="1"/>
  <c r="H124" i="3"/>
  <c r="I124" i="3" s="1"/>
  <c r="H125" i="3"/>
  <c r="I125" i="3" s="1"/>
  <c r="H126" i="3"/>
  <c r="I126" i="3" s="1"/>
  <c r="H128" i="3"/>
  <c r="I128" i="3" s="1"/>
  <c r="H129" i="3"/>
  <c r="I129" i="3" s="1"/>
  <c r="H130" i="3"/>
  <c r="I130" i="3" s="1"/>
  <c r="H131" i="3"/>
  <c r="I131" i="3" s="1"/>
  <c r="H133" i="3"/>
  <c r="I133"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109" i="3"/>
  <c r="J110"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127" i="3" s="1"/>
  <c r="I127" i="3" s="1"/>
  <c r="H112" i="3"/>
  <c r="I112" i="3" s="1"/>
  <c r="G13" i="11"/>
  <c r="G24" i="11"/>
  <c r="G11" i="11"/>
  <c r="C26" i="16"/>
  <c r="C25" i="16" s="1"/>
  <c r="G25" i="11"/>
  <c r="G10" i="11"/>
  <c r="H117" i="3" s="1"/>
  <c r="I117" i="3" s="1"/>
  <c r="G22" i="11"/>
  <c r="G12" i="11"/>
  <c r="G16" i="11"/>
  <c r="G21" i="11"/>
  <c r="G7" i="11"/>
  <c r="H114" i="3" s="1"/>
  <c r="I114" i="3" s="1"/>
  <c r="G23" i="11"/>
  <c r="G8" i="11"/>
  <c r="H115" i="3" s="1"/>
  <c r="I115" i="3" s="1"/>
  <c r="G15" i="11"/>
  <c r="G9" i="11"/>
  <c r="H116" i="3" s="1"/>
  <c r="I116" i="3" s="1"/>
  <c r="G26" i="11"/>
  <c r="G3" i="11"/>
  <c r="G2" i="11"/>
  <c r="H109" i="3" s="1"/>
  <c r="I109" i="3" s="1"/>
  <c r="J26" i="1"/>
  <c r="G26" i="1"/>
  <c r="D26" i="1"/>
  <c r="G67" i="1" s="1"/>
  <c r="K25" i="1"/>
  <c r="D25" i="1"/>
  <c r="G66" i="1" s="1"/>
  <c r="AY22" i="8" l="1"/>
  <c r="AZ22" i="8" s="1"/>
  <c r="K26" i="1"/>
  <c r="G4" i="11"/>
  <c r="H111" i="3" s="1"/>
  <c r="I111" i="3" s="1"/>
  <c r="J111" i="3"/>
  <c r="AE22" i="8"/>
  <c r="AF22" i="8" s="1"/>
  <c r="AM22" i="8"/>
  <c r="AN22" i="8" s="1"/>
  <c r="AU22" i="8"/>
  <c r="AV22" i="8" s="1"/>
  <c r="AQ22" i="8"/>
  <c r="AR22" i="8" s="1"/>
  <c r="W22" i="8"/>
  <c r="X22" i="8" s="1"/>
  <c r="AI22" i="8"/>
  <c r="AA22" i="8"/>
  <c r="AB22" i="8" s="1"/>
  <c r="S22" i="8"/>
  <c r="F11" i="8" s="1"/>
  <c r="H110" i="3"/>
  <c r="I110"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G14" i="1" s="1"/>
  <c r="B32" i="8"/>
  <c r="J14" i="1" l="1"/>
  <c r="K14" i="1" s="1"/>
  <c r="A29" i="8"/>
  <c r="B26" i="8"/>
  <c r="L12" i="1" l="1" a="1"/>
  <c r="L12" i="1" s="1"/>
  <c r="C21" i="16" s="1"/>
  <c r="C12" i="16"/>
  <c r="C10" i="16" s="1"/>
  <c r="L31" i="8"/>
  <c r="L33" i="8" s="1"/>
  <c r="L30" i="8" s="1"/>
  <c r="L190" i="1" l="1"/>
  <c r="J204" i="1" s="1"/>
  <c r="L191" i="1"/>
  <c r="L192" i="1"/>
  <c r="L193" i="1"/>
  <c r="L194" i="1"/>
  <c r="J208" i="1" s="1"/>
  <c r="L195" i="1"/>
  <c r="J207" i="1" s="1"/>
  <c r="L196" i="1"/>
  <c r="L197" i="1"/>
  <c r="L198" i="1"/>
  <c r="L199" i="1"/>
  <c r="L200" i="1"/>
  <c r="L201" i="1"/>
  <c r="L202" i="1"/>
  <c r="L203" i="1"/>
  <c r="J205" i="1" l="1"/>
  <c r="J209" i="1"/>
  <c r="C19" i="16" l="1"/>
  <c r="J206" i="1"/>
  <c r="K12" i="1"/>
  <c r="D22" i="9" l="1"/>
  <c r="D18" i="9"/>
  <c r="H27" i="7" l="1"/>
  <c r="I27" i="7" s="1"/>
  <c r="K13" i="1" l="1"/>
  <c r="C34" i="16" l="1"/>
  <c r="C31" i="16" s="1"/>
  <c r="C7" i="16"/>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<sst xmlns="http://schemas.openxmlformats.org/spreadsheetml/2006/main" count="8100" uniqueCount="7636">
  <si>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</si>
  <si>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</si>
  <si>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</si>
  <si>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</si>
  <si>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</si>
  <si>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</si>
  <si>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</si>
  <si>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</si>
  <si>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</si>
  <si>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</si>
  <si>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</si>
  <si>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</si>
  <si>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</si>
  <si>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</si>
  <si>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</si>
  <si>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</si>
  <si>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</si>
  <si>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</si>
  <si>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</si>
  <si>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</si>
  <si>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</si>
  <si>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</si>
  <si>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</si>
  <si>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</si>
  <si>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</si>
  <si>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</si>
  <si>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</si>
  <si>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</si>
  <si>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</si>
  <si>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</si>
  <si>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</si>
  <si>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</si>
  <si>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</si>
  <si>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</si>
  <si>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</si>
  <si>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</si>
  <si>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</si>
  <si>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</si>
  <si>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</si>
  <si>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</si>
  <si>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</si>
  <si>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</si>
  <si>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</si>
  <si>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</si>
  <si>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</si>
  <si>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</si>
  <si>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</si>
  <si>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</si>
  <si>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</si>
  <si>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</si>
  <si>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</si>
  <si>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</si>
  <si>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</si>
  <si>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</si>
  <si>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</si>
  <si>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</si>
  <si>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</si>
  <si>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</si>
  <si>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</si>
  <si>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</si>
  <si>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</si>
  <si>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</si>
  <si>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</si>
  <si>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</si>
  <si>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</si>
  <si>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</si>
  <si>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</si>
  <si>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</si>
  <si>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</si>
  <si>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</si>
  <si>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</si>
  <si>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</si>
  <si>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</si>
  <si>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</si>
  <si>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</si>
  <si>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</si>
  <si>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</si>
  <si>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</si>
  <si>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</si>
  <si>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</si>
  <si>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</si>
  <si>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</si>
  <si>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</si>
  <si>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</si>
  <si>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</si>
  <si>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</si>
  <si>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</si>
  <si>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</si>
  <si>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</si>
  <si>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</si>
  <si>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</si>
  <si>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</si>
  <si>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</si>
  <si>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</si>
  <si>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</si>
  <si>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</si>
  <si>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</si>
  <si>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</si>
  <si>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</si>
  <si>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</si>
  <si>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</si>
  <si>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</si>
  <si>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</si>
  <si>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</si>
  <si>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</si>
  <si>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</si>
  <si>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</si>
  <si>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</si>
  <si>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</si>
  <si>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</si>
  <si>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</si>
  <si>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</si>
  <si>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</si>
  <si>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</si>
  <si>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</si>
  <si>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</si>
  <si>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</si>
  <si>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</si>
  <si>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</si>
  <si>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</si>
  <si>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</si>
  <si>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</si>
  <si>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</si>
  <si>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</si>
  <si>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</si>
  <si>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</si>
  <si>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</si>
  <si>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</si>
  <si>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</si>
  <si>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</si>
  <si>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</si>
  <si>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</si>
  <si>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</si>
  <si>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</si>
  <si>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</si>
  <si>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</si>
  <si>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</si>
  <si>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</si>
  <si>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</si>
  <si>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</si>
  <si>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</si>
  <si>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</si>
  <si>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</si>
  <si>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</si>
  <si>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</si>
  <si>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</si>
  <si>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</si>
  <si>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</si>
  <si>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</si>
  <si>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</si>
  <si>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</si>
  <si>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</si>
  <si>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</si>
  <si>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</si>
  <si>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</si>
  <si>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</si>
  <si>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</si>
  <si>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</si>
  <si>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</si>
  <si>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</si>
  <si>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</si>
  <si>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</si>
  <si>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</si>
  <si>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</si>
  <si>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</si>
  <si>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</si>
  <si>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</si>
  <si>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</si>
  <si>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</si>
  <si>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</si>
  <si>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</si>
  <si>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</si>
  <si>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</si>
  <si>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</si>
  <si>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</si>
  <si>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</si>
  <si>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</si>
  <si>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</si>
  <si>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</si>
  <si>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</si>
  <si>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</si>
  <si>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</si>
  <si>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</si>
  <si>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</si>
  <si>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</si>
  <si>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</si>
  <si>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</si>
  <si>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</si>
  <si>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</si>
  <si>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</si>
  <si>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</si>
  <si>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</si>
  <si>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</si>
  <si>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</si>
  <si>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</si>
  <si>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</si>
  <si>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</si>
  <si>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</si>
  <si>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</si>
  <si>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</si>
  <si>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</si>
  <si>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</si>
  <si>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</si>
  <si>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</si>
  <si>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</si>
  <si>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</si>
  <si>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</si>
  <si>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</si>
  <si>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</si>
  <si>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</si>
  <si>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</si>
  <si>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</si>
  <si>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</si>
  <si>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</si>
  <si>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</si>
  <si>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</si>
  <si>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</si>
  <si>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</si>
  <si>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</si>
  <si>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</si>
  <si>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</si>
  <si>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</si>
  <si>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</si>
  <si>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</si>
  <si>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</si>
  <si>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</si>
  <si>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</si>
  <si>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</si>
  <si>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</si>
  <si>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</si>
  <si>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</si>
  <si>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</si>
  <si>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</si>
  <si>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</si>
  <si>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</si>
  <si>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</si>
  <si>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</si>
  <si>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</si>
  <si>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</si>
  <si>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</si>
  <si>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</si>
  <si>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</si>
  <si>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</si>
  <si>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</si>
  <si>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</si>
  <si>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</si>
  <si>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</si>
  <si>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</si>
  <si>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</si>
  <si>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</si>
  <si>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</si>
  <si>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</si>
  <si>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</si>
  <si>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</si>
  <si>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</si>
  <si>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</si>
  <si>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</si>
  <si>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</si>
  <si>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</si>
  <si>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</si>
  <si>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</si>
  <si>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</si>
  <si>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</si>
  <si>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</si>
  <si>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</si>
  <si>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</si>
  <si>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</si>
  <si>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</si>
  <si>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</si>
  <si>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</si>
  <si>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</si>
  <si>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</si>
  <si>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</si>
  <si>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</si>
  <si>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</si>
  <si>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</si>
  <si>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</si>
  <si>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</si>
  <si>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</si>
  <si>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</si>
  <si>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</si>
  <si>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</si>
  <si>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</si>
  <si>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</si>
  <si>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</si>
  <si>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</si>
  <si>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</si>
  <si>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</si>
  <si>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</si>
  <si>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</si>
  <si>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</si>
  <si>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</si>
  <si>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</si>
  <si>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</si>
  <si>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</si>
  <si>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</si>
  <si>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</si>
  <si>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</si>
  <si>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</si>
  <si>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</si>
  <si>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</si>
  <si>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</si>
  <si>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</si>
  <si>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</si>
  <si>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</si>
  <si>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</si>
  <si>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</si>
  <si>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</si>
  <si>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</si>
  <si>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</si>
  <si>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</si>
  <si>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</si>
  <si>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</si>
  <si>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</si>
  <si>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</si>
  <si>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</si>
  <si>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</si>
  <si>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</si>
  <si>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</si>
  <si>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</si>
  <si>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</si>
  <si>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</si>
  <si>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</si>
  <si>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</si>
  <si>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</si>
  <si>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</si>
  <si>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</si>
  <si>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</si>
  <si>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</si>
  <si>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</si>
  <si>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</si>
  <si>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</si>
  <si>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</si>
  <si>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</si>
  <si>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</si>
  <si>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</si>
  <si>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</si>
  <si>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</si>
  <si>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</si>
  <si>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</si>
  <si>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</si>
  <si>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</si>
  <si>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</si>
  <si>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</si>
  <si>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</si>
  <si>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</si>
  <si>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</si>
  <si>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</si>
  <si>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</si>
  <si>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</si>
  <si>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</si>
  <si>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</si>
  <si>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</si>
  <si>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</si>
  <si>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</si>
  <si>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</si>
  <si>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</si>
  <si>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</si>
  <si>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</si>
  <si>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</si>
  <si>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</si>
  <si>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</si>
  <si>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</si>
  <si>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</si>
  <si>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</si>
  <si>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</si>
  <si>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</si>
  <si>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</si>
  <si>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</si>
  <si>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</si>
  <si>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</si>
  <si>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</si>
  <si>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</si>
  <si>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</si>
  <si>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</si>
  <si>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</si>
  <si>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</si>
  <si>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</si>
  <si>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</si>
  <si>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</si>
  <si>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</si>
  <si>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</si>
  <si>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</si>
  <si>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</si>
  <si>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</si>
  <si>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</si>
  <si>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</si>
  <si>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</si>
  <si>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</si>
  <si>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</si>
  <si>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</si>
  <si>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</si>
  <si>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</si>
  <si>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</si>
  <si>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</si>
  <si>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</si>
  <si>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</si>
  <si>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</si>
  <si>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</si>
  <si>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</si>
  <si>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</si>
  <si>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</si>
  <si>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</si>
  <si>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</si>
  <si>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</si>
  <si>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</si>
  <si>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</si>
  <si>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</si>
  <si>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</si>
  <si>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</si>
  <si>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</si>
  <si>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</si>
  <si>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</si>
  <si>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</si>
  <si>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</si>
  <si>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</si>
  <si>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</si>
  <si>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</si>
  <si>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</si>
  <si>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</si>
  <si>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</si>
  <si>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</si>
  <si>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</si>
  <si>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</si>
  <si>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</si>
  <si>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</si>
  <si>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</si>
  <si>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</si>
  <si>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</si>
  <si>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</si>
  <si>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</si>
  <si>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</si>
  <si>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</si>
  <si>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</si>
  <si>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</si>
  <si>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</si>
  <si>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</si>
  <si>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</si>
  <si>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</si>
  <si>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</si>
  <si>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</si>
  <si>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</si>
  <si>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</si>
  <si>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</si>
  <si>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</si>
  <si>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</si>
  <si>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</si>
  <si>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</si>
  <si>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</si>
  <si>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</si>
  <si>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</si>
  <si>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</si>
  <si>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</si>
  <si>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</si>
  <si>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</si>
  <si>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</si>
  <si>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</si>
  <si>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</si>
  <si>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</si>
  <si>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</si>
  <si>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</si>
  <si>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</si>
  <si>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</si>
  <si>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</si>
  <si>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</si>
  <si>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</si>
  <si>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</si>
  <si>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</si>
  <si>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</si>
  <si>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</si>
  <si>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</si>
  <si>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</si>
  <si>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</si>
  <si>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</si>
  <si>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</si>
  <si>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</si>
  <si>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</si>
  <si>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</si>
  <si>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</si>
  <si>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</si>
  <si>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</si>
  <si>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</si>
  <si>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</si>
  <si>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</si>
  <si>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</si>
  <si>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</si>
  <si>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</si>
  <si>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</si>
  <si>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</si>
  <si>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</si>
  <si>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</si>
  <si>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</si>
  <si>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</si>
  <si>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</si>
  <si>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</si>
  <si>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</si>
  <si>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</si>
  <si>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</si>
  <si>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</si>
  <si>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</si>
  <si>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</si>
  <si>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</si>
  <si>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</si>
  <si>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</si>
  <si>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</si>
  <si>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</si>
  <si>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</si>
  <si>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</si>
  <si>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</si>
  <si>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</si>
  <si>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</si>
  <si>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</si>
  <si>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</si>
  <si>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</si>
  <si>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</si>
  <si>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</si>
  <si>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</si>
  <si>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</si>
  <si>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</si>
  <si>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</si>
  <si>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</si>
  <si>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</si>
  <si>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</si>
  <si>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</si>
  <si>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</si>
  <si>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</si>
  <si>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</si>
  <si>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</si>
  <si>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</si>
  <si>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</si>
  <si>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</si>
  <si>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</si>
  <si>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</si>
  <si>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</si>
  <si>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</si>
  <si>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</si>
  <si>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</si>
  <si>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</si>
  <si>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</si>
  <si>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</si>
  <si>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</si>
  <si>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</si>
  <si>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</si>
  <si>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</si>
  <si>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</si>
  <si>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</si>
  <si>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</si>
  <si>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</si>
  <si>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</si>
  <si>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</si>
  <si>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</si>
  <si>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</si>
  <si>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</si>
  <si>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</si>
  <si>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</si>
  <si>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</si>
  <si>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</si>
  <si>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</si>
  <si>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</si>
  <si>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</si>
  <si>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</si>
  <si>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</si>
  <si>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</si>
  <si>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</si>
  <si>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</si>
  <si>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</si>
  <si>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</si>
  <si>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</si>
  <si>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</si>
  <si>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</si>
  <si>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</si>
  <si>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</si>
  <si>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</si>
  <si>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</si>
  <si>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</si>
  <si>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</si>
  <si>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</si>
  <si>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</si>
  <si>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</si>
  <si>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</si>
  <si>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</si>
  <si>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</si>
  <si>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</si>
  <si>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</si>
  <si>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</si>
  <si>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</si>
  <si>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</si>
  <si>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</si>
  <si>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</si>
  <si>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</si>
  <si>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</si>
  <si>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</si>
  <si>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</si>
  <si>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</si>
  <si>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</si>
  <si>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</si>
  <si>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</si>
  <si>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</si>
  <si>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</si>
  <si>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</si>
  <si>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</si>
  <si>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</si>
  <si>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</si>
  <si>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</si>
  <si>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</si>
  <si>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</si>
  <si>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</si>
  <si>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</si>
  <si>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</si>
  <si>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</si>
  <si>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</si>
  <si>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</si>
  <si>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</si>
  <si>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</si>
  <si>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</si>
  <si>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</si>
  <si>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</si>
  <si>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</si>
  <si>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</si>
  <si>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</si>
  <si>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</si>
  <si>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</si>
  <si>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</si>
  <si>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</si>
  <si>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</si>
  <si>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</si>
  <si>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</si>
  <si>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</si>
  <si>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</si>
  <si>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</si>
  <si>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</si>
  <si>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</si>
  <si>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</si>
  <si>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</si>
  <si>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</si>
  <si>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</si>
  <si>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</si>
  <si>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</si>
  <si>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</si>
  <si>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</si>
  <si>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</si>
  <si>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</si>
  <si>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</si>
  <si>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</si>
  <si>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</si>
  <si>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</si>
  <si>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</si>
  <si>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</si>
  <si>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</si>
  <si>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</si>
  <si>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</si>
  <si>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</si>
  <si>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</si>
  <si>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</si>
  <si>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</si>
  <si>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</si>
  <si>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</si>
  <si>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</si>
  <si>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</si>
  <si>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</si>
  <si>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</si>
  <si>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</si>
  <si>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</si>
  <si>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</si>
  <si>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</si>
  <si>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</si>
  <si>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</si>
  <si>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</si>
  <si>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</si>
  <si>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</si>
  <si>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</si>
  <si>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</si>
  <si>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</si>
  <si>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</si>
  <si>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</si>
  <si>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</si>
  <si>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</si>
  <si>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</si>
  <si>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</si>
  <si>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</si>
  <si>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</si>
  <si>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</si>
  <si>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</si>
  <si>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</si>
  <si>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</si>
  <si>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</si>
  <si>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</si>
  <si>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</si>
  <si>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</si>
  <si>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</si>
  <si>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</si>
  <si>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</si>
  <si>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</si>
  <si>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</si>
  <si>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</si>
  <si>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</si>
  <si>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</si>
  <si>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</si>
  <si>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</si>
  <si>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</si>
  <si>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</si>
  <si>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</si>
  <si>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</si>
  <si>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</si>
  <si>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</si>
  <si>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</si>
  <si>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</si>
  <si>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</si>
  <si>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</si>
  <si>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</si>
  <si>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</si>
  <si>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</si>
  <si>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</si>
  <si>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</si>
  <si>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</si>
  <si>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</si>
  <si>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</si>
  <si>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</si>
  <si>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</si>
  <si>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</si>
  <si>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</si>
  <si>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</si>
  <si>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</si>
  <si>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</si>
  <si>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</si>
  <si>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</si>
  <si>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</si>
  <si>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</si>
  <si>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</si>
  <si>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</si>
  <si>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</si>
  <si>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</si>
  <si>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</si>
  <si>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</si>
  <si>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</si>
  <si>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</si>
  <si>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</si>
  <si>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</si>
  <si>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</si>
  <si>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</si>
  <si>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</si>
  <si>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</si>
  <si>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</si>
  <si>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</si>
  <si>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</si>
  <si>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</si>
  <si>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</si>
  <si>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</si>
  <si>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</si>
  <si>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</si>
  <si>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</si>
  <si>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</si>
  <si>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</si>
  <si>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</si>
  <si>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</si>
  <si>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</si>
  <si>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</si>
  <si>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</si>
  <si>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</si>
  <si>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</si>
  <si>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</si>
  <si>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</si>
  <si>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</si>
  <si>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</si>
  <si>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</si>
  <si>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</si>
  <si>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</si>
  <si>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</si>
  <si>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</si>
  <si>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</si>
  <si>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</si>
  <si>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</si>
  <si>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</si>
  <si>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</si>
  <si>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</si>
  <si>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</si>
  <si>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</si>
  <si>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</si>
  <si>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</si>
  <si>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</si>
  <si>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</si>
  <si>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</si>
  <si>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</si>
  <si>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</si>
  <si>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</si>
  <si>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</si>
  <si>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</si>
  <si>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</si>
  <si>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</si>
  <si>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</si>
  <si>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</si>
  <si>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</si>
  <si>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</si>
  <si>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</si>
  <si>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</si>
  <si>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</si>
  <si>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</si>
  <si>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</si>
  <si>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</si>
  <si>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</si>
  <si>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</si>
  <si>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</si>
  <si>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</si>
  <si>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</si>
  <si>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</si>
  <si>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</si>
  <si>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</si>
  <si>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</si>
  <si>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</si>
  <si>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</si>
  <si>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</si>
  <si>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</si>
  <si>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</si>
  <si>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</si>
  <si>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</si>
  <si>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</si>
  <si>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</si>
  <si>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</si>
  <si>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</si>
  <si>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</si>
  <si>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</si>
  <si>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</si>
  <si>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</si>
  <si>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</si>
  <si>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</si>
  <si>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</si>
  <si>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</si>
  <si>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</si>
  <si>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</si>
  <si>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</si>
  <si>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</si>
  <si>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</si>
  <si>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</si>
  <si>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</si>
  <si>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</si>
  <si>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</si>
  <si>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</si>
  <si>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</si>
  <si>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</si>
  <si>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</si>
  <si>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</si>
  <si>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</si>
  <si>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</si>
  <si>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</si>
  <si>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</si>
  <si>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</si>
  <si>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</si>
  <si>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</si>
  <si>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</si>
  <si>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</si>
  <si>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</si>
  <si>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</si>
  <si>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</si>
  <si>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</si>
  <si>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</si>
  <si>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</si>
  <si>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</si>
  <si>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</si>
  <si>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</si>
  <si>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</si>
  <si>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</si>
  <si>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</si>
  <si>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</si>
  <si>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</si>
  <si>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</si>
  <si>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</si>
  <si>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</si>
  <si>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</si>
  <si>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</si>
  <si>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</si>
  <si>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</si>
  <si>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</si>
  <si>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</si>
  <si>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</si>
  <si>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</si>
  <si>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</si>
  <si>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</si>
  <si>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</si>
  <si>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</si>
  <si>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</si>
  <si>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</si>
  <si>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</si>
  <si>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</si>
  <si>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</si>
  <si>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</si>
  <si>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</si>
  <si>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</si>
  <si>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</si>
  <si>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</si>
  <si>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</si>
  <si>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</si>
  <si>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</si>
  <si>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</si>
  <si>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</si>
  <si>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</si>
  <si>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</si>
  <si>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</si>
  <si>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</si>
  <si>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</si>
  <si>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</si>
  <si>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</si>
  <si>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</si>
  <si>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</si>
  <si>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</si>
  <si>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</si>
  <si>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</si>
  <si>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</si>
  <si>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</si>
  <si>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</si>
  <si>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</si>
  <si>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</si>
  <si>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</si>
  <si>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</si>
  <si>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</si>
  <si>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</si>
  <si>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</si>
  <si>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</si>
  <si>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</si>
  <si>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</si>
  <si>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</si>
  <si>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</si>
  <si>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</si>
  <si>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</si>
  <si>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</si>
  <si>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</si>
  <si>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</si>
  <si>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</si>
  <si>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</si>
  <si>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</si>
  <si>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</si>
  <si>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</si>
  <si>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</si>
  <si>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</si>
  <si>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</si>
  <si>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</si>
  <si>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</si>
  <si>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</si>
  <si>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</si>
  <si>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</si>
  <si>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</si>
  <si>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</si>
  <si>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</si>
  <si>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</si>
  <si>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</si>
  <si>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</si>
  <si>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</si>
  <si>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</si>
  <si>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</si>
  <si>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</si>
  <si>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</si>
  <si>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</si>
  <si>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</si>
  <si>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</si>
  <si>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</si>
  <si>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</si>
  <si>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</si>
  <si>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</si>
  <si>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</si>
  <si>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</si>
  <si>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</si>
  <si>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</si>
  <si>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</si>
  <si>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</si>
  <si>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</si>
  <si>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</si>
  <si>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</si>
  <si>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</si>
  <si>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</si>
  <si>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</si>
  <si>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</si>
  <si>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</si>
  <si>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</si>
  <si>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</si>
  <si>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</si>
  <si>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</si>
  <si>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</si>
  <si>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</si>
  <si>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</si>
  <si>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</si>
  <si>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</si>
  <si>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</si>
  <si>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</si>
  <si>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</si>
  <si>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</si>
  <si>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</si>
  <si>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</si>
  <si>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</si>
  <si>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</si>
  <si>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</si>
  <si>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</si>
  <si>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</si>
  <si>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</si>
  <si>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</si>
  <si>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</si>
  <si>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</si>
  <si>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</si>
  <si>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</si>
  <si>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</si>
  <si>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</si>
  <si>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</si>
  <si>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</si>
  <si>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</si>
  <si>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</si>
  <si>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</si>
  <si>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</si>
  <si>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</si>
  <si>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</si>
  <si>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</si>
  <si>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</si>
  <si>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</si>
  <si>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</si>
  <si>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</si>
  <si>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</si>
  <si>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</si>
  <si>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</si>
  <si>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</si>
  <si>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</si>
  <si>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</si>
  <si>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</si>
  <si>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</si>
  <si>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</si>
  <si>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</si>
  <si>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</si>
  <si>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</si>
  <si>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</si>
  <si>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</si>
  <si>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</si>
  <si>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</si>
  <si>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</si>
  <si>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</si>
  <si>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</si>
  <si>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</si>
  <si>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</si>
  <si>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</si>
  <si>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</si>
  <si>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</si>
  <si>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</si>
  <si>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</si>
  <si>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</si>
  <si>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</si>
  <si>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</si>
  <si>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</si>
  <si>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</si>
  <si>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</si>
  <si>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</si>
  <si>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</si>
  <si>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</si>
  <si>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</si>
  <si>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</si>
  <si>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</si>
  <si>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</si>
  <si>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</si>
  <si>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</si>
  <si>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</si>
  <si>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</si>
  <si>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</si>
  <si>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</si>
  <si>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</si>
  <si>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</si>
  <si>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</si>
  <si>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</si>
  <si>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</si>
  <si>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</si>
  <si>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</si>
  <si>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</si>
  <si>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</si>
  <si>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</si>
  <si>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</si>
  <si>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</si>
  <si>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</si>
  <si>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</si>
  <si>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</si>
  <si>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</si>
  <si>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</si>
  <si>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</si>
  <si>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</si>
  <si>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</si>
  <si>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</si>
  <si>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</si>
  <si>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</si>
  <si>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</si>
  <si>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</si>
  <si>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</si>
  <si>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</si>
  <si>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</si>
  <si>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</si>
  <si>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</si>
  <si>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</si>
  <si>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</si>
  <si>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</si>
  <si>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</si>
  <si>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</si>
  <si>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</si>
  <si>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</si>
  <si>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</si>
  <si>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</si>
  <si>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</si>
  <si>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</si>
  <si>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</si>
  <si>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</si>
  <si>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</si>
  <si>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</si>
  <si>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</si>
  <si>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</si>
  <si>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</si>
  <si>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</si>
  <si>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</si>
  <si>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</si>
  <si>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</si>
  <si>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</si>
  <si>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</si>
  <si>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</si>
  <si>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</si>
  <si>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</si>
  <si>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</si>
  <si>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</si>
  <si>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</si>
  <si>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</si>
  <si>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</si>
  <si>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</si>
  <si>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</si>
  <si>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</si>
  <si>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</si>
  <si>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</si>
  <si>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</si>
  <si>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</si>
  <si>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</si>
  <si>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</si>
  <si>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</si>
  <si>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</si>
  <si>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</si>
  <si>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</si>
  <si>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</si>
  <si>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</si>
  <si>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</si>
  <si>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</si>
  <si>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</si>
  <si>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</si>
  <si>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</si>
  <si>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</si>
  <si>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</si>
  <si>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</si>
  <si>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</si>
  <si>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</si>
  <si>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</si>
  <si>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</si>
  <si>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</si>
  <si>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</si>
  <si>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</si>
  <si>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</si>
  <si>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</si>
  <si>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</si>
  <si>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</si>
  <si>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</si>
  <si>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</si>
  <si>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</si>
  <si>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</si>
  <si>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</si>
  <si>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</si>
  <si>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</si>
  <si>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</si>
  <si>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</si>
  <si>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</si>
  <si>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</si>
  <si>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</si>
  <si>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</si>
  <si>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</si>
  <si>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</si>
  <si>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</si>
  <si>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</si>
  <si>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</si>
  <si>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</si>
  <si>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</si>
  <si>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</si>
  <si>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</si>
  <si>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</si>
  <si>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</si>
  <si>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</si>
  <si>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</si>
  <si>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</si>
  <si>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</si>
  <si>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</si>
  <si>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</si>
  <si>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</si>
  <si>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</si>
  <si>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</si>
  <si>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</si>
  <si>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</si>
  <si>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</si>
  <si>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</si>
  <si>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</si>
  <si>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</si>
  <si>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</si>
  <si>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</si>
  <si>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</si>
  <si>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</si>
  <si>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</si>
  <si>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</si>
  <si>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</si>
  <si>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</si>
  <si>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</si>
  <si>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</si>
  <si>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</si>
  <si>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</si>
  <si>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</si>
  <si>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</si>
  <si>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</si>
  <si>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</si>
  <si>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</si>
  <si>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</si>
  <si>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</si>
  <si>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</si>
  <si>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</si>
  <si>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</si>
  <si>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</si>
  <si>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</si>
  <si>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</si>
  <si>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</si>
  <si>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</si>
  <si>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</si>
  <si>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</si>
  <si>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</si>
  <si>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</si>
  <si>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</si>
  <si>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</si>
  <si>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</si>
  <si>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</si>
  <si>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</si>
  <si>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</si>
  <si>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</si>
  <si>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</si>
  <si>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</si>
  <si>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</si>
  <si>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</si>
  <si>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</si>
  <si>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</si>
  <si>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</si>
  <si>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</si>
  <si>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</si>
  <si>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</si>
  <si>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</si>
  <si>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</si>
  <si>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</si>
  <si>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</si>
  <si>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</si>
  <si>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</si>
  <si>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</si>
  <si>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</si>
  <si>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</si>
  <si>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</si>
  <si>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</si>
  <si>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</si>
  <si>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</si>
  <si>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</si>
  <si>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</si>
  <si>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</si>
  <si>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</si>
  <si>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</si>
  <si>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</si>
  <si>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</si>
  <si>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</si>
  <si>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</si>
  <si>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</si>
  <si>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</si>
  <si>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</si>
  <si>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</si>
  <si>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</si>
  <si>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</si>
  <si>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</si>
  <si>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</si>
  <si>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</si>
  <si>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</si>
  <si>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</si>
  <si>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</si>
  <si>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</si>
  <si>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</si>
  <si>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</si>
  <si>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</si>
  <si>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</si>
  <si>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</si>
  <si>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</si>
  <si>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</si>
  <si>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</si>
  <si>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</si>
  <si>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</si>
  <si>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</si>
  <si>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</si>
  <si>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</si>
  <si>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</si>
  <si>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</si>
  <si>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</si>
  <si>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</si>
  <si>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</si>
  <si>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</si>
  <si>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</si>
  <si>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</si>
  <si>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</si>
  <si>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</si>
  <si>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</si>
  <si>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</si>
  <si>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</si>
  <si>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</si>
  <si>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</si>
  <si>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</si>
  <si>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</si>
  <si>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</si>
  <si>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</si>
  <si>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</si>
  <si>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</si>
  <si>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</si>
  <si>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</si>
  <si>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</si>
  <si>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</si>
  <si>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</si>
  <si>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</si>
  <si>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</si>
  <si>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</si>
  <si>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</si>
  <si>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</si>
  <si>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</si>
  <si>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</si>
  <si>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</si>
  <si>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</si>
  <si>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</si>
  <si>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</si>
  <si>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</si>
  <si>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</si>
  <si>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</si>
  <si>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</si>
  <si>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</si>
  <si>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</si>
  <si>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</si>
  <si>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</si>
  <si>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</si>
  <si>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</si>
  <si>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</si>
  <si>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</si>
  <si>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</si>
  <si>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</si>
  <si>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</si>
  <si>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</si>
  <si>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</si>
  <si>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</si>
  <si>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</si>
  <si>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</si>
  <si>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</si>
  <si>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</si>
  <si>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</si>
  <si>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</si>
  <si>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</si>
  <si>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</si>
  <si>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</si>
  <si>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</si>
  <si>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</si>
  <si>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</si>
  <si>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</si>
  <si>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</si>
  <si>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</si>
  <si>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</si>
  <si>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</si>
  <si>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</si>
  <si>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</si>
  <si>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</si>
  <si>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</si>
  <si>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</si>
  <si>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</si>
  <si>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</si>
  <si>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</si>
  <si>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</si>
  <si>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</si>
  <si>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</si>
  <si>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</si>
  <si>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</si>
  <si>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</si>
  <si>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</si>
  <si>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</si>
  <si>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</si>
  <si>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</si>
  <si>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</si>
  <si>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</si>
  <si>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</si>
  <si>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</si>
  <si>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</si>
  <si>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</si>
  <si>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</si>
  <si>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</si>
  <si>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</si>
  <si>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</si>
  <si>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</si>
  <si>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</si>
  <si>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</si>
  <si>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</si>
  <si>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</si>
  <si>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</si>
  <si>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</si>
  <si>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</si>
  <si>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</si>
  <si>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</si>
  <si>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</si>
  <si>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</si>
  <si>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</si>
  <si>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</si>
  <si>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</si>
  <si>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</si>
  <si>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</si>
  <si>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</si>
  <si>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</si>
  <si>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</si>
  <si>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</si>
  <si>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</si>
  <si>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</si>
  <si>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</si>
  <si>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</si>
  <si>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</si>
  <si>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</si>
  <si>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</si>
  <si>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</si>
  <si>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</si>
  <si>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</si>
  <si>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</si>
  <si>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</si>
  <si>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</si>
  <si>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</si>
  <si>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</si>
  <si>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</si>
  <si>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</si>
  <si>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</si>
  <si>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</si>
  <si>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</si>
  <si>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</si>
  <si>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</si>
  <si>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</si>
  <si>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</si>
  <si>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</si>
  <si>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</si>
  <si>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</si>
  <si>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</si>
  <si>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</si>
  <si>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</si>
  <si>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</si>
  <si>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</si>
  <si>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</si>
  <si>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</si>
  <si>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</si>
  <si>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</si>
  <si>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</si>
  <si>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</si>
  <si>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</si>
  <si>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</si>
  <si>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</si>
  <si>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</si>
  <si>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</si>
  <si>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</si>
  <si>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</si>
  <si>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</si>
  <si>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</si>
  <si>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</si>
  <si>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</si>
  <si>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</si>
  <si>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</si>
  <si>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</si>
  <si>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</si>
  <si>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</si>
  <si>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</si>
  <si>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</si>
  <si>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</si>
  <si>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</si>
  <si>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</si>
  <si>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</si>
  <si>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</si>
  <si>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</si>
  <si>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</si>
  <si>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</si>
  <si>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</si>
  <si>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</si>
  <si>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</si>
  <si>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</si>
  <si>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</si>
  <si>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</si>
  <si>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</si>
  <si>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</si>
  <si>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</si>
  <si>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</si>
  <si>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</si>
  <si>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</si>
  <si>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</si>
  <si>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</si>
  <si>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</si>
  <si>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</si>
  <si>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</si>
  <si>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</si>
  <si>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</si>
  <si>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</si>
  <si>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</si>
  <si>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</si>
  <si>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</si>
  <si>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</si>
  <si>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</si>
  <si>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</si>
  <si>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</si>
  <si>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</si>
  <si>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</si>
  <si>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</si>
  <si>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</si>
  <si>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</si>
  <si>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</si>
  <si>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</si>
  <si>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</si>
  <si>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</si>
  <si>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</si>
  <si>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</si>
  <si>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</si>
  <si>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</si>
  <si>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</si>
  <si>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</si>
  <si>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</si>
  <si>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</si>
  <si>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</si>
  <si>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</si>
  <si>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</si>
  <si>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</si>
  <si>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</si>
  <si>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</si>
  <si>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</si>
  <si>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</si>
  <si>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</si>
  <si>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</si>
  <si>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</si>
  <si>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</si>
  <si>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</si>
  <si>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</si>
  <si>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</si>
  <si>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</si>
  <si>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</si>
  <si>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</si>
  <si>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</si>
  <si>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</si>
  <si>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</si>
  <si>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</si>
  <si>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</si>
  <si>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</si>
  <si>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</si>
  <si>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</si>
  <si>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</si>
  <si>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</si>
  <si>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</si>
  <si>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</si>
  <si>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</si>
  <si>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</si>
  <si>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</si>
  <si>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</si>
  <si>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</si>
  <si>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</si>
  <si>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</si>
  <si>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</si>
  <si>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</si>
  <si>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</si>
  <si>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</si>
  <si>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</si>
  <si>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</si>
  <si>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</si>
  <si>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</si>
  <si>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</si>
  <si>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</si>
  <si>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</si>
  <si>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</si>
  <si>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</si>
  <si>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</si>
  <si>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</si>
  <si>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</si>
  <si>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</si>
  <si>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</si>
  <si>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</si>
  <si>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</si>
  <si>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</si>
  <si>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</si>
  <si>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</si>
  <si>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</si>
  <si>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</si>
  <si>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</si>
  <si>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</si>
  <si>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</si>
  <si>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</si>
  <si>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</si>
  <si>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</si>
  <si>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</si>
  <si>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</si>
  <si>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</si>
  <si>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</si>
  <si>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</si>
  <si>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</si>
  <si>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</si>
  <si>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</si>
  <si>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</si>
  <si>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</si>
  <si>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</si>
  <si>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</si>
  <si>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</si>
  <si>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</si>
  <si>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</si>
  <si>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</si>
  <si>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</si>
  <si>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</si>
  <si>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</si>
  <si>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</si>
  <si>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</si>
  <si>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</si>
  <si>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</si>
  <si>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</si>
  <si>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</si>
  <si>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</si>
  <si>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</si>
  <si>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</si>
  <si>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</si>
  <si>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</si>
  <si>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</si>
  <si>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</si>
  <si>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</si>
  <si>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</si>
  <si>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</si>
  <si>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</si>
  <si>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</si>
  <si>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</si>
  <si>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</si>
  <si>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</si>
  <si>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</si>
  <si>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</si>
  <si>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</si>
  <si>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</si>
  <si>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</si>
  <si>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</si>
  <si>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</si>
  <si>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</si>
  <si>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</si>
  <si>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</si>
  <si>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</si>
  <si>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</si>
  <si>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</si>
  <si>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</si>
  <si>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</si>
  <si>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</si>
  <si>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</si>
  <si>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</si>
  <si>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</si>
  <si>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</si>
  <si>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</si>
  <si>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</si>
  <si>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</si>
  <si>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</si>
  <si>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</si>
  <si>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</si>
  <si>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</si>
  <si>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</si>
  <si>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</si>
  <si>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</si>
  <si>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</si>
  <si>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</si>
  <si>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</si>
  <si>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</si>
  <si>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</si>
  <si>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</si>
  <si>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</si>
  <si>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</si>
  <si>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</si>
  <si>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</si>
  <si>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</si>
  <si>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</si>
  <si>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</si>
  <si>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</si>
  <si>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</si>
  <si>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</si>
  <si>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</si>
  <si>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</si>
  <si>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</si>
  <si>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</si>
  <si>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</si>
  <si>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</si>
  <si>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</si>
  <si>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</si>
  <si>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</si>
  <si>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</si>
  <si>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</si>
  <si>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</si>
  <si>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</si>
  <si>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</si>
  <si>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</si>
  <si>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</si>
  <si>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</si>
  <si>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</si>
  <si>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</si>
  <si>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</si>
  <si>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</si>
  <si>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</si>
  <si>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</si>
  <si>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</si>
  <si>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</si>
  <si>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</si>
  <si>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</si>
  <si>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</si>
  <si>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</si>
  <si>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</si>
  <si>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</si>
  <si>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</si>
  <si>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</si>
  <si>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</si>
  <si>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</si>
  <si>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</si>
  <si>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</si>
  <si>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</si>
  <si>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</si>
  <si>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</si>
  <si>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</si>
  <si>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</si>
  <si>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</si>
  <si>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</si>
  <si>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</si>
  <si>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</si>
  <si>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</si>
  <si>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</si>
  <si>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</si>
  <si>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</si>
  <si>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</si>
  <si>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</si>
  <si>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</si>
  <si>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</si>
  <si>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</si>
  <si>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</si>
  <si>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</si>
  <si>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</si>
  <si>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</si>
  <si>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</si>
  <si>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</si>
  <si>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</si>
  <si>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</si>
  <si>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</si>
  <si>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</si>
  <si>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</si>
  <si>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</si>
  <si>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</si>
  <si>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</si>
  <si>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</si>
  <si>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</si>
  <si>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</si>
  <si>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</si>
  <si>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</si>
  <si>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</si>
  <si>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</si>
  <si>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</si>
  <si>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</si>
  <si>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</si>
  <si>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</si>
  <si>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</si>
  <si>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</si>
  <si>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</si>
  <si>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</si>
  <si>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</si>
  <si>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</si>
  <si>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</si>
  <si>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</si>
  <si>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</si>
  <si>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</si>
  <si>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</si>
  <si>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</si>
  <si>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</si>
  <si>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</si>
  <si>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</si>
  <si>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</si>
  <si>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</si>
  <si>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</si>
  <si>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</si>
  <si>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</si>
  <si>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</si>
  <si>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</si>
  <si>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</si>
  <si>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</si>
  <si>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</si>
  <si>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</si>
  <si>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</si>
  <si>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</si>
  <si>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</si>
  <si>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</si>
  <si>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</si>
  <si>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</si>
  <si>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</si>
  <si>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</si>
  <si>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</si>
  <si>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</si>
  <si>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</si>
  <si>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</si>
  <si>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</si>
  <si>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</si>
  <si>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</si>
  <si>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</si>
  <si>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</si>
  <si>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</si>
  <si>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</si>
  <si>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</si>
  <si>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</si>
  <si>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</si>
  <si>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</si>
  <si>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</si>
  <si>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</si>
  <si>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</si>
  <si>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</si>
  <si>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</si>
  <si>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</si>
  <si>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</si>
  <si>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</si>
  <si>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</si>
  <si>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</si>
  <si>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</si>
  <si>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</si>
  <si>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</si>
  <si>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</si>
  <si>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</si>
  <si>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</si>
  <si>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</si>
  <si>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</si>
  <si>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</si>
  <si>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</si>
  <si>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</si>
  <si>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</si>
  <si>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</si>
  <si>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</si>
  <si>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</si>
  <si>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</si>
  <si>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</si>
  <si>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</si>
  <si>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</si>
  <si>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</si>
  <si>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</si>
  <si>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</si>
  <si>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</si>
  <si>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</si>
  <si>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</si>
  <si>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</si>
  <si>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</si>
  <si>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</si>
  <si>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</si>
  <si>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</si>
  <si>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</si>
  <si>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</si>
  <si>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</si>
  <si>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</si>
  <si>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</si>
  <si>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</si>
  <si>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</si>
  <si>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</si>
  <si>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</si>
  <si>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</si>
  <si>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</si>
  <si>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</si>
  <si>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</si>
  <si>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</si>
  <si>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</si>
  <si>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</si>
  <si>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</si>
  <si>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</si>
  <si>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</si>
  <si>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</si>
  <si>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</si>
  <si>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</si>
  <si>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</si>
  <si>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</si>
  <si>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</si>
  <si>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</si>
  <si>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</si>
  <si>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</si>
  <si>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</si>
  <si>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</si>
  <si>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</si>
  <si>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</si>
  <si>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</si>
  <si>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</si>
  <si>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</si>
  <si>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</si>
  <si>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</si>
  <si>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</si>
  <si>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</si>
  <si>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</si>
  <si>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</si>
  <si>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</si>
  <si>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</si>
  <si>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</si>
  <si>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</si>
  <si>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</si>
  <si>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</si>
  <si>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</si>
  <si>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</si>
  <si>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</si>
  <si>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</si>
  <si>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</si>
  <si>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</si>
  <si>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</si>
  <si>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</si>
  <si>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</si>
  <si>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</si>
  <si>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</si>
  <si>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</si>
  <si>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</si>
  <si>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</si>
  <si>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</si>
  <si>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</si>
  <si>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</si>
  <si>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</si>
  <si>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</si>
  <si>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</si>
  <si>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</si>
  <si>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</si>
  <si>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</si>
  <si>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</si>
  <si>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</si>
  <si>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</si>
  <si>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</si>
  <si>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</si>
  <si>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</si>
  <si>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</si>
  <si>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</si>
  <si>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</si>
  <si>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</si>
  <si>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</si>
  <si>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</si>
  <si>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</si>
  <si>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</si>
  <si>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</si>
  <si>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</si>
  <si>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</si>
  <si>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</si>
  <si>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</si>
  <si>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</si>
  <si>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</si>
  <si>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</si>
  <si>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</si>
  <si>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</si>
  <si>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</si>
  <si>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</si>
  <si>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</si>
  <si>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</si>
  <si>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</si>
  <si>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</si>
  <si>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</si>
  <si>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</si>
  <si>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</si>
  <si>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</si>
  <si>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</si>
  <si>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</si>
  <si>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</si>
  <si>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</si>
  <si>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</si>
  <si>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</si>
  <si>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</si>
  <si>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</si>
  <si>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</si>
  <si>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</si>
  <si>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</si>
  <si>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</si>
  <si>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</si>
  <si>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</si>
  <si>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</si>
  <si>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</si>
  <si>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</si>
  <si>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</si>
  <si>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</si>
  <si>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</si>
  <si>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</si>
  <si>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</si>
  <si>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</si>
  <si>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</si>
  <si>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</si>
  <si>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</si>
  <si>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</si>
  <si>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</si>
  <si>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</si>
  <si>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</si>
  <si>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</si>
  <si>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</si>
  <si>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</si>
  <si>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</si>
  <si>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</si>
  <si>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</si>
  <si>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</si>
  <si>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</si>
  <si>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</si>
  <si>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</si>
  <si>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</si>
  <si>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</si>
  <si>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</si>
  <si>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</si>
  <si>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</si>
  <si>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</si>
  <si>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</si>
  <si>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</si>
  <si>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</si>
  <si>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</si>
  <si>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</si>
  <si>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</si>
  <si>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</si>
  <si>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</si>
  <si>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</si>
  <si>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</si>
  <si>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</si>
  <si>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</si>
  <si>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</si>
  <si>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</si>
  <si>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</si>
  <si>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</si>
  <si>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</si>
  <si>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</si>
  <si>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</si>
  <si>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</si>
  <si>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</si>
  <si>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</si>
  <si>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</si>
  <si>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</si>
  <si>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</si>
  <si>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</si>
  <si>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</si>
  <si>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</si>
  <si>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</si>
  <si>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</si>
  <si>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</si>
  <si>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</si>
  <si>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</si>
  <si>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</si>
  <si>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</si>
  <si>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</si>
  <si>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</si>
  <si>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</si>
  <si>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</si>
  <si>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</si>
  <si>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</si>
  <si>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</si>
  <si>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</si>
  <si>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</si>
  <si>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</si>
  <si>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</si>
  <si>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</si>
  <si>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</si>
  <si>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</si>
  <si>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</si>
  <si>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</si>
  <si>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</si>
  <si>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</si>
  <si>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</si>
  <si>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</si>
  <si>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</si>
  <si>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</si>
  <si>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</si>
  <si>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</si>
  <si>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</si>
  <si>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</si>
  <si>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</si>
  <si>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</si>
  <si>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</si>
  <si>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</si>
  <si>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</si>
  <si>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</si>
  <si>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</si>
  <si>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</si>
  <si>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</si>
  <si>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</si>
  <si>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</si>
  <si>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</si>
  <si>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</si>
  <si>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</si>
  <si>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</si>
  <si>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</si>
  <si>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</si>
  <si>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</si>
  <si>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</si>
  <si>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</si>
  <si>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</si>
  <si>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</si>
  <si>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</si>
  <si>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</si>
  <si>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</si>
  <si>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</si>
  <si>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</si>
  <si>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</si>
  <si>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</si>
  <si>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</si>
  <si>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</si>
  <si>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</si>
  <si>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</si>
  <si>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</si>
  <si>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</si>
  <si>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</si>
  <si>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</si>
  <si>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</si>
  <si>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</si>
  <si>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</si>
  <si>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</si>
  <si>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</si>
  <si>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</si>
  <si>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</si>
  <si>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</si>
  <si>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</si>
  <si>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</si>
  <si>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</si>
  <si>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</si>
  <si>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</si>
  <si>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</si>
  <si>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</si>
  <si>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</si>
  <si>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</si>
  <si>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</si>
  <si>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</si>
  <si>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</si>
  <si>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</si>
  <si>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</si>
  <si>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</si>
  <si>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</si>
  <si>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</si>
  <si>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</si>
  <si>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</si>
  <si>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</si>
  <si>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</si>
  <si>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</si>
  <si>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</si>
  <si>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</si>
  <si>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</si>
  <si>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</si>
  <si>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</si>
  <si>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</si>
  <si>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</si>
  <si>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</si>
  <si>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</si>
  <si>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</si>
  <si>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</si>
  <si>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</si>
  <si>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</si>
  <si>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</si>
  <si>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</si>
  <si>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</si>
  <si>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</si>
  <si>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</si>
  <si>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</si>
  <si>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</si>
  <si>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</si>
  <si>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</si>
  <si>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</si>
  <si>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</si>
  <si>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</si>
  <si>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</si>
  <si>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</si>
  <si>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</si>
  <si>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</si>
  <si>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</si>
  <si>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</si>
  <si>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</si>
  <si>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</si>
  <si>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</si>
  <si>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</si>
  <si>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</si>
  <si>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</si>
  <si>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</si>
  <si>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</si>
  <si>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</si>
  <si>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</si>
  <si>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</si>
  <si>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</si>
  <si>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</si>
  <si>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</si>
  <si>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</si>
  <si>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</si>
  <si>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</si>
  <si>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</si>
  <si>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</si>
  <si>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</si>
  <si>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</si>
  <si>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</si>
  <si>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</si>
  <si>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</si>
  <si>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</si>
  <si>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</si>
  <si>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</si>
  <si>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</si>
  <si>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</si>
  <si>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</si>
  <si>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</si>
  <si>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</si>
  <si>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</si>
  <si>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</si>
  <si>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</si>
  <si>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</si>
  <si>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</si>
  <si>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</si>
  <si>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</si>
  <si>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</si>
  <si>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</si>
  <si>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</si>
  <si>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</si>
  <si>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</si>
  <si>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</si>
  <si>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</si>
  <si>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</si>
  <si>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</si>
  <si>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</si>
  <si>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</si>
  <si>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</si>
  <si>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</si>
  <si>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</si>
  <si>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</si>
  <si>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</si>
  <si>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</si>
  <si>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</si>
  <si>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</si>
  <si>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</si>
  <si>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</si>
  <si>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</si>
  <si>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</si>
  <si>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</si>
  <si>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</si>
  <si>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</si>
  <si>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</si>
  <si>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</si>
  <si>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</si>
  <si>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</si>
  <si>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</si>
  <si>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</si>
  <si>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</si>
  <si>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</si>
  <si>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</si>
  <si>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</si>
  <si>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</si>
  <si>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</si>
  <si>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</si>
  <si>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</si>
  <si>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</si>
  <si>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</si>
  <si>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</si>
  <si>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</si>
  <si>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</si>
  <si>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</si>
  <si>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</si>
  <si>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</si>
  <si>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</si>
  <si>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</si>
  <si>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</si>
  <si>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</si>
  <si>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</si>
  <si>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</si>
  <si>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</si>
  <si>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</si>
  <si>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</si>
  <si>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</si>
  <si>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</si>
  <si>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</si>
  <si>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</si>
  <si>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</si>
  <si>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</si>
  <si>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</si>
  <si>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</si>
  <si>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</si>
  <si>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</si>
  <si>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</si>
  <si>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</si>
  <si>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</si>
  <si>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</si>
  <si>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</si>
  <si>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</si>
  <si>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</si>
  <si>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</si>
  <si>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</si>
  <si>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</si>
  <si>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</si>
  <si>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</si>
  <si>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</si>
  <si>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</si>
  <si>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</si>
  <si>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</si>
  <si>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</si>
  <si>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</si>
  <si>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</si>
  <si>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</si>
  <si>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</si>
  <si>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</si>
  <si>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</si>
  <si>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</si>
  <si>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</si>
  <si>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</si>
  <si>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</si>
  <si>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</si>
  <si>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</si>
  <si>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</si>
  <si>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</si>
  <si>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</si>
  <si>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</si>
  <si>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</si>
  <si>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</si>
  <si>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</si>
  <si>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</si>
  <si>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</si>
  <si>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</si>
  <si>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</si>
  <si>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</si>
  <si>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</si>
  <si>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</si>
  <si>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</si>
  <si>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</si>
  <si>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</si>
  <si>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</si>
  <si>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</si>
  <si>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</si>
  <si>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</si>
  <si>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</si>
  <si>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</si>
  <si>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</si>
  <si>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</si>
  <si>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</si>
  <si>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</si>
  <si>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</si>
  <si>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</si>
  <si>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</si>
  <si>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</si>
  <si>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</si>
  <si>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</si>
  <si>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</si>
  <si>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</si>
  <si>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</si>
  <si>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</si>
  <si>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</si>
  <si>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</si>
  <si>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</si>
  <si>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</si>
  <si>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</si>
  <si>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</si>
  <si>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</si>
  <si>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</si>
  <si>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</si>
  <si>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</si>
  <si>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</si>
  <si>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</si>
  <si>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</si>
  <si>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</si>
  <si>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</si>
  <si>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</si>
  <si>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</si>
  <si>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</si>
  <si>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</si>
  <si>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</si>
  <si>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</si>
  <si>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</si>
  <si>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</si>
  <si>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</si>
  <si>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</si>
  <si>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</si>
  <si>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</si>
  <si>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</si>
  <si>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</si>
  <si>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</si>
  <si>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</si>
  <si>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</si>
  <si>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</si>
  <si>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</si>
  <si>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</si>
  <si>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</si>
  <si>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</si>
  <si>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</si>
  <si>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</si>
  <si>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</si>
  <si>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</si>
  <si>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</si>
  <si>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</si>
  <si>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</si>
  <si>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</si>
  <si>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</si>
  <si>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</si>
  <si>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</si>
  <si>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</si>
  <si>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</si>
  <si>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</si>
  <si>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</si>
  <si>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</si>
  <si>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</si>
  <si>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</si>
  <si>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</si>
  <si>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</si>
  <si>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</si>
  <si>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</si>
  <si>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</si>
  <si>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</si>
  <si>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</si>
  <si>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</si>
  <si>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</si>
  <si>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</si>
  <si>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</si>
  <si>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</si>
  <si>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</si>
  <si>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</si>
  <si>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</si>
  <si>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</si>
  <si>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</si>
  <si>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</si>
  <si>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</si>
  <si>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</si>
  <si>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</si>
  <si>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</si>
  <si>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</si>
  <si>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</si>
  <si>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</si>
  <si>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</si>
  <si>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</si>
  <si>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</si>
  <si>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</si>
  <si>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</si>
  <si>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</si>
  <si>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</si>
  <si>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</si>
  <si>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</si>
  <si>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</si>
  <si>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</si>
  <si>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</si>
  <si>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</si>
  <si>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</si>
  <si>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</si>
  <si>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</si>
  <si>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</si>
  <si>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</si>
  <si>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</si>
  <si>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</si>
  <si>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</si>
  <si>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</si>
  <si>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</si>
  <si>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</si>
  <si>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</si>
  <si>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</si>
  <si>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</si>
  <si>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</si>
  <si>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</si>
  <si>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</si>
  <si>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</si>
  <si>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</si>
  <si>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</si>
  <si>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</si>
  <si>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</si>
  <si>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</si>
  <si>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</si>
  <si>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</si>
  <si>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</si>
  <si>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</si>
  <si>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</si>
  <si>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</si>
  <si>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</si>
  <si>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</si>
  <si>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</si>
  <si>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</si>
  <si>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</si>
  <si>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</si>
  <si>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</si>
  <si>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</si>
  <si>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</si>
  <si>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</si>
  <si>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</si>
  <si>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</si>
  <si>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</si>
  <si>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</si>
  <si>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</si>
  <si>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</si>
  <si>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</si>
  <si>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</si>
  <si>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</si>
  <si>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</si>
  <si>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</si>
  <si>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</si>
  <si>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</si>
  <si>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</si>
  <si>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</si>
  <si>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</si>
  <si>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</si>
  <si>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</si>
  <si>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</si>
  <si>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</si>
  <si>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</si>
  <si>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</si>
  <si>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</si>
  <si>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</si>
  <si>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</si>
  <si>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</si>
  <si>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</si>
  <si>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</si>
  <si>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</si>
  <si>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</si>
  <si>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</si>
  <si>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</si>
  <si>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</si>
  <si>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</si>
  <si>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</si>
  <si>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</si>
  <si>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</si>
  <si>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</si>
  <si>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</si>
  <si>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</si>
  <si>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</si>
  <si>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</si>
  <si>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</si>
  <si>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</si>
  <si>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</si>
  <si>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</si>
  <si>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</si>
  <si>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</si>
  <si>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</si>
  <si>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</si>
  <si>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</si>
  <si>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</si>
  <si>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</si>
  <si>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</si>
  <si>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</si>
  <si>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</si>
  <si>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</si>
  <si>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</si>
  <si>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</si>
  <si>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</si>
  <si>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</si>
  <si>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</si>
  <si>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</si>
  <si>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</si>
  <si>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</si>
  <si>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</si>
  <si>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</si>
  <si>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</si>
  <si>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</si>
  <si>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</si>
  <si>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</si>
  <si>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</si>
  <si>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</si>
  <si>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</si>
  <si>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</si>
  <si>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</si>
  <si>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</si>
  <si>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</si>
  <si>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</si>
  <si>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</si>
  <si>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</si>
  <si>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</si>
  <si>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</si>
  <si>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</si>
  <si>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</si>
  <si>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</si>
  <si>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</si>
  <si>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</si>
  <si>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</si>
  <si>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</si>
  <si>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</si>
  <si>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</si>
  <si>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</si>
  <si>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</si>
  <si>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</si>
  <si>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</si>
  <si>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</si>
  <si>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</si>
  <si>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</si>
  <si>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</si>
  <si>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</si>
  <si>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</si>
  <si>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</si>
  <si>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</si>
  <si>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</si>
  <si>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</si>
  <si>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</si>
  <si>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</si>
  <si>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</si>
  <si>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</si>
  <si>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</si>
  <si>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</si>
  <si>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</si>
  <si>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</si>
  <si>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</si>
  <si>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</si>
  <si>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</si>
  <si>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</si>
  <si>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</si>
  <si>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</si>
  <si>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</si>
  <si>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</si>
  <si>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</si>
  <si>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</si>
  <si>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</si>
  <si>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</si>
  <si>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</si>
  <si>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</si>
  <si>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</si>
  <si>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</si>
  <si>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</si>
  <si>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</si>
  <si>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</si>
  <si>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</si>
  <si>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</si>
  <si>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</si>
  <si>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</si>
  <si>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</si>
  <si>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</si>
  <si>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</si>
  <si>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</si>
  <si>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</si>
  <si>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</si>
  <si>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</si>
  <si>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</si>
  <si>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</si>
  <si>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</si>
  <si>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</si>
  <si>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</si>
  <si>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</si>
  <si>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</si>
  <si>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</si>
  <si>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</si>
  <si>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</si>
  <si>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</si>
  <si>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</si>
  <si>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</si>
  <si>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</si>
  <si>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</si>
  <si>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</si>
  <si>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</si>
  <si>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</si>
  <si>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</si>
  <si>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</si>
  <si>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</si>
  <si>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</si>
  <si>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</si>
  <si>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</si>
  <si>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</si>
  <si>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</si>
  <si>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</si>
  <si>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</si>
  <si>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</si>
  <si>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</si>
  <si>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</si>
  <si>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</si>
  <si>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</si>
  <si>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</si>
  <si>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</si>
  <si>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</si>
  <si>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</si>
  <si>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</si>
  <si>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</si>
  <si>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</si>
  <si>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</si>
  <si>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</si>
  <si>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</si>
  <si>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</si>
  <si>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</si>
  <si>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</si>
  <si>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</si>
  <si>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</si>
  <si>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</si>
  <si>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</si>
  <si>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</si>
  <si>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</si>
  <si>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</si>
  <si>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</si>
  <si>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</si>
  <si>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</si>
  <si>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</si>
  <si>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</si>
  <si>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</si>
  <si>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</si>
  <si>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</si>
  <si>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</si>
  <si>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</si>
  <si>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</si>
  <si>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</si>
  <si>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</si>
  <si>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</si>
  <si>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</si>
  <si>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</si>
  <si>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</si>
  <si>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</si>
  <si>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</si>
  <si>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</si>
  <si>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</si>
  <si>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</si>
  <si>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</si>
  <si>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</si>
  <si>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</si>
  <si>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</si>
  <si>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</si>
  <si>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</si>
  <si>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</si>
  <si>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</si>
  <si>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</si>
  <si>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</si>
  <si>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</si>
  <si>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</si>
  <si>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</si>
  <si>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</si>
  <si>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</si>
  <si>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</si>
  <si>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</si>
  <si>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</si>
  <si>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</si>
  <si>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</si>
  <si>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</si>
  <si>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</si>
  <si>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</si>
  <si>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</si>
  <si>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</si>
  <si>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</si>
  <si>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</si>
  <si>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</si>
  <si>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</si>
  <si>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</si>
  <si>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</si>
  <si>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</si>
  <si>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</si>
  <si>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</si>
  <si>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</si>
  <si>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</si>
  <si>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</si>
  <si>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</si>
  <si>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</si>
  <si>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</si>
  <si>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</si>
  <si>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</si>
  <si>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</si>
  <si>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</si>
  <si>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</si>
  <si>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</si>
  <si>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</si>
  <si>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</si>
  <si>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</si>
  <si>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</si>
  <si>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</si>
  <si>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</si>
  <si>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</si>
  <si>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</si>
  <si>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</si>
  <si>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</si>
  <si>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</si>
  <si>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</si>
  <si>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</si>
  <si>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</si>
  <si>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</si>
  <si>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</si>
  <si>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</si>
  <si>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</si>
  <si>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</si>
  <si>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</si>
  <si>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</si>
  <si>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</si>
  <si>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</si>
  <si>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</si>
  <si>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</si>
  <si>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</si>
  <si>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</si>
  <si>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</si>
  <si>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</si>
  <si>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</si>
  <si>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</si>
  <si>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</si>
  <si>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</si>
  <si>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</si>
  <si>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</si>
  <si>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</si>
  <si>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</si>
  <si>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</si>
  <si>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</si>
  <si>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</si>
  <si>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</si>
  <si>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</si>
  <si>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</si>
  <si>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</si>
  <si>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</si>
  <si>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</si>
  <si>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</si>
  <si>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</si>
  <si>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</si>
  <si>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</si>
  <si>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</si>
  <si>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</si>
  <si>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</si>
  <si>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</si>
  <si>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</si>
  <si>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</si>
  <si>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</si>
  <si>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</si>
  <si>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</si>
  <si>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</si>
  <si>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</si>
  <si>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</si>
  <si>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</si>
  <si>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</si>
  <si>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</si>
  <si>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</si>
  <si>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</si>
  <si>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</si>
  <si>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</si>
  <si>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</si>
  <si>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</si>
  <si>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</si>
  <si>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</si>
  <si>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</si>
  <si>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</si>
  <si>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</si>
  <si>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</si>
  <si>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</si>
  <si>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</si>
  <si>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</si>
  <si>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</si>
  <si>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</si>
  <si>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</si>
  <si>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</si>
  <si>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</si>
  <si>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</si>
  <si>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</si>
  <si>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</si>
  <si>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</si>
  <si>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</si>
  <si>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</si>
  <si>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</si>
  <si>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</si>
  <si>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</si>
  <si>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</si>
  <si>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</si>
  <si>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</si>
  <si>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</si>
  <si>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</si>
  <si>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</si>
  <si>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</si>
  <si>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</si>
  <si>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</si>
  <si>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</si>
  <si>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</si>
  <si>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</si>
  <si>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</si>
  <si>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</si>
  <si>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</si>
  <si>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</si>
  <si>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</si>
  <si>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</si>
  <si>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</si>
  <si>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</si>
  <si>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</si>
  <si>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</si>
  <si>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</si>
  <si>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</si>
  <si>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</si>
  <si>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</si>
  <si>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</si>
  <si>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</si>
  <si>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</si>
  <si>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</si>
  <si>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</si>
  <si>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</si>
  <si>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</si>
  <si>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</si>
  <si>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</si>
  <si>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</si>
  <si>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</si>
  <si>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</si>
  <si>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</si>
  <si>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</si>
  <si>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</si>
  <si>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</si>
  <si>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</si>
  <si>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</si>
  <si>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</si>
  <si>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</si>
  <si>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</si>
  <si>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</si>
  <si>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</si>
  <si>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</si>
  <si>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</si>
  <si>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</si>
  <si>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</si>
  <si>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</si>
  <si>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</si>
  <si>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</si>
  <si>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</si>
  <si>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</si>
  <si>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</si>
  <si>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</si>
  <si>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</si>
  <si>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</si>
  <si>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</si>
  <si>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</si>
  <si>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</si>
  <si>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</si>
  <si>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</si>
  <si>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</si>
  <si>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</si>
  <si>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</si>
  <si>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</si>
  <si>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</si>
  <si>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</si>
  <si>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</si>
  <si>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</si>
  <si>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</si>
  <si>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</si>
  <si>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</si>
  <si>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</si>
  <si>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</si>
  <si>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</si>
  <si>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</si>
  <si>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</si>
  <si>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</si>
  <si>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</si>
  <si>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</si>
  <si>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</si>
  <si>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</si>
  <si>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</si>
  <si>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</si>
  <si>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</si>
  <si>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</si>
  <si>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</si>
  <si>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</si>
  <si>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</si>
  <si>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</si>
  <si>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</si>
  <si>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</si>
  <si>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</si>
  <si>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</si>
  <si>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</si>
  <si>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</si>
  <si>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</si>
  <si>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</si>
  <si>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</si>
  <si>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</si>
  <si>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</si>
  <si>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</si>
  <si>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</si>
  <si>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</si>
  <si>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</si>
  <si>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</si>
  <si>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</si>
  <si>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</si>
  <si>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</si>
  <si>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</si>
  <si>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</si>
  <si>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</si>
  <si>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</si>
  <si>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</si>
  <si>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</si>
  <si>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</si>
  <si>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</si>
  <si>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</si>
  <si>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</si>
  <si>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</si>
  <si>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</si>
  <si>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</si>
  <si>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</si>
  <si>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</si>
  <si>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</si>
  <si>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</si>
  <si>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</si>
  <si>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</si>
  <si>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</si>
  <si>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</si>
  <si>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</si>
  <si>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</si>
  <si>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</si>
  <si>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</si>
  <si>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</si>
  <si>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</si>
  <si>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</si>
  <si>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</si>
  <si>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</si>
  <si>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</si>
  <si>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</si>
  <si>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</si>
  <si>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</si>
  <si>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</si>
  <si>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</si>
  <si>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</si>
  <si>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</si>
  <si>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</si>
  <si>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</si>
  <si>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</si>
  <si>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</si>
  <si>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</si>
  <si>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</si>
  <si>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</si>
  <si>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</si>
  <si>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</si>
  <si>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</si>
  <si>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</si>
  <si>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</si>
  <si>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</si>
  <si>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</si>
  <si>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</si>
  <si>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</si>
  <si>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</si>
  <si>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</si>
  <si>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</si>
  <si>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</si>
  <si>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</si>
  <si>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</si>
  <si>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</si>
  <si>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</si>
  <si>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</si>
  <si>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</si>
  <si>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</si>
  <si>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</si>
  <si>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</si>
  <si>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</si>
  <si>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</si>
  <si>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</si>
  <si>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</si>
  <si>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</si>
  <si>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</si>
  <si>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</si>
  <si>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</si>
  <si>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</si>
  <si>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</si>
  <si>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</si>
  <si>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</si>
  <si>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</si>
  <si>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</si>
  <si>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</si>
  <si>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</si>
  <si>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</si>
  <si>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</si>
  <si>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</si>
  <si>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</si>
  <si>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</si>
  <si>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</si>
  <si>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</si>
  <si>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</si>
  <si>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</si>
  <si>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</si>
  <si>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</si>
  <si>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</si>
  <si>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</si>
  <si>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</si>
  <si>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</si>
  <si>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</si>
  <si>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</si>
  <si>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</si>
  <si>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</si>
  <si>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</si>
  <si>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</si>
  <si>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</si>
  <si>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</si>
  <si>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</si>
  <si>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</si>
  <si>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</si>
  <si>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</si>
  <si>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</si>
  <si>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</si>
  <si>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</si>
  <si>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</si>
  <si>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</si>
  <si>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</si>
  <si>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</si>
  <si>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</si>
  <si>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</si>
  <si>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</si>
  <si>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</si>
  <si>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</si>
  <si>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</si>
  <si>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</si>
  <si>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</si>
  <si>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</si>
  <si>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</si>
  <si>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</si>
  <si>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</si>
  <si>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</si>
  <si>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</si>
  <si>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</si>
  <si>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</si>
  <si>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</si>
  <si>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</si>
  <si>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</si>
  <si>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</si>
  <si>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</si>
  <si>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</si>
  <si>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</si>
  <si>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</si>
  <si>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</si>
  <si>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</si>
  <si>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</si>
  <si>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</si>
  <si>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</si>
  <si>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</si>
  <si>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</si>
  <si>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</si>
  <si>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</si>
  <si>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</si>
  <si>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</si>
  <si>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</si>
  <si>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</si>
  <si>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</si>
  <si>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</si>
  <si>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</si>
  <si>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</si>
  <si>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</si>
  <si>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</si>
  <si>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</si>
  <si>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</si>
  <si>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</si>
  <si>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</si>
  <si>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</si>
  <si>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</si>
  <si>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</si>
  <si>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</si>
  <si>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</si>
  <si>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</si>
  <si>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</si>
  <si>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</si>
  <si>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</si>
  <si>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</si>
  <si>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</si>
  <si>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</si>
  <si>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</si>
  <si>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</si>
  <si>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</si>
  <si>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</si>
  <si>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</si>
  <si>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</si>
  <si>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</si>
  <si>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</si>
  <si>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</si>
  <si>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</si>
  <si>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</si>
  <si>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</si>
  <si>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</si>
  <si>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</si>
  <si>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</si>
  <si>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</si>
  <si>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</si>
  <si>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</si>
  <si>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</si>
  <si>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</si>
  <si>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</si>
  <si>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</si>
  <si>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</si>
  <si>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</si>
  <si>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</si>
  <si>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</si>
  <si>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</si>
  <si>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</si>
  <si>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</si>
  <si>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</si>
  <si>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</si>
  <si>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</si>
  <si>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</si>
  <si>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</si>
  <si>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</si>
  <si>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</si>
  <si>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</si>
  <si>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</si>
  <si>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</si>
  <si>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</si>
  <si>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</si>
  <si>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</si>
  <si>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</si>
  <si>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</si>
  <si>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</si>
  <si>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</si>
  <si>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</si>
  <si>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</si>
  <si>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</si>
  <si>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</si>
  <si>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</si>
  <si>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</si>
  <si>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</si>
  <si>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</si>
  <si>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</si>
  <si>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</si>
  <si>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</si>
  <si>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</si>
  <si>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</si>
  <si>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</si>
  <si>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</si>
  <si>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</si>
  <si>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</si>
  <si>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</si>
  <si>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</si>
  <si>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</si>
  <si>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</si>
  <si>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</si>
  <si>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</si>
  <si>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</si>
  <si>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</si>
  <si>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</si>
  <si>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</si>
  <si>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</si>
  <si>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</si>
  <si>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</si>
  <si>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</si>
  <si>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</si>
  <si>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</si>
  <si>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</si>
  <si>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</si>
  <si>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</si>
  <si>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</si>
  <si>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</si>
  <si>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</si>
  <si>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</si>
  <si>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</si>
  <si>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</si>
  <si>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</si>
  <si>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</si>
  <si>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</si>
  <si>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</si>
  <si>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</si>
  <si>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</si>
  <si>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</si>
  <si>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</si>
  <si>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</si>
  <si>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</si>
  <si>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</si>
  <si>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</si>
  <si>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</si>
  <si>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</si>
  <si>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</si>
  <si>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</si>
  <si>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</si>
  <si>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</si>
  <si>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</si>
  <si>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</si>
  <si>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</si>
  <si>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</si>
  <si>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</si>
  <si>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</si>
  <si>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</si>
  <si>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</si>
  <si>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</si>
  <si>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</si>
  <si>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</si>
  <si>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</si>
  <si>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</si>
  <si>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</si>
  <si>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</si>
  <si>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</si>
  <si>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</si>
  <si>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</si>
  <si>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</si>
  <si>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</si>
  <si>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</si>
  <si>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</si>
  <si>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</si>
  <si>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</si>
  <si>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</si>
  <si>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</si>
  <si>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</si>
  <si>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</si>
  <si>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</si>
  <si>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</si>
  <si>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</si>
  <si>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</si>
  <si>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</si>
  <si>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</si>
  <si>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</si>
  <si>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</si>
  <si>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</si>
  <si>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</si>
  <si>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</si>
  <si>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</si>
  <si>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</si>
  <si>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</si>
  <si>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</si>
  <si>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</si>
  <si>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</si>
  <si>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</si>
  <si>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</si>
  <si>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</si>
  <si>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</si>
  <si>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</si>
  <si>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</si>
  <si>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</si>
  <si>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</si>
  <si>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</si>
  <si>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</si>
  <si>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</si>
  <si>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</si>
  <si>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</si>
  <si>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</si>
  <si>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</si>
  <si>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</si>
  <si>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</si>
  <si>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</si>
  <si>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</si>
  <si>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</si>
  <si>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</si>
  <si>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</si>
  <si>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</si>
  <si>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</si>
  <si>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</si>
  <si>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</si>
  <si>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</si>
  <si>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</si>
  <si>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</si>
  <si>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</si>
  <si>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</si>
  <si>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</si>
  <si>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</si>
  <si>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</si>
  <si>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</si>
  <si>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</si>
  <si>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</si>
  <si>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</si>
  <si>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</si>
  <si>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</si>
  <si>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</si>
  <si>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</si>
  <si>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</si>
  <si>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</si>
  <si>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</si>
  <si>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</si>
  <si>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</si>
  <si>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</si>
  <si>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</si>
  <si>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</si>
  <si>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</si>
  <si>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</si>
  <si>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</si>
  <si>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</si>
  <si>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</si>
  <si>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</si>
  <si>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</si>
  <si>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</si>
  <si>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</si>
  <si>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</si>
  <si>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</si>
  <si>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</si>
  <si>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</si>
  <si>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</si>
  <si>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</si>
  <si>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</si>
  <si>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</si>
  <si>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</si>
  <si>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</si>
  <si>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</si>
  <si>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</si>
  <si>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</si>
  <si>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</si>
  <si>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</si>
  <si>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</si>
  <si>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</si>
  <si>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</si>
  <si>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</si>
  <si>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</si>
  <si>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</si>
  <si>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</si>
  <si>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</si>
  <si>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</si>
  <si>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</si>
  <si>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</si>
  <si>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</si>
  <si>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</si>
  <si>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</si>
  <si>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</si>
  <si>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</si>
  <si>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</si>
  <si>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</si>
  <si>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</si>
  <si>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</si>
  <si>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</si>
  <si>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</si>
  <si>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</si>
  <si>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</si>
  <si>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</si>
  <si>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</si>
  <si>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</si>
  <si>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</si>
  <si>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</si>
  <si>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</si>
  <si>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</si>
  <si>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</si>
  <si>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</si>
  <si>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</si>
  <si>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</si>
  <si>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</si>
  <si>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</si>
  <si>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</si>
  <si>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</si>
  <si>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</si>
  <si>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</si>
  <si>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</si>
  <si>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</si>
  <si>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</si>
  <si>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</si>
  <si>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</si>
  <si>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</si>
  <si>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</si>
  <si>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</si>
  <si>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</si>
  <si>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</si>
  <si>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</si>
  <si>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</si>
  <si>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</si>
  <si>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</si>
  <si>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</si>
  <si>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</si>
  <si>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</si>
  <si>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</si>
  <si>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</si>
  <si>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</si>
  <si>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</si>
  <si>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</si>
  <si>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</si>
  <si>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</si>
  <si>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</si>
  <si>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</si>
  <si>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</si>
  <si>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</si>
  <si>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</si>
  <si>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</si>
  <si>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</si>
  <si>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</si>
  <si>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</si>
  <si>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</si>
  <si>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</si>
  <si>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</si>
  <si>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</si>
  <si>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</si>
  <si>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</si>
  <si>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</si>
  <si>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</si>
  <si>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</si>
  <si>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</si>
  <si>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</si>
  <si>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</si>
  <si>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</si>
  <si>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</si>
  <si>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</si>
  <si>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</si>
  <si>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</si>
  <si>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</si>
  <si>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</si>
  <si>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</si>
  <si>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</si>
  <si>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</si>
  <si>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</si>
  <si>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</si>
  <si>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</si>
  <si>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</si>
  <si>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</si>
  <si>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</si>
  <si>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</si>
  <si>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</si>
  <si>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</si>
  <si>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</si>
  <si>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</si>
  <si>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</si>
  <si>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</si>
  <si>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</si>
  <si>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</si>
  <si>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</si>
  <si>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</si>
  <si>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</si>
  <si>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</si>
  <si>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</si>
  <si>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</si>
  <si>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</si>
  <si>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</si>
  <si>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</si>
  <si>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</si>
  <si>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</si>
  <si>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</si>
  <si>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</si>
  <si>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</si>
  <si>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</si>
  <si>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</si>
  <si>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</si>
  <si>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</si>
  <si>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</si>
  <si>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</si>
  <si>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</si>
  <si>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</si>
  <si>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</si>
  <si>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</si>
  <si>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</si>
  <si>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</si>
  <si>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</si>
  <si>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</si>
  <si>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</si>
  <si>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</si>
  <si>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</si>
  <si>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</si>
  <si>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</si>
  <si>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</si>
  <si>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</si>
  <si>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</si>
  <si>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</si>
  <si>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</si>
  <si>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</si>
  <si>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</si>
  <si>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</si>
  <si>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</si>
  <si>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</si>
  <si>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</si>
  <si>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</si>
  <si>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</si>
  <si>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</si>
  <si>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</si>
  <si>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</si>
  <si>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</si>
  <si>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</si>
  <si>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</si>
  <si>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</si>
  <si>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</si>
  <si>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</si>
  <si>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</si>
  <si>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</si>
  <si>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</si>
  <si>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</si>
  <si>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</si>
  <si>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</si>
  <si>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</si>
  <si>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</si>
  <si>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</si>
  <si>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</si>
  <si>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</si>
  <si>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</si>
  <si>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</si>
  <si>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</si>
  <si>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</si>
  <si>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</si>
  <si>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</si>
  <si>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</si>
  <si>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</si>
  <si>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</si>
  <si>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</si>
  <si>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</si>
  <si>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</si>
  <si>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</si>
  <si>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</si>
  <si>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</si>
  <si>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</si>
  <si>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</si>
  <si>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</si>
  <si>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</si>
  <si>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</si>
  <si>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</si>
  <si>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</si>
  <si>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</si>
  <si>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</si>
  <si>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</si>
  <si>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</si>
  <si>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</si>
  <si>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</si>
  <si>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</si>
  <si>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</si>
  <si>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</si>
  <si>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</si>
  <si>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</si>
  <si>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</si>
  <si>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</si>
  <si>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</si>
  <si>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</si>
  <si>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</si>
  <si>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</si>
  <si>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</si>
  <si>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</si>
  <si>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</si>
  <si>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</si>
  <si>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</si>
  <si>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</si>
  <si>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Number of annual training hours per employee during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</si>
  <si>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</si>
  <si>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</si>
  <si>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</si>
  <si>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</si>
  <si>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</si>
  <si>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</si>
  <si>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</si>
  <si>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</si>
  <si>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</si>
  <si>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</si>
  <si>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</si>
  <si>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</si>
  <si>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</si>
  <si>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</si>
  <si>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</si>
  <si>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</si>
  <si>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</si>
  <si>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</si>
  <si>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</si>
  <si>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</si>
  <si>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</si>
  <si>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</si>
  <si>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</si>
  <si>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</si>
  <si>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</si>
  <si>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</si>
  <si>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</si>
  <si>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</si>
  <si>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</si>
  <si>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</si>
  <si>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</si>
  <si>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</si>
  <si>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</si>
  <si>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</si>
  <si>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</si>
  <si>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</si>
  <si>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</si>
  <si>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</si>
  <si>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</si>
  <si>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</si>
  <si>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</si>
  <si>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</si>
  <si>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</si>
  <si>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</si>
  <si>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</si>
  <si>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</si>
  <si>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</si>
  <si>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</si>
  <si>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</si>
  <si>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</si>
  <si>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</si>
  <si>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</si>
  <si>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</si>
  <si>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</si>
  <si>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</si>
  <si>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</si>
  <si>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</si>
  <si>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</si>
  <si>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</si>
  <si>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</si>
  <si>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</si>
  <si>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</si>
  <si>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</si>
  <si>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</si>
  <si>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</si>
  <si>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</si>
  <si>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</si>
  <si>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</si>
  <si>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</si>
  <si>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</si>
  <si>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</si>
  <si>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</si>
  <si>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</si>
  <si>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</si>
  <si>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</si>
  <si>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</si>
  <si>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</si>
  <si>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</si>
  <si>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</si>
  <si>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</si>
  <si>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</si>
  <si>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</si>
  <si>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</si>
  <si>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</si>
  <si>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</si>
  <si>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</si>
  <si>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</si>
  <si>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</si>
  <si>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</si>
  <si>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</si>
  <si>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</si>
  <si>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</si>
  <si>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</si>
  <si>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</si>
  <si>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</si>
  <si>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</si>
  <si>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</si>
  <si>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</si>
  <si>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</si>
  <si>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</si>
  <si>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</si>
  <si>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</si>
  <si>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</si>
  <si>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</si>
  <si>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</si>
  <si>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</si>
  <si>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</si>
  <si>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</si>
  <si>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</si>
  <si>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</si>
  <si>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</si>
  <si>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</si>
  <si>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</si>
  <si>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</si>
  <si>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</si>
  <si>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</si>
  <si>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</si>
  <si>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</si>
  <si>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</si>
  <si>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</si>
  <si>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</si>
  <si>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</si>
  <si>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</si>
  <si>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</si>
  <si>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</si>
  <si>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</si>
  <si>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</si>
  <si>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</si>
  <si>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</si>
  <si>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</si>
  <si>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</si>
  <si>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</si>
  <si>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</si>
  <si>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</si>
  <si>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</si>
  <si>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</si>
  <si>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</si>
  <si>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</si>
  <si>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</si>
  <si>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</si>
  <si>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</si>
  <si>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</si>
  <si>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</si>
  <si>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</si>
  <si>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</si>
  <si>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</si>
  <si>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</si>
  <si>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</si>
  <si>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</si>
  <si>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</si>
  <si>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</si>
  <si>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</si>
  <si>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</si>
  <si>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</si>
  <si>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</si>
  <si>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</si>
  <si>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</si>
  <si>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</si>
  <si>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</si>
  <si>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</si>
  <si>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</si>
  <si>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</si>
  <si>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</si>
  <si>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</si>
  <si>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</si>
  <si>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</si>
  <si>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</si>
  <si>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</si>
  <si>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</si>
  <si>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</si>
  <si>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</si>
  <si>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</si>
  <si>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</si>
  <si>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</si>
  <si>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</si>
  <si>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</si>
  <si>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</si>
  <si>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</si>
  <si>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</si>
  <si>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</si>
  <si>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</si>
  <si>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</si>
  <si>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</si>
  <si>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</si>
  <si>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</si>
  <si>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</si>
  <si>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</si>
  <si>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</si>
  <si>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</si>
  <si>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</si>
  <si>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</si>
  <si>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</si>
  <si>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</si>
  <si>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</si>
  <si>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</si>
  <si>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</si>
  <si>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</si>
  <si>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</si>
  <si>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</si>
  <si>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</si>
  <si>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</si>
  <si>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</si>
  <si>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</si>
  <si>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</si>
  <si>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</si>
  <si>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</si>
  <si>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</si>
  <si>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</si>
  <si>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</si>
  <si>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</si>
  <si>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</si>
  <si>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</si>
  <si>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</si>
  <si>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</si>
  <si>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</si>
  <si>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</si>
  <si>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</si>
  <si>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</si>
  <si>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</si>
  <si>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</si>
  <si>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</si>
  <si>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</si>
  <si>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</si>
  <si>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</si>
  <si>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</si>
  <si>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</si>
  <si>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</si>
  <si>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</si>
  <si>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</si>
  <si>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</si>
  <si>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</si>
  <si>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</si>
  <si>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</si>
  <si>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</si>
  <si>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</si>
  <si>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</si>
  <si>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</si>
  <si>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</si>
  <si>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</si>
  <si>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</si>
  <si>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</si>
  <si>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</si>
  <si>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</si>
  <si>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</si>
  <si>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</si>
  <si>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</si>
  <si>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</si>
  <si>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</si>
  <si>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</si>
  <si>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</si>
  <si>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</si>
  <si>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</si>
  <si>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</si>
  <si>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</si>
  <si>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</si>
  <si>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</si>
  <si>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</si>
  <si>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</si>
  <si>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</si>
  <si>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</si>
  <si>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</si>
  <si>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</si>
  <si>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</si>
  <si>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</si>
  <si>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</si>
  <si>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</si>
  <si>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</si>
  <si>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</si>
  <si>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</si>
  <si>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</si>
  <si>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</si>
  <si>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</si>
  <si>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</si>
  <si>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</si>
  <si>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</si>
  <si>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</si>
  <si>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</si>
  <si>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</si>
  <si>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</si>
  <si>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</si>
  <si>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</si>
  <si>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</si>
  <si>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</si>
  <si>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</si>
  <si>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</si>
  <si>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</si>
  <si>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</si>
  <si>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</si>
  <si>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</si>
  <si>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</si>
  <si>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</si>
  <si>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</si>
  <si>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</si>
  <si>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</si>
  <si>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</si>
  <si>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</si>
  <si>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</si>
  <si>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</si>
  <si>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</si>
  <si>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</si>
  <si>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</si>
  <si>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</si>
  <si>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</si>
  <si>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</si>
  <si>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</si>
  <si>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</si>
  <si>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</si>
  <si>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</si>
  <si>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</si>
  <si>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</si>
  <si>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</si>
  <si>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</si>
  <si>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</si>
  <si>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</si>
  <si>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</si>
  <si>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</si>
  <si>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</si>
  <si>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</si>
  <si>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</si>
  <si>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</si>
  <si>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</si>
  <si>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</si>
  <si>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</si>
  <si>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</si>
  <si>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</si>
  <si>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</si>
  <si>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</si>
  <si>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</si>
  <si>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</si>
  <si>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</si>
  <si>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</si>
  <si>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</si>
  <si>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</si>
  <si>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</si>
  <si>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</si>
  <si>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</si>
  <si>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</si>
  <si>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</si>
  <si>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</si>
  <si>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</si>
  <si>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</si>
  <si>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</si>
  <si>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</si>
  <si>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</si>
  <si>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</si>
  <si>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</si>
  <si>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</si>
  <si>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</si>
  <si>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</si>
  <si>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</si>
  <si>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</si>
  <si>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</si>
  <si>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</si>
  <si>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</si>
  <si>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</si>
  <si>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</si>
  <si>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</si>
  <si>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</si>
  <si>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</si>
  <si>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</si>
  <si>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</si>
  <si>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</si>
  <si>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</si>
  <si>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</si>
  <si>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</si>
  <si>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</si>
  <si>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</si>
  <si>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</si>
  <si>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</si>
  <si>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</si>
  <si>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</si>
  <si>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</si>
  <si>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</si>
  <si>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</si>
  <si>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</si>
  <si>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</si>
  <si>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</si>
  <si>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</si>
  <si>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</si>
  <si>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</si>
  <si>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</si>
  <si>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</si>
  <si>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</si>
  <si>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</si>
  <si>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</si>
  <si>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</si>
  <si>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</si>
  <si>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</si>
  <si>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</si>
  <si>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</si>
  <si>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</si>
  <si>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</si>
  <si>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</si>
  <si>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</si>
  <si>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</si>
  <si>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</si>
  <si>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</si>
  <si>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</si>
  <si>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</si>
  <si>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</si>
  <si>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</si>
  <si>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</si>
  <si>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</si>
  <si>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</si>
  <si>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</si>
  <si>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</si>
  <si>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</si>
  <si>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</si>
  <si>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</si>
  <si>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</si>
  <si>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</si>
  <si>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</si>
  <si>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</si>
  <si>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</si>
  <si>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</si>
  <si>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</si>
  <si>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</si>
  <si>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</si>
  <si>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</si>
  <si>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</si>
  <si>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</si>
  <si>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</si>
  <si>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</si>
  <si>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</si>
  <si>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</si>
  <si>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</si>
  <si>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</si>
  <si>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</si>
  <si>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</si>
  <si>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</si>
  <si>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</si>
  <si>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</si>
  <si>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</si>
  <si>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</si>
  <si>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</si>
  <si>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</si>
  <si>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</si>
  <si>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</si>
  <si>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</si>
  <si>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</si>
  <si>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</si>
  <si>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</si>
  <si>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</si>
  <si>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</si>
  <si>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</si>
  <si>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</si>
  <si>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</si>
  <si>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</si>
  <si>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</si>
  <si>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</si>
  <si>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</si>
  <si>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</si>
  <si>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</si>
  <si>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</si>
  <si>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</si>
  <si>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</si>
  <si>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</si>
  <si>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</si>
  <si>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</si>
  <si>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</si>
  <si>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</si>
  <si>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</si>
  <si>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</si>
  <si>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</si>
  <si>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</si>
  <si>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</si>
  <si>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</si>
  <si>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</si>
  <si>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</si>
  <si>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</si>
  <si>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</si>
  <si>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</si>
  <si>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</si>
  <si>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</si>
  <si>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</si>
  <si>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</si>
  <si>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</si>
  <si>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</si>
  <si>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</si>
  <si>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</si>
  <si>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</si>
  <si>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</si>
  <si>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</si>
  <si>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</si>
  <si>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</si>
  <si>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</si>
  <si>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</si>
  <si>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</si>
  <si>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</si>
  <si>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</si>
  <si>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</si>
  <si>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</si>
  <si>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</si>
  <si>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</si>
  <si>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</si>
  <si>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</si>
  <si>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</si>
  <si>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</si>
  <si>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</si>
  <si>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</si>
  <si>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</si>
  <si>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</si>
  <si>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</si>
  <si>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</si>
  <si>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</si>
  <si>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</si>
  <si>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</si>
  <si>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</si>
  <si>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</si>
  <si>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</si>
  <si>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</si>
  <si>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</si>
  <si>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</si>
  <si>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</si>
  <si>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</si>
  <si>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</si>
  <si>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</si>
  <si>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</si>
  <si>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</si>
  <si>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</si>
  <si>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</si>
  <si>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</si>
  <si>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</si>
  <si>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</si>
  <si>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</si>
  <si>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</si>
  <si>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</si>
  <si>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</si>
  <si>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</si>
  <si>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</si>
  <si>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</si>
  <si>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</si>
  <si>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</si>
  <si>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</si>
  <si>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</si>
  <si>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</si>
  <si>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</si>
  <si>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</si>
  <si>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</si>
  <si>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</si>
  <si>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</si>
  <si>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</si>
  <si>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</si>
  <si>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</si>
  <si>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</si>
  <si>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</si>
  <si>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</si>
  <si>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</si>
  <si>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</si>
  <si>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</si>
  <si>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</si>
  <si>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</si>
  <si>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</si>
  <si>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</si>
  <si>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</si>
  <si>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</si>
  <si>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</si>
  <si>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</si>
  <si>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</si>
  <si>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</si>
  <si>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</si>
  <si>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</si>
  <si>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</si>
  <si>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</si>
  <si>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</si>
  <si>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</si>
  <si>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</si>
  <si>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</si>
  <si>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</si>
  <si>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</si>
  <si>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</si>
  <si>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</si>
  <si>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</si>
  <si>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</si>
  <si>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</si>
  <si>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</si>
  <si>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</si>
  <si>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</si>
  <si>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</si>
  <si>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</si>
  <si>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</si>
  <si>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</si>
  <si>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</si>
  <si>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</si>
  <si>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</si>
  <si>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</si>
  <si>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</si>
  <si>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</si>
  <si>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</si>
  <si>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</si>
  <si>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</si>
  <si>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</si>
  <si>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</si>
  <si>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</si>
  <si>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</si>
  <si>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</si>
  <si>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</si>
  <si>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</si>
  <si>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</si>
  <si>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</si>
  <si>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</si>
  <si>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</si>
  <si>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</si>
  <si>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</si>
  <si>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</si>
  <si>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</si>
  <si>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</si>
  <si>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</si>
  <si>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</si>
  <si>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</si>
  <si>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</si>
  <si>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</si>
  <si>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</si>
  <si>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</si>
  <si>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</si>
  <si>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</si>
  <si>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</si>
  <si>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</si>
  <si>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</si>
  <si>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</si>
  <si>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</si>
  <si>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</si>
  <si>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</si>
  <si>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</si>
  <si>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</si>
  <si>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</si>
  <si>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</si>
  <si>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</si>
  <si>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</si>
  <si>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</si>
  <si>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</si>
  <si>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</si>
  <si>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</si>
  <si>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</si>
  <si>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</si>
  <si>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</si>
  <si>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</si>
  <si>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</si>
  <si>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</si>
  <si>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</si>
  <si>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</si>
  <si>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</si>
  <si>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</si>
  <si>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</si>
  <si>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</si>
  <si>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</si>
  <si>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</si>
  <si>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</si>
  <si>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</si>
  <si>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</si>
  <si>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</si>
  <si>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</si>
  <si>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</si>
  <si>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</si>
  <si>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</si>
  <si>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</si>
  <si>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</si>
  <si>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</si>
  <si>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</si>
  <si>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</si>
  <si>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</si>
  <si>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</si>
  <si>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</si>
  <si>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</si>
  <si>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</si>
  <si>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</si>
  <si>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</si>
  <si>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</si>
  <si>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</si>
  <si>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</si>
  <si>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</si>
  <si>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</si>
  <si>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</si>
  <si>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</si>
  <si>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</si>
  <si>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</si>
  <si>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</si>
  <si>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</si>
  <si>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</si>
  <si>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</si>
  <si>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</si>
  <si>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</si>
  <si>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</si>
  <si>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</si>
  <si>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</si>
  <si>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</si>
  <si>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</si>
  <si>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</si>
  <si>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</si>
  <si>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</si>
  <si>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</si>
  <si>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</si>
  <si>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</si>
  <si>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</si>
  <si>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</si>
  <si>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</si>
  <si>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</si>
  <si>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</si>
  <si>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</si>
  <si>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</si>
  <si>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</si>
  <si>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</si>
  <si>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</si>
  <si>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</si>
  <si>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</si>
  <si>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</si>
  <si>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</si>
  <si>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</si>
  <si>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</si>
  <si>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</si>
  <si>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</si>
  <si>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</si>
  <si>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</si>
  <si>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</si>
  <si>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</si>
  <si>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</si>
  <si>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</si>
  <si>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</si>
  <si>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</si>
  <si>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</si>
  <si>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</si>
  <si>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</si>
  <si>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</si>
  <si>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</si>
  <si>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</si>
  <si>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</si>
  <si>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</si>
  <si>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</si>
  <si>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</si>
  <si>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</si>
  <si>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</si>
  <si>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</si>
  <si>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</si>
  <si>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</si>
  <si>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</si>
  <si>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</si>
  <si>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</si>
  <si>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</si>
  <si>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</si>
  <si>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</si>
  <si>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</si>
  <si>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</si>
  <si>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</si>
  <si>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</si>
  <si>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</si>
  <si>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</si>
  <si>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</si>
  <si>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</si>
  <si>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</si>
  <si>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</si>
  <si>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</si>
  <si>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</si>
  <si>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</si>
  <si>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</si>
  <si>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</si>
  <si>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</si>
  <si>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</si>
  <si>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</si>
  <si>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</si>
  <si>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</si>
  <si>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</si>
  <si>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</si>
  <si>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</si>
  <si>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</si>
  <si>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</si>
  <si>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</si>
  <si>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</si>
  <si>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</si>
  <si>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</si>
  <si>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</si>
  <si>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</si>
  <si>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</si>
  <si>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</si>
  <si>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</si>
  <si>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</si>
  <si>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</si>
  <si>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</si>
  <si>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</si>
  <si>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</si>
  <si>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</si>
  <si>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</si>
  <si>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</si>
  <si>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</si>
  <si>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</si>
  <si>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</si>
  <si>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</si>
  <si>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</si>
  <si>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</si>
  <si>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</si>
  <si>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</si>
  <si>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</si>
  <si>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</si>
  <si>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</si>
  <si>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</si>
  <si>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</si>
  <si>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</si>
  <si>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</si>
  <si>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</si>
  <si>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</si>
  <si>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</si>
  <si>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</si>
  <si>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</si>
  <si>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</si>
  <si>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</si>
  <si>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</si>
  <si>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</si>
  <si>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</si>
  <si>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</si>
  <si>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</si>
  <si>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</si>
  <si>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</si>
  <si>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</si>
  <si>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</si>
  <si>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</si>
  <si>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</si>
  <si>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</si>
  <si>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</si>
  <si>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</si>
  <si>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</si>
  <si>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</si>
  <si>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</si>
  <si>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</si>
  <si>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</si>
  <si>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</si>
  <si>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</si>
  <si>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</si>
  <si>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</si>
  <si>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</si>
  <si>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</si>
  <si>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</si>
  <si>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</si>
  <si>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</si>
  <si>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</si>
  <si>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</si>
  <si>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</si>
  <si>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</si>
  <si>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</si>
  <si>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</si>
  <si>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</si>
  <si>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</si>
  <si>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</si>
  <si>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</si>
  <si>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</si>
  <si>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</si>
  <si>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</si>
  <si>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</si>
  <si>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</si>
  <si>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</si>
  <si>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</si>
  <si>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</si>
  <si>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</si>
  <si>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</si>
  <si>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</si>
  <si>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</si>
  <si>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</si>
  <si>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</si>
  <si>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</si>
  <si>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</si>
  <si>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</si>
  <si>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</si>
  <si>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</si>
  <si>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</si>
  <si>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</si>
  <si>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</si>
  <si>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</si>
  <si>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</si>
  <si>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</si>
  <si>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</si>
  <si>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</si>
  <si>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</si>
  <si>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</si>
  <si>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</si>
  <si>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</si>
  <si>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</si>
  <si>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</si>
  <si>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</si>
  <si>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</si>
  <si>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</si>
  <si>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</si>
  <si>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</si>
  <si>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</si>
  <si>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</si>
  <si>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</si>
  <si>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</si>
  <si>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</si>
  <si>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</si>
  <si>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</si>
  <si>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</si>
  <si>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</si>
  <si>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</si>
  <si>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</si>
  <si>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</si>
  <si>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</si>
  <si>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</si>
  <si>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</si>
  <si>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</si>
  <si>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</si>
  <si>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</si>
  <si>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</si>
  <si>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</si>
  <si>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</si>
  <si>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</si>
  <si>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</si>
  <si>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</si>
  <si>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</si>
  <si>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</si>
  <si>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</si>
  <si>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</si>
  <si>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</si>
  <si>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</si>
  <si>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</si>
  <si>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</si>
  <si>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</si>
  <si>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</si>
  <si>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</si>
  <si>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</si>
  <si>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</si>
  <si>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</si>
  <si>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</si>
  <si>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</si>
  <si>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</si>
  <si>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</si>
  <si>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</si>
  <si>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</si>
  <si>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</si>
  <si>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</si>
  <si>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</si>
  <si>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</si>
  <si>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</si>
  <si>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</si>
  <si>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</si>
  <si>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</si>
  <si>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</si>
  <si>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</si>
  <si>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</si>
  <si>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</si>
  <si>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</si>
  <si>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</si>
  <si>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</si>
  <si>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</si>
  <si>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</si>
  <si>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</si>
  <si>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</si>
  <si>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</si>
  <si>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</si>
  <si>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</si>
  <si>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</si>
  <si>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</si>
  <si>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</si>
  <si>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</si>
  <si>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</si>
  <si>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</si>
  <si>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</si>
  <si>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</si>
  <si>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</si>
  <si>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</si>
  <si>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</si>
  <si>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</si>
  <si>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</si>
  <si>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</si>
  <si>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</si>
  <si>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</si>
  <si>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</si>
  <si>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</si>
  <si>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</si>
  <si>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</si>
  <si>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</si>
  <si>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</si>
  <si>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</si>
  <si>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</si>
  <si>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</si>
  <si>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</si>
  <si>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</si>
  <si>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</si>
  <si>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</si>
  <si>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</si>
  <si>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</si>
  <si>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</si>
  <si>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</si>
  <si>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</si>
  <si>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</si>
  <si>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</si>
  <si>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</si>
  <si>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</si>
  <si>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</si>
  <si>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</si>
  <si>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</si>
  <si>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</si>
  <si>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</si>
  <si>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</si>
  <si>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</si>
  <si>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</si>
  <si>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</si>
  <si>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</si>
  <si>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</si>
  <si>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</si>
  <si>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</si>
  <si>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</si>
  <si>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</si>
  <si>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</si>
  <si>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</si>
  <si>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</si>
  <si>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</si>
  <si>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</si>
  <si>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</si>
  <si>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</si>
  <si>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</si>
  <si>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</si>
  <si>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</si>
  <si>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</si>
  <si>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</si>
  <si>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</si>
  <si>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</si>
  <si>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</si>
  <si>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</si>
  <si>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</si>
  <si>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</si>
  <si>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</si>
  <si>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</si>
  <si>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</si>
  <si>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</si>
  <si>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</si>
  <si>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</si>
  <si>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</si>
  <si>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</si>
  <si>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</si>
  <si>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</si>
  <si>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</si>
  <si>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</si>
  <si>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</si>
  <si>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</si>
  <si>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</si>
  <si>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</si>
  <si>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</si>
  <si>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</si>
  <si>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</si>
  <si>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</si>
  <si>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</si>
  <si>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</si>
  <si>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</si>
  <si>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</si>
  <si>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</si>
  <si>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</si>
  <si>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</si>
  <si>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</si>
  <si>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</si>
  <si>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</si>
  <si>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</si>
  <si>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</si>
  <si>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</si>
  <si>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</si>
  <si>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</si>
  <si>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</si>
  <si>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</si>
  <si>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</si>
  <si>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</si>
  <si>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</si>
  <si>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</si>
  <si>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</si>
  <si>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</si>
  <si>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</si>
  <si>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</si>
  <si>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</si>
  <si>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</si>
  <si>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</si>
  <si>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</si>
  <si>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</si>
  <si>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</si>
  <si>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</si>
  <si>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</si>
  <si>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</si>
  <si>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</si>
  <si>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</si>
  <si>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</si>
  <si>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</si>
  <si>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</si>
  <si>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</si>
  <si>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</si>
  <si>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</si>
  <si>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</si>
  <si>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</si>
  <si>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1.1.0</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</si>
  <si>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</si>
  <si>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</si>
  <si>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</si>
  <si>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</si>
  <si>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</si>
  <si>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</si>
  <si>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</si>
  <si>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</si>
  <si>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</si>
  <si>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</si>
  <si>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</si>
  <si>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</si>
  <si>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</si>
  <si>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</si>
  <si>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</si>
  <si>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</si>
  <si>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</si>
  <si>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</si>
  <si>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</si>
  <si>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</si>
  <si>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</si>
  <si>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</si>
  <si>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</si>
  <si>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</si>
  <si>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</si>
  <si>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</si>
  <si>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</si>
  <si>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</si>
  <si>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</si>
  <si>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</si>
  <si>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</si>
  <si>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</si>
  <si>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</si>
  <si>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</si>
  <si>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</si>
  <si>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</si>
  <si>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</si>
  <si>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</si>
  <si>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</si>
  <si>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</si>
  <si>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</si>
  <si>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</si>
  <si>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</si>
  <si>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</si>
  <si>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</si>
  <si>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</si>
  <si>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</si>
  <si>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</si>
  <si>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</si>
  <si>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</si>
  <si>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</si>
  <si>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</si>
  <si>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</si>
  <si>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</si>
  <si>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</si>
  <si>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</si>
  <si>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</si>
  <si>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</si>
  <si>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</si>
  <si>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</si>
  <si>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</si>
  <si>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</si>
  <si>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</si>
  <si>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</si>
  <si>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</si>
  <si>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</si>
  <si>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</si>
  <si>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</si>
  <si>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</si>
  <si>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</si>
  <si>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</si>
  <si>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</si>
  <si>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</si>
  <si>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</si>
  <si>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</si>
  <si>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</si>
  <si>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</si>
  <si>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</si>
  <si>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</si>
  <si>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</si>
  <si>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</si>
  <si>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</si>
  <si>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</si>
  <si>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</si>
  <si>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</si>
  <si>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</si>
  <si>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</si>
  <si>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</si>
  <si>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</si>
  <si>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</si>
  <si>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</si>
  <si>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</si>
  <si>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</si>
  <si>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</si>
  <si>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</si>
  <si>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</si>
  <si>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</si>
  <si>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</si>
  <si>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</si>
  <si>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</si>
  <si>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</si>
  <si>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</si>
  <si>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</si>
  <si>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</si>
  <si>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</si>
  <si>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</si>
  <si>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</si>
  <si>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</si>
  <si>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</si>
  <si>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</si>
  <si>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</si>
  <si>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</si>
  <si>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</si>
  <si>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</si>
  <si>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</si>
  <si>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</si>
  <si>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</si>
  <si>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</si>
  <si>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</si>
  <si>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</si>
  <si>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</si>
  <si>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</si>
  <si>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</si>
  <si>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</si>
  <si>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</si>
  <si>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</si>
  <si>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</si>
  <si>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</si>
  <si>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</si>
  <si>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</si>
  <si>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</si>
  <si>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</si>
  <si>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</si>
  <si>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</si>
  <si>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</si>
  <si>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</si>
  <si>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</si>
  <si>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</si>
  <si>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</si>
  <si>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</si>
  <si>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</si>
  <si>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</si>
  <si>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</si>
  <si>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</si>
  <si>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</si>
  <si>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</si>
  <si>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</si>
  <si>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</si>
  <si>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</si>
  <si>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</si>
  <si>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</si>
  <si>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</si>
  <si>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</si>
  <si>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</si>
  <si>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</si>
  <si>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</si>
  <si>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</si>
  <si>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</si>
  <si>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</si>
  <si>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</si>
  <si>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</si>
  <si>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</si>
  <si>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</si>
  <si>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</si>
  <si>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</si>
  <si>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</si>
  <si>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</si>
  <si>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</si>
  <si>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</si>
  <si>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</si>
  <si>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</si>
  <si>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</si>
  <si>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</si>
  <si>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</si>
  <si>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</si>
  <si>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</si>
  <si>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</si>
  <si>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</si>
  <si>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</si>
  <si>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</si>
  <si>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</si>
  <si>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</si>
  <si>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</si>
  <si>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</si>
  <si>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</si>
  <si>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</si>
  <si>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</si>
  <si>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</si>
  <si>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</si>
  <si>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</si>
  <si>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</si>
  <si>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</si>
  <si>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</si>
  <si>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</si>
  <si>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</si>
  <si>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</si>
  <si>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</si>
  <si>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</si>
  <si>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</si>
  <si>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</si>
  <si>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</si>
  <si>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</si>
  <si>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</si>
  <si>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</si>
  <si>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</si>
  <si>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</si>
  <si>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</si>
  <si>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</si>
  <si>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</si>
  <si>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</si>
  <si>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</si>
  <si>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</si>
  <si>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</si>
  <si>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</si>
  <si>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</si>
  <si>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</si>
  <si>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</si>
  <si>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</si>
  <si>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</si>
  <si>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</si>
  <si>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</si>
  <si>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</si>
  <si>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</si>
  <si>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</si>
  <si>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</si>
  <si>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</si>
  <si>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</si>
  <si>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</si>
  <si>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</si>
  <si>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</si>
  <si>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</si>
  <si>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</si>
  <si>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</si>
  <si>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</si>
  <si>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</si>
  <si>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</si>
  <si>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</si>
  <si>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</si>
  <si>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</si>
  <si>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</si>
  <si>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</si>
  <si>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</si>
  <si>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</si>
  <si>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</si>
  <si>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</si>
  <si>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</si>
  <si>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</si>
  <si>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</si>
  <si>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</si>
  <si>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</si>
  <si>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</si>
  <si>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</si>
  <si>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</si>
  <si>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</si>
  <si>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</si>
  <si>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</si>
  <si>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</si>
  <si>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</si>
  <si>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</si>
  <si>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</si>
  <si>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</si>
  <si>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</si>
  <si>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</si>
  <si>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</si>
  <si>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</si>
  <si>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</si>
  <si>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</si>
  <si>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</si>
  <si>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</si>
  <si>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</si>
  <si>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</si>
  <si>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</si>
  <si>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</si>
  <si>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</si>
  <si>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</si>
  <si>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</si>
  <si>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</si>
  <si>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</si>
  <si>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</si>
  <si>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</si>
  <si>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</si>
  <si>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</si>
  <si>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</si>
  <si>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</si>
  <si>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</si>
  <si>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</si>
  <si>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</si>
  <si>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</si>
  <si>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</si>
  <si>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</si>
  <si>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</si>
  <si>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</si>
  <si>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</si>
  <si>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</si>
  <si>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</si>
  <si>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</si>
  <si>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</si>
  <si>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</si>
  <si>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</si>
  <si>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</si>
  <si>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</si>
  <si>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</si>
  <si>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</si>
  <si>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</si>
  <si>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</si>
  <si>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</si>
  <si>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</si>
  <si>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</si>
  <si>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</si>
  <si>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</si>
  <si>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</si>
  <si>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</si>
  <si>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</si>
  <si>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</si>
  <si>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</si>
  <si>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</si>
  <si>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</si>
  <si>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</si>
  <si>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</si>
  <si>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</si>
  <si>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</si>
  <si>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</si>
  <si>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</si>
  <si>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</si>
  <si>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</si>
  <si>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</si>
  <si>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</si>
  <si>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</si>
  <si>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</si>
  <si>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</si>
  <si>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</si>
  <si>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</si>
  <si>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</si>
  <si>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</si>
  <si>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</si>
  <si>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</si>
  <si>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</si>
  <si>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</si>
  <si>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</si>
  <si>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</si>
  <si>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</si>
  <si>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</si>
  <si>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</si>
  <si>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</si>
  <si>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</si>
  <si>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</si>
  <si>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</si>
  <si>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</si>
  <si>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</si>
  <si>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</si>
  <si>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</si>
  <si>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</si>
  <si>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</si>
  <si>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</si>
  <si>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</si>
  <si>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</si>
  <si>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</si>
  <si>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</si>
  <si>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</si>
  <si>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</si>
  <si>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</si>
  <si>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</si>
  <si>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</si>
  <si>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</si>
  <si>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</si>
  <si>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</si>
  <si>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</si>
  <si>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</si>
  <si>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</si>
  <si>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</si>
  <si>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</si>
  <si>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</si>
  <si>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</si>
  <si>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</si>
  <si>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</si>
  <si>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</si>
  <si>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</si>
  <si>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</si>
  <si>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</si>
  <si>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</si>
  <si>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</si>
  <si>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</si>
  <si>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</si>
  <si>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</si>
  <si>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</si>
  <si>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</si>
  <si>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</si>
  <si>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</si>
  <si>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</si>
  <si>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</si>
  <si>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</si>
  <si>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</si>
  <si>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</si>
  <si>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</si>
  <si>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</si>
  <si>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</si>
  <si>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</si>
  <si>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</si>
  <si>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</si>
  <si>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</si>
  <si>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</si>
  <si>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</si>
  <si>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</si>
  <si>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</si>
  <si>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</si>
  <si>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</si>
  <si>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</si>
  <si>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</si>
  <si>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</si>
  <si>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</si>
  <si>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</si>
  <si>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</si>
  <si>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</si>
  <si>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</si>
  <si>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</si>
  <si>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</si>
  <si>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</si>
  <si>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</si>
  <si>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</si>
  <si>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</si>
  <si>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</si>
  <si>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</si>
  <si>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</si>
  <si>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</si>
  <si>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</si>
  <si>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</si>
  <si>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</si>
  <si>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</si>
  <si>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</si>
  <si>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</si>
  <si>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</si>
  <si>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</si>
  <si>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</si>
  <si>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</si>
  <si>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</si>
  <si>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</si>
  <si>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</si>
  <si>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</si>
  <si>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</si>
  <si>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</si>
  <si>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</si>
  <si>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</si>
  <si>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</si>
  <si>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</si>
  <si>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</si>
  <si>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</si>
  <si>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</si>
  <si>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</si>
  <si>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</si>
  <si>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</si>
  <si>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</si>
  <si>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</si>
  <si>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</si>
  <si>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</si>
  <si>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</si>
  <si>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</si>
  <si>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</si>
  <si>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</si>
  <si>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</si>
  <si>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</si>
  <si>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</si>
  <si>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</si>
  <si>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</si>
  <si>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</si>
  <si>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</si>
  <si>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</si>
  <si>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</si>
  <si>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</si>
  <si>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</si>
  <si>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</si>
  <si>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</si>
  <si>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</si>
  <si>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</si>
  <si>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</si>
  <si>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</si>
  <si>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</si>
  <si>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</si>
  <si>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</si>
  <si>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</si>
  <si>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</si>
  <si>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</si>
  <si>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</si>
  <si>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</si>
  <si>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</si>
  <si>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</si>
  <si>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</si>
  <si>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</si>
  <si>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</si>
  <si>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</si>
  <si>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</si>
  <si>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</si>
  <si>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</si>
  <si>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</si>
  <si>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</si>
  <si>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</si>
  <si>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</si>
  <si>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</si>
  <si>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</si>
  <si>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</si>
  <si>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</si>
  <si>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</si>
  <si>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</si>
  <si>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</si>
  <si>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</si>
  <si>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</si>
  <si>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</si>
  <si>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</si>
  <si>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</si>
  <si>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</si>
  <si>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</si>
  <si>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</si>
  <si>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</si>
  <si>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</si>
  <si>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</si>
  <si>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</si>
  <si>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</si>
  <si>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</si>
  <si>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</si>
  <si>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</si>
  <si>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</si>
  <si>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</si>
  <si>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</si>
  <si>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</si>
  <si>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</si>
  <si>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</si>
  <si>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</si>
  <si>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</si>
  <si>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</si>
  <si>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</si>
  <si>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</si>
  <si>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</si>
  <si>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</si>
  <si>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</si>
  <si>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</si>
  <si>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</si>
  <si>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</si>
  <si>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</si>
  <si>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</si>
  <si>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</si>
  <si>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</si>
  <si>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</si>
  <si>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</si>
  <si>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</si>
  <si>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</si>
  <si>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</si>
  <si>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</si>
  <si>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</si>
  <si>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</si>
  <si>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</si>
  <si>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</si>
  <si>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</si>
  <si>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</si>
  <si>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</si>
  <si>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</si>
  <si>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</si>
  <si>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</si>
  <si>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</si>
  <si>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</si>
  <si>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</si>
  <si>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</si>
  <si>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</si>
  <si>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</si>
  <si>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</si>
  <si>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</si>
  <si>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</si>
  <si>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</si>
  <si>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</si>
  <si>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</si>
  <si>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</si>
  <si>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</si>
  <si>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</si>
  <si>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</si>
  <si>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</si>
  <si>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</si>
  <si>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</si>
  <si>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</si>
  <si>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</si>
  <si>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</si>
  <si>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</si>
  <si>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</si>
  <si>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</si>
  <si>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</si>
  <si>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</si>
  <si>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</si>
  <si>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</si>
  <si>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</si>
  <si>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</si>
  <si>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</si>
  <si>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</si>
  <si>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</si>
  <si>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</si>
  <si>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</si>
  <si>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</si>
  <si>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</si>
  <si>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</si>
  <si>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</si>
  <si>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</si>
  <si>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</si>
  <si>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</si>
  <si>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</si>
  <si>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</si>
  <si>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</si>
  <si>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</si>
  <si>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</si>
  <si>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</si>
  <si>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</si>
  <si>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</si>
  <si>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</si>
  <si>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</si>
  <si>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</si>
  <si>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</si>
  <si>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</si>
  <si>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</si>
  <si>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</si>
  <si>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</si>
  <si>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</si>
  <si>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</si>
  <si>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</si>
  <si>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</si>
  <si>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</si>
  <si>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</si>
  <si>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</si>
  <si>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</si>
  <si>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</si>
  <si>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</si>
  <si>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</si>
  <si>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</si>
  <si>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</si>
  <si>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</si>
  <si>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</si>
  <si>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</si>
  <si>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</si>
  <si>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</si>
  <si>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</si>
  <si>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</si>
  <si>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</si>
  <si>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</si>
  <si>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</si>
  <si>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</si>
  <si>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</si>
  <si>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</si>
  <si>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</si>
  <si>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</si>
  <si>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</si>
  <si>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</si>
  <si>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</si>
  <si>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</si>
  <si>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</si>
  <si>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</si>
  <si>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</si>
  <si>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</si>
  <si>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</si>
  <si>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</si>
  <si>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</si>
  <si>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</si>
  <si>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</si>
  <si>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</si>
  <si>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</si>
  <si>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</si>
  <si>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</si>
  <si>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</si>
  <si>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</si>
  <si>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</si>
  <si>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</si>
  <si>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</si>
  <si>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</si>
  <si>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</si>
  <si>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</si>
  <si>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</si>
  <si>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</si>
  <si>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</si>
  <si>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</si>
  <si>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</si>
  <si>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</si>
  <si>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</si>
  <si>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</si>
  <si>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</si>
  <si>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</si>
  <si>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</si>
  <si>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</si>
  <si>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</si>
  <si>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</si>
  <si>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</si>
  <si>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</si>
  <si>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</si>
  <si>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</si>
  <si>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</si>
  <si>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</si>
  <si>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</si>
  <si>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</si>
  <si>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</si>
  <si>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</si>
  <si>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</si>
  <si>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</si>
  <si>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</si>
  <si>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</si>
  <si>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</si>
  <si>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</si>
  <si>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</si>
  <si>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</si>
  <si>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</si>
  <si>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</si>
  <si>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</si>
  <si>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</si>
  <si>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</si>
  <si>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</si>
  <si>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</si>
  <si>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</si>
  <si>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</si>
  <si>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</si>
  <si>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</si>
  <si>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</si>
  <si>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</si>
  <si>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</si>
  <si>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</si>
  <si>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</si>
  <si>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</si>
  <si>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</si>
  <si>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</si>
  <si>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</si>
  <si>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</si>
  <si>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</si>
  <si>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</si>
  <si>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</si>
  <si>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</si>
  <si>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</si>
  <si>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</si>
  <si>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</si>
  <si>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</si>
  <si>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</si>
  <si>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</si>
  <si>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</si>
  <si>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</si>
  <si>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</si>
  <si>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</si>
  <si>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</si>
  <si>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</si>
  <si>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</si>
  <si>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</si>
  <si>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</si>
  <si>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</si>
  <si>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</si>
  <si>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</si>
  <si>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</si>
  <si>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</si>
  <si>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</si>
  <si>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</si>
  <si>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</si>
  <si>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</si>
  <si>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</si>
  <si>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</si>
  <si>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</si>
  <si>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</si>
  <si>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</si>
  <si>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</si>
  <si>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</si>
  <si>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</si>
  <si>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</si>
  <si>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</si>
  <si>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</si>
  <si>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</si>
  <si>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</si>
  <si>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</si>
  <si>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</si>
  <si>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</si>
  <si>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</si>
  <si>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</si>
  <si>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</si>
  <si>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</si>
  <si>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</si>
  <si>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</si>
  <si>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</si>
  <si>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</si>
  <si>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</si>
  <si>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</si>
  <si>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</si>
  <si>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</si>
  <si>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</si>
  <si>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</si>
  <si>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</si>
  <si>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</si>
  <si>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</si>
  <si>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</si>
  <si>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</si>
  <si>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</si>
  <si>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</si>
  <si>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</si>
  <si>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</si>
  <si>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</si>
  <si>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</si>
  <si>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</si>
  <si>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</si>
  <si>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</si>
  <si>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</si>
  <si>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</si>
  <si>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</si>
  <si>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</si>
  <si>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</si>
  <si>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</si>
  <si>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</si>
  <si>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</si>
  <si>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</si>
  <si>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</si>
  <si>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</si>
  <si>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</si>
  <si>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</si>
  <si>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</si>
  <si>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</si>
  <si>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</si>
  <si>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</si>
  <si>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</si>
  <si>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</si>
  <si>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</si>
  <si>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</si>
  <si>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</si>
  <si>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</si>
  <si>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</si>
  <si>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</si>
  <si>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</si>
  <si>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</si>
  <si>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</si>
  <si>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</si>
  <si>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</si>
  <si>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</si>
  <si>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</si>
  <si>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</si>
  <si>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</si>
  <si>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</si>
  <si>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</si>
  <si>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</si>
  <si>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</si>
  <si>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</si>
  <si>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</si>
  <si>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</si>
  <si>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</si>
  <si>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</si>
  <si>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</si>
  <si>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</si>
  <si>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</si>
  <si>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</si>
  <si>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</si>
  <si>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</si>
  <si>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</si>
  <si>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</si>
  <si>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</si>
  <si>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</si>
  <si>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</si>
  <si>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</si>
  <si>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</si>
  <si>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</si>
  <si>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</si>
  <si>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</si>
  <si>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</si>
  <si>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</si>
  <si>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</si>
  <si>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</si>
  <si>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</si>
  <si>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</si>
  <si>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</si>
  <si>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</si>
  <si>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</si>
  <si>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</si>
  <si>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</si>
  <si>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</si>
  <si>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</si>
  <si>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</si>
  <si>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</si>
  <si>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</si>
  <si>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</si>
  <si>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</si>
  <si>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</si>
  <si>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</si>
  <si>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</si>
  <si>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</si>
  <si>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</si>
  <si>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</si>
  <si>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</si>
  <si>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</si>
  <si>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</si>
  <si>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</si>
  <si>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</si>
  <si>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</si>
  <si>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</si>
  <si>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</si>
  <si>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</si>
  <si>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</si>
  <si>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</si>
  <si>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</si>
  <si>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</si>
  <si>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</si>
  <si>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</si>
  <si>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</si>
  <si>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</si>
  <si>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</si>
  <si>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</si>
  <si>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</si>
  <si>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</si>
  <si>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</si>
  <si>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</si>
  <si>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</si>
  <si>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</si>
  <si>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</si>
  <si>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</si>
  <si>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</si>
  <si>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</si>
  <si>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</si>
  <si>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</si>
  <si>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</si>
  <si>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</si>
  <si>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</si>
  <si>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</si>
  <si>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</si>
  <si>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</si>
  <si>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</si>
  <si>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</si>
  <si>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</si>
  <si>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</si>
  <si>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</si>
  <si>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</si>
  <si>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</si>
  <si>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</si>
  <si>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</si>
  <si>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</si>
  <si>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</si>
  <si>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</si>
  <si>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</si>
  <si>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</si>
  <si>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</si>
  <si>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</si>
  <si>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</si>
  <si>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</si>
  <si>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</si>
  <si>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</si>
  <si>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</si>
  <si>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</si>
  <si>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</si>
  <si>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</si>
  <si>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</si>
  <si>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</si>
  <si>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</si>
  <si>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</si>
  <si>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</si>
  <si>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</si>
  <si>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</si>
  <si>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</si>
  <si>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</si>
  <si>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</si>
  <si>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</si>
  <si>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</si>
  <si>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</si>
  <si>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</si>
  <si>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</si>
  <si>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</si>
  <si>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</si>
  <si>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</si>
  <si>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</si>
  <si>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</si>
  <si>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</si>
  <si>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</si>
  <si>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</si>
  <si>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</si>
  <si>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</si>
  <si>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</si>
  <si>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</si>
  <si>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</si>
  <si>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</si>
  <si>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</si>
  <si>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</si>
  <si>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</si>
  <si>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</si>
  <si>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</si>
  <si>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</si>
  <si>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</si>
  <si>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</si>
  <si>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</si>
  <si>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</si>
  <si>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</si>
  <si>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</si>
  <si>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</si>
  <si>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</si>
  <si>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</si>
  <si>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</si>
  <si>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</si>
  <si>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</si>
  <si>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</si>
  <si>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</si>
  <si>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</si>
  <si>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</si>
  <si>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</si>
  <si>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</si>
  <si>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</si>
  <si>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</si>
  <si>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</si>
  <si>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</si>
  <si>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</si>
  <si>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</si>
  <si>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</si>
  <si>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</si>
  <si>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</si>
  <si>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</si>
  <si>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</si>
  <si>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</si>
  <si>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</si>
  <si>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</si>
  <si>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</si>
  <si>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</si>
  <si>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</si>
  <si>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</si>
  <si>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</si>
  <si>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</si>
  <si>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</si>
  <si>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</si>
  <si>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</si>
  <si>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</si>
  <si>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</si>
  <si>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</si>
  <si>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</si>
  <si>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</si>
  <si>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</si>
  <si>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</si>
  <si>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</si>
  <si>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</si>
  <si>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</si>
  <si>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</si>
  <si>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</si>
  <si>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</si>
  <si>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</si>
  <si>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</si>
  <si>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</si>
  <si>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</si>
  <si>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</si>
  <si>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</si>
  <si>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</si>
  <si>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</si>
  <si>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</si>
  <si>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</si>
  <si>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</si>
  <si>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</si>
  <si>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</si>
  <si>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</si>
  <si>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</si>
  <si>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</si>
  <si>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</si>
  <si>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</si>
  <si>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</si>
  <si>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</si>
  <si>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</si>
  <si>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</si>
  <si>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</si>
  <si>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</si>
  <si>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</si>
  <si>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</si>
  <si>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</si>
  <si>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</si>
  <si>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</si>
  <si>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</si>
  <si>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</si>
  <si>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</si>
  <si>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</si>
  <si>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</si>
  <si>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</si>
  <si>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</si>
  <si>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</si>
  <si>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</si>
  <si>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</si>
  <si>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</si>
  <si>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</si>
  <si>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</si>
  <si>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</si>
  <si>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</si>
  <si>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</si>
  <si>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</si>
  <si>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</si>
  <si>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</si>
  <si>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</si>
  <si>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</si>
  <si>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</si>
  <si>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</si>
  <si>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</si>
  <si>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</si>
  <si>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</si>
  <si>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</si>
  <si>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</si>
  <si>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</si>
  <si>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</si>
  <si>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</si>
  <si>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</si>
  <si>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</si>
  <si>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</si>
  <si>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</si>
  <si>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</si>
  <si>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</si>
  <si>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</si>
  <si>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</si>
  <si>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</si>
  <si>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</si>
  <si>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</si>
  <si>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</si>
  <si>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</si>
  <si>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</si>
  <si>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</si>
  <si>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</si>
  <si>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</si>
  <si>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</si>
  <si>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</si>
  <si>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</si>
  <si>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</si>
  <si>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</si>
  <si>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</si>
  <si>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</si>
  <si>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</si>
  <si>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</si>
  <si>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</si>
  <si>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</si>
  <si>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</si>
  <si>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</si>
  <si>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</si>
  <si>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</si>
  <si>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</si>
  <si>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</si>
  <si>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</si>
  <si>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</si>
  <si>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</si>
  <si>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</si>
  <si>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</si>
  <si>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</si>
  <si>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</si>
  <si>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</si>
  <si>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</si>
  <si>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</si>
  <si>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</si>
  <si>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</si>
  <si>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</si>
  <si>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</si>
  <si>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</si>
  <si>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</si>
  <si>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</si>
  <si>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</si>
  <si>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</si>
  <si>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</si>
  <si>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</si>
  <si>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</si>
  <si>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</si>
  <si>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</si>
  <si>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</si>
  <si>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</si>
  <si>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</si>
  <si>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</si>
  <si>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</si>
  <si>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</si>
  <si>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</si>
  <si>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</si>
  <si>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</si>
  <si>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</si>
  <si>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</si>
  <si>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</si>
  <si>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</si>
  <si>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</si>
  <si>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</si>
  <si>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</si>
  <si>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</si>
  <si>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</si>
  <si>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</si>
  <si>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</si>
  <si>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</si>
  <si>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</si>
  <si>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</si>
  <si>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</si>
  <si>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</si>
  <si>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</si>
  <si>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</si>
  <si>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</si>
  <si>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</si>
  <si>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</si>
  <si>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</si>
  <si>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</si>
  <si>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</si>
  <si>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</si>
  <si>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</si>
  <si>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</si>
  <si>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</si>
  <si>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</si>
  <si>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</si>
  <si>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</si>
  <si>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</si>
  <si>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</si>
  <si>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</si>
  <si>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</si>
  <si>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</si>
  <si>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</si>
  <si>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</si>
  <si>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</si>
  <si>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</si>
  <si>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</si>
  <si>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</si>
  <si>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</si>
  <si>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</si>
  <si>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</si>
  <si>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</si>
  <si>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</si>
  <si>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</si>
  <si>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</si>
  <si>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</si>
  <si>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</si>
  <si>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</si>
  <si>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</si>
  <si>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</si>
  <si>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</si>
  <si>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</si>
  <si>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</si>
  <si>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</si>
  <si>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</si>
  <si>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</si>
  <si>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</si>
  <si>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</si>
  <si>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</si>
  <si>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</si>
  <si>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</si>
  <si>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</si>
  <si>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</si>
  <si>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</si>
  <si>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</si>
  <si>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</si>
  <si>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</si>
  <si>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</si>
  <si>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</si>
  <si>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</si>
  <si>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</si>
  <si>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</si>
  <si>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</si>
  <si>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</si>
  <si>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</si>
  <si>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</si>
  <si>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</si>
  <si>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</si>
  <si>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</si>
  <si>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</si>
  <si>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</si>
  <si>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</si>
  <si>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</si>
  <si>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</si>
  <si>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</si>
  <si>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</si>
  <si>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</si>
  <si>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</si>
  <si>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</si>
  <si>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</si>
  <si>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</si>
  <si>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</si>
  <si>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</si>
  <si>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</si>
  <si>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</si>
  <si>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</si>
  <si>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</si>
  <si>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</si>
  <si>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</si>
  <si>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</si>
  <si>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</si>
  <si>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</si>
  <si>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</si>
  <si>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</si>
  <si>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</si>
  <si>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</si>
  <si>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</si>
  <si>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</si>
  <si>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</si>
  <si>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</si>
  <si>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</si>
  <si>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</si>
  <si>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</si>
  <si>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</si>
  <si>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</si>
  <si>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</si>
  <si>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</si>
  <si>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</si>
  <si>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</si>
  <si>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</si>
  <si>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</si>
  <si>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</si>
  <si>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</si>
  <si>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</si>
  <si>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</si>
  <si>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</si>
  <si>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</si>
  <si>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</si>
  <si>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</si>
  <si>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</si>
  <si>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</si>
  <si>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</si>
  <si>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</si>
  <si>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</si>
  <si>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</si>
  <si>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</si>
  <si>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</si>
  <si>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</si>
  <si>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</si>
  <si>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</si>
  <si>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</si>
  <si>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</si>
  <si>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</si>
  <si>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</si>
  <si>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</si>
  <si>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</si>
  <si>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</si>
  <si>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</si>
  <si>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</si>
  <si>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</si>
  <si>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</si>
  <si>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</si>
  <si>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</si>
  <si>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</si>
  <si>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</si>
  <si>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</si>
  <si>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</si>
  <si>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</si>
  <si>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</si>
  <si>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</si>
  <si>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</si>
  <si>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</si>
  <si>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</si>
  <si>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</si>
  <si>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</si>
  <si>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</si>
  <si>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</si>
  <si>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</si>
  <si>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</si>
  <si>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</si>
  <si>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</si>
  <si>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</si>
  <si>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</si>
  <si>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</si>
  <si>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</si>
  <si>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</si>
  <si>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</si>
  <si>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</si>
  <si>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</si>
  <si>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</si>
  <si>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</si>
  <si>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</si>
  <si>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</si>
  <si>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</si>
  <si>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</si>
  <si>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</si>
  <si>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</si>
  <si>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</si>
  <si>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</si>
  <si>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</si>
  <si>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</si>
  <si>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</si>
  <si>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</si>
  <si>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</si>
  <si>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</si>
  <si>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</si>
  <si>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</si>
  <si>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</si>
  <si>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</si>
  <si>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</si>
  <si>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</si>
  <si>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</si>
  <si>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</si>
  <si>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</si>
  <si>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</si>
  <si>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</si>
  <si>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</si>
  <si>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</si>
  <si>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</si>
  <si>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</si>
  <si>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</si>
  <si>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</si>
  <si>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</si>
  <si>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</si>
  <si>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</si>
  <si>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</si>
  <si>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</si>
  <si>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</si>
  <si>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</si>
  <si>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</si>
  <si>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</si>
  <si>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</si>
  <si>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</si>
  <si>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</si>
  <si>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</si>
  <si>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</si>
  <si>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</si>
  <si>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</si>
  <si>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</si>
  <si>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</si>
  <si>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</si>
  <si>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</si>
  <si>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</si>
  <si>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</si>
  <si>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</si>
  <si>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</si>
  <si>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</si>
  <si>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</si>
  <si>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</si>
  <si>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</si>
  <si>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</si>
  <si>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</si>
  <si>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</si>
  <si>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</si>
  <si>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</si>
  <si>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</si>
  <si>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</si>
  <si>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</si>
  <si>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</si>
  <si>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</si>
  <si>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</si>
  <si>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</si>
  <si>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</si>
  <si>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</si>
  <si>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</si>
  <si>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</si>
  <si>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</si>
  <si>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</si>
  <si>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</si>
  <si>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</si>
  <si>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</si>
  <si>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</si>
  <si>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</si>
  <si>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</si>
  <si>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</si>
  <si>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</si>
  <si>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</si>
  <si>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</si>
  <si>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</si>
  <si>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</si>
  <si>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</si>
  <si>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</si>
  <si>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</si>
  <si>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</si>
  <si>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</si>
  <si>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</si>
  <si>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</si>
  <si>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</si>
  <si>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</si>
  <si>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</si>
  <si>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</si>
  <si>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</si>
  <si>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</si>
  <si>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</si>
  <si>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</si>
  <si>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</si>
  <si>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</si>
  <si>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</si>
  <si>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</si>
  <si>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</si>
  <si>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</si>
  <si>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</si>
  <si>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</si>
  <si>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</si>
  <si>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</si>
  <si>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</si>
  <si>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</si>
  <si>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</si>
  <si>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</si>
  <si>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</si>
  <si>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</si>
  <si>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</si>
  <si>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</si>
  <si>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</si>
  <si>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</si>
  <si>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</si>
  <si>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</si>
  <si>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</si>
  <si>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</si>
  <si>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</si>
  <si>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</si>
  <si>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</si>
  <si>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</si>
  <si>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</si>
  <si>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</si>
  <si>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</si>
  <si>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B11 – Condenas y multas por corrupción y soborno</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</si>
  <si>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</si>
  <si>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</si>
  <si>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</si>
  <si>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</si>
  <si>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</si>
  <si>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</si>
  <si>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</si>
  <si>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</si>
  <si>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</si>
  <si>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</si>
  <si>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</si>
  <si>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</si>
  <si>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</si>
  <si>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</si>
  <si>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</si>
  <si>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</si>
  <si>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</si>
  <si>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</si>
  <si>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</si>
  <si>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</si>
  <si>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</si>
  <si>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</si>
  <si>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</si>
  <si>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</si>
  <si>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</si>
  <si>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</si>
  <si>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</si>
  <si>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</si>
  <si>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</si>
  <si>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</si>
  <si>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</si>
  <si>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</si>
  <si>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</si>
  <si>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</si>
  <si>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</si>
  <si>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</si>
  <si>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</si>
  <si>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</si>
  <si>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</si>
  <si>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</si>
  <si>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</si>
  <si>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</si>
  <si>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</si>
  <si>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</si>
  <si>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</si>
  <si>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</si>
  <si>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</si>
  <si>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</si>
  <si>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</si>
  <si>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</si>
  <si>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</si>
  <si>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</si>
  <si>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</si>
  <si>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</si>
  <si>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</si>
  <si>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</si>
  <si>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</si>
  <si>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</si>
  <si>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</si>
  <si>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</si>
  <si>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</si>
  <si>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</si>
  <si>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</si>
  <si>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</si>
  <si>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Informacje o sprawozdaniu niezbędne dla XBRL</t>
  </si>
  <si>
    <t>Informacje o poprzednim okresie sprawozdawczym</t>
  </si>
  <si>
    <t>B1 – Podstawa sporządzenia</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</si>
  <si>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</si>
  <si>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</si>
  <si>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</si>
  <si>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</si>
  <si>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</si>
  <si>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</si>
  <si>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B3 – Energia i emisje gazów cieplarnianych</t>
  </si>
  <si>
    <t>Szacunkowa emisja gazów cieplarnianych z uwzględnieniem wymogów GHG Protocol Corporate Standard w wersji z 2004 r. (w tCO2e)</t>
  </si>
  <si>
    <t>Intensywność emisji gazów cieplarnianych na jednostkę obrotu</t>
  </si>
  <si>
    <t>B5 – Bioróżnorodność</t>
  </si>
  <si>
    <t>Lokalizacje na obszarach wrażliwych pod względem bioróżnorodności</t>
  </si>
  <si>
    <t>Bioróżnorodność - użytkowanie gruntów</t>
  </si>
  <si>
    <t>B6 – Woda</t>
  </si>
  <si>
    <t>B7 – Wykorzystanie zasobów, gospodarka o obiegu zamkniętym i gospodarowanie odpadami</t>
  </si>
  <si>
    <t>Odpady wytworzone</t>
  </si>
  <si>
    <t>Roczny przepływ masowy istotnych wykorzystywanych materiałów</t>
  </si>
  <si>
    <t>Ujawnienia społeczne</t>
  </si>
  <si>
    <t>B8 – Zasoby pracownicze – Charakterystyka ogólna</t>
  </si>
  <si>
    <t>B9 - Zasoby pracownicze – Bezpieczeństwo i higiena pracy</t>
  </si>
  <si>
    <t>B10 – Zasoby pracownicze – wynagrodzenie, rokowania zbiorowe i szkolenia</t>
  </si>
  <si>
    <t>Ujawnienia odnoszące się do ładu korporacyjnego</t>
  </si>
  <si>
    <t>B11 – Wyroki skazujące i grzywny za naruszenie przepisów antykorupcyjnych i przepisów w sprawie zwalczania przekupstwa</t>
  </si>
  <si>
    <t>C1 – Strategia: model biznesowy i zrównoważony rozwój – powiązane inicjatywy</t>
  </si>
  <si>
    <t>C3 – Cele redukcji emisji gazów cieplarnianych i transformacja klimatyczna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</si>
  <si>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</si>
  <si>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</si>
  <si>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</si>
  <si>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C4 – Ryzyka związane z klimatem</t>
  </si>
  <si>
    <t>C5 – Dodatkowa (ogólna) charakterystyka pracowników</t>
  </si>
  <si>
    <t>C6 – Dodatkowe informacje dotyczące własnych zasobów pracowniczych – polityki i procesy dotyczące praw człowieka</t>
  </si>
  <si>
    <t>C7 – Poważne incydenty dotyczące praw człowieka</t>
  </si>
  <si>
    <t>C8 – Przychody z niektórych rodzajów działalności i wykluczenie z unijnych wskaźników referencyjnych</t>
  </si>
  <si>
    <t>Przychody z niektórych rodzajów działalności</t>
  </si>
  <si>
    <t>C9 - Wskaźnik zróżnicowania organu zarządzającego pod względem płci</t>
  </si>
  <si>
    <t>Dodatkowe ujawnienia</t>
  </si>
  <si>
    <t>Ujawnienie innych informacji ogólnych i/lub specyficznych dla jednostki dotyczących okresu sprawozdawczego</t>
  </si>
  <si>
    <t>Ujawnienie innych informacji środowiskowych i/lub informacji środowiskowych specyficznych dla jednostki</t>
  </si>
  <si>
    <t>Ujawnienie innych informacji społecznych i/lub informacji społecznych specyficznych dla jednostki</t>
  </si>
  <si>
    <t>Ujawnienie innych informacji odnoszących się do ładu korporacyjnego i/lub informacji odnoszących się do ładu korporacyjnego specyficznych dla jednostki</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</si>
  <si>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</si>
  <si>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</si>
  <si>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</si>
  <si>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</si>
  <si>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</si>
  <si>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</si>
  <si>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</si>
  <si>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</si>
  <si>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</si>
  <si>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</si>
  <si>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</si>
  <si>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</si>
  <si>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</si>
  <si>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</si>
  <si>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</si>
  <si>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</si>
  <si>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</si>
  <si>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</si>
  <si>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</si>
  <si>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</si>
  <si>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</si>
  <si>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</si>
  <si>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</si>
  <si>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</si>
  <si>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</si>
  <si>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</si>
  <si>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</si>
  <si>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</si>
  <si>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</si>
  <si>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</si>
  <si>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</si>
  <si>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</si>
  <si>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</si>
  <si>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</si>
  <si>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</si>
  <si>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</si>
  <si>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</si>
  <si>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</si>
  <si>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</si>
  <si>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</si>
  <si>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</si>
  <si>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</si>
  <si>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</si>
  <si>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</si>
  <si>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</si>
  <si>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</si>
  <si>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</si>
  <si>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</si>
  <si>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</si>
  <si>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</si>
  <si>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</si>
  <si>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</si>
  <si>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</si>
  <si>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</si>
  <si>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</si>
  <si>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</si>
  <si>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</si>
  <si>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</si>
  <si>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</si>
  <si>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</si>
  <si>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</si>
  <si>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</si>
  <si>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</si>
  <si>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</si>
  <si>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</si>
  <si>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</si>
  <si>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</si>
  <si>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</si>
  <si>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</si>
  <si>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</si>
  <si>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</si>
  <si>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</si>
  <si>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</si>
  <si>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</si>
  <si>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</si>
  <si>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</si>
  <si>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</si>
  <si>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</si>
  <si>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</si>
  <si>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</si>
  <si>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</si>
  <si>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</si>
  <si>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</si>
  <si>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</si>
  <si>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</si>
  <si>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</si>
  <si>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</si>
  <si>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</si>
  <si>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</si>
  <si>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</si>
  <si>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</si>
  <si>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</si>
  <si>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</si>
  <si>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</si>
  <si>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</si>
  <si>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</si>
  <si>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</si>
  <si>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</si>
  <si>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</si>
  <si>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</si>
  <si>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</si>
  <si>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</si>
  <si>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</si>
  <si>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</si>
  <si>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</si>
  <si>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</si>
  <si>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</si>
  <si>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</si>
  <si>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</si>
  <si>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</si>
  <si>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</si>
  <si>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</si>
  <si>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</si>
  <si>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</si>
  <si>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</si>
  <si>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</si>
  <si>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</si>
  <si>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</si>
  <si>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</si>
  <si>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</si>
  <si>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</si>
  <si>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</si>
  <si>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</si>
  <si>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</si>
  <si>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</si>
  <si>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</si>
  <si>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</si>
  <si>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</si>
  <si>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</si>
  <si>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</si>
  <si>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</si>
  <si>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</si>
  <si>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</si>
  <si>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</si>
  <si>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</si>
  <si>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</si>
  <si>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</si>
  <si>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</si>
  <si>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</si>
  <si>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</si>
  <si>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</si>
  <si>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</si>
  <si>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</si>
  <si>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</si>
  <si>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</si>
  <si>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</si>
  <si>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</si>
  <si>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</si>
  <si>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</si>
  <si>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</si>
  <si>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</si>
  <si>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</si>
  <si>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</si>
  <si>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</si>
  <si>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</si>
  <si>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</si>
  <si>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</si>
  <si>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</si>
  <si>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</si>
  <si>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</si>
  <si>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</si>
  <si>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</si>
  <si>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</si>
  <si>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</si>
  <si>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</si>
  <si>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</si>
  <si>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</si>
  <si>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</si>
  <si>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</si>
  <si>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</si>
  <si>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</si>
  <si>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</si>
  <si>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</si>
  <si>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 w okresie sprawozdawczym</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</si>
  <si>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</si>
  <si>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</si>
  <si>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</si>
  <si>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</si>
  <si>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</si>
  <si>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</si>
  <si>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</si>
  <si>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</si>
  <si>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praca dzieci</t>
  </si>
  <si>
    <t>praca przymusowa</t>
  </si>
  <si>
    <t>handel ludźmi</t>
  </si>
  <si>
    <t>dyskryminacja</t>
  </si>
  <si>
    <t>zapobieganie wypadkom</t>
  </si>
  <si>
    <t>inne kwestie? (TAK/NIE – jeśli tak, jakie?)</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</si>
  <si>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</si>
  <si>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</si>
  <si>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</si>
  <si>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</si>
  <si>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</si>
  <si>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</si>
  <si>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</si>
  <si>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</si>
  <si>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</si>
  <si>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</si>
  <si>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</si>
  <si>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</si>
  <si>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</si>
  <si>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</si>
  <si>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</si>
  <si>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</si>
  <si>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</si>
  <si>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</si>
  <si>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</si>
  <si>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</si>
  <si>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</si>
  <si>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</si>
  <si>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</si>
  <si>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</si>
  <si>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</si>
  <si>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</si>
  <si>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</si>
  <si>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</si>
  <si>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</si>
  <si>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</si>
  <si>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</si>
  <si>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</si>
  <si>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</si>
  <si>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</si>
  <si>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</si>
  <si>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</si>
  <si>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</si>
  <si>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</si>
  <si>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</si>
  <si>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</si>
  <si>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</si>
  <si>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</si>
  <si>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</si>
  <si>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</si>
  <si>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</si>
  <si>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</si>
  <si>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</si>
  <si>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</si>
  <si>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</si>
  <si>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</si>
  <si>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</si>
  <si>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</si>
  <si>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</si>
  <si>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</si>
  <si>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</si>
  <si>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</si>
  <si>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</si>
  <si>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</si>
  <si>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</si>
  <si>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</si>
  <si>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</si>
  <si>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</si>
  <si>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</si>
  <si>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</si>
  <si>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</si>
  <si>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</si>
  <si>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</si>
  <si>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</si>
  <si>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</si>
  <si>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</si>
  <si>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</si>
  <si>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</si>
  <si>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</si>
  <si>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</si>
  <si>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</si>
  <si>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</si>
  <si>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</si>
  <si>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</si>
  <si>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</si>
  <si>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</si>
  <si>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</si>
  <si>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</si>
  <si>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</si>
  <si>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</si>
  <si>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</si>
  <si>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</si>
  <si>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</si>
  <si>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</si>
  <si>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</si>
  <si>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</si>
  <si>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</si>
  <si>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</si>
  <si>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</si>
  <si>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</si>
  <si>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</si>
  <si>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</si>
  <si>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</si>
  <si>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</si>
  <si>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</si>
  <si>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</si>
  <si>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</si>
  <si>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</si>
  <si>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</si>
  <si>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</si>
  <si>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</si>
  <si>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</si>
  <si>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</si>
  <si>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</si>
  <si>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</si>
  <si>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</si>
  <si>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</si>
  <si>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</si>
  <si>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</si>
  <si>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</si>
  <si>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</si>
  <si>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</si>
  <si>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</si>
  <si>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</si>
  <si>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</si>
  <si>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</si>
  <si>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</si>
  <si>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</si>
  <si>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</si>
  <si>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</si>
  <si>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</si>
  <si>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</si>
  <si>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</si>
  <si>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</si>
  <si>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</si>
  <si>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</si>
  <si>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</si>
  <si>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</si>
  <si>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</si>
  <si>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</si>
  <si>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</si>
  <si>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</si>
  <si>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</si>
  <si>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</si>
  <si>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</si>
  <si>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</si>
  <si>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</si>
  <si>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</si>
  <si>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</si>
  <si>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</si>
  <si>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</si>
  <si>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</si>
  <si>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</si>
  <si>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</si>
  <si>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</si>
  <si>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</si>
  <si>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</si>
  <si>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</si>
  <si>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</si>
  <si>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</si>
  <si>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</si>
  <si>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</si>
  <si>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</si>
  <si>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</si>
  <si>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</si>
  <si>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</si>
  <si>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</si>
  <si>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</si>
  <si>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</si>
  <si>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</si>
  <si>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</si>
  <si>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</si>
  <si>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</si>
  <si>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</si>
  <si>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</si>
  <si>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</si>
  <si>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</si>
  <si>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</si>
  <si>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</si>
  <si>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</si>
  <si>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</si>
  <si>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B1 – Base para la elaboración</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</si>
  <si>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</si>
  <si>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</si>
  <si>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</si>
  <si>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</si>
  <si>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</si>
  <si>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</si>
  <si>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B3 - Energía y emisiones de gases de efecto invernadero</t>
  </si>
  <si>
    <t>Emisiones brutas estimadas de gases de efecto invernadero considerando el Protocolo GHG versión 2004 (en tCO2e)</t>
  </si>
  <si>
    <t>Intensidad de emisión de gases de efecto invernadero por volumen de negocios</t>
  </si>
  <si>
    <t>B4 – Contaminación de la atmósfera, del agua y del suelo</t>
  </si>
  <si>
    <t>B5 – Biodiversidad</t>
  </si>
  <si>
    <t>Sitios en zonas sensibles para la biodiversidad</t>
  </si>
  <si>
    <t>B6 – Agua</t>
  </si>
  <si>
    <t>· B7 - Uso de los recursos, economía circular y gestión de residuos</t>
  </si>
  <si>
    <t>Flujo de masa anual de materiales pertinentes utilizados</t>
  </si>
  <si>
    <t>Divulgaciones Sociales</t>
  </si>
  <si>
    <t>B8 – Trabajadores – Características generales</t>
  </si>
  <si>
    <t>B9 – Trabajadores – Salud y seguridad</t>
  </si>
  <si>
    <t>B10 – Trabajadores – Retribución, negociación colectiva y formación</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</si>
  <si>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</si>
  <si>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</si>
  <si>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</si>
  <si>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</si>
  <si>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</si>
  <si>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</si>
  <si>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</si>
  <si>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</si>
  <si>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</si>
  <si>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Divulgación de cualquier otra información general y/o específica de la entidad sobre el período de informe</t>
  </si>
  <si>
    <t>Divulgación de cualquier otra información social y/o información social específica de la entidad</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</si>
  <si>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</si>
  <si>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</si>
  <si>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</si>
  <si>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</si>
  <si>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</si>
  <si>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</si>
  <si>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</si>
  <si>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</si>
  <si>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</si>
  <si>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</si>
  <si>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</si>
  <si>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</si>
  <si>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</si>
  <si>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</si>
  <si>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</si>
  <si>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</si>
  <si>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</si>
  <si>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</si>
  <si>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</si>
  <si>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</si>
  <si>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</si>
  <si>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</si>
  <si>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</si>
  <si>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</si>
  <si>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</si>
  <si>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</si>
  <si>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</si>
  <si>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</si>
  <si>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</si>
  <si>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</si>
  <si>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</si>
  <si>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</si>
  <si>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</si>
  <si>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</si>
  <si>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</si>
  <si>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</si>
  <si>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</si>
  <si>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</si>
  <si>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</si>
  <si>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</si>
  <si>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</si>
  <si>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</si>
  <si>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</si>
  <si>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</si>
  <si>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</si>
  <si>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</si>
  <si>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</si>
  <si>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</si>
  <si>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</si>
  <si>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</si>
  <si>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</si>
  <si>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</si>
  <si>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</si>
  <si>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</si>
  <si>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</si>
  <si>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</si>
  <si>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</si>
  <si>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</si>
  <si>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</si>
  <si>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</si>
  <si>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</si>
  <si>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</si>
  <si>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</si>
  <si>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</si>
  <si>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</si>
  <si>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</si>
  <si>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</si>
  <si>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</si>
  <si>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</si>
  <si>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</si>
  <si>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</si>
  <si>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</si>
  <si>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</si>
  <si>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</si>
  <si>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</si>
  <si>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</si>
  <si>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</si>
  <si>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</si>
  <si>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</si>
  <si>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</si>
  <si>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</si>
  <si>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</si>
  <si>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</si>
  <si>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</si>
  <si>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</si>
  <si>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</si>
  <si>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</si>
  <si>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</si>
  <si>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</si>
  <si>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</si>
  <si>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</si>
  <si>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</si>
  <si>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</si>
  <si>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</si>
  <si>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</si>
  <si>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</si>
  <si>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</si>
  <si>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</si>
  <si>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</si>
  <si>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</si>
  <si>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</si>
  <si>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</si>
  <si>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</si>
  <si>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</si>
  <si>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</si>
  <si>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</si>
  <si>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</si>
  <si>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</si>
  <si>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</si>
  <si>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</si>
  <si>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</si>
  <si>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</si>
  <si>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</si>
  <si>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</si>
  <si>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</si>
  <si>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</si>
  <si>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</si>
  <si>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</si>
  <si>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</si>
  <si>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</si>
  <si>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</si>
  <si>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</si>
  <si>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</si>
  <si>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</si>
  <si>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</si>
  <si>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</si>
  <si>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</si>
  <si>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</si>
  <si>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</si>
  <si>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</si>
  <si>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</si>
  <si>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</si>
  <si>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</si>
  <si>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</si>
  <si>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</si>
  <si>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</si>
  <si>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de horas anuales de formación por empleado durante el período de información</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</si>
  <si>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</si>
  <si>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</si>
  <si>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</si>
  <si>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</si>
  <si>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</si>
  <si>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</si>
  <si>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</si>
  <si>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</si>
  <si>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</si>
  <si>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</si>
  <si>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</si>
  <si>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</si>
  <si>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</si>
  <si>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</si>
  <si>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</si>
  <si>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</si>
  <si>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</si>
  <si>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</si>
  <si>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</si>
  <si>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</si>
  <si>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</si>
  <si>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</si>
  <si>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</si>
  <si>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</si>
  <si>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</si>
  <si>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</si>
  <si>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</si>
  <si>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</si>
  <si>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</si>
  <si>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</si>
  <si>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</si>
  <si>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</si>
  <si>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</si>
  <si>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</si>
  <si>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</si>
  <si>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</si>
  <si>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</si>
  <si>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</si>
  <si>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</si>
  <si>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</si>
  <si>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</si>
  <si>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</si>
  <si>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</si>
  <si>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</si>
  <si>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</si>
  <si>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</si>
  <si>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</si>
  <si>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</si>
  <si>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</si>
  <si>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</si>
  <si>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</si>
  <si>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</si>
  <si>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</si>
  <si>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</si>
  <si>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</si>
  <si>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</si>
  <si>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</si>
  <si>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</si>
  <si>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</si>
  <si>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</si>
  <si>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</si>
  <si>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</si>
  <si>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</si>
  <si>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</si>
  <si>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</si>
  <si>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</si>
  <si>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</si>
  <si>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</si>
  <si>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</si>
  <si>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</si>
  <si>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</si>
  <si>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</si>
  <si>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</si>
  <si>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</si>
  <si>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</si>
  <si>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</si>
  <si>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</si>
  <si>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</si>
  <si>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</si>
  <si>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</si>
  <si>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</si>
  <si>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</si>
  <si>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</si>
  <si>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</si>
  <si>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</si>
  <si>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</si>
  <si>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</si>
  <si>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</si>
  <si>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</si>
  <si>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</si>
  <si>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</si>
  <si>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</si>
  <si>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</si>
  <si>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C8 – Ingresos de determinadas actividades y exclusión de los índices de referencia de la UE</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</si>
  <si>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</si>
  <si>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</si>
  <si>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</si>
  <si>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</si>
  <si>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</si>
  <si>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</si>
  <si>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</si>
  <si>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</si>
  <si>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</si>
  <si>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</si>
  <si>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</si>
  <si>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</si>
  <si>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</si>
  <si>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</si>
  <si>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</si>
  <si>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</si>
  <si>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</si>
  <si>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</si>
  <si>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</si>
  <si>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</si>
  <si>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</si>
  <si>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</si>
  <si>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</si>
  <si>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</si>
  <si>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</si>
  <si>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</si>
  <si>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</si>
  <si>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</si>
  <si>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</si>
  <si>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</si>
  <si>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</si>
  <si>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</si>
  <si>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</si>
  <si>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</si>
  <si>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</si>
  <si>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</si>
  <si>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</si>
  <si>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</si>
  <si>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</si>
  <si>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</si>
  <si>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</si>
  <si>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B1. Ataskaitos rengimo pagrindas</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</si>
  <si>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</si>
  <si>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</si>
  <si>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</si>
  <si>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</si>
  <si>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</si>
  <si>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</si>
  <si>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</si>
  <si>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</si>
  <si>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</si>
  <si>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</si>
  <si>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</si>
  <si>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B4. Oro, vandens ir dirvožemio tarša</t>
  </si>
  <si>
    <t xml:space="preserve">B5. Biologinė įvairovė
</t>
  </si>
  <si>
    <t>Objektai biologinei įvairovei jautriose teritorijose</t>
  </si>
  <si>
    <t>Biologinė įvairovė – žemės sunaudojimas</t>
  </si>
  <si>
    <t>B6 – Vanduo</t>
  </si>
  <si>
    <t>Vandens išgavimas</t>
  </si>
  <si>
    <t>· B7 - Išteklių naudojimas, žiedinė ekonomika ir atliekų tvarkymas</t>
  </si>
  <si>
    <t>Metinis reikšmingų naudojamų medžiagų sunaudojimas</t>
  </si>
  <si>
    <t>Socialinių rodiklių atskleidimai</t>
  </si>
  <si>
    <t>B8 - Darbuotojai - Bendrieji rodikliai</t>
  </si>
  <si>
    <t>Sutarties tipas</t>
  </si>
  <si>
    <t>Šalis, kurioje dirbama</t>
  </si>
  <si>
    <t>B9 - Darbuotojai - Sveikata ir sauga</t>
  </si>
  <si>
    <t>B10 - Darbuotojai – Atlyginimas, kolektyvinės derybos ir mokymai</t>
  </si>
  <si>
    <t>Valdysenos rodiklių atskleidimai</t>
  </si>
  <si>
    <t>B11 - Nuosprendžiai ir baudos už korupciją ir kyšininkavimą</t>
  </si>
  <si>
    <t>IŠSAMUSIS MODULIS</t>
  </si>
  <si>
    <t>C1. Strategija: verslo modelis ir su tvarumu susijusios iniciatyvos</t>
  </si>
  <si>
    <t>C2. Perėjimo prie tvaresnės ekonomikos praktikų, politikos ir būsimų iniciatyvų aprašymas</t>
  </si>
  <si>
    <t>C3 – ŠESD emisijų mažinimo tikslai ir klimato perėjimo planas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</si>
  <si>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</si>
  <si>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</si>
  <si>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</si>
  <si>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C4 – Klimato rizikos</t>
  </si>
  <si>
    <t>· C5 - Papildomi (bendrieji) darbuotojų rodikliai</t>
  </si>
  <si>
    <t>C6 - Papildoma darbuotojų informacija - Žmogaus teisių politika ir procesai</t>
  </si>
  <si>
    <t>C7 - Dideli neigiami incidentai žmogaus teisių srityje</t>
  </si>
  <si>
    <t>Neįtraukimai į ES lyginamuosius etalonus</t>
  </si>
  <si>
    <t>C9 - Lyčių įvairovės rodiklis valdymo organe</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</si>
  <si>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</si>
  <si>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</si>
  <si>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</si>
  <si>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</si>
  <si>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</si>
  <si>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</si>
  <si>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</si>
  <si>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</si>
  <si>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</si>
  <si>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</si>
  <si>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</si>
  <si>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</si>
  <si>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</si>
  <si>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</si>
  <si>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</si>
  <si>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</si>
  <si>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</si>
  <si>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</si>
  <si>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</si>
  <si>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</si>
  <si>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</si>
  <si>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</si>
  <si>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</si>
  <si>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</si>
  <si>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</si>
  <si>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</si>
  <si>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</si>
  <si>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</si>
  <si>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</si>
  <si>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</si>
  <si>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</si>
  <si>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</si>
  <si>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</si>
  <si>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</si>
  <si>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</si>
  <si>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</si>
  <si>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</si>
  <si>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</si>
  <si>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</si>
  <si>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</si>
  <si>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</si>
  <si>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</si>
  <si>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</si>
  <si>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</si>
  <si>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</si>
  <si>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</si>
  <si>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</si>
  <si>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</si>
  <si>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</si>
  <si>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</si>
  <si>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</si>
  <si>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</si>
  <si>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</si>
  <si>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</si>
  <si>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</si>
  <si>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</si>
  <si>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</si>
  <si>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</si>
  <si>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</si>
  <si>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</si>
  <si>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</si>
  <si>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</si>
  <si>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</si>
  <si>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</si>
  <si>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</si>
  <si>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</si>
  <si>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</si>
  <si>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</si>
  <si>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</si>
  <si>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</si>
  <si>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</si>
  <si>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</si>
  <si>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</si>
  <si>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</si>
  <si>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</si>
  <si>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</si>
  <si>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</si>
  <si>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</si>
  <si>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</si>
  <si>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</si>
  <si>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</si>
  <si>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</si>
  <si>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</si>
  <si>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</si>
  <si>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</si>
  <si>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</si>
  <si>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</si>
  <si>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</si>
  <si>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</si>
  <si>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</si>
  <si>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</si>
  <si>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</si>
  <si>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</si>
  <si>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</si>
  <si>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</si>
  <si>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</si>
  <si>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</si>
  <si>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</si>
  <si>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</si>
  <si>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</si>
  <si>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</si>
  <si>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</si>
  <si>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</si>
  <si>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</si>
  <si>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</si>
  <si>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</si>
  <si>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</si>
  <si>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</si>
  <si>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</si>
  <si>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</si>
  <si>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</si>
  <si>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</si>
  <si>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</si>
  <si>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</si>
  <si>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</si>
  <si>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</si>
  <si>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</si>
  <si>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</si>
  <si>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</si>
  <si>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</si>
  <si>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</si>
  <si>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</si>
  <si>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</si>
  <si>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</si>
  <si>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</si>
  <si>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</si>
  <si>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</si>
  <si>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</si>
  <si>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</si>
  <si>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</si>
  <si>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</si>
  <si>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</si>
  <si>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</si>
  <si>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</si>
  <si>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</si>
  <si>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</si>
  <si>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</si>
  <si>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</si>
  <si>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</si>
  <si>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</si>
  <si>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</si>
  <si>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</si>
  <si>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</si>
  <si>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</si>
  <si>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</si>
  <si>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</si>
  <si>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</si>
  <si>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</si>
  <si>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</si>
  <si>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</si>
  <si>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</si>
  <si>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</si>
  <si>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</si>
  <si>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</si>
  <si>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</si>
  <si>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</si>
  <si>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</si>
  <si>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</si>
  <si>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</si>
  <si>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</si>
  <si>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</si>
  <si>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</si>
  <si>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</si>
  <si>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</si>
  <si>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</si>
  <si>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</si>
  <si>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</si>
  <si>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</si>
  <si>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</si>
  <si>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</si>
  <si>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</si>
  <si>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</si>
  <si>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</si>
  <si>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</si>
  <si>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</si>
  <si>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</si>
  <si>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</si>
  <si>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</si>
  <si>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</si>
  <si>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</si>
  <si>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</si>
  <si>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</si>
  <si>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</si>
  <si>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</si>
  <si>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</si>
  <si>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</si>
  <si>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</si>
  <si>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</si>
  <si>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metinis mokymo valandų skaičius vienam darbuotojui ataskaitiniu laikotarpiu</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</si>
  <si>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</si>
  <si>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</si>
  <si>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</si>
  <si>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</si>
  <si>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</si>
  <si>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</si>
  <si>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</si>
  <si>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</si>
  <si>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</si>
  <si>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</si>
  <si>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Vaikų darbas</t>
  </si>
  <si>
    <t>· prekyba žmonėmis</t>
  </si>
  <si>
    <t>· nelaimingų atsitikimų prevencija</t>
  </si>
  <si>
    <t>kita? (TAIP/NE; jei taip, nurodykite)</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</si>
  <si>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</si>
  <si>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</si>
  <si>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</si>
  <si>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</si>
  <si>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</si>
  <si>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</si>
  <si>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</si>
  <si>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</si>
  <si>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</si>
  <si>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</si>
  <si>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</si>
  <si>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</si>
  <si>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</si>
  <si>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</si>
  <si>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</si>
  <si>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</si>
  <si>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</si>
  <si>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</si>
  <si>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</si>
  <si>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</si>
  <si>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</si>
  <si>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</si>
  <si>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</si>
  <si>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</si>
  <si>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</si>
  <si>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</si>
  <si>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</si>
  <si>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</si>
  <si>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</si>
  <si>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</si>
  <si>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</si>
  <si>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</si>
  <si>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</si>
  <si>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</si>
  <si>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</si>
  <si>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</si>
  <si>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</si>
  <si>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</si>
  <si>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</si>
  <si>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</si>
  <si>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</si>
  <si>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</si>
  <si>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</si>
  <si>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</si>
  <si>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</si>
  <si>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</si>
  <si>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</si>
  <si>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</si>
  <si>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</si>
  <si>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</si>
  <si>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</si>
  <si>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</si>
  <si>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</si>
  <si>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</si>
  <si>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</si>
  <si>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</si>
  <si>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</si>
  <si>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</si>
  <si>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</si>
  <si>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</si>
  <si>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</si>
  <si>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</si>
  <si>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</si>
  <si>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</si>
  <si>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</si>
  <si>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</si>
  <si>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</si>
  <si>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</si>
  <si>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</si>
  <si>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</si>
  <si>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</si>
  <si>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</si>
  <si>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</si>
  <si>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</si>
  <si>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</si>
  <si>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</si>
  <si>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</si>
  <si>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</si>
  <si>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Energijos konverterio matavimo vienetas</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</si>
  <si>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</si>
  <si>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</si>
  <si>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</si>
  <si>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</si>
  <si>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</si>
  <si>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</si>
  <si>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</si>
  <si>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</si>
  <si>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</si>
  <si>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</si>
  <si>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</si>
  <si>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</si>
  <si>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</si>
  <si>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</si>
  <si>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</si>
  <si>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</si>
  <si>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</si>
  <si>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</si>
  <si>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</si>
  <si>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</si>
  <si>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</si>
  <si>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</si>
  <si>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</si>
  <si>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</si>
  <si>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</si>
  <si>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</si>
  <si>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C8 – Pajamos iš tam tikrų veiklų ir neįtraukimai į ES lyginamuosius etalonus</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</si>
  <si>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</si>
  <si>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</si>
  <si>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</si>
  <si>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</si>
  <si>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</si>
  <si>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</si>
  <si>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</si>
  <si>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</si>
  <si>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</si>
  <si>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</si>
  <si>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</si>
  <si>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</si>
  <si>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</si>
  <si>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</si>
  <si>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</si>
  <si>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</si>
  <si>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</si>
  <si>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</si>
  <si>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</si>
  <si>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</si>
  <si>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</si>
  <si>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</si>
  <si>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</si>
  <si>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</si>
  <si>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</si>
  <si>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</si>
  <si>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</si>
  <si>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</si>
  <si>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</si>
  <si>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</si>
  <si>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</si>
  <si>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</si>
  <si>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</si>
  <si>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</si>
  <si>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</si>
  <si>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</si>
  <si>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</si>
  <si>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</si>
  <si>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</si>
  <si>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</si>
  <si>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</si>
  <si>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</si>
  <si>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</si>
  <si>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</si>
  <si>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</si>
  <si>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</si>
  <si>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</si>
  <si>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</si>
  <si>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</si>
  <si>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</si>
  <si>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</si>
  <si>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</si>
  <si>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</si>
  <si>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</si>
  <si>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</si>
  <si>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</si>
  <si>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</si>
  <si>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</si>
  <si>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</si>
  <si>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</si>
  <si>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</si>
  <si>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</si>
  <si>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</si>
  <si>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</si>
  <si>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Divulgação de quaisquer outras informações gerais e/ou específicas da entidade sobre o período de relato</t>
  </si>
  <si>
    <t>Divulgação de quaisquer outras informações ambientais e/ou de informações ambientais específicas da entidade</t>
  </si>
  <si>
    <t>Divulgação de quaisquer outras informações sociais e/ou de informações sociais específicas da entidade</t>
  </si>
  <si>
    <t>Divulgação de quaisquer outras informações de governação e/ou de informações de governação específicas da entidade</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</si>
  <si>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</si>
  <si>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</si>
  <si>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</si>
  <si>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</si>
  <si>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</si>
  <si>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</si>
  <si>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</si>
  <si>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</si>
  <si>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</si>
  <si>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</si>
  <si>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</si>
  <si>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</si>
  <si>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</si>
  <si>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</si>
  <si>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</si>
  <si>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</si>
  <si>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</si>
  <si>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</si>
  <si>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</si>
  <si>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</si>
  <si>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</si>
  <si>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</si>
  <si>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</si>
  <si>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</si>
  <si>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</si>
  <si>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</si>
  <si>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</si>
  <si>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</si>
  <si>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</si>
  <si>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</si>
  <si>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</si>
  <si>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</si>
  <si>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</si>
  <si>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</si>
  <si>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</si>
  <si>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</si>
  <si>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</si>
  <si>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</si>
  <si>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</si>
  <si>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</si>
  <si>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</si>
  <si>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</si>
  <si>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</si>
  <si>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</si>
  <si>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</si>
  <si>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</si>
  <si>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</si>
  <si>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</si>
  <si>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</si>
  <si>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</si>
  <si>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</si>
  <si>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</si>
  <si>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</si>
  <si>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</si>
  <si>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</si>
  <si>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</si>
  <si>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</si>
  <si>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</si>
  <si>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</si>
  <si>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</si>
  <si>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</si>
  <si>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</si>
  <si>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</si>
  <si>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</si>
  <si>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</si>
  <si>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</si>
  <si>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</si>
  <si>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</si>
  <si>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</si>
  <si>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</si>
  <si>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</si>
  <si>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</si>
  <si>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</si>
  <si>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</si>
  <si>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</si>
  <si>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</si>
  <si>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</si>
  <si>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</si>
  <si>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</si>
  <si>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</si>
  <si>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</si>
  <si>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</si>
  <si>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</si>
  <si>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</si>
  <si>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</si>
  <si>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</si>
  <si>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</si>
  <si>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</si>
  <si>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</si>
  <si>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</si>
  <si>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</si>
  <si>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</si>
  <si>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</si>
  <si>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</si>
  <si>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</si>
  <si>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</si>
  <si>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</si>
  <si>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</si>
  <si>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</si>
  <si>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</si>
  <si>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</si>
  <si>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</si>
  <si>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</si>
  <si>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</si>
  <si>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</si>
  <si>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</si>
  <si>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</si>
  <si>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</si>
  <si>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</si>
  <si>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</si>
  <si>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</si>
  <si>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</si>
  <si>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</si>
  <si>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</si>
  <si>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</si>
  <si>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</si>
  <si>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</si>
  <si>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</si>
  <si>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</si>
  <si>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</si>
  <si>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</si>
  <si>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</si>
  <si>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</si>
  <si>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</si>
  <si>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</si>
  <si>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</si>
  <si>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</si>
  <si>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</si>
  <si>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</si>
  <si>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</si>
  <si>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</si>
  <si>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</si>
  <si>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</si>
  <si>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</si>
  <si>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</si>
  <si>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</si>
  <si>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</si>
  <si>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</si>
  <si>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</si>
  <si>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</si>
  <si>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</si>
  <si>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</si>
  <si>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</si>
  <si>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</si>
  <si>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</si>
  <si>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</si>
  <si>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</si>
  <si>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</si>
  <si>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</si>
  <si>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</si>
  <si>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</si>
  <si>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</si>
  <si>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</si>
  <si>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</si>
  <si>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</si>
  <si>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</si>
  <si>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</si>
  <si>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</si>
  <si>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</si>
  <si>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</si>
  <si>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</si>
  <si>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</si>
  <si>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</si>
  <si>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</si>
  <si>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</si>
  <si>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</si>
  <si>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</si>
  <si>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</si>
  <si>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</si>
  <si>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</si>
  <si>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</si>
  <si>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</si>
  <si>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</si>
  <si>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</si>
  <si>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de formação anual por trabalhador durante o período de relato</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</si>
  <si>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</si>
  <si>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</si>
  <si>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</si>
  <si>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</si>
  <si>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</si>
  <si>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</si>
  <si>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</si>
  <si>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</si>
  <si>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</si>
  <si>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</si>
  <si>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Prevenção de acidentes</t>
  </si>
  <si>
    <t>outros? (SIM/NÃO — em caso afirmativo, especificar)</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</si>
  <si>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</si>
  <si>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</si>
  <si>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</si>
  <si>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</si>
  <si>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</si>
  <si>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</si>
  <si>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</si>
  <si>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</si>
  <si>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</si>
  <si>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</si>
  <si>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</si>
  <si>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</si>
  <si>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</si>
  <si>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</si>
  <si>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</si>
  <si>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</si>
  <si>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</si>
  <si>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</si>
  <si>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</si>
  <si>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</si>
  <si>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</si>
  <si>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</si>
  <si>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</si>
  <si>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</si>
  <si>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</si>
  <si>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</si>
  <si>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</si>
  <si>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</si>
  <si>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</si>
  <si>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</si>
  <si>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</si>
  <si>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</si>
  <si>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</si>
  <si>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</si>
  <si>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</si>
  <si>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</si>
  <si>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</si>
  <si>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</si>
  <si>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</si>
  <si>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</si>
  <si>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</si>
  <si>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</si>
  <si>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</si>
  <si>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</si>
  <si>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</si>
  <si>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</si>
  <si>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</si>
  <si>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</si>
  <si>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</si>
  <si>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</si>
  <si>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</si>
  <si>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</si>
  <si>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</si>
  <si>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</si>
  <si>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</si>
  <si>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</si>
  <si>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</si>
  <si>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</si>
  <si>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</si>
  <si>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</si>
  <si>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</si>
  <si>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</si>
  <si>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</si>
  <si>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</si>
  <si>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</si>
  <si>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</si>
  <si>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</si>
  <si>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</si>
  <si>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</si>
  <si>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</si>
  <si>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</si>
  <si>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</si>
  <si>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</si>
  <si>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</si>
  <si>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</si>
  <si>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</si>
  <si>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</si>
  <si>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</si>
  <si>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</si>
  <si>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</si>
  <si>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</si>
  <si>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</si>
  <si>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</si>
  <si>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</si>
  <si>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</si>
  <si>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</si>
  <si>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</si>
  <si>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</si>
  <si>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</si>
  <si>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</si>
  <si>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</si>
  <si>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</si>
  <si>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</si>
  <si>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</si>
  <si>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</si>
  <si>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</si>
  <si>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</si>
  <si>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</si>
  <si>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</si>
  <si>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</si>
  <si>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</si>
  <si>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</si>
  <si>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</si>
  <si>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</si>
  <si>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</si>
  <si>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</si>
  <si>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</si>
  <si>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</si>
  <si>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</si>
  <si>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</si>
  <si>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</si>
  <si>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</si>
  <si>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</si>
  <si>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</si>
  <si>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</si>
  <si>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</si>
  <si>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</si>
  <si>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</si>
  <si>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</si>
  <si>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</si>
  <si>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</si>
  <si>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</si>
  <si>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</si>
  <si>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</si>
  <si>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</si>
  <si>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</si>
  <si>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</si>
  <si>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</si>
  <si>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</si>
  <si>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</si>
  <si>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</si>
  <si>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</si>
  <si>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</si>
  <si>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www.Test.Report.com</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</si>
  <si>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</si>
  <si>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</si>
  <si>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</si>
  <si>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</si>
  <si>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</si>
  <si>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</si>
  <si>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</si>
  <si>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</si>
  <si>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</si>
  <si>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</si>
  <si>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</si>
  <si>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</si>
  <si>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m³ - cubic meters</t>
  </si>
  <si>
    <t>squared meters (m2)</t>
  </si>
  <si>
    <t>cubic meters (m3)</t>
  </si>
  <si>
    <t>Packaging, boxes for produce/meat</t>
  </si>
  <si>
    <t>Wrapping, trays, containers</t>
  </si>
  <si>
    <t>4. Validate the data entered by checking the validation status. The report is considered incomplete or erroneous if the validation fails, which might result in an invalid XBRL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</si>
</sst>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2"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7999816888943144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09">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0" fillId="23" borderId="0" xfId="0" applyFill="1"/>
    <xf numFmtId="0" fontId="6" fillId="0" borderId="0" xfId="3" applyProtection="1">
      <protection locked="0"/>
    </xf>
    <xf numFmtId="0" fontId="39" fillId="7" borderId="28" xfId="0" applyFont="1" applyFill="1" applyBorder="1" applyAlignment="1">
      <alignment horizontal="center" vertical="center"/>
    </xf>
    <xf numFmtId="0" fontId="39" fillId="7" borderId="29" xfId="0" applyFont="1" applyFill="1" applyBorder="1" applyAlignment="1">
      <alignment horizontal="center" vertical="center"/>
    </xf>
    <xf numFmtId="0" fontId="39" fillId="7" borderId="31" xfId="0" applyFont="1" applyFill="1" applyBorder="1" applyAlignment="1">
      <alignment horizontal="center" vertical="center"/>
    </xf>
    <xf numFmtId="0" fontId="39" fillId="7" borderId="25" xfId="0" applyFont="1" applyFill="1" applyBorder="1" applyAlignment="1">
      <alignment horizontal="center" vertical="center"/>
    </xf>
    <xf numFmtId="0" fontId="39" fillId="7" borderId="0" xfId="0" applyFont="1" applyFill="1" applyAlignment="1">
      <alignment horizontal="center" vertical="center"/>
    </xf>
    <xf numFmtId="0" fontId="39" fillId="7" borderId="26" xfId="0" applyFont="1" applyFill="1" applyBorder="1" applyAlignment="1">
      <alignment horizontal="center" vertical="center"/>
    </xf>
    <xf numFmtId="0" fontId="39" fillId="7" borderId="45" xfId="0" applyFont="1" applyFill="1" applyBorder="1" applyAlignment="1">
      <alignment horizontal="center" vertical="center"/>
    </xf>
    <xf numFmtId="0" fontId="39" fillId="7" borderId="22" xfId="0" applyFont="1" applyFill="1" applyBorder="1" applyAlignment="1">
      <alignment horizontal="center" vertical="center"/>
    </xf>
    <xf numFmtId="0" fontId="39" fillId="7" borderId="23" xfId="0" applyFont="1" applyFill="1" applyBorder="1" applyAlignment="1">
      <alignment horizontal="center" vertical="center"/>
    </xf>
    <xf numFmtId="0" fontId="41" fillId="7" borderId="28" xfId="0" applyFont="1" applyFill="1" applyBorder="1" applyAlignment="1">
      <alignment horizontal="left" vertical="top" wrapText="1"/>
    </xf>
    <xf numFmtId="0" fontId="41" fillId="7" borderId="29" xfId="0" applyFont="1" applyFill="1" applyBorder="1" applyAlignment="1">
      <alignment horizontal="left" vertical="top" wrapText="1"/>
    </xf>
    <xf numFmtId="0" fontId="41" fillId="7" borderId="31" xfId="0" applyFont="1" applyFill="1" applyBorder="1" applyAlignment="1">
      <alignment horizontal="left" vertical="top" wrapText="1"/>
    </xf>
    <xf numFmtId="0" fontId="41" fillId="7" borderId="25" xfId="0" applyFont="1" applyFill="1" applyBorder="1" applyAlignment="1">
      <alignment horizontal="left" vertical="top" wrapText="1"/>
    </xf>
    <xf numFmtId="0" fontId="41" fillId="7" borderId="0" xfId="0" applyFont="1" applyFill="1" applyAlignment="1">
      <alignment horizontal="left" vertical="top" wrapText="1"/>
    </xf>
    <xf numFmtId="0" fontId="41" fillId="7" borderId="26" xfId="0" applyFont="1" applyFill="1" applyBorder="1" applyAlignment="1">
      <alignment horizontal="left" vertical="top" wrapText="1"/>
    </xf>
    <xf numFmtId="0" fontId="41" fillId="7" borderId="45" xfId="0" applyFont="1" applyFill="1" applyBorder="1" applyAlignment="1">
      <alignment horizontal="left" vertical="top" wrapText="1"/>
    </xf>
    <xf numFmtId="0" fontId="41" fillId="7" borderId="22" xfId="0" applyFont="1" applyFill="1" applyBorder="1" applyAlignment="1">
      <alignment horizontal="left" vertical="top" wrapText="1"/>
    </xf>
    <xf numFmtId="0" fontId="41" fillId="7" borderId="23" xfId="0" applyFont="1" applyFill="1" applyBorder="1" applyAlignment="1">
      <alignment horizontal="left" vertical="top" wrapText="1"/>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6" fillId="0" borderId="48" xfId="3" applyFill="1" applyBorder="1" applyAlignment="1" applyProtection="1">
      <alignment horizontal="center" vertical="top" wrapText="1"/>
    </xf>
    <xf numFmtId="0" fontId="6" fillId="0" borderId="50" xfId="3" applyFill="1" applyBorder="1" applyAlignment="1" applyProtection="1">
      <alignment horizontal="center" vertical="top" wrapText="1"/>
    </xf>
    <xf numFmtId="49" fontId="6" fillId="0" borderId="46" xfId="3" applyNumberFormat="1" applyFill="1" applyBorder="1" applyAlignment="1" applyProtection="1">
      <alignment horizontal="center" vertical="top" wrapText="1"/>
    </xf>
    <xf numFmtId="49" fontId="6" fillId="0" borderId="55" xfId="3" applyNumberForma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2" fontId="0" fillId="6" borderId="21" xfId="0" applyNumberFormat="1" applyFill="1" applyBorder="1" applyAlignment="1" applyProtection="1">
      <alignment horizontal="right"/>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1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13" borderId="1" xfId="0" applyNumberFormat="1" applyFill="1" applyBorder="1" applyAlignment="1">
      <alignment horizontal="righ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64" xfId="3"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0" fillId="6" borderId="8" xfId="0" applyFill="1" applyBorder="1" applyAlignment="1" applyProtection="1">
      <alignment horizontal="center"/>
      <protection locked="0"/>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4"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0" fontId="6" fillId="0" borderId="8" xfId="3" applyFill="1" applyBorder="1" applyAlignment="1" applyProtection="1">
      <alignment horizontal="center" vertical="center"/>
    </xf>
    <xf numFmtId="0" fontId="6" fillId="0" borderId="11" xfId="3" applyFill="1" applyBorder="1" applyAlignment="1" applyProtection="1">
      <alignment horizontal="center" vertical="center" wrapText="1"/>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37" xfId="0" applyNumberFormat="1" applyFill="1" applyBorder="1" applyAlignment="1">
      <alignment horizontal="right"/>
    </xf>
    <xf numFmtId="0" fontId="6" fillId="0" borderId="7" xfId="3" applyFill="1" applyBorder="1" applyAlignment="1" applyProtection="1">
      <alignment horizontal="center" vertical="center"/>
    </xf>
    <xf numFmtId="0" fontId="10" fillId="0" borderId="48" xfId="0" applyFont="1" applyBorder="1" applyAlignment="1">
      <alignment horizontal="center" vertical="center" wrapText="1"/>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6" borderId="20" xfId="0" applyNumberFormat="1" applyFill="1" applyBorder="1" applyAlignment="1" applyProtection="1">
      <alignment horizontal="right"/>
      <protection locked="0"/>
    </xf>
    <xf numFmtId="0" fontId="2" fillId="3" borderId="59" xfId="0" applyFont="1" applyFill="1" applyBorder="1" applyAlignment="1">
      <alignment horizontal="center" vertical="center"/>
    </xf>
    <xf numFmtId="2" fontId="2" fillId="0" borderId="0" xfId="0" applyNumberFormat="1" applyFont="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2" fillId="0" borderId="25" xfId="0" applyFont="1" applyBorder="1" applyAlignment="1">
      <alignment horizontal="center" vertical="center" wrapText="1"/>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53" xfId="3" applyFill="1" applyBorder="1" applyAlignment="1" applyProtection="1">
      <alignment horizontal="center" vertical="center" wrapText="1"/>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41">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120649</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189814</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105</xdr:row>
      <xdr:rowOff>989215</xdr:rowOff>
    </xdr:from>
    <xdr:to>
      <xdr:col>7</xdr:col>
      <xdr:colOff>2724150</xdr:colOff>
      <xdr:row>106</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166</xdr:row>
      <xdr:rowOff>12699</xdr:rowOff>
    </xdr:from>
    <xdr:to>
      <xdr:col>7</xdr:col>
      <xdr:colOff>6200323</xdr:colOff>
      <xdr:row>173</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175</xdr:row>
      <xdr:rowOff>35831</xdr:rowOff>
    </xdr:from>
    <xdr:to>
      <xdr:col>7</xdr:col>
      <xdr:colOff>6192158</xdr:colOff>
      <xdr:row>182</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183</xdr:row>
      <xdr:rowOff>178707</xdr:rowOff>
    </xdr:from>
    <xdr:to>
      <xdr:col>7</xdr:col>
      <xdr:colOff>6213930</xdr:colOff>
      <xdr:row>191</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167</xdr:row>
      <xdr:rowOff>154214</xdr:rowOff>
    </xdr:from>
    <xdr:to>
      <xdr:col>4</xdr:col>
      <xdr:colOff>1841500</xdr:colOff>
      <xdr:row>171</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176</xdr:row>
      <xdr:rowOff>121557</xdr:rowOff>
    </xdr:from>
    <xdr:to>
      <xdr:col>4</xdr:col>
      <xdr:colOff>1863271</xdr:colOff>
      <xdr:row>180</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106</xdr:row>
      <xdr:rowOff>1025237</xdr:rowOff>
    </xdr:from>
    <xdr:to>
      <xdr:col>7</xdr:col>
      <xdr:colOff>2628900</xdr:colOff>
      <xdr:row>106</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106</xdr:row>
      <xdr:rowOff>400049</xdr:rowOff>
    </xdr:from>
    <xdr:to>
      <xdr:col>7</xdr:col>
      <xdr:colOff>895350</xdr:colOff>
      <xdr:row>106</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111</xdr:row>
      <xdr:rowOff>53068</xdr:rowOff>
    </xdr:from>
    <xdr:to>
      <xdr:col>8</xdr:col>
      <xdr:colOff>213633</xdr:colOff>
      <xdr:row>119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113</xdr:row>
      <xdr:rowOff>56998</xdr:rowOff>
    </xdr:from>
    <xdr:to>
      <xdr:col>3</xdr:col>
      <xdr:colOff>2346959</xdr:colOff>
      <xdr:row>117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123</xdr:row>
      <xdr:rowOff>93556</xdr:rowOff>
    </xdr:from>
    <xdr:to>
      <xdr:col>3</xdr:col>
      <xdr:colOff>2295525</xdr:colOff>
      <xdr:row>127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111</xdr:row>
      <xdr:rowOff>82188</xdr:rowOff>
    </xdr:from>
    <xdr:to>
      <xdr:col>2</xdr:col>
      <xdr:colOff>2752725</xdr:colOff>
      <xdr:row>118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121</xdr:row>
      <xdr:rowOff>60145</xdr:rowOff>
    </xdr:from>
    <xdr:to>
      <xdr:col>2</xdr:col>
      <xdr:colOff>2733674</xdr:colOff>
      <xdr:row>129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thias.Mingazzini\Downloads\VSME-Digital-Template-Sample-1.0.1%20(6).xlsx" TargetMode="External"/><Relationship Id="rId1" Type="http://schemas.openxmlformats.org/officeDocument/2006/relationships/externalLinkPath" Target="file:///C:\Users\Mathias.Mingazzini\Downloads\VSME-Digital-Template-Sample-1.0.1%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Template Sample"/>
      <sheetName val="Introduction"/>
      <sheetName val="Table of Contents &amp; Validation"/>
      <sheetName val="General Information"/>
      <sheetName val="Environmental Disclosures"/>
      <sheetName val="Social Disclosures"/>
      <sheetName val="Governance Disclosures"/>
      <sheetName val="Fuel Converter"/>
      <sheetName val="Fuel Conversion Parameters"/>
      <sheetName val="Unit Of Measurement Converter"/>
      <sheetName val="Licence"/>
      <sheetName val="Enumeration Lists"/>
      <sheetName val="Technical Sheet"/>
    </sheetNames>
    <sheetDataSet>
      <sheetData sheetId="0" refreshError="1"/>
      <sheetData sheetId="1" refreshError="1"/>
      <sheetData sheetId="2" refreshError="1"/>
      <sheetData sheetId="3">
        <row r="5">
          <cell r="D5" t="str">
            <v>EUR</v>
          </cell>
        </row>
        <row r="9">
          <cell r="D9" t="str">
            <v>2024-01-01</v>
          </cell>
        </row>
        <row r="13">
          <cell r="D13" t="str">
            <v>2024-12-31</v>
          </cell>
        </row>
        <row r="32">
          <cell r="E32" t="str">
            <v>Option B (Basic Module and Comprehensive Module)</v>
          </cell>
        </row>
        <row r="42">
          <cell r="E42" t="str">
            <v>Sustainability report prepared on a consolidated basis</v>
          </cell>
        </row>
        <row r="43">
          <cell r="E43" t="str">
            <v>private limited liability undertaking</v>
          </cell>
        </row>
        <row r="61">
          <cell r="E61">
            <v>235000</v>
          </cell>
        </row>
        <row r="108">
          <cell r="C108">
            <v>1</v>
          </cell>
          <cell r="D108" t="str">
            <v>Duomo Square</v>
          </cell>
          <cell r="E108" t="str">
            <v>20122</v>
          </cell>
          <cell r="F108" t="str">
            <v>Milan</v>
          </cell>
          <cell r="G108" t="str">
            <v>Italy</v>
          </cell>
          <cell r="H108" t="str">
            <v>45.4639102,9.1906426</v>
          </cell>
        </row>
        <row r="109">
          <cell r="C109">
            <v>2</v>
          </cell>
          <cell r="H109" t="str">
            <v>-</v>
          </cell>
        </row>
        <row r="110">
          <cell r="C110">
            <v>3</v>
          </cell>
          <cell r="H110" t="str">
            <v>-</v>
          </cell>
        </row>
        <row r="111">
          <cell r="C111">
            <v>4</v>
          </cell>
          <cell r="H111" t="str">
            <v>-</v>
          </cell>
        </row>
        <row r="112">
          <cell r="C112">
            <v>5</v>
          </cell>
          <cell r="H112" t="str">
            <v>-</v>
          </cell>
        </row>
        <row r="113">
          <cell r="C113">
            <v>6</v>
          </cell>
          <cell r="H113" t="str">
            <v>-</v>
          </cell>
        </row>
        <row r="114">
          <cell r="C114">
            <v>7</v>
          </cell>
          <cell r="H114" t="str">
            <v>-</v>
          </cell>
        </row>
        <row r="115">
          <cell r="C115">
            <v>8</v>
          </cell>
          <cell r="H115" t="str">
            <v>-</v>
          </cell>
        </row>
        <row r="116">
          <cell r="C116">
            <v>9</v>
          </cell>
          <cell r="H116" t="str">
            <v>-</v>
          </cell>
        </row>
        <row r="117">
          <cell r="C117">
            <v>10</v>
          </cell>
          <cell r="H117" t="str">
            <v>-</v>
          </cell>
        </row>
        <row r="118">
          <cell r="C118">
            <v>11</v>
          </cell>
          <cell r="H118" t="str">
            <v>-</v>
          </cell>
        </row>
        <row r="119">
          <cell r="C119">
            <v>12</v>
          </cell>
          <cell r="H119" t="str">
            <v>-</v>
          </cell>
        </row>
        <row r="120">
          <cell r="C120">
            <v>13</v>
          </cell>
          <cell r="H120" t="str">
            <v>-</v>
          </cell>
        </row>
        <row r="121">
          <cell r="C121">
            <v>14</v>
          </cell>
          <cell r="H121" t="str">
            <v>-</v>
          </cell>
        </row>
        <row r="122">
          <cell r="C122">
            <v>15</v>
          </cell>
          <cell r="H122" t="str">
            <v>-</v>
          </cell>
        </row>
        <row r="123">
          <cell r="C123">
            <v>16</v>
          </cell>
          <cell r="H123" t="str">
            <v>-</v>
          </cell>
        </row>
        <row r="124">
          <cell r="C124">
            <v>17</v>
          </cell>
          <cell r="H124" t="str">
            <v>-</v>
          </cell>
        </row>
        <row r="125">
          <cell r="C125">
            <v>18</v>
          </cell>
          <cell r="H125" t="str">
            <v>-</v>
          </cell>
        </row>
        <row r="126">
          <cell r="C126">
            <v>19</v>
          </cell>
          <cell r="H126" t="str">
            <v>-</v>
          </cell>
        </row>
        <row r="127">
          <cell r="C127">
            <v>20</v>
          </cell>
          <cell r="H127" t="str">
            <v>-</v>
          </cell>
        </row>
        <row r="128">
          <cell r="C128">
            <v>21</v>
          </cell>
          <cell r="H128" t="str">
            <v>-</v>
          </cell>
        </row>
        <row r="129">
          <cell r="C129">
            <v>22</v>
          </cell>
          <cell r="H129" t="str">
            <v>-</v>
          </cell>
        </row>
        <row r="130">
          <cell r="C130">
            <v>23</v>
          </cell>
          <cell r="H130" t="str">
            <v>-</v>
          </cell>
        </row>
        <row r="131">
          <cell r="C131">
            <v>24</v>
          </cell>
          <cell r="H131" t="str">
            <v>-</v>
          </cell>
        </row>
        <row r="132">
          <cell r="C132">
            <v>25</v>
          </cell>
          <cell r="H132" t="str">
            <v>-</v>
          </cell>
        </row>
        <row r="148">
          <cell r="E148" t="str">
            <v xml:space="preserve">Lorem ipsum dolor sit amet, consectetur adipiscing elit, sed do eiusmod tempor incididunt ut labore et dolore magna aliqua. 
Ut enim ad minim veniam, quis nostrud exercitation ullamco laboris nisi ut aliquip ex ea commodo consequat.
 </v>
          </cell>
        </row>
        <row r="150">
          <cell r="E150" t="str">
            <v xml:space="preserve">Lorem ipsum dolor sit amet, consectetur adipiscing elit, sed do eiusmod tempor incididunt ut labore et dolore magna aliqua. 
Ut enim ad minim veniam, quis nostrud exercitation ullamco laboris nisi ut aliquip ex ea commodo consequat.
 </v>
          </cell>
        </row>
      </sheetData>
      <sheetData sheetId="4">
        <row r="5">
          <cell r="G5">
            <v>250</v>
          </cell>
        </row>
        <row r="169">
          <cell r="D169">
            <v>742.5</v>
          </cell>
        </row>
        <row r="170">
          <cell r="D170">
            <v>150</v>
          </cell>
        </row>
        <row r="182">
          <cell r="D182" t="str">
            <v>NO</v>
          </cell>
        </row>
      </sheetData>
      <sheetData sheetId="5">
        <row r="18">
          <cell r="D18">
            <v>55</v>
          </cell>
        </row>
        <row r="19">
          <cell r="D19">
            <v>40</v>
          </cell>
        </row>
        <row r="20">
          <cell r="D20">
            <v>5</v>
          </cell>
        </row>
        <row r="21">
          <cell r="D21">
            <v>51</v>
          </cell>
        </row>
        <row r="49">
          <cell r="D49">
            <v>0</v>
          </cell>
        </row>
        <row r="53">
          <cell r="D53">
            <v>0</v>
          </cell>
        </row>
        <row r="56">
          <cell r="D56" t="str">
            <v>YES</v>
          </cell>
        </row>
      </sheetData>
      <sheetData sheetId="6" refreshError="1"/>
      <sheetData sheetId="7" refreshError="1"/>
      <sheetData sheetId="8">
        <row r="2">
          <cell r="A2" t="str">
            <v>Anthracite</v>
          </cell>
          <cell r="G2" t="str">
            <v>Gg - Gigagram</v>
          </cell>
          <cell r="H2" t="str">
            <v>m³ - cubic meters</v>
          </cell>
          <cell r="I2" t="str">
            <v>TJ - Terajoule</v>
          </cell>
          <cell r="J2" t="str">
            <v>Gg - Gigagram</v>
          </cell>
          <cell r="K2" t="str">
            <v>g/L</v>
          </cell>
          <cell r="U2" t="str">
            <v>J/g</v>
          </cell>
          <cell r="AW2" t="str">
            <v>Solid</v>
          </cell>
          <cell r="AX2" t="str">
            <v>Renewable</v>
          </cell>
        </row>
        <row r="3">
          <cell r="A3" t="str">
            <v>Aviation gasoline</v>
          </cell>
          <cell r="G3" t="str">
            <v>t - tonne</v>
          </cell>
          <cell r="H3" t="str">
            <v>L - Liter</v>
          </cell>
          <cell r="I3" t="str">
            <v>MWh - Megawatt hours</v>
          </cell>
          <cell r="J3" t="str">
            <v>t - tonne</v>
          </cell>
          <cell r="K3" t="str">
            <v>Kg/L</v>
          </cell>
          <cell r="U3" t="str">
            <v>J/Kg</v>
          </cell>
          <cell r="AW3" t="str">
            <v>Liquid</v>
          </cell>
          <cell r="AX3" t="str">
            <v>Non-renewable</v>
          </cell>
        </row>
        <row r="4">
          <cell r="A4" t="str">
            <v>Biodiesel</v>
          </cell>
          <cell r="G4" t="str">
            <v>Kg - Kilogram</v>
          </cell>
          <cell r="J4" t="str">
            <v>Kg - Kilogram</v>
          </cell>
          <cell r="K4" t="str">
            <v>t/L</v>
          </cell>
          <cell r="U4" t="str">
            <v>J/t</v>
          </cell>
          <cell r="AW4" t="str">
            <v>Gaseous</v>
          </cell>
        </row>
        <row r="5">
          <cell r="A5" t="str">
            <v>Biogasoline</v>
          </cell>
          <cell r="G5" t="str">
            <v>g - gram</v>
          </cell>
          <cell r="J5" t="str">
            <v>g - gram</v>
          </cell>
          <cell r="K5" t="str">
            <v>Gg/L</v>
          </cell>
          <cell r="U5" t="str">
            <v>J/Gg</v>
          </cell>
        </row>
        <row r="6">
          <cell r="A6" t="str">
            <v>Bitumen</v>
          </cell>
          <cell r="J6" t="str">
            <v>m³ - cubic meters</v>
          </cell>
          <cell r="K6" t="str">
            <v>g/m³</v>
          </cell>
          <cell r="U6" t="str">
            <v>KJ/g</v>
          </cell>
        </row>
        <row r="7">
          <cell r="A7" t="str">
            <v>Blast furnace gas</v>
          </cell>
          <cell r="J7" t="str">
            <v>L - Liter</v>
          </cell>
          <cell r="K7" t="str">
            <v>Kg/m³</v>
          </cell>
          <cell r="U7" t="str">
            <v>KJ/Kg</v>
          </cell>
        </row>
        <row r="8">
          <cell r="A8" t="str">
            <v>Brown coal briquettes</v>
          </cell>
          <cell r="K8" t="str">
            <v>t/m³</v>
          </cell>
          <cell r="U8" t="str">
            <v>KJ/t</v>
          </cell>
        </row>
        <row r="9">
          <cell r="A9" t="str">
            <v>Butane and isomers</v>
          </cell>
          <cell r="K9" t="str">
            <v>Gg/m³</v>
          </cell>
          <cell r="U9" t="str">
            <v>KJ/Gg</v>
          </cell>
        </row>
        <row r="10">
          <cell r="A10" t="str">
            <v>Coke oven coke &amp; lignite coke</v>
          </cell>
          <cell r="U10" t="str">
            <v>TJ/t</v>
          </cell>
        </row>
        <row r="11">
          <cell r="A11" t="str">
            <v>Coke oven gas</v>
          </cell>
          <cell r="U11" t="str">
            <v>TJ/Gg</v>
          </cell>
        </row>
        <row r="12">
          <cell r="A12" t="str">
            <v>Coking coal</v>
          </cell>
          <cell r="U12" t="str">
            <v>MWh/g</v>
          </cell>
        </row>
        <row r="13">
          <cell r="A13" t="str">
            <v>Crude oil and distillates</v>
          </cell>
          <cell r="U13" t="str">
            <v>MWh/Kg</v>
          </cell>
        </row>
        <row r="14">
          <cell r="A14" t="str">
            <v>Ethane</v>
          </cell>
        </row>
        <row r="15">
          <cell r="A15" t="str">
            <v>Gas coke</v>
          </cell>
        </row>
        <row r="16">
          <cell r="A16" t="str">
            <v>Gas/Diesel oil</v>
          </cell>
        </row>
        <row r="17">
          <cell r="A17" t="str">
            <v>Jet gasoline</v>
          </cell>
        </row>
        <row r="18">
          <cell r="A18" t="str">
            <v>Jet kerosene</v>
          </cell>
        </row>
        <row r="19">
          <cell r="A19" t="str">
            <v>Kerosene</v>
          </cell>
        </row>
        <row r="20">
          <cell r="A20" t="str">
            <v>Landfill gas</v>
          </cell>
        </row>
        <row r="21">
          <cell r="A21" t="str">
            <v>Lignite</v>
          </cell>
        </row>
        <row r="22">
          <cell r="A22" t="str">
            <v>Liquefied Petroleum Gases (LPG)</v>
          </cell>
        </row>
        <row r="23">
          <cell r="A23" t="str">
            <v>Lubricants</v>
          </cell>
        </row>
        <row r="24">
          <cell r="A24" t="str">
            <v>Methane</v>
          </cell>
        </row>
        <row r="25">
          <cell r="A25" t="str">
            <v>Motor gasoline/Petrol</v>
          </cell>
        </row>
        <row r="26">
          <cell r="A26" t="str">
            <v>Municipal wastes (biomass fraction)</v>
          </cell>
        </row>
        <row r="27">
          <cell r="A27" t="str">
            <v>Municipal wastes (non-biomass fraction)</v>
          </cell>
        </row>
        <row r="28">
          <cell r="A28" t="str">
            <v>Naphtha</v>
          </cell>
        </row>
        <row r="29">
          <cell r="A29" t="str">
            <v>Natural gas</v>
          </cell>
        </row>
        <row r="30">
          <cell r="A30" t="str">
            <v>Natural gas liquids (NGL)</v>
          </cell>
        </row>
        <row r="31">
          <cell r="A31" t="str">
            <v>Oil shale and tar sands</v>
          </cell>
        </row>
        <row r="32">
          <cell r="A32" t="str">
            <v>Orimulsion</v>
          </cell>
        </row>
        <row r="33">
          <cell r="A33" t="str">
            <v>Oxygen steel furnace gas</v>
          </cell>
        </row>
        <row r="34">
          <cell r="A34" t="str">
            <v>Paraffin waxes</v>
          </cell>
        </row>
        <row r="35">
          <cell r="A35" t="str">
            <v>Patent fuel</v>
          </cell>
        </row>
        <row r="36">
          <cell r="A36" t="str">
            <v>Peat</v>
          </cell>
        </row>
        <row r="37">
          <cell r="A37" t="str">
            <v>Petroleum coke</v>
          </cell>
        </row>
        <row r="38">
          <cell r="A38" t="str">
            <v>Propane</v>
          </cell>
        </row>
        <row r="39">
          <cell r="A39" t="str">
            <v>Refinery feedstocks</v>
          </cell>
        </row>
        <row r="40">
          <cell r="A40" t="str">
            <v>Refinery Gas</v>
          </cell>
        </row>
        <row r="41">
          <cell r="A41" t="str">
            <v>Residual fuel oil</v>
          </cell>
        </row>
        <row r="42">
          <cell r="A42" t="str">
            <v>Shale oil (liquid)</v>
          </cell>
        </row>
        <row r="43">
          <cell r="A43" t="str">
            <v>Sludge gas</v>
          </cell>
        </row>
        <row r="44">
          <cell r="A44" t="str">
            <v>Sub-bituminous coal</v>
          </cell>
        </row>
        <row r="45">
          <cell r="A45" t="str">
            <v>Sulphite lyes (black liquor)</v>
          </cell>
        </row>
        <row r="46">
          <cell r="A46" t="str">
            <v>Turpentine</v>
          </cell>
        </row>
        <row r="47">
          <cell r="A47" t="str">
            <v>Vegetable oils</v>
          </cell>
        </row>
        <row r="48">
          <cell r="A48" t="str">
            <v>Waste oils</v>
          </cell>
        </row>
        <row r="49">
          <cell r="A49" t="str">
            <v>Waste water treatment biogas</v>
          </cell>
        </row>
        <row r="50">
          <cell r="A50" t="str">
            <v>White Spirit &amp; SBP</v>
          </cell>
        </row>
        <row r="51">
          <cell r="A51" t="str">
            <v>Wood/Wood waste</v>
          </cell>
        </row>
        <row r="52">
          <cell r="A52" t="str">
            <v>Other 1</v>
          </cell>
        </row>
        <row r="53">
          <cell r="A53" t="str">
            <v>Other 2</v>
          </cell>
        </row>
        <row r="54">
          <cell r="A54" t="str">
            <v>Other 3</v>
          </cell>
        </row>
        <row r="55">
          <cell r="A55" t="str">
            <v>Other 4</v>
          </cell>
        </row>
        <row r="56">
          <cell r="A56" t="str">
            <v>Other 5</v>
          </cell>
        </row>
        <row r="57">
          <cell r="A57" t="str">
            <v>Other 6</v>
          </cell>
        </row>
        <row r="58">
          <cell r="A58" t="str">
            <v>Other 7</v>
          </cell>
        </row>
        <row r="59">
          <cell r="A59" t="str">
            <v>Other 8</v>
          </cell>
        </row>
        <row r="60">
          <cell r="A60" t="str">
            <v>Other 9</v>
          </cell>
        </row>
        <row r="61">
          <cell r="A61" t="str">
            <v>Other 10</v>
          </cell>
        </row>
      </sheetData>
      <sheetData sheetId="9" refreshError="1"/>
      <sheetData sheetId="10" refreshError="1"/>
      <sheetData sheetId="11">
        <row r="2">
          <cell r="C2" t="str">
            <v>NACE A - 01 Crop and animal production, hunting and related service activities</v>
          </cell>
          <cell r="E2" t="str">
            <v>Andorra</v>
          </cell>
          <cell r="H2" t="str">
            <v>None</v>
          </cell>
          <cell r="I2" t="str">
            <v>Alachlor</v>
          </cell>
          <cell r="K2" t="str">
            <v>01 WASTES RESULTING FROM EXPLORATION, MINING, DRESSING AND FURTHER TREATMENT OF MINERALS AND QUARRY</v>
          </cell>
          <cell r="M2" t="str">
            <v>kilograms (kg)</v>
          </cell>
          <cell r="P2" t="str">
            <v>hectares (ha)</v>
          </cell>
          <cell r="Q2" t="str">
            <v>YES</v>
          </cell>
          <cell r="S2">
            <v>2000</v>
          </cell>
          <cell r="T2">
            <v>1</v>
          </cell>
          <cell r="U2" t="str">
            <v>Adoption of a transition plan is planned in the future</v>
          </cell>
          <cell r="V2" t="str">
            <v>B1 – Basis for preparation</v>
          </cell>
          <cell r="Y2" t="str">
            <v>kilograms (kg)</v>
          </cell>
          <cell r="Z2" t="str">
            <v>01 WASTES RESULTING FROM EXPLORATION, MINING, DRESSING AND FURTHER TREATMENT OF MINERALS AND QUARRY</v>
          </cell>
          <cell r="AA2" t="str">
            <v>AED</v>
          </cell>
          <cell r="AB2" t="str">
            <v>At the end of the reporting period</v>
          </cell>
          <cell r="AC2">
            <v>1</v>
          </cell>
          <cell r="AD2" t="str">
            <v>LEI</v>
          </cell>
        </row>
        <row r="3">
          <cell r="C3" t="str">
            <v>NACE A - 01.1 Growing of non-perennial crops</v>
          </cell>
          <cell r="D3" t="str">
            <v>NACE A - AGRICULTURE, FORESTRY AND FISHING</v>
          </cell>
          <cell r="E3" t="str">
            <v>United Arab Emirates</v>
          </cell>
          <cell r="H3" t="str">
            <v>B1 – Basis for preparation</v>
          </cell>
          <cell r="I3" t="str">
            <v>Aldrin</v>
          </cell>
          <cell r="K3" t="str">
            <v xml:space="preserve">    0101 Wastes from mineral excavation</v>
          </cell>
          <cell r="M3" t="str">
            <v>metric tonnes (t)</v>
          </cell>
          <cell r="P3" t="str">
            <v>squared meters (m2)</v>
          </cell>
          <cell r="Q3" t="str">
            <v>NO</v>
          </cell>
          <cell r="S3">
            <v>2001</v>
          </cell>
          <cell r="T3">
            <v>2</v>
          </cell>
          <cell r="U3" t="str">
            <v>A transition plan has already been adopted</v>
          </cell>
          <cell r="V3" t="str">
            <v>B2 – Practices, policies and future initiatives for transitioning towards a more sustainable economy</v>
          </cell>
          <cell r="Y3" t="str">
            <v>metric tonnes (t)</v>
          </cell>
          <cell r="Z3" t="str">
            <v xml:space="preserve">    0101 Wastes from mineral excavation</v>
          </cell>
          <cell r="AA3" t="str">
            <v>AFN</v>
          </cell>
          <cell r="AB3" t="str">
            <v>As an average across the reporting period</v>
          </cell>
          <cell r="AC3">
            <v>2</v>
          </cell>
          <cell r="AD3" t="str">
            <v>DUNS</v>
          </cell>
        </row>
        <row r="4">
          <cell r="C4" t="str">
            <v>NACE A - 01.2 Growing of perennial crops</v>
          </cell>
          <cell r="D4" t="str">
            <v>NACE A - 01 Crop and animal production, hunting and related service activities</v>
          </cell>
          <cell r="E4" t="str">
            <v>Afghanistan</v>
          </cell>
          <cell r="H4" t="str">
            <v>B2 – Practices, policies and future initiatives for transitioning towards a more sustainable economy</v>
          </cell>
          <cell r="I4" t="str">
            <v>Ammonia (NH3)</v>
          </cell>
          <cell r="K4" t="str">
            <v xml:space="preserve">        010101 Non-Hazardous Waste - Waste from mineral metalliferous excavation</v>
          </cell>
          <cell r="M4" t="str">
            <v>cubic meters (m3)</v>
          </cell>
          <cell r="S4">
            <v>2002</v>
          </cell>
          <cell r="T4">
            <v>3</v>
          </cell>
          <cell r="V4" t="str">
            <v>B3 – Energy and greenhouse gas emissions</v>
          </cell>
          <cell r="Z4" t="str">
            <v xml:space="preserve">    0102 Wastes from mineral dressing</v>
          </cell>
          <cell r="AA4" t="str">
            <v>ALL</v>
          </cell>
          <cell r="AC4">
            <v>3</v>
          </cell>
          <cell r="AD4" t="str">
            <v>EU ID</v>
          </cell>
        </row>
        <row r="5">
          <cell r="C5" t="str">
            <v>NACE A - 01.3 Plant propagation</v>
          </cell>
          <cell r="D5" t="str">
            <v>NACE A - 01.1 Growing of non-perennial crops</v>
          </cell>
          <cell r="E5" t="str">
            <v>Antigua and Barbuda</v>
          </cell>
          <cell r="H5" t="str">
            <v>B3 – Energy and greenhouse gas emissions</v>
          </cell>
          <cell r="I5" t="str">
            <v>Anthracene</v>
          </cell>
          <cell r="K5" t="str">
            <v xml:space="preserve">        010102 Non-Hazardous Waste - Waste from mineral non-metalliferous excavation</v>
          </cell>
          <cell r="S5">
            <v>2003</v>
          </cell>
          <cell r="T5">
            <v>4</v>
          </cell>
          <cell r="V5" t="str">
            <v>B4 – Pollution of air, water and soil</v>
          </cell>
          <cell r="Z5" t="str">
            <v xml:space="preserve">    0103 Wastes from further physical and chemical processing of metalliferous minerals</v>
          </cell>
          <cell r="AA5" t="str">
            <v>AMD</v>
          </cell>
          <cell r="AC5">
            <v>4</v>
          </cell>
          <cell r="AD5" t="str">
            <v>PermID</v>
          </cell>
        </row>
        <row r="6">
          <cell r="C6" t="str">
            <v>NACE A - 01.4 Animal production</v>
          </cell>
          <cell r="D6" t="str">
            <v>NACE A - 01.11 Growing of cereals, other than rice, leguminous crops and oil seeds</v>
          </cell>
          <cell r="E6" t="str">
            <v>Anguilla</v>
          </cell>
          <cell r="H6" t="str">
            <v>B4 – Pollution of air, water and soil</v>
          </cell>
          <cell r="I6" t="str">
            <v>Arsenic and compounds (As)</v>
          </cell>
          <cell r="K6" t="str">
            <v xml:space="preserve">    0102 Wastes from mineral dressing</v>
          </cell>
          <cell r="S6">
            <v>2004</v>
          </cell>
          <cell r="T6">
            <v>5</v>
          </cell>
          <cell r="V6" t="str">
            <v>B5 – Biodiversity</v>
          </cell>
          <cell r="Z6" t="str">
            <v xml:space="preserve">    0104 Wastes from further physical and chemical processing on non-metalliferous minerals</v>
          </cell>
          <cell r="AA6" t="str">
            <v>ANG</v>
          </cell>
          <cell r="AC6">
            <v>5</v>
          </cell>
        </row>
        <row r="7">
          <cell r="C7" t="str">
            <v>NACE A - 01.5 Mixed farming</v>
          </cell>
          <cell r="D7" t="str">
            <v>NACE A - 01.12 Growing of rice</v>
          </cell>
          <cell r="E7" t="str">
            <v>Albania</v>
          </cell>
          <cell r="H7" t="str">
            <v>B5 – Biodiversity</v>
          </cell>
          <cell r="I7" t="str">
            <v>Asbestos</v>
          </cell>
          <cell r="K7" t="str">
            <v xml:space="preserve">        010201 Non-Hazardous Waste - Wastes from the dressing of metalliferous minerals</v>
          </cell>
          <cell r="S7">
            <v>2005</v>
          </cell>
          <cell r="T7">
            <v>6</v>
          </cell>
          <cell r="V7" t="str">
            <v>B6 – Water</v>
          </cell>
          <cell r="Z7" t="str">
            <v xml:space="preserve">    0105 Drilling muds and other drilling wastes</v>
          </cell>
          <cell r="AA7" t="str">
            <v>AOA</v>
          </cell>
          <cell r="AC7">
            <v>6</v>
          </cell>
        </row>
        <row r="8">
          <cell r="C8" t="str">
            <v>NACE A - 01.6 Support activities to agriculture and post-harvest crop activities</v>
          </cell>
          <cell r="D8" t="str">
            <v>NACE A - 01.13 Growing of vegetables and melons, roots and tubers</v>
          </cell>
          <cell r="E8" t="str">
            <v>Armenia</v>
          </cell>
          <cell r="H8" t="str">
            <v>B6 – Water</v>
          </cell>
          <cell r="I8" t="str">
            <v>Atrazine</v>
          </cell>
          <cell r="K8" t="str">
            <v xml:space="preserve">        010202 Non-Hazardous Waste - Wastes from the dressing on non-metalliferous minerals</v>
          </cell>
          <cell r="S8">
            <v>2006</v>
          </cell>
          <cell r="T8">
            <v>7</v>
          </cell>
          <cell r="V8" t="str">
            <v>B7 – Resource use, circular economy and waste management</v>
          </cell>
          <cell r="Z8" t="str">
            <v>02 WASTES FROM AGRICULTURAL, HORTICULTURAL, HUNTING, FISHING AND AQUACULTURAL PRIMARY PRODUCTION, FOOD PREPARATION AND PROCESSING</v>
          </cell>
          <cell r="AA8" t="str">
            <v>ARS</v>
          </cell>
          <cell r="AC8">
            <v>7</v>
          </cell>
        </row>
        <row r="9">
          <cell r="C9" t="str">
            <v>NACE A - 01.7 Hunting, trapping and related service activities</v>
          </cell>
          <cell r="D9" t="str">
            <v>NACE A - 01.14 Growing of sugar cane</v>
          </cell>
          <cell r="E9" t="str">
            <v>Netherlands Antilles (before 2010-12-15)</v>
          </cell>
          <cell r="H9" t="str">
            <v>B7 – Resource use, circular economy and waste management</v>
          </cell>
          <cell r="I9" t="str">
            <v>Benzene</v>
          </cell>
          <cell r="K9" t="str">
            <v xml:space="preserve">    0103 Wastes from further physical and chemical processing of metalliferous minerals</v>
          </cell>
          <cell r="S9">
            <v>2007</v>
          </cell>
          <cell r="T9">
            <v>8</v>
          </cell>
          <cell r="V9" t="str">
            <v>B8 – Workforce – General characteristics</v>
          </cell>
          <cell r="Z9" t="str">
            <v xml:space="preserve">    0201 Primary production wastes</v>
          </cell>
          <cell r="AA9" t="str">
            <v>AUD</v>
          </cell>
          <cell r="AC9">
            <v>8</v>
          </cell>
        </row>
        <row r="10">
          <cell r="C10" t="str">
            <v>NACE A - 02 Forestry and logging</v>
          </cell>
          <cell r="D10" t="str">
            <v>NACE A - 01.15 Growing of tobacco</v>
          </cell>
          <cell r="E10" t="str">
            <v>Angola</v>
          </cell>
          <cell r="H10" t="str">
            <v>B8 – Workforce – General characteristics</v>
          </cell>
          <cell r="I10" t="str">
            <v>Benzo(g,h,i)perylene</v>
          </cell>
          <cell r="K10" t="str">
            <v xml:space="preserve">        010301 Non-Hazardous Waste - Tailings</v>
          </cell>
          <cell r="S10">
            <v>2008</v>
          </cell>
          <cell r="T10">
            <v>9</v>
          </cell>
          <cell r="V10" t="str">
            <v>B9 – Workforce – Health and safety</v>
          </cell>
          <cell r="Z10" t="str">
            <v xml:space="preserve">    0202 Wastes from the preparation and processing of meat, fish and other foods of animal origin</v>
          </cell>
          <cell r="AA10" t="str">
            <v>AWG</v>
          </cell>
          <cell r="AC10">
            <v>9</v>
          </cell>
        </row>
        <row r="11">
          <cell r="C11" t="str">
            <v>NACE A - 02.1 Silviculture and other forestry activities</v>
          </cell>
          <cell r="D11" t="str">
            <v>NACE A - 01.16 Growing of fibre crops</v>
          </cell>
          <cell r="E11" t="str">
            <v>Antarctica</v>
          </cell>
          <cell r="H11" t="str">
            <v>B9 – Workforce – Health and safety</v>
          </cell>
          <cell r="I11" t="str">
            <v>Brominated diphenylethers (PBDE)</v>
          </cell>
          <cell r="K11" t="str">
            <v xml:space="preserve">        010302 Non-Hazardous Waste - Dusty and powdery waste</v>
          </cell>
          <cell r="S11">
            <v>2009</v>
          </cell>
          <cell r="T11">
            <v>10</v>
          </cell>
          <cell r="V11" t="str">
            <v>B10 – Workforce – Remuneration, collective bargaining and training</v>
          </cell>
          <cell r="Z11" t="str">
            <v xml:space="preserve">    0203 Wastes from fruit, vegetables, cereals, edible oils, cocoa, coffee and tobacco preparation and processing; tobacco processing; conserve production</v>
          </cell>
          <cell r="AA11" t="str">
            <v>AZN</v>
          </cell>
          <cell r="AC11">
            <v>10</v>
          </cell>
        </row>
        <row r="12">
          <cell r="C12" t="str">
            <v>NACE A - 02.2 Logging</v>
          </cell>
          <cell r="D12" t="str">
            <v>NACE A - 01.19 Growing of other non-perennial crops</v>
          </cell>
          <cell r="E12" t="str">
            <v>Argentina</v>
          </cell>
          <cell r="H12" t="str">
            <v>B10 – Workforce – Remuneration, collective bargaining and training</v>
          </cell>
          <cell r="I12" t="str">
            <v>Cadmium and compounds (Cd)</v>
          </cell>
          <cell r="K12" t="str">
            <v xml:space="preserve">        010303 Non-Hazardous Waste - Red mud from alumina production</v>
          </cell>
          <cell r="S12">
            <v>2010</v>
          </cell>
          <cell r="T12">
            <v>11</v>
          </cell>
          <cell r="V12" t="str">
            <v>B11 – Convictions and fines for corruption and bribery</v>
          </cell>
          <cell r="Z12" t="str">
            <v xml:space="preserve">    0204 Wastes from sugar processing</v>
          </cell>
          <cell r="AA12" t="str">
            <v>BAM</v>
          </cell>
          <cell r="AC12">
            <v>11</v>
          </cell>
        </row>
        <row r="13">
          <cell r="C13" t="str">
            <v>NACE A - 02.3 Gathering of wild growing non-wood products</v>
          </cell>
          <cell r="D13" t="str">
            <v>NACE A - 01.2 Growing of perennial crops</v>
          </cell>
          <cell r="E13" t="str">
            <v>American Samoa</v>
          </cell>
          <cell r="H13" t="str">
            <v>B11 – Convictions and fines for corruption and bribery</v>
          </cell>
          <cell r="I13" t="str">
            <v>Carbon dioxide (CO2)</v>
          </cell>
          <cell r="K13" t="str">
            <v xml:space="preserve">        010399 Non-Hazardous Waste - Wastes not otherwise specified</v>
          </cell>
          <cell r="S13">
            <v>2011</v>
          </cell>
          <cell r="T13">
            <v>12</v>
          </cell>
          <cell r="V13" t="str">
            <v>C1 – Strategy: Business Model and Sustainability – Related Initiatives</v>
          </cell>
          <cell r="Z13" t="str">
            <v xml:space="preserve">    0205 Wastes from the dairy products industry</v>
          </cell>
          <cell r="AA13" t="str">
            <v>BBD</v>
          </cell>
          <cell r="AC13">
            <v>12</v>
          </cell>
        </row>
        <row r="14">
          <cell r="C14" t="str">
            <v>NACE A - 02.4 Support services to forestry</v>
          </cell>
          <cell r="D14" t="str">
            <v>NACE A - 01.21 Growing of grapes</v>
          </cell>
          <cell r="E14" t="str">
            <v>Austria</v>
          </cell>
          <cell r="H14" t="str">
            <v>C1 – Strategy: Business Model and Sustainability – Related Initiatives</v>
          </cell>
          <cell r="I14" t="str">
            <v>Carbon monoxide (CO)</v>
          </cell>
          <cell r="K14" t="str">
            <v xml:space="preserve">    0104 Wastes from further physical and chemical processing on non-metalliferous minerals</v>
          </cell>
          <cell r="S14">
            <v>2012</v>
          </cell>
          <cell r="V14" t="str">
            <v>C2 – Description of practices, policies and future initiatives for transitioning towards a more sustainable economy</v>
          </cell>
          <cell r="Z14" t="str">
            <v xml:space="preserve">    0206 Wastes from the baking and confectionery industry</v>
          </cell>
          <cell r="AA14" t="str">
            <v>BDT</v>
          </cell>
          <cell r="AC14">
            <v>13</v>
          </cell>
        </row>
        <row r="15">
          <cell r="C15" t="str">
            <v>NACE A - 03 Fishing and aquaculture</v>
          </cell>
          <cell r="D15" t="str">
            <v>NACE A - 01.22 Growing of tropical and subtropical fruits</v>
          </cell>
          <cell r="E15" t="str">
            <v>Australia</v>
          </cell>
          <cell r="H15" t="str">
            <v>C2 – Description of practices, policies and future initiatives for transitioning towards a more sustainable economy</v>
          </cell>
          <cell r="I15" t="str">
            <v>Chlordane</v>
          </cell>
          <cell r="K15" t="str">
            <v xml:space="preserve">        010401 Non-Hazardous Waste - Waste gravel and crushed rocks</v>
          </cell>
          <cell r="S15">
            <v>2013</v>
          </cell>
          <cell r="V15" t="str">
            <v>C3 – GHG reduction targets and climate transition</v>
          </cell>
          <cell r="Z15" t="str">
            <v xml:space="preserve">    0207 Wastes from the production of alcoholic and non-alcoholic beverages (except coffee, tea and cocoa)</v>
          </cell>
          <cell r="AA15" t="str">
            <v>BGN</v>
          </cell>
          <cell r="AC15">
            <v>14</v>
          </cell>
        </row>
        <row r="16">
          <cell r="C16" t="str">
            <v>NACE A - 03.1 Fishing</v>
          </cell>
          <cell r="D16" t="str">
            <v>NACE A - 01.23 Growing of citrus fruits</v>
          </cell>
          <cell r="E16" t="str">
            <v>Aruba</v>
          </cell>
          <cell r="H16" t="str">
            <v>C3 – GHG reduction targets and climate transition</v>
          </cell>
          <cell r="I16" t="str">
            <v>Chlordecone</v>
          </cell>
          <cell r="K16" t="str">
            <v xml:space="preserve">        010402 Non-Hazardous Waste - Waste sand and clays</v>
          </cell>
          <cell r="S16">
            <v>2014</v>
          </cell>
          <cell r="V16" t="str">
            <v>C4 – Climate risks</v>
          </cell>
          <cell r="Z16" t="str">
            <v>03 WASTES FROM WOOD PROCESSING AND THE PRODUCTION OF PAPER, CARDBOARD, PULP, PANELS AND FURNITURE</v>
          </cell>
          <cell r="AA16" t="str">
            <v>BHD</v>
          </cell>
          <cell r="AC16">
            <v>15</v>
          </cell>
        </row>
        <row r="17">
          <cell r="C17" t="str">
            <v>NACE A - 03.2 Aquaculture</v>
          </cell>
          <cell r="D17" t="str">
            <v>NACE A - 01.24 Growing of pome fruits and stone fruits</v>
          </cell>
          <cell r="E17" t="str">
            <v>Åland Islands</v>
          </cell>
          <cell r="H17" t="str">
            <v>C4 – Climate risks</v>
          </cell>
          <cell r="I17" t="str">
            <v>Chlorfenvinphos</v>
          </cell>
          <cell r="K17" t="str">
            <v xml:space="preserve">        010403 Non-Hazardous Waste - Dusy and powdery waste</v>
          </cell>
          <cell r="S17">
            <v>2015</v>
          </cell>
          <cell r="V17" t="str">
            <v>C5 – Additional (general) workforce characteristics</v>
          </cell>
          <cell r="Z17" t="str">
            <v xml:space="preserve">    0301 Wastes from wood processing and the production of panels and furniture</v>
          </cell>
          <cell r="AA17" t="str">
            <v>BIF</v>
          </cell>
          <cell r="AC17">
            <v>16</v>
          </cell>
        </row>
        <row r="18">
          <cell r="C18" t="str">
            <v>NACE A - 03.3 Support activities for fishing and aquaculture</v>
          </cell>
          <cell r="D18" t="str">
            <v>NACE A - 01.25 Growing of other tree and bush fruits and nuts</v>
          </cell>
          <cell r="E18" t="str">
            <v>Azerbaijan</v>
          </cell>
          <cell r="H18" t="str">
            <v>C5 – Additional (general) workforce characteristics</v>
          </cell>
          <cell r="I18" t="str">
            <v>Chlorides (total Cl)</v>
          </cell>
          <cell r="K18" t="str">
            <v xml:space="preserve">        010404 Non-Hazardous Waste - Waste from potash and rock-salt processing</v>
          </cell>
          <cell r="S18">
            <v>2016</v>
          </cell>
          <cell r="V18" t="str">
            <v>C6 – Additional own workforce information - Human rights policies and processes</v>
          </cell>
          <cell r="Z18" t="str">
            <v xml:space="preserve">    0302 Wood preservation wastes</v>
          </cell>
          <cell r="AA18" t="str">
            <v>BMD</v>
          </cell>
          <cell r="AC18">
            <v>17</v>
          </cell>
        </row>
        <row r="19">
          <cell r="C19" t="str">
            <v>NACE A - AGRICULTURE, FORESTRY AND FISHING</v>
          </cell>
          <cell r="D19" t="str">
            <v>NACE A - 01.26 Growing of oleaginous fruits</v>
          </cell>
          <cell r="E19" t="str">
            <v>Bosnia and Herzegovina</v>
          </cell>
          <cell r="H19" t="str">
            <v>C6 – Additional own workforce information - Human rights policies and processes</v>
          </cell>
          <cell r="I19" t="str">
            <v>Chlorine and inorganic compounds (HCl)</v>
          </cell>
          <cell r="K19" t="str">
            <v xml:space="preserve">        010405 Non-Hazardous Waste - Waste from washing and cleaning of minerals</v>
          </cell>
          <cell r="S19">
            <v>2017</v>
          </cell>
          <cell r="V19" t="str">
            <v>C7 – Severe negative human rights incidents</v>
          </cell>
          <cell r="Z19" t="str">
            <v xml:space="preserve">    0303 Wastes from pulp, paper and cardboard production and processing</v>
          </cell>
          <cell r="AA19" t="str">
            <v>BND</v>
          </cell>
          <cell r="AC19">
            <v>18</v>
          </cell>
        </row>
        <row r="20">
          <cell r="C20" t="str">
            <v>NACE B - 04 Mining of coal and lignite</v>
          </cell>
          <cell r="D20" t="str">
            <v>NACE A - 01.27 Growing of beverage crops</v>
          </cell>
          <cell r="E20" t="str">
            <v>Barbados</v>
          </cell>
          <cell r="H20" t="str">
            <v>C7 – Severe negative human rights incidents</v>
          </cell>
          <cell r="I20" t="str">
            <v>Chloro-alkanes, C10-C13</v>
          </cell>
          <cell r="K20" t="str">
            <v xml:space="preserve">        010406 Non-Hazardous Waste - Waste from stone cutting and sawing</v>
          </cell>
          <cell r="S20">
            <v>2018</v>
          </cell>
          <cell r="V20" t="str">
            <v>C8 – Revenues from certain sectors and exclusion from EU reference benchmarks</v>
          </cell>
          <cell r="Z20" t="str">
            <v>04 WASTES FROM THE LEATHER, FUR AND TEXTILE INDUSTRIES</v>
          </cell>
          <cell r="AA20" t="str">
            <v>BOB</v>
          </cell>
          <cell r="AC20">
            <v>19</v>
          </cell>
        </row>
        <row r="21">
          <cell r="C21" t="str">
            <v>NACE B - 05 Extraction of crude petroleum and natural gas</v>
          </cell>
          <cell r="D21" t="str">
            <v>NACE A - 01.28 Growing of spices, aromatic, drug and pharmaceutical crops</v>
          </cell>
          <cell r="E21" t="str">
            <v>Bangladesh</v>
          </cell>
          <cell r="H21" t="str">
            <v>C8 – Revenues from certain sectors and exclusion from EU reference benchmarks</v>
          </cell>
          <cell r="I21" t="str">
            <v>Chlorofluorocarbons (CFCs)</v>
          </cell>
          <cell r="K21" t="str">
            <v xml:space="preserve">        010499 Non-Hazardous Waste - Waste not otherwise specified</v>
          </cell>
          <cell r="S21">
            <v>2019</v>
          </cell>
          <cell r="V21" t="str">
            <v>C9 – Gender diversity ratio in the governance body</v>
          </cell>
          <cell r="Z21" t="str">
            <v xml:space="preserve">    0401 Wastes from the leather and fur industry</v>
          </cell>
          <cell r="AA21" t="str">
            <v>BOV</v>
          </cell>
          <cell r="AC21">
            <v>20</v>
          </cell>
        </row>
        <row r="22">
          <cell r="C22" t="str">
            <v>NACE B - 05.1 Mining of hard coal</v>
          </cell>
          <cell r="D22" t="str">
            <v>NACE A - 01.29 Growing of other perennial crops</v>
          </cell>
          <cell r="E22" t="str">
            <v>Belgium</v>
          </cell>
          <cell r="H22" t="str">
            <v>C9 – Gender diversity ratio in the governance body</v>
          </cell>
          <cell r="I22" t="str">
            <v>Chlorpyrifos</v>
          </cell>
          <cell r="K22" t="str">
            <v xml:space="preserve">    0105 Drilling muds and other drilling wastes</v>
          </cell>
          <cell r="S22">
            <v>2020</v>
          </cell>
          <cell r="Z22" t="str">
            <v xml:space="preserve">    0402 Wastes from the textile industry</v>
          </cell>
          <cell r="AA22" t="str">
            <v>BRL</v>
          </cell>
          <cell r="AC22">
            <v>21</v>
          </cell>
        </row>
        <row r="23">
          <cell r="C23" t="str">
            <v>NACE B - 05.2 Mining of lignite</v>
          </cell>
          <cell r="D23" t="str">
            <v>NACE A - 01.3 Plant propagation</v>
          </cell>
          <cell r="E23" t="str">
            <v>Burkina Faso</v>
          </cell>
          <cell r="I23" t="str">
            <v>Chromium and compounds (Cr)</v>
          </cell>
          <cell r="K23" t="str">
            <v xml:space="preserve">        010501 Non-Hazardous Waste - Oil-containing drilling muds and wastes</v>
          </cell>
          <cell r="S23">
            <v>2021</v>
          </cell>
          <cell r="Z23" t="str">
            <v>05 WASTES FROM PETROLEUM REFINING, NATURAL GAS PURIFICATION AND PYROLYTIC TREATMENT OF COAL</v>
          </cell>
          <cell r="AA23" t="str">
            <v>BSD</v>
          </cell>
          <cell r="AC23">
            <v>22</v>
          </cell>
        </row>
        <row r="24">
          <cell r="C24" t="str">
            <v>NACE B - 06 Mining of metal ores</v>
          </cell>
          <cell r="D24" t="str">
            <v>NACE A - 01.30 Plant propagation</v>
          </cell>
          <cell r="E24" t="str">
            <v>Bulgaria</v>
          </cell>
          <cell r="I24" t="str">
            <v>Copper and compounds (Cu)</v>
          </cell>
          <cell r="K24" t="str">
            <v xml:space="preserve">        010502 Non-Hazardous Waste - Barite-containing drilling muds and wastes</v>
          </cell>
          <cell r="S24">
            <v>2022</v>
          </cell>
          <cell r="Z24" t="str">
            <v xml:space="preserve">    0501 Oily sludges and solid wastes</v>
          </cell>
          <cell r="AA24" t="str">
            <v>BTN</v>
          </cell>
          <cell r="AC24">
            <v>23</v>
          </cell>
        </row>
        <row r="25">
          <cell r="C25" t="str">
            <v>NACE B - 06.1 Extraction of crude petroleum</v>
          </cell>
          <cell r="D25" t="str">
            <v>NACE A - 01.4 Animal production</v>
          </cell>
          <cell r="E25" t="str">
            <v>Bahrain</v>
          </cell>
          <cell r="I25" t="str">
            <v>Cyanides (total CN)</v>
          </cell>
          <cell r="K25" t="str">
            <v xml:space="preserve">        010503 Non-Hazardous Waste - Chloride-containing drilling muds and wastes</v>
          </cell>
          <cell r="S25">
            <v>2023</v>
          </cell>
          <cell r="Z25" t="str">
            <v xml:space="preserve">    0502 Non oily sludges and solid wastes</v>
          </cell>
          <cell r="AA25" t="str">
            <v>BWP</v>
          </cell>
          <cell r="AC25">
            <v>24</v>
          </cell>
        </row>
        <row r="26">
          <cell r="C26" t="str">
            <v>NACE B - 06.2 Extraction of natural gas</v>
          </cell>
          <cell r="D26" t="str">
            <v>NACE A - 01.41 Raising of dairy cattle</v>
          </cell>
          <cell r="E26" t="str">
            <v>Burundi</v>
          </cell>
          <cell r="I26" t="str">
            <v>DDT</v>
          </cell>
          <cell r="K26" t="str">
            <v xml:space="preserve">        010504 Non-Hazardous Waste - Fresh-water drilling muds and wastes</v>
          </cell>
          <cell r="S26">
            <v>2024</v>
          </cell>
          <cell r="Z26" t="str">
            <v xml:space="preserve">    0504 Spent filter clays</v>
          </cell>
          <cell r="AA26" t="str">
            <v>BZD</v>
          </cell>
          <cell r="AC26">
            <v>25</v>
          </cell>
        </row>
        <row r="27">
          <cell r="C27" t="str">
            <v>NACE B - 07 Other mining and quarrying</v>
          </cell>
          <cell r="D27" t="str">
            <v>NACE A - 01.42 Raising of other cattle and buffaloes</v>
          </cell>
          <cell r="E27" t="str">
            <v>Benin</v>
          </cell>
          <cell r="I27" t="str">
            <v>Di-(2-ethyl hexyl) phthalate (DEHP)</v>
          </cell>
          <cell r="K27" t="str">
            <v xml:space="preserve">        010599 Non-Hazardous Waste - Wastes not otherwise specified</v>
          </cell>
          <cell r="S27">
            <v>2025</v>
          </cell>
          <cell r="Z27" t="str">
            <v xml:space="preserve">    0505 Oil desulphurisation wastes</v>
          </cell>
          <cell r="AA27" t="str">
            <v>CAD</v>
          </cell>
          <cell r="AC27">
            <v>26</v>
          </cell>
        </row>
        <row r="28">
          <cell r="C28" t="str">
            <v>NACE B - 07.1 Mining of iron ores</v>
          </cell>
          <cell r="D28" t="str">
            <v>NACE A - 01.43 Raising of horses and other equines</v>
          </cell>
          <cell r="E28" t="str">
            <v>Saint Barthélemy</v>
          </cell>
          <cell r="I28" t="str">
            <v>1,2-dichloroethane (EDC)</v>
          </cell>
          <cell r="K28" t="str">
            <v>02 WASTES FROM AGRICULTURAL, HORTICULTURAL, HUNTING, FISHING AND AQUACULTURAL PRIMARY PRODUCTION, FOOD PREPARATION AND PROCESSING</v>
          </cell>
          <cell r="S28">
            <v>2026</v>
          </cell>
          <cell r="Z28" t="str">
            <v xml:space="preserve">    0506 Wastes from the pyrolytic treatment of coal</v>
          </cell>
          <cell r="AA28" t="str">
            <v>CDF</v>
          </cell>
          <cell r="AC28">
            <v>27</v>
          </cell>
        </row>
        <row r="29">
          <cell r="C29" t="str">
            <v>NACE B - 07.2 Mining of non-ferrous metal ores</v>
          </cell>
          <cell r="D29" t="str">
            <v>NACE A - 01.44 Raising of camels and camelids</v>
          </cell>
          <cell r="E29" t="str">
            <v>Bermuda</v>
          </cell>
          <cell r="I29" t="str">
            <v>Dichloromethane (DCM)</v>
          </cell>
          <cell r="K29" t="str">
            <v xml:space="preserve">    0201 Primary production wastes</v>
          </cell>
          <cell r="S29">
            <v>2027</v>
          </cell>
          <cell r="Z29" t="str">
            <v xml:space="preserve">    0507 Wastes from natural gas purification</v>
          </cell>
          <cell r="AA29" t="str">
            <v>CHE</v>
          </cell>
          <cell r="AC29">
            <v>28</v>
          </cell>
        </row>
        <row r="30">
          <cell r="C30" t="str">
            <v>NACE B - 08 Mining support service activities</v>
          </cell>
          <cell r="D30" t="str">
            <v>NACE A - 01.45 Raising of sheep and goats</v>
          </cell>
          <cell r="E30" t="str">
            <v>Brunei Darussalam</v>
          </cell>
          <cell r="I30" t="str">
            <v>Dicofol</v>
          </cell>
          <cell r="K30" t="str">
            <v xml:space="preserve">        020101 Non-Hazardous Waste - Sludges from washing and cleaning</v>
          </cell>
          <cell r="S30">
            <v>2028</v>
          </cell>
          <cell r="Z30" t="str">
            <v xml:space="preserve">    0508 Wastes from oil regeneration</v>
          </cell>
          <cell r="AA30" t="str">
            <v>CHF</v>
          </cell>
          <cell r="AC30">
            <v>29</v>
          </cell>
        </row>
        <row r="31">
          <cell r="C31" t="str">
            <v>NACE B - 08.1 Quarrying of stone, sand and clay</v>
          </cell>
          <cell r="D31" t="str">
            <v>NACE A - 01.46 Raising of swine and pigs</v>
          </cell>
          <cell r="E31" t="str">
            <v>Bolivia (Plurinational State of)</v>
          </cell>
          <cell r="I31" t="str">
            <v>Dieldrin</v>
          </cell>
          <cell r="K31" t="str">
            <v xml:space="preserve">        020102 Non-Hazardous Waste - Animal tissue waste</v>
          </cell>
          <cell r="S31">
            <v>2029</v>
          </cell>
          <cell r="Z31" t="str">
            <v>06 WASTES FROM INORGANIC CHEMICAL PROCESSES</v>
          </cell>
          <cell r="AA31" t="str">
            <v>CHW</v>
          </cell>
          <cell r="AC31">
            <v>30</v>
          </cell>
        </row>
        <row r="32">
          <cell r="C32" t="str">
            <v>NACE B - 08.9 Mining and quarrying n.e.c.</v>
          </cell>
          <cell r="D32" t="str">
            <v>NACE A - 01.47 Raising of poultry</v>
          </cell>
          <cell r="E32" t="str">
            <v>Bonaire, Sint Eustatius and Saba</v>
          </cell>
          <cell r="I32" t="str">
            <v>Diuron</v>
          </cell>
          <cell r="K32" t="str">
            <v xml:space="preserve">        020103 Non-Hazardous Waste - Plant tissue waste</v>
          </cell>
          <cell r="S32">
            <v>2030</v>
          </cell>
          <cell r="Z32" t="str">
            <v xml:space="preserve">    0601 Waste acidic solutions</v>
          </cell>
          <cell r="AA32" t="str">
            <v>CLF</v>
          </cell>
          <cell r="AC32">
            <v>31</v>
          </cell>
        </row>
        <row r="33">
          <cell r="C33" t="str">
            <v>NACE B - 09.1 Support activities for petroleum and natural gas extraction</v>
          </cell>
          <cell r="D33" t="str">
            <v>NACE A - 01.48 Raising of other animals</v>
          </cell>
          <cell r="E33" t="str">
            <v>Brazil</v>
          </cell>
          <cell r="I33" t="str">
            <v>Endosulphan</v>
          </cell>
          <cell r="K33" t="str">
            <v xml:space="preserve">        020104 Non-Hazardous Waste - Waste plastics (except packaging)</v>
          </cell>
          <cell r="S33">
            <v>2031</v>
          </cell>
          <cell r="Z33" t="str">
            <v xml:space="preserve">    0602 Waste alkaline solutions</v>
          </cell>
          <cell r="AA33" t="str">
            <v>CLP</v>
          </cell>
        </row>
        <row r="34">
          <cell r="C34" t="str">
            <v>NACE B - 09.9 Support activities for other mining and quarrying</v>
          </cell>
          <cell r="D34" t="str">
            <v>NACE A - 01.5 Mixed farming</v>
          </cell>
          <cell r="E34" t="str">
            <v>Bahamas</v>
          </cell>
          <cell r="I34" t="str">
            <v>Endrin</v>
          </cell>
          <cell r="K34" t="str">
            <v xml:space="preserve">        020105 Hazardous Waste - Agrochemical wastes</v>
          </cell>
          <cell r="S34">
            <v>2032</v>
          </cell>
          <cell r="Z34" t="str">
            <v xml:space="preserve">    0603 Waste salts and their solutions</v>
          </cell>
          <cell r="AA34" t="str">
            <v>CNY</v>
          </cell>
        </row>
        <row r="35">
          <cell r="C35" t="str">
            <v>NACE B - MINING AND QUARRYING</v>
          </cell>
          <cell r="D35" t="str">
            <v>NACE A - 01.50 Mixed farming</v>
          </cell>
          <cell r="E35" t="str">
            <v>Bhutan</v>
          </cell>
          <cell r="I35" t="str">
            <v>Ethyl benzene</v>
          </cell>
          <cell r="K35" t="str">
            <v xml:space="preserve">        020106 Non-Hazardous Waste - Animal faeces, urine and manure (including spoiled straw), effluent, collected separately and treated off-site</v>
          </cell>
          <cell r="S35">
            <v>2033</v>
          </cell>
          <cell r="Z35" t="str">
            <v xml:space="preserve">    0604 Metal-containing wastes</v>
          </cell>
          <cell r="AA35" t="str">
            <v>COP</v>
          </cell>
        </row>
        <row r="36">
          <cell r="C36" t="str">
            <v>NACE C - 10 Manufacture of food products</v>
          </cell>
          <cell r="D36" t="str">
            <v>NACE A - 01.6 Support activities to agriculture and post-harvest crop activities</v>
          </cell>
          <cell r="E36" t="str">
            <v>Burma (before 1989-12-15)</v>
          </cell>
          <cell r="I36" t="str">
            <v>Ethylene oxide</v>
          </cell>
          <cell r="K36" t="str">
            <v xml:space="preserve">        020107 Non-Hazardous Waste - Waste from forestry exploitation</v>
          </cell>
          <cell r="S36">
            <v>2034</v>
          </cell>
          <cell r="Z36" t="str">
            <v xml:space="preserve">    0605 Sludges from on-site effluent treatment</v>
          </cell>
          <cell r="AA36" t="str">
            <v>COU</v>
          </cell>
        </row>
        <row r="37">
          <cell r="C37" t="str">
            <v>NACE C - 10.1 Processing and preserving of meat and production of meat products</v>
          </cell>
          <cell r="D37" t="str">
            <v>NACE A - 01.61 Support activities for crop production</v>
          </cell>
          <cell r="E37" t="str">
            <v>Bouvet Island</v>
          </cell>
          <cell r="I37" t="str">
            <v>Fluoranthene</v>
          </cell>
          <cell r="K37" t="str">
            <v xml:space="preserve">        020199 Non-Hazardous Waste - Waste not otherwise specified</v>
          </cell>
          <cell r="S37">
            <v>2035</v>
          </cell>
          <cell r="Z37" t="str">
            <v xml:space="preserve">    0606 Wastes from sulphur chemical processes (production and transformation) and desulphurisation processes</v>
          </cell>
          <cell r="AA37" t="str">
            <v>CRC</v>
          </cell>
        </row>
        <row r="38">
          <cell r="C38" t="str">
            <v>NACE C - 10.2 Processing and preserving of fish, crustaceans and molluscs</v>
          </cell>
          <cell r="D38" t="str">
            <v>NACE A - 01.62 Support activities for animal production</v>
          </cell>
          <cell r="E38" t="str">
            <v>Botswana</v>
          </cell>
          <cell r="I38" t="str">
            <v>Fluorides (total F)</v>
          </cell>
          <cell r="K38" t="str">
            <v xml:space="preserve">    0202 Wastes from the preparation and processing of meat, fish and other foods of animal origin</v>
          </cell>
          <cell r="S38">
            <v>2036</v>
          </cell>
          <cell r="Z38" t="str">
            <v xml:space="preserve">    0607 Wastes from halogen chemical processes</v>
          </cell>
          <cell r="AA38" t="str">
            <v>CUC</v>
          </cell>
        </row>
        <row r="39">
          <cell r="C39" t="str">
            <v>NACE C - 10.3 Processing and preserving of fruit and vegetables</v>
          </cell>
          <cell r="D39" t="str">
            <v>NACE A - 01.63 Post-harvest crop activities and seed processing for propagation</v>
          </cell>
          <cell r="E39" t="str">
            <v>Belarus</v>
          </cell>
          <cell r="I39" t="str">
            <v>Fluorine and inorganic compounds (HF)</v>
          </cell>
          <cell r="K39" t="str">
            <v xml:space="preserve">        020201 Non-Hazardous Waste - Sludges from washing and cleaning</v>
          </cell>
          <cell r="S39">
            <v>2037</v>
          </cell>
          <cell r="Z39" t="str">
            <v xml:space="preserve">    0608 Waste from production of silicon and silicon derivatives</v>
          </cell>
          <cell r="AA39" t="str">
            <v>CUP</v>
          </cell>
        </row>
        <row r="40">
          <cell r="C40" t="str">
            <v>NACE C - 10.4 Manufacture of vegetable and animal oils and fats</v>
          </cell>
          <cell r="D40" t="str">
            <v>NACE A - 01.7 Hunting, trapping and related service activities</v>
          </cell>
          <cell r="E40" t="str">
            <v>Belize</v>
          </cell>
          <cell r="I40" t="str">
            <v>Halogenated organic compounds (AOX)</v>
          </cell>
          <cell r="K40" t="str">
            <v xml:space="preserve">        020202 Non-Hazardous Waste - Animal tissue waste</v>
          </cell>
          <cell r="S40">
            <v>2038</v>
          </cell>
          <cell r="Z40" t="str">
            <v xml:space="preserve">    0609 Wastes from phosphorus chemical processes</v>
          </cell>
          <cell r="AA40" t="str">
            <v>CVE</v>
          </cell>
        </row>
        <row r="41">
          <cell r="C41" t="str">
            <v>NACE C - 10.5 Manufacture of dairy products and edible ice</v>
          </cell>
          <cell r="D41" t="str">
            <v>NACE A - 01.70 Hunting, trapping and related service activities</v>
          </cell>
          <cell r="E41" t="str">
            <v>Canada</v>
          </cell>
          <cell r="I41" t="str">
            <v>Halons</v>
          </cell>
          <cell r="K41" t="str">
            <v xml:space="preserve">        020203 Non-Hazardous Waste - Material unsuitable for consumption or processing</v>
          </cell>
          <cell r="S41">
            <v>2039</v>
          </cell>
          <cell r="Z41" t="str">
            <v xml:space="preserve">    0610 Waste from nitrogen chemical processes and fertiliser manufacture</v>
          </cell>
          <cell r="AA41" t="str">
            <v>CZK</v>
          </cell>
        </row>
        <row r="42">
          <cell r="C42" t="str">
            <v>NACE C - 10.6 Manufacture of grain mill products, starches and starch products</v>
          </cell>
          <cell r="D42" t="str">
            <v>NACE A - 02 Forestry and logging</v>
          </cell>
          <cell r="E42" t="str">
            <v>Cocos (Keeling) Islands</v>
          </cell>
          <cell r="I42" t="str">
            <v>Heptachlor</v>
          </cell>
          <cell r="K42" t="str">
            <v xml:space="preserve">        020204 Non-Hazardous Waste - Sludges from on-site effluent treatment</v>
          </cell>
          <cell r="S42">
            <v>2040</v>
          </cell>
          <cell r="Z42" t="str">
            <v xml:space="preserve">    0611 Waste from the manufacture of inorganic pigments and opacificiers</v>
          </cell>
          <cell r="AA42" t="str">
            <v>DJF</v>
          </cell>
        </row>
        <row r="43">
          <cell r="C43" t="str">
            <v>NACE C - 10.7 Manufacture of bakery and farinaceous products</v>
          </cell>
          <cell r="D43" t="str">
            <v>NACE A - 02.1 Silviculture and other forestry activities</v>
          </cell>
          <cell r="E43" t="str">
            <v>Congo (the Democratic Republic of the)</v>
          </cell>
          <cell r="I43" t="str">
            <v>Hexabromobiphenyl</v>
          </cell>
          <cell r="K43" t="str">
            <v xml:space="preserve">        020299 Non-Hazardous Waste - Waste not otherwise specified</v>
          </cell>
          <cell r="S43">
            <v>2041</v>
          </cell>
          <cell r="Z43" t="str">
            <v xml:space="preserve">    0613 Wastes from other inorganic chemical processes</v>
          </cell>
          <cell r="AA43" t="str">
            <v>DKK</v>
          </cell>
        </row>
        <row r="44">
          <cell r="C44" t="str">
            <v>NACE C - 10.8 Manufacture of other food products</v>
          </cell>
          <cell r="D44" t="str">
            <v>NACE A - 02.10 Silviculture and other forestry activities</v>
          </cell>
          <cell r="E44" t="str">
            <v>Central African Republic</v>
          </cell>
          <cell r="I44" t="str">
            <v>Hexachlorobenzene (HCB)</v>
          </cell>
          <cell r="K44" t="str">
            <v xml:space="preserve">    0203 Wastes from fruit, vegetables, cereals, edible oils, cocoa, coffee and tobacco preparation and processing; tobacco processing; conserve production</v>
          </cell>
          <cell r="S44">
            <v>2042</v>
          </cell>
          <cell r="Z44" t="str">
            <v>07 WASTES FROM ORGANIC CHEMICAL PROCESSES</v>
          </cell>
          <cell r="AA44" t="str">
            <v>DOP</v>
          </cell>
        </row>
        <row r="45">
          <cell r="C45" t="str">
            <v>NACE C - 10.9 Manufacture of prepared animal feeds</v>
          </cell>
          <cell r="D45" t="str">
            <v>NACE A - 02.2 Logging</v>
          </cell>
          <cell r="E45" t="str">
            <v>Congo</v>
          </cell>
          <cell r="I45" t="str">
            <v>Hexachlorobutadiene (HCBD)</v>
          </cell>
          <cell r="K45" t="str">
            <v xml:space="preserve">        020301 Non-Hazardous Waste - Sludges from washing, cleaning, peeling, centrifuging and separation</v>
          </cell>
          <cell r="S45">
            <v>2043</v>
          </cell>
          <cell r="Z45" t="str">
            <v xml:space="preserve">    0701 Wastes from the manufacture, formulation, supply and use (MFSU) of basic organic chemicals</v>
          </cell>
          <cell r="AA45" t="str">
            <v>DZD</v>
          </cell>
        </row>
        <row r="46">
          <cell r="C46" t="str">
            <v>NACE C - 11 Manufacture of beverages</v>
          </cell>
          <cell r="D46" t="str">
            <v>NACE A - 02.20 Logging</v>
          </cell>
          <cell r="E46" t="str">
            <v>Switzerland</v>
          </cell>
          <cell r="I46" t="str">
            <v>1,2,3,4,5,6-hexachlorocyclohexane (HCH)</v>
          </cell>
          <cell r="K46" t="str">
            <v xml:space="preserve">        020302 Non-Hazardous Waste - Waste from preserving agents</v>
          </cell>
          <cell r="S46">
            <v>2044</v>
          </cell>
          <cell r="Z46" t="str">
            <v xml:space="preserve">    0702 Wastes from the MFSU of plastics, synthetic rubber and man-made fibres</v>
          </cell>
          <cell r="AA46" t="str">
            <v>EGP</v>
          </cell>
        </row>
        <row r="47">
          <cell r="C47" t="str">
            <v>NACE C - 11.0 Manufacture of beverages</v>
          </cell>
          <cell r="D47" t="str">
            <v>NACE A - 02.3 Gathering of wild growing non-wood products</v>
          </cell>
          <cell r="E47" t="str">
            <v>Côte d'Ivoire</v>
          </cell>
          <cell r="I47" t="str">
            <v>Hydrochlorofluorocarbons (HCFCs)</v>
          </cell>
          <cell r="K47" t="str">
            <v xml:space="preserve">        020303 Non-Hazardous Waste - Waste from solvent extraction</v>
          </cell>
          <cell r="S47">
            <v>2045</v>
          </cell>
          <cell r="Z47" t="str">
            <v xml:space="preserve">    0703 Wastes from the MFSU of organic dyes and pigments (except waste from the manufacture of inorganic pigments and opacificiers)</v>
          </cell>
          <cell r="AA47" t="str">
            <v>ERN</v>
          </cell>
        </row>
        <row r="48">
          <cell r="C48" t="str">
            <v>NACE C - 12 Manufacture of tobacco products</v>
          </cell>
          <cell r="D48" t="str">
            <v>NACE A - 02.30 Gathering of wild growing non-wood products</v>
          </cell>
          <cell r="E48" t="str">
            <v>Cook Islands</v>
          </cell>
          <cell r="I48" t="str">
            <v>Hydro-fluorocarbons (HFCs)</v>
          </cell>
          <cell r="K48" t="str">
            <v xml:space="preserve">        020304 Non-Hazardous Waste - Materials unsuitable for consumption or processing</v>
          </cell>
          <cell r="S48">
            <v>2046</v>
          </cell>
          <cell r="Z48" t="str">
            <v xml:space="preserve">    0704 Wastes from the MFSU of organic pesticides (except agrochemical wastes)</v>
          </cell>
          <cell r="AA48" t="str">
            <v>ETB</v>
          </cell>
        </row>
        <row r="49">
          <cell r="C49" t="str">
            <v>NACE C - 12.0 Manufacture of tobacco products</v>
          </cell>
          <cell r="D49" t="str">
            <v>NACE A - 02.4 Support services to forestry</v>
          </cell>
          <cell r="E49" t="str">
            <v>Chile</v>
          </cell>
          <cell r="I49" t="str">
            <v>Hydrogen cyanide (HCN)</v>
          </cell>
          <cell r="K49" t="str">
            <v xml:space="preserve">        020305 Non-Hazardous Waste - Sludges from on-site effluent treatment</v>
          </cell>
          <cell r="S49">
            <v>2047</v>
          </cell>
          <cell r="Z49" t="str">
            <v xml:space="preserve">    0705 Wastes from the MFSU of pharmaceuticals</v>
          </cell>
          <cell r="AA49" t="str">
            <v>EUR</v>
          </cell>
        </row>
        <row r="50">
          <cell r="C50" t="str">
            <v>NACE C - 13 Manufacture of textiles</v>
          </cell>
          <cell r="D50" t="str">
            <v>NACE A - 02.40 Support services to forestry</v>
          </cell>
          <cell r="E50" t="str">
            <v>Cameroon</v>
          </cell>
          <cell r="I50" t="str">
            <v>Isodrin</v>
          </cell>
          <cell r="K50" t="str">
            <v xml:space="preserve">        020399 Non-Hazardous Waste - Wastes not otherwise specified</v>
          </cell>
          <cell r="S50">
            <v>2048</v>
          </cell>
          <cell r="Z50" t="str">
            <v xml:space="preserve">    0706 Wastes from the MFSU of fats, grease, soaps, detergents disinfectants and cosmetics</v>
          </cell>
          <cell r="AA50" t="str">
            <v>FJD</v>
          </cell>
        </row>
        <row r="51">
          <cell r="C51" t="str">
            <v>NACE C - 13.1 Preparation and spinning of textile fibres</v>
          </cell>
          <cell r="D51" t="str">
            <v>NACE A - 03 Fishing and aquaculture</v>
          </cell>
          <cell r="E51" t="str">
            <v>China</v>
          </cell>
          <cell r="I51" t="str">
            <v>Isoproturon</v>
          </cell>
          <cell r="K51" t="str">
            <v xml:space="preserve">    0204 Wastes from sugar processing</v>
          </cell>
          <cell r="S51">
            <v>2049</v>
          </cell>
          <cell r="Z51" t="str">
            <v xml:space="preserve">    0707 Wastes from the MFSU of fine chemicals and chemical products not otherwise specified</v>
          </cell>
          <cell r="AA51" t="str">
            <v>FKP</v>
          </cell>
        </row>
        <row r="52">
          <cell r="C52" t="str">
            <v>NACE C - 13.2 Weaving of textiles</v>
          </cell>
          <cell r="D52" t="str">
            <v>NACE A - 03.1 Fishing</v>
          </cell>
          <cell r="E52" t="str">
            <v>Colombia</v>
          </cell>
          <cell r="I52" t="str">
            <v>Lead and compounds (Pb)</v>
          </cell>
          <cell r="K52" t="str">
            <v xml:space="preserve">        020401 Non-Hazardous Waste - Soil from cleaning and washing beet</v>
          </cell>
          <cell r="S52">
            <v>2050</v>
          </cell>
          <cell r="Z52" t="str">
            <v>08 WASTES FROM THE MANUFACTURE, FORMULATION, SUPPLY AND USE (MFSU) OF COATINGS (PAINTS, VARNISHES AND VITREOUS ENAMELS), ADHESIVES, SEALANTS AND PRINTING INKS</v>
          </cell>
          <cell r="AA52" t="str">
            <v>GBP</v>
          </cell>
        </row>
        <row r="53">
          <cell r="C53" t="str">
            <v>NACE C - 13.3 Finishing of textiles</v>
          </cell>
          <cell r="D53" t="str">
            <v>NACE A - 03.11 Marine fishing</v>
          </cell>
          <cell r="E53" t="str">
            <v>Costa Rica</v>
          </cell>
          <cell r="I53" t="str">
            <v>Lindane</v>
          </cell>
          <cell r="K53" t="str">
            <v xml:space="preserve">        020402 Non-Hazardous Waste - Off-specification calcium carbonate</v>
          </cell>
          <cell r="S53">
            <v>2051</v>
          </cell>
          <cell r="Z53" t="str">
            <v xml:space="preserve">    0801 Wastes from MFSU and removal of paint and varnish</v>
          </cell>
          <cell r="AA53" t="str">
            <v>GEL</v>
          </cell>
        </row>
        <row r="54">
          <cell r="C54" t="str">
            <v>NACE C - 13.9 Manufacture of other textiles</v>
          </cell>
          <cell r="D54" t="str">
            <v>NACE A - 03.12 Freshwater fishing</v>
          </cell>
          <cell r="E54" t="str">
            <v>Serbia and Montenegro (before 2006-09-26)</v>
          </cell>
          <cell r="I54" t="str">
            <v>Mercury and compounds (Hg)</v>
          </cell>
          <cell r="K54" t="str">
            <v xml:space="preserve">        020403 Non-Hazardous Waste - Sludges from on-site effluent treatment</v>
          </cell>
          <cell r="S54">
            <v>2052</v>
          </cell>
          <cell r="Z54" t="str">
            <v xml:space="preserve">    0802 Wastes from MFSU of other coatings (including ceramic materials)</v>
          </cell>
          <cell r="AA54" t="str">
            <v>GHS</v>
          </cell>
        </row>
        <row r="55">
          <cell r="C55" t="str">
            <v>NACE C - 14 Manufacture of wearing apparel</v>
          </cell>
          <cell r="D55" t="str">
            <v>NACE A - 03.2 Aquaculture</v>
          </cell>
          <cell r="E55" t="str">
            <v>Cuba</v>
          </cell>
          <cell r="I55" t="str">
            <v>Methane (CH4)</v>
          </cell>
          <cell r="K55" t="str">
            <v xml:space="preserve">        020499 Non-Hazardous Waste - Wastes not otherwise specified</v>
          </cell>
          <cell r="S55">
            <v>2053</v>
          </cell>
          <cell r="Z55" t="str">
            <v xml:space="preserve">    0803 Wastes from MFSU of printing inks</v>
          </cell>
          <cell r="AA55" t="str">
            <v>GIP</v>
          </cell>
        </row>
        <row r="56">
          <cell r="C56" t="str">
            <v>NACE C - 14.1 Manufacture of knitted and crocheted apparel</v>
          </cell>
          <cell r="D56" t="str">
            <v>NACE A - 03.21 Marine aquaculture</v>
          </cell>
          <cell r="E56" t="str">
            <v>Cabo Verde</v>
          </cell>
          <cell r="I56" t="str">
            <v>Mirex</v>
          </cell>
          <cell r="K56" t="str">
            <v xml:space="preserve">    0205 Wastes from the dairy products industry</v>
          </cell>
          <cell r="S56">
            <v>2054</v>
          </cell>
          <cell r="Z56" t="str">
            <v xml:space="preserve">    0804 Wastes from MFSU of adhesives and sealants (including waterproofing products)</v>
          </cell>
          <cell r="AA56" t="str">
            <v>GMD</v>
          </cell>
        </row>
        <row r="57">
          <cell r="C57" t="str">
            <v>NACE C - 14.2 Manufacture of other wearing apparel and accessories</v>
          </cell>
          <cell r="D57" t="str">
            <v>NACE A - 03.22 Freshwater aquaculture</v>
          </cell>
          <cell r="E57" t="str">
            <v>Curaçao</v>
          </cell>
          <cell r="I57" t="str">
            <v>Naphthalene</v>
          </cell>
          <cell r="K57" t="str">
            <v xml:space="preserve">        020501 Non-Hazardous Waste - Materials unsuitable for consumption or processing</v>
          </cell>
          <cell r="S57">
            <v>2055</v>
          </cell>
          <cell r="Z57" t="str">
            <v xml:space="preserve">    0805 Wastes not otherwise specified</v>
          </cell>
          <cell r="AA57" t="str">
            <v>GNF</v>
          </cell>
        </row>
        <row r="58">
          <cell r="C58" t="str">
            <v>NACE C - 15 Manufacture of leather and related products of other materials</v>
          </cell>
          <cell r="D58" t="str">
            <v>NACE A - 03.3 Support activities for fishing and aquaculture</v>
          </cell>
          <cell r="E58" t="str">
            <v>Christmas Island</v>
          </cell>
          <cell r="I58" t="str">
            <v>Nickel and compounds (Ni)</v>
          </cell>
          <cell r="K58" t="str">
            <v xml:space="preserve">        020502 Non-Hazardous Waste - Sludges from on-site effluent treatment</v>
          </cell>
          <cell r="S58">
            <v>2056</v>
          </cell>
          <cell r="Z58" t="str">
            <v>09 WASTES FROM THE PHOTOGRAPHIC INDUSTRY</v>
          </cell>
          <cell r="AA58" t="str">
            <v>GTQ</v>
          </cell>
        </row>
        <row r="59">
          <cell r="C59" t="str">
            <v>NACE C - 15.1 Tanning, dyeing, dressing of leather and fur; manufacture of luggage, handbags, saddlery and harness</v>
          </cell>
          <cell r="D59" t="str">
            <v>NACE A - 03.30 Support activities for fishing and aquaculture</v>
          </cell>
          <cell r="E59" t="str">
            <v>Cyprus</v>
          </cell>
          <cell r="I59" t="str">
            <v>Nitrogen oxides (NOx/NO2)</v>
          </cell>
          <cell r="K59" t="str">
            <v xml:space="preserve">        020599 Non-Hazardous Waste - Wastes not otherwise specified</v>
          </cell>
          <cell r="S59">
            <v>2057</v>
          </cell>
          <cell r="Z59" t="str">
            <v xml:space="preserve">    0901 Wastes from the photographic industry</v>
          </cell>
          <cell r="AA59" t="str">
            <v>GYD</v>
          </cell>
        </row>
        <row r="60">
          <cell r="C60" t="str">
            <v>NACE C - 15.2 Manufacture of footwear</v>
          </cell>
          <cell r="D60" t="str">
            <v>NACE B - MINING AND QUARRYING</v>
          </cell>
          <cell r="E60" t="str">
            <v>Czechia</v>
          </cell>
          <cell r="I60" t="str">
            <v>Nitrous oxide (N2O)</v>
          </cell>
          <cell r="K60" t="str">
            <v xml:space="preserve">    0206 Wastes from the baking and confectionery industry</v>
          </cell>
          <cell r="S60">
            <v>2058</v>
          </cell>
          <cell r="Z60" t="str">
            <v>10 INORGANIC WASTES FROM THERMAL PROCESSES</v>
          </cell>
          <cell r="AA60" t="str">
            <v>HKD</v>
          </cell>
        </row>
        <row r="61">
          <cell r="C61" t="str">
            <v>NACE C - 15.20 Manufacture of footwear</v>
          </cell>
          <cell r="D61" t="str">
            <v>NACE B - 04 Mining of coal and lignite</v>
          </cell>
          <cell r="E61" t="str">
            <v>Germany</v>
          </cell>
          <cell r="I61" t="str">
            <v>Non-methane volatile organic compounds (NMVOC)</v>
          </cell>
          <cell r="K61" t="str">
            <v xml:space="preserve">        020601 Non-Hazardous Waste - Materials unsuitable for consumption or processing</v>
          </cell>
          <cell r="S61">
            <v>2059</v>
          </cell>
          <cell r="Z61" t="str">
            <v xml:space="preserve">    1001 Wastes from power stations and other combustion plants (except wastes from waste treatment facilities, off-site waste water treatment plants and the water industry)</v>
          </cell>
          <cell r="AA61" t="str">
            <v>HNL</v>
          </cell>
        </row>
        <row r="62">
          <cell r="C62" t="str">
            <v>NACE C - 16 Manufacture of wood and of products of wood and cork, except furniture; manufacture of articles of straw and plaiting materials</v>
          </cell>
          <cell r="D62" t="str">
            <v>NACE B - 05.1 Mining of hard coal</v>
          </cell>
          <cell r="E62" t="str">
            <v>Djibouti</v>
          </cell>
          <cell r="I62" t="str">
            <v>Nonylphenol and Nonylphenol ethoxylates (NP/NPEs)</v>
          </cell>
          <cell r="K62" t="str">
            <v xml:space="preserve">        020602 Non-Hazardous Waste - Wastes from preserving agents</v>
          </cell>
          <cell r="S62">
            <v>2060</v>
          </cell>
          <cell r="Z62" t="str">
            <v xml:space="preserve">    1002 Wastes from the iron and steel industry</v>
          </cell>
          <cell r="AA62" t="str">
            <v>HRK</v>
          </cell>
        </row>
        <row r="63">
          <cell r="C63" t="str">
            <v>NACE C - 16.1 Sawmilling and planing of wood; processing and finishing of wood</v>
          </cell>
          <cell r="D63" t="str">
            <v>NACE B - 05.10 Mining of hard coal</v>
          </cell>
          <cell r="E63" t="str">
            <v>Denmark</v>
          </cell>
          <cell r="I63" t="str">
            <v>Octylphenols and Octylphenol ethoxylates</v>
          </cell>
          <cell r="K63" t="str">
            <v xml:space="preserve">        020603 Non-Hazardous Waste - Sludges from on-site effluent treatment</v>
          </cell>
          <cell r="S63">
            <v>2061</v>
          </cell>
          <cell r="Z63" t="str">
            <v xml:space="preserve">    1003 Wastes from aluminium thermal metallurgy</v>
          </cell>
          <cell r="AA63" t="str">
            <v>HTG</v>
          </cell>
        </row>
        <row r="64">
          <cell r="C64" t="str">
            <v>NACE C - 16.2 Manufacture of products of wood, cork, straw and plaiting materials</v>
          </cell>
          <cell r="D64" t="str">
            <v>NACE B - 05.2 Mining of lignite</v>
          </cell>
          <cell r="E64" t="str">
            <v>Dominica</v>
          </cell>
          <cell r="I64" t="str">
            <v>Organotin compounds (total Sn)</v>
          </cell>
          <cell r="K64" t="str">
            <v xml:space="preserve">        020699 Non-Hazardous Waste - Wastes not otherwiese specified</v>
          </cell>
          <cell r="S64">
            <v>2062</v>
          </cell>
          <cell r="Z64" t="str">
            <v xml:space="preserve">    1004 Wastes from lead thermal metallurgy</v>
          </cell>
          <cell r="AA64" t="str">
            <v>HUF</v>
          </cell>
        </row>
        <row r="65">
          <cell r="C65" t="str">
            <v>NACE C - 17 Manufacture of paper and paper products</v>
          </cell>
          <cell r="D65" t="str">
            <v>NACE B - 05.20 Mining of lignite</v>
          </cell>
          <cell r="E65" t="str">
            <v>Dominican Republic</v>
          </cell>
          <cell r="I65" t="str">
            <v>Particulate matter (PM)</v>
          </cell>
          <cell r="K65" t="str">
            <v xml:space="preserve">    0207 Wastes from the production of alcoholic and non-alcoholic beverages (except coffee, tea and cocoa)</v>
          </cell>
          <cell r="S65">
            <v>2063</v>
          </cell>
          <cell r="Z65" t="str">
            <v xml:space="preserve">    1005 Wastes from zinc thermal metallurgy</v>
          </cell>
          <cell r="AA65" t="str">
            <v>IDR</v>
          </cell>
        </row>
        <row r="66">
          <cell r="C66" t="str">
            <v>NACE C - 17.1 Manufacture of pulp, paper and paperboard</v>
          </cell>
          <cell r="D66" t="str">
            <v>NACE B - 05 Extraction of crude petroleum and natural gas</v>
          </cell>
          <cell r="E66" t="str">
            <v>Algeria</v>
          </cell>
          <cell r="I66" t="str">
            <v>PCDD + PCDF (dioxins + furans) (Teq)</v>
          </cell>
          <cell r="K66" t="str">
            <v xml:space="preserve">        020701 Non-Hazardous Waste - Waste from washing, cleaning and mechanical reduction of raw materials</v>
          </cell>
          <cell r="S66">
            <v>2064</v>
          </cell>
          <cell r="Z66" t="str">
            <v xml:space="preserve">    1006 Wastes from copper thermal metallurgy</v>
          </cell>
          <cell r="AA66" t="str">
            <v>ILS</v>
          </cell>
        </row>
        <row r="67">
          <cell r="C67" t="str">
            <v>NACE C - 17.2 Manufacture of articles of paper and paperboard</v>
          </cell>
          <cell r="D67" t="str">
            <v>NACE B - 06.1 Extraction of crude petroleum</v>
          </cell>
          <cell r="E67" t="str">
            <v>Ecuador</v>
          </cell>
          <cell r="I67" t="str">
            <v>Pentachlorobenzene</v>
          </cell>
          <cell r="K67" t="str">
            <v xml:space="preserve">        020702 Non-Hazardous Waste - Waste from spirits distillation</v>
          </cell>
          <cell r="S67">
            <v>2065</v>
          </cell>
          <cell r="Z67" t="str">
            <v xml:space="preserve">    1007 Wastes from silver, gold and platinum thermal metallurgy</v>
          </cell>
          <cell r="AA67" t="str">
            <v>INR</v>
          </cell>
        </row>
        <row r="68">
          <cell r="C68" t="str">
            <v>NACE C - 18 Printing and reproduction of recorded media</v>
          </cell>
          <cell r="D68" t="str">
            <v>NACE B - 06.10 Extraction of crude petroleum</v>
          </cell>
          <cell r="E68" t="str">
            <v>Estonia</v>
          </cell>
          <cell r="I68" t="str">
            <v>Pentachlorophenol (PCP)</v>
          </cell>
          <cell r="K68" t="str">
            <v xml:space="preserve">        020703 Non-Hazardous Waste - Waste from chemical treatment</v>
          </cell>
          <cell r="S68">
            <v>2066</v>
          </cell>
          <cell r="Z68" t="str">
            <v xml:space="preserve">    1008 Wastes from other non-ferrous thermal metallurgy</v>
          </cell>
          <cell r="AA68" t="str">
            <v>IQD</v>
          </cell>
        </row>
        <row r="69">
          <cell r="C69" t="str">
            <v>NACE C - 18.1 Printing and service activities related to printing</v>
          </cell>
          <cell r="D69" t="str">
            <v>NACE B - 06.2 Extraction of natural gas</v>
          </cell>
          <cell r="E69" t="str">
            <v>Egypt</v>
          </cell>
          <cell r="I69" t="str">
            <v>Perfluorocarbons (PFCs)</v>
          </cell>
          <cell r="K69" t="str">
            <v xml:space="preserve">        020704 Non-Hazardous Waste - Materials unsuitable for consumption or processing</v>
          </cell>
          <cell r="S69">
            <v>2067</v>
          </cell>
          <cell r="Z69" t="str">
            <v xml:space="preserve">    1009 Wastes from casting of ferrous pieces</v>
          </cell>
          <cell r="AA69" t="str">
            <v>IRR</v>
          </cell>
        </row>
        <row r="70">
          <cell r="C70" t="str">
            <v>NACE C - 18.2 Reproduction of recorded media</v>
          </cell>
          <cell r="D70" t="str">
            <v>NACE B - 06.20 Extraction of natural gas</v>
          </cell>
          <cell r="E70" t="str">
            <v>Western Sahara*</v>
          </cell>
          <cell r="I70" t="str">
            <v>Perfluorohexane-1-sulfonic acid (PFHxS) and its salts</v>
          </cell>
          <cell r="K70" t="str">
            <v xml:space="preserve">        020705 Non-Hazardous Waste - Sludges from on-site effluent treatment</v>
          </cell>
          <cell r="S70">
            <v>2068</v>
          </cell>
          <cell r="Z70" t="str">
            <v xml:space="preserve">    1010 Wastes from casting of non-ferrous pieces</v>
          </cell>
          <cell r="AA70" t="str">
            <v>ISK</v>
          </cell>
        </row>
        <row r="71">
          <cell r="C71" t="str">
            <v>NACE C - 19 Manufacture of coke and refined petroleum products</v>
          </cell>
          <cell r="D71" t="str">
            <v>NACE B - 06 Mining of metal ores</v>
          </cell>
          <cell r="E71" t="str">
            <v>Eritrea</v>
          </cell>
          <cell r="I71" t="str">
            <v>Perfluorooctanoic acid (PFOA) and its salts</v>
          </cell>
          <cell r="K71" t="str">
            <v xml:space="preserve">        020799 Non-Hazardous Waste - Wastes not otherwise specified</v>
          </cell>
          <cell r="S71">
            <v>2069</v>
          </cell>
          <cell r="Z71" t="str">
            <v xml:space="preserve">    1011 Wastes from manufacture of glass and glass products</v>
          </cell>
          <cell r="AA71" t="str">
            <v>JMD</v>
          </cell>
        </row>
        <row r="72">
          <cell r="C72" t="str">
            <v>NACE C - 19.1 Manufacture of coke oven products</v>
          </cell>
          <cell r="D72" t="str">
            <v>NACE B - 07.1 Mining of iron ores</v>
          </cell>
          <cell r="E72" t="str">
            <v>Spain</v>
          </cell>
          <cell r="I72" t="str">
            <v>Phenols (total C)</v>
          </cell>
          <cell r="K72" t="str">
            <v>03 WASTES FROM WOOD PROCESSING AND THE PRODUCTION OF PAPER, CARDBOARD, PULP, PANELS AND FURNITURE</v>
          </cell>
          <cell r="S72">
            <v>2070</v>
          </cell>
          <cell r="Z72" t="str">
            <v xml:space="preserve">    1012 Wastes from manufacture of ceramic goods, bricks, tiles and construction products</v>
          </cell>
          <cell r="AA72" t="str">
            <v>JOD</v>
          </cell>
        </row>
        <row r="73">
          <cell r="C73" t="str">
            <v>NACE C - 19.2 Manufacture of refined petroleum products and fossil fuel products</v>
          </cell>
          <cell r="D73" t="str">
            <v>NACE B - 07.10 Mining of iron ores</v>
          </cell>
          <cell r="E73" t="str">
            <v>Ethiopia</v>
          </cell>
          <cell r="I73" t="str">
            <v>Polychlorinated biphenyls (PCBs)</v>
          </cell>
          <cell r="K73" t="str">
            <v xml:space="preserve">    0301 Wastes from wood processing and the production of panels and furniture</v>
          </cell>
          <cell r="S73">
            <v>2071</v>
          </cell>
          <cell r="Z73" t="str">
            <v xml:space="preserve">    1013 Wastes from manufacture of cement, lime and plaster and articles and products made from them</v>
          </cell>
          <cell r="AA73" t="str">
            <v>JPY</v>
          </cell>
        </row>
        <row r="74">
          <cell r="C74" t="str">
            <v>NACE C - 20 Manufacture of chemicals and chemical products</v>
          </cell>
          <cell r="D74" t="str">
            <v>NACE B - 07.2 Mining of non-ferrous metal ores</v>
          </cell>
          <cell r="E74" t="str">
            <v>Finland</v>
          </cell>
          <cell r="I74" t="str">
            <v>Polycyclic aromatic hydrocarbons (PAHs)</v>
          </cell>
          <cell r="K74" t="str">
            <v xml:space="preserve">        030101 Hazardous Waste - Waste bark and cork</v>
          </cell>
          <cell r="S74">
            <v>2072</v>
          </cell>
          <cell r="Z74" t="str">
            <v>11 INORGANIC METAL-CONTAINING WASTES FROM METAL TREATMENT AND THE COATING OF METALS, AND NON-FERROUS HYDROMETALLURGY</v>
          </cell>
          <cell r="AA74" t="str">
            <v>KES</v>
          </cell>
        </row>
        <row r="75">
          <cell r="C75" t="str">
            <v>NACE C - 20.1 Manufacture of basic chemicals, fertilisers and nitrogen compounds, plastics and synthetic rubber in primary forms</v>
          </cell>
          <cell r="D75" t="str">
            <v>NACE B - 07.21 Mining of uranium and thorium ores</v>
          </cell>
          <cell r="E75" t="str">
            <v>Fiji</v>
          </cell>
          <cell r="I75" t="str">
            <v>Simazine</v>
          </cell>
          <cell r="K75" t="str">
            <v xml:space="preserve">        030102 Hazardous Waste - Sawdust</v>
          </cell>
          <cell r="S75">
            <v>2073</v>
          </cell>
          <cell r="Z75" t="str">
            <v xml:space="preserve">    1101 Liquid wastes and sludges from metal treatment and coating of metals, (e.g. galvanic processes, zinc coating processes, pickling processes, etching, phosphatising, alkaline degreasing)</v>
          </cell>
          <cell r="AA75" t="str">
            <v>KGS</v>
          </cell>
        </row>
        <row r="76">
          <cell r="C76" t="str">
            <v>NACE C - 20.2 Manufacture of pesticides, disinfectants and other agrochemical products</v>
          </cell>
          <cell r="D76" t="str">
            <v>NACE B - 07.29 Mining of other non-ferrous metal ores</v>
          </cell>
          <cell r="E76" t="str">
            <v>Falkland Islands (the) [Malvinas]</v>
          </cell>
          <cell r="I76" t="str">
            <v>Sulphur hexafluoride (SF6)</v>
          </cell>
          <cell r="K76" t="str">
            <v xml:space="preserve">        030103 Hazardous Waste - Shaving, cuttings, spoiled timber/particle board/veneer</v>
          </cell>
          <cell r="S76">
            <v>2074</v>
          </cell>
          <cell r="Z76" t="str">
            <v xml:space="preserve">    1102 Wastes and sludges from non-ferrous hydrometallurgical processes</v>
          </cell>
          <cell r="AA76" t="str">
            <v>KHR</v>
          </cell>
        </row>
        <row r="77">
          <cell r="C77" t="str">
            <v>NACE C - 20.3 Manufacture of paints, varnishes and similar coatings, printing ink and mastics</v>
          </cell>
          <cell r="D77" t="str">
            <v>NACE B - 07 Other mining and quarrying</v>
          </cell>
          <cell r="E77" t="str">
            <v>Micronesia (Federated States of)</v>
          </cell>
          <cell r="I77" t="str">
            <v>Sulphur oxides (SOx/SO2)</v>
          </cell>
          <cell r="K77" t="str">
            <v xml:space="preserve">        030199 Hazardous Waste - Wastes not otherwise specified</v>
          </cell>
          <cell r="S77">
            <v>2075</v>
          </cell>
          <cell r="Z77" t="str">
            <v xml:space="preserve">    1103 Sludges and solids from tempering processes</v>
          </cell>
          <cell r="AA77" t="str">
            <v>KMF</v>
          </cell>
        </row>
        <row r="78">
          <cell r="C78" t="str">
            <v>NACE C - 20.4 Manufacture of washing, cleaning and polishing preparations</v>
          </cell>
          <cell r="D78" t="str">
            <v>NACE B - 08.1 Quarrying of stone, sand and clay</v>
          </cell>
          <cell r="E78" t="str">
            <v>Faroe Islands</v>
          </cell>
          <cell r="I78" t="str">
            <v>Tetrachloroethylene (PER)</v>
          </cell>
          <cell r="K78" t="str">
            <v xml:space="preserve">    0302 Wood preservation wastes</v>
          </cell>
          <cell r="S78">
            <v>2076</v>
          </cell>
          <cell r="Z78" t="str">
            <v xml:space="preserve">    1104 Other inorganic metal-containing wastes not otherwise specified</v>
          </cell>
          <cell r="AA78" t="str">
            <v>KPW</v>
          </cell>
        </row>
        <row r="79">
          <cell r="C79" t="str">
            <v>NACE C - 20.5 Manufacture of other chemical products</v>
          </cell>
          <cell r="D79" t="str">
            <v>NACE B - 08.11 Quarrying of ornamental stone, limestone, gypsum, slate and other stone</v>
          </cell>
          <cell r="E79" t="str">
            <v>France</v>
          </cell>
          <cell r="I79" t="str">
            <v>Tetrachloromethane (TCM)</v>
          </cell>
          <cell r="K79" t="str">
            <v xml:space="preserve">        030201 Non-Hazardous Waste - Non-halogenated organic wood preservatives</v>
          </cell>
          <cell r="S79">
            <v>2077</v>
          </cell>
          <cell r="Z79" t="str">
            <v>12 WASTES FROM SHAPING AND SURFACE TREATMENT OF METALS AND PLASTICS</v>
          </cell>
          <cell r="AA79" t="str">
            <v>KRW</v>
          </cell>
        </row>
        <row r="80">
          <cell r="C80" t="str">
            <v>NACE C - 20.6 Manufacture of man-made fibres</v>
          </cell>
          <cell r="D80" t="str">
            <v>NACE B - 08.12 Operation of gravel and sand pits and mining of clay and kaolin</v>
          </cell>
          <cell r="E80" t="str">
            <v>Gabon</v>
          </cell>
          <cell r="I80" t="str">
            <v>1,1,2,2-tetrachloroethane</v>
          </cell>
          <cell r="K80" t="str">
            <v xml:space="preserve">        030202 Non-Hazardous Waste - Organochlorinated wood preservatives</v>
          </cell>
          <cell r="S80">
            <v>2078</v>
          </cell>
          <cell r="Z80" t="str">
            <v xml:space="preserve">    1201 Wastes from shaping (including forgoing, welding, pressing, drawing, turning, cutting and filing)</v>
          </cell>
          <cell r="AA80" t="str">
            <v>KWD</v>
          </cell>
        </row>
        <row r="81">
          <cell r="C81" t="str">
            <v>NACE C - 21 Manufacture of basic pharmaceutical products and pharmaceutical preparations</v>
          </cell>
          <cell r="D81" t="str">
            <v>NACE B - 08.9 Mining and quarrying n.e.c.</v>
          </cell>
          <cell r="E81" t="str">
            <v>United Kingdom of Great Britain and Northern Ireland</v>
          </cell>
          <cell r="I81" t="str">
            <v>Toluene</v>
          </cell>
          <cell r="K81" t="str">
            <v xml:space="preserve">        030203 Non-Hazardous Waste - Organometallic wood preservatives</v>
          </cell>
          <cell r="S81">
            <v>2079</v>
          </cell>
          <cell r="Z81" t="str">
            <v xml:space="preserve">    1202 Wastes from mechanical surface treatment processes (blasting, grinding, honing, lapping, polishing)</v>
          </cell>
          <cell r="AA81" t="str">
            <v>KYD</v>
          </cell>
        </row>
        <row r="82">
          <cell r="C82" t="str">
            <v>NACE C - 21.1 Manufacture of basic pharmaceutical products</v>
          </cell>
          <cell r="D82" t="str">
            <v>NACE B - 08.91 Mining of chemical and fertiliser minerals</v>
          </cell>
          <cell r="E82" t="str">
            <v>Grenada</v>
          </cell>
          <cell r="I82" t="str">
            <v>Total nitrogen</v>
          </cell>
          <cell r="K82" t="str">
            <v xml:space="preserve">        030204 Non-Hazardous Waste - Inorganic wood preservatives</v>
          </cell>
          <cell r="S82">
            <v>2080</v>
          </cell>
          <cell r="Z82" t="str">
            <v xml:space="preserve">    1203 Wastes from water and steam degreasing processes (except inorganic metal-containing wastes from metal treatment and the coating of metals, and non-ferrous hydrometallurgy)</v>
          </cell>
          <cell r="AA82" t="str">
            <v>KZT</v>
          </cell>
        </row>
        <row r="83">
          <cell r="C83" t="str">
            <v>NACE C - 21.2 Manufacture of pharmaceutical preparations</v>
          </cell>
          <cell r="D83" t="str">
            <v>NACE B - 08.92 Extraction of peat</v>
          </cell>
          <cell r="E83" t="str">
            <v>Georgia</v>
          </cell>
          <cell r="I83" t="str">
            <v>Total organic carbon (TOC) (total C or COD/3)</v>
          </cell>
          <cell r="K83" t="str">
            <v xml:space="preserve">    0303 Wastes from pulp, paper and cardboard production and processing</v>
          </cell>
          <cell r="S83">
            <v>2081</v>
          </cell>
          <cell r="Z83" t="str">
            <v>13 OIL WASTES (except edible oils, wastes from petroleum refining, natural gas purification and pyrolytic treatment of coal and wastes from shaping and surface treatment of metals and plastics)</v>
          </cell>
          <cell r="AA83" t="str">
            <v>LAK</v>
          </cell>
        </row>
        <row r="84">
          <cell r="C84" t="str">
            <v>NACE C - 22 Manufacture of rubber and plastic products</v>
          </cell>
          <cell r="D84" t="str">
            <v>NACE B - 08.93 Extraction of salt</v>
          </cell>
          <cell r="E84" t="str">
            <v>French Guiana</v>
          </cell>
          <cell r="I84" t="str">
            <v>Total phosphorus</v>
          </cell>
          <cell r="K84" t="str">
            <v xml:space="preserve">        030301 Non-Hazardous Waste - Bark</v>
          </cell>
          <cell r="S84">
            <v>2082</v>
          </cell>
          <cell r="Z84" t="str">
            <v xml:space="preserve">    1301 Waste hydraulic oils and brake fluids</v>
          </cell>
          <cell r="AA84" t="str">
            <v>LBP</v>
          </cell>
        </row>
        <row r="85">
          <cell r="C85" t="str">
            <v>NACE C - 22.1 Manufacture of rubber products</v>
          </cell>
          <cell r="D85" t="str">
            <v>NACE B - 08.99 Other mining and quarrying n.e.c.</v>
          </cell>
          <cell r="E85" t="str">
            <v>Guernsey</v>
          </cell>
          <cell r="I85" t="str">
            <v>Toxaphene</v>
          </cell>
          <cell r="K85" t="str">
            <v xml:space="preserve">        030302 Non-Hazardous Waste - Dregs and green liquor sludges (from black liquor treatment)</v>
          </cell>
          <cell r="S85">
            <v>2083</v>
          </cell>
          <cell r="Z85" t="str">
            <v xml:space="preserve">    1302 Waste engine, gear and lubricating oils</v>
          </cell>
          <cell r="AA85" t="str">
            <v>LKR</v>
          </cell>
        </row>
        <row r="86">
          <cell r="C86" t="str">
            <v>NACE C - 22.2 Manufacture of plastic products</v>
          </cell>
          <cell r="D86" t="str">
            <v>NACE B - 08 Mining support service activities</v>
          </cell>
          <cell r="E86" t="str">
            <v>Ghana</v>
          </cell>
          <cell r="I86" t="str">
            <v>Tributyltin and compounds</v>
          </cell>
          <cell r="K86" t="str">
            <v xml:space="preserve">        030303 Non-Hazardous Waste - Bleaching sludges from hypochlorite and chlorine processes</v>
          </cell>
          <cell r="S86">
            <v>2084</v>
          </cell>
          <cell r="Z86" t="str">
            <v xml:space="preserve">    1303 Waste insulating and heat transmission oils and other liquids</v>
          </cell>
          <cell r="AA86" t="str">
            <v>LRD</v>
          </cell>
        </row>
        <row r="87">
          <cell r="C87" t="str">
            <v>NACE C - 23 Manufacture of other non-metallic mineral products</v>
          </cell>
          <cell r="D87" t="str">
            <v>NACE B - 09.1 Support activities for petroleum and natural gas extraction</v>
          </cell>
          <cell r="E87" t="str">
            <v>Gibraltar</v>
          </cell>
          <cell r="I87" t="str">
            <v>Trichlorobenzenes (TCBs) (all isomers)</v>
          </cell>
          <cell r="K87" t="str">
            <v xml:space="preserve">        030304 Non-Hazardous Waste - Bleaching sludges from other bleaching processes</v>
          </cell>
          <cell r="S87">
            <v>2085</v>
          </cell>
          <cell r="Z87" t="str">
            <v xml:space="preserve">    1304 Bilge oils</v>
          </cell>
          <cell r="AA87" t="str">
            <v>LSL</v>
          </cell>
        </row>
        <row r="88">
          <cell r="C88" t="str">
            <v>NACE C - 23.1 Manufacture of glass and glass products</v>
          </cell>
          <cell r="D88" t="str">
            <v>NACE B - 09.10 Support activities for petroleum and natural gas extraction</v>
          </cell>
          <cell r="E88" t="str">
            <v>Greenland</v>
          </cell>
          <cell r="I88" t="str">
            <v>1,1,1-trichloroethane</v>
          </cell>
          <cell r="K88" t="str">
            <v xml:space="preserve">        030305 Non-Hazardous Waste - De-inking sludges from paper recycling</v>
          </cell>
          <cell r="S88">
            <v>2086</v>
          </cell>
          <cell r="Z88" t="str">
            <v xml:space="preserve">    1305 Oil/water separator contents</v>
          </cell>
          <cell r="AA88" t="str">
            <v>LYD</v>
          </cell>
        </row>
        <row r="89">
          <cell r="C89" t="str">
            <v>NACE C - 23.2 Manufacture of refractory products</v>
          </cell>
          <cell r="D89" t="str">
            <v>NACE B - 09.9 Support activities for other mining and quarrying</v>
          </cell>
          <cell r="E89" t="str">
            <v>Gambia</v>
          </cell>
          <cell r="I89" t="str">
            <v>Trichloroethylene</v>
          </cell>
          <cell r="K89" t="str">
            <v xml:space="preserve">        030306 Non-Hazardous Waste - Fibre and paper sludge</v>
          </cell>
          <cell r="S89">
            <v>2087</v>
          </cell>
          <cell r="Z89" t="str">
            <v xml:space="preserve">    1306 Oil waste not otherwise specified</v>
          </cell>
          <cell r="AA89" t="str">
            <v>MAD</v>
          </cell>
        </row>
        <row r="90">
          <cell r="C90" t="str">
            <v>NACE C - 23.3 Manufacture of clay building materials</v>
          </cell>
          <cell r="D90" t="str">
            <v>NACE B - 09.90 Support activities for other mining and quarrying</v>
          </cell>
          <cell r="E90" t="str">
            <v>Guinea</v>
          </cell>
          <cell r="I90" t="str">
            <v>Trichloromethane</v>
          </cell>
          <cell r="K90" t="str">
            <v xml:space="preserve">        030307 Non-Hazardous Waste - Rejects from paper and cardboard recycling</v>
          </cell>
          <cell r="S90">
            <v>2088</v>
          </cell>
          <cell r="Z90" t="str">
            <v>14 WASTES FROM ORGANIC SUBSTANCES USED AS SOLVENTS (except WASTES FROM ORGANIC CHEMICAL PROCESSES and WASTES FROM THE MANUFACTURE, FORMULATION, SUPPLY AND USE (MFSU) OF COATINGS (PAINTS, VARNISHES AND VITREOUS ENAMELS), ADHESIVES, SEALANTS AND PRINTING INKS)</v>
          </cell>
          <cell r="AA90" t="str">
            <v>MDL</v>
          </cell>
        </row>
        <row r="91">
          <cell r="C91" t="str">
            <v>NACE C - 23.4 Manufacture of other porcelain and ceramic products</v>
          </cell>
          <cell r="D91" t="str">
            <v>NACE C - MANUFACTURING</v>
          </cell>
          <cell r="E91" t="str">
            <v>Guadeloupe</v>
          </cell>
          <cell r="I91" t="str">
            <v>Trifluralin</v>
          </cell>
          <cell r="K91" t="str">
            <v xml:space="preserve">        030399 Non-Hazardous Waste - Wastes not otherwise specified</v>
          </cell>
          <cell r="S91">
            <v>2089</v>
          </cell>
          <cell r="Z91" t="str">
            <v xml:space="preserve">    1401 Wastes from metal degreasing and machinery maintenance</v>
          </cell>
          <cell r="AA91" t="str">
            <v>MGA</v>
          </cell>
        </row>
        <row r="92">
          <cell r="C92" t="str">
            <v>NACE C - 23.5 Manufacture of cement, lime and plaster</v>
          </cell>
          <cell r="D92" t="str">
            <v>NACE C - 10 Manufacture of food products</v>
          </cell>
          <cell r="E92" t="str">
            <v>Equatorial Guinea</v>
          </cell>
          <cell r="I92" t="str">
            <v>Triphenyltin and compounds</v>
          </cell>
          <cell r="K92" t="str">
            <v>04 WASTES FROM THE LEATHER, FUR AND TEXTILE INDUSTRIES</v>
          </cell>
          <cell r="S92">
            <v>2090</v>
          </cell>
          <cell r="Z92" t="str">
            <v xml:space="preserve">    1402 Wastes from textile cleaning and degreasing of natural products</v>
          </cell>
          <cell r="AA92" t="str">
            <v>MKD</v>
          </cell>
        </row>
        <row r="93">
          <cell r="C93" t="str">
            <v>NACE C - 23.6 Manufacture of articles of concrete, cement and plaster</v>
          </cell>
          <cell r="D93" t="str">
            <v>NACE C - 10.1 Processing and preserving of meat and production of meat products</v>
          </cell>
          <cell r="E93" t="str">
            <v>Greece</v>
          </cell>
          <cell r="I93" t="str">
            <v>Vinyl chloride</v>
          </cell>
          <cell r="K93" t="str">
            <v xml:space="preserve">    0401 Wastes from the leather and fur industry</v>
          </cell>
          <cell r="S93">
            <v>2091</v>
          </cell>
          <cell r="Z93" t="str">
            <v xml:space="preserve">    1403 Wastes from the electronic industry</v>
          </cell>
          <cell r="AA93" t="str">
            <v>MMK</v>
          </cell>
        </row>
        <row r="94">
          <cell r="C94" t="str">
            <v>NACE C - 23.7 Cutting, shaping and finishing of stone</v>
          </cell>
          <cell r="D94" t="str">
            <v>NACE C - 10.11 Processing and preserving of meat, except of poultry meat</v>
          </cell>
          <cell r="E94" t="str">
            <v>South Georgia and the South Sandwich Islands</v>
          </cell>
          <cell r="I94" t="str">
            <v>Xylenes</v>
          </cell>
          <cell r="K94" t="str">
            <v xml:space="preserve">        040101 Non-Hazardous Waste - Fleshings and lime split waste</v>
          </cell>
          <cell r="S94">
            <v>2092</v>
          </cell>
          <cell r="Z94" t="str">
            <v xml:space="preserve">    1404 Wastes from coolants, foam/aerosol propellents</v>
          </cell>
          <cell r="AA94" t="str">
            <v>MNT</v>
          </cell>
        </row>
        <row r="95">
          <cell r="C95" t="str">
            <v>NACE C - 23.9 Manufacture of abrasive products and non-metallic mineral products n.e.c.</v>
          </cell>
          <cell r="D95" t="str">
            <v>NACE C - 10.12 Processing and preserving of poultry meat</v>
          </cell>
          <cell r="E95" t="str">
            <v>Guatemala</v>
          </cell>
          <cell r="I95" t="str">
            <v>Zinc and compounds (Zn)</v>
          </cell>
          <cell r="K95" t="str">
            <v xml:space="preserve">        040102 Non-Hazardous Waste - Liming waste</v>
          </cell>
          <cell r="S95">
            <v>2093</v>
          </cell>
          <cell r="Z95" t="str">
            <v xml:space="preserve">    1405 Wastes from solvent and coolant recovery (still bottoms)</v>
          </cell>
          <cell r="AA95" t="str">
            <v>MOP</v>
          </cell>
        </row>
        <row r="96">
          <cell r="C96" t="str">
            <v>NACE C - 24 Manufacture of basic metals</v>
          </cell>
          <cell r="D96" t="str">
            <v>NACE C - 10.13 Production of meat and poultry meat products</v>
          </cell>
          <cell r="E96" t="str">
            <v>Guam</v>
          </cell>
          <cell r="K96" t="str">
            <v xml:space="preserve">        040103 Hazardous Waste - Degreasing waste containing solvents without a liquid phase</v>
          </cell>
          <cell r="S96">
            <v>2094</v>
          </cell>
          <cell r="Z96" t="str">
            <v>15 WASTE PACKAGING; ABSORBENTS, WIPING CLOTHS, FILTER MATERIALS AND PROTECTIVE CLOTHING NOT OTHERWISE SPECIFIED</v>
          </cell>
          <cell r="AA96" t="str">
            <v>MRU</v>
          </cell>
        </row>
        <row r="97">
          <cell r="C97" t="str">
            <v>NACE C - 24.1 Manufacture of basic iron and steel and of ferro-alloys</v>
          </cell>
          <cell r="D97" t="str">
            <v>NACE C - 10.2 Processing and preserving of fish, crustaceans and molluscs</v>
          </cell>
          <cell r="E97" t="str">
            <v>Guinea-Bissau</v>
          </cell>
          <cell r="K97" t="str">
            <v xml:space="preserve">        040104 Non-Hazardous Waste - Tanning liquor containing chromium</v>
          </cell>
          <cell r="S97">
            <v>2095</v>
          </cell>
          <cell r="Z97" t="str">
            <v xml:space="preserve">    1501 Packaging</v>
          </cell>
          <cell r="AA97" t="str">
            <v>MUR</v>
          </cell>
        </row>
        <row r="98">
          <cell r="C98" t="str">
            <v>NACE C - 24.2 Manufacture of tubes, pipes, hollow profiles and related fittings, of steel</v>
          </cell>
          <cell r="D98" t="str">
            <v>NACE C - 10.20 Processing and preserving of fish, crustaceans and molluscs</v>
          </cell>
          <cell r="E98" t="str">
            <v>Guyana</v>
          </cell>
          <cell r="K98" t="str">
            <v xml:space="preserve">        040105 Non-Hazardous Waste - Tanning liquor free of chromium</v>
          </cell>
          <cell r="S98">
            <v>2096</v>
          </cell>
          <cell r="Z98" t="str">
            <v xml:space="preserve">    1502 Absorbents, filter materials, wiping cloths and protective clothing</v>
          </cell>
          <cell r="AA98" t="str">
            <v>MVR</v>
          </cell>
        </row>
        <row r="99">
          <cell r="C99" t="str">
            <v>NACE C - 24.3 Manufacture of other products of first processing of steel</v>
          </cell>
          <cell r="D99" t="str">
            <v>NACE C - 10.3 Processing and preserving of fruit and vegetables</v>
          </cell>
          <cell r="E99" t="str">
            <v>Hong Kong</v>
          </cell>
          <cell r="K99" t="str">
            <v xml:space="preserve">        040106 Non-Hazardous Waste - Sludges, in particular from on-site, effluent treatment containing chromium</v>
          </cell>
          <cell r="S99">
            <v>2097</v>
          </cell>
          <cell r="Z99" t="str">
            <v>16 WASTES NOT OTHERWISE SPECIFIED IN THE LIST</v>
          </cell>
          <cell r="AA99" t="str">
            <v>MWK</v>
          </cell>
        </row>
        <row r="100">
          <cell r="C100" t="str">
            <v>NACE C - 24.4 Manufacture of basic precious and other non-ferrous metals</v>
          </cell>
          <cell r="D100" t="str">
            <v>NACE C - 10.31 Processing and preserving of potatoes</v>
          </cell>
          <cell r="E100" t="str">
            <v>Heard Island and McDonald Islands</v>
          </cell>
          <cell r="K100" t="str">
            <v xml:space="preserve">        040107 Non-Hazardous Waste - Sludges, in particular from on-site effluent treatment free of chromium</v>
          </cell>
          <cell r="S100">
            <v>2098</v>
          </cell>
          <cell r="Z100" t="str">
            <v xml:space="preserve">    1601 End-of-life vehicles and their components</v>
          </cell>
          <cell r="AA100" t="str">
            <v>MXN</v>
          </cell>
        </row>
        <row r="101">
          <cell r="C101" t="str">
            <v>NACE C - 24.5 Casting of metals</v>
          </cell>
          <cell r="D101" t="str">
            <v>NACE C - 10.32 Manufacture of fruit and vegetable juice</v>
          </cell>
          <cell r="E101" t="str">
            <v>Honduras</v>
          </cell>
          <cell r="K101" t="str">
            <v xml:space="preserve">        040108 Non-Hazardous Waste - Waste tanned leather (blue sheetings, shavings, cuttings, buffing dust) containing chromium</v>
          </cell>
          <cell r="S101">
            <v>2099</v>
          </cell>
          <cell r="Z101" t="str">
            <v xml:space="preserve">    1602 Discarded equipment and its components</v>
          </cell>
          <cell r="AA101" t="str">
            <v>MXV</v>
          </cell>
        </row>
        <row r="102">
          <cell r="C102" t="str">
            <v>NACE C - 25 Manufacture of fabricated metal products, except machinery and equipment</v>
          </cell>
          <cell r="D102" t="str">
            <v>NACE C - 10.39 Other processing and preserving of fruit and vegetables</v>
          </cell>
          <cell r="E102" t="str">
            <v>Croatia</v>
          </cell>
          <cell r="K102" t="str">
            <v xml:space="preserve">        040109 Non-Hazardous Waste - Waste from dressing and finishing</v>
          </cell>
          <cell r="S102">
            <v>2100</v>
          </cell>
          <cell r="Z102" t="str">
            <v xml:space="preserve">    1603 Off-specification batches</v>
          </cell>
          <cell r="AA102" t="str">
            <v>MYR</v>
          </cell>
        </row>
        <row r="103">
          <cell r="C103" t="str">
            <v>NACE C - 25.1 Manufacture of structural metal products</v>
          </cell>
          <cell r="D103" t="str">
            <v>NACE C - 10.4 Manufacture of vegetable and animal oils and fats</v>
          </cell>
          <cell r="E103" t="str">
            <v>Haiti</v>
          </cell>
          <cell r="K103" t="str">
            <v xml:space="preserve">        040199 Non-Hazardous Waste - Waste not otherwise specified</v>
          </cell>
          <cell r="Z103" t="str">
            <v xml:space="preserve">    1604 Waste explosives</v>
          </cell>
          <cell r="AA103" t="str">
            <v>MZN</v>
          </cell>
        </row>
        <row r="104">
          <cell r="C104" t="str">
            <v>NACE C - 25.2 Manufacture of tanks, reservoirs and containers of metal</v>
          </cell>
          <cell r="D104" t="str">
            <v>NACE C - 10.41 Manufacture of oils and fats</v>
          </cell>
          <cell r="E104" t="str">
            <v>Hungary</v>
          </cell>
          <cell r="K104" t="str">
            <v xml:space="preserve">    0402 Wastes from the textile industry</v>
          </cell>
          <cell r="Z104" t="str">
            <v xml:space="preserve">    1605 Chemicals and gases in containers</v>
          </cell>
          <cell r="AA104" t="str">
            <v>NAD</v>
          </cell>
        </row>
        <row r="105">
          <cell r="C105" t="str">
            <v>NACE C - 25.3 Manufacture of weapons and ammunition</v>
          </cell>
          <cell r="D105" t="str">
            <v>NACE C - 10.42 Manufacture of margarine and similar edible fats</v>
          </cell>
          <cell r="E105" t="str">
            <v>Indonesia</v>
          </cell>
          <cell r="K105" t="str">
            <v xml:space="preserve">        040201 Non-Hazardous Waste - Waste from unprocessed textile fibres and other natural fibrous substances mainly of vegetable origin</v>
          </cell>
          <cell r="Z105" t="str">
            <v xml:space="preserve">    1606 Batteries and accumulators</v>
          </cell>
          <cell r="AA105" t="str">
            <v>NGN</v>
          </cell>
        </row>
        <row r="106">
          <cell r="C106" t="str">
            <v>NACE C - 25.4 Forging and shaping metal and powder metallurgy</v>
          </cell>
          <cell r="D106" t="str">
            <v>NACE C - 10.5 Manufacture of dairy products and edible ice</v>
          </cell>
          <cell r="E106" t="str">
            <v>Ireland</v>
          </cell>
          <cell r="K106" t="str">
            <v xml:space="preserve">        040202 Non-Hazardous Waste - Waste from unprocessed textile fibres mainly of animal origin</v>
          </cell>
          <cell r="Z106" t="str">
            <v xml:space="preserve">    1607 Wastes from transport and storage tank cleaning (except wastes from petroleum refining, natural gas purification and pyrolytic treatment of coal and wastes from shaping and surface treatment of metals and plastics)</v>
          </cell>
          <cell r="AA106" t="str">
            <v>NIO</v>
          </cell>
        </row>
        <row r="107">
          <cell r="C107" t="str">
            <v>NACE C - 25.5 Treatment and coating of metals; machining</v>
          </cell>
          <cell r="D107" t="str">
            <v>NACE C - 10.51 Manufacture of dairy products</v>
          </cell>
          <cell r="E107" t="str">
            <v>Israel</v>
          </cell>
          <cell r="K107" t="str">
            <v xml:space="preserve">        040203 Non-Hazardous Waste - Waste from unprocessed textile fibres mainly of artificial or synthetic origin</v>
          </cell>
          <cell r="Z107" t="str">
            <v xml:space="preserve">    1608 Spent catalysts</v>
          </cell>
          <cell r="AA107" t="str">
            <v>NOK</v>
          </cell>
        </row>
        <row r="108">
          <cell r="C108" t="str">
            <v>NACE C - 25.6 Manufacture of cutlery, tools and general hardware</v>
          </cell>
          <cell r="D108" t="str">
            <v>NACE C - 10.52 Manufacture of ice cream and other edible ice</v>
          </cell>
          <cell r="E108" t="str">
            <v>Isle of Man</v>
          </cell>
          <cell r="K108" t="str">
            <v xml:space="preserve">        040204 Non-Hazardous Waste - Waste from unprocessed mixed textile fibres before spinning and weaving</v>
          </cell>
          <cell r="Z108" t="str">
            <v>17 CONSTRUCTION AND DEMOLITION WASTES (INCLUDING ROAD CONSTRUCTION)</v>
          </cell>
          <cell r="AA108" t="str">
            <v>NPR</v>
          </cell>
        </row>
        <row r="109">
          <cell r="C109" t="str">
            <v>NACE C - 25.9 Manufacture of other fabricated metal products</v>
          </cell>
          <cell r="D109" t="str">
            <v>NACE C - 10.6 Manufacture of grain mill products, starches and starch products</v>
          </cell>
          <cell r="E109" t="str">
            <v>India</v>
          </cell>
          <cell r="K109" t="str">
            <v xml:space="preserve">        040205 Non-Hazardous Waste - Waste from processed textile fibres mainly of vegetable origin</v>
          </cell>
          <cell r="Z109" t="str">
            <v xml:space="preserve">    1701 Concrete, bricks, tiles, ceramics, and gypsum-based materials</v>
          </cell>
          <cell r="AA109" t="str">
            <v>NZD</v>
          </cell>
        </row>
        <row r="110">
          <cell r="C110" t="str">
            <v>NACE C - 26 Manufacture of computer, electronic and optical products</v>
          </cell>
          <cell r="D110" t="str">
            <v>NACE C - 10.61 Manufacture of grain mill products</v>
          </cell>
          <cell r="E110" t="str">
            <v>British Indian Ocean Territory</v>
          </cell>
          <cell r="K110" t="str">
            <v xml:space="preserve">        040206 Non-Hazardous Waste - Waste from processed textile fibres mainly of animal origin</v>
          </cell>
          <cell r="Z110" t="str">
            <v xml:space="preserve">    1702 Wood, glass and plastic</v>
          </cell>
          <cell r="AA110" t="str">
            <v>OMR</v>
          </cell>
        </row>
        <row r="111">
          <cell r="C111" t="str">
            <v>NACE C - 26.1 Manufacture of electronic components and boards</v>
          </cell>
          <cell r="D111" t="str">
            <v>NACE C - 10.62 Manufacture of starches and starch products</v>
          </cell>
          <cell r="E111" t="str">
            <v>Iraq</v>
          </cell>
          <cell r="K111" t="str">
            <v xml:space="preserve">        040207 Non-Hazardous Waste - Waste from processed fibres mainly of artifical or synthetic origin</v>
          </cell>
          <cell r="Z111" t="str">
            <v xml:space="preserve">    1703 Asphalt, tar and tarred products</v>
          </cell>
          <cell r="AA111" t="str">
            <v>PAB</v>
          </cell>
        </row>
        <row r="112">
          <cell r="C112" t="str">
            <v>NACE C - 26.2 Manufacture of computers and peripheral equipment</v>
          </cell>
          <cell r="D112" t="str">
            <v>NACE C - 10.7 Manufacture of bakery and farinaceous products</v>
          </cell>
          <cell r="E112" t="str">
            <v>Iran (Islamic Republic of)</v>
          </cell>
          <cell r="K112" t="str">
            <v xml:space="preserve">        040208 Non-Hazardous Waste - Waste from processed mixed textile fibres</v>
          </cell>
          <cell r="Z112" t="str">
            <v xml:space="preserve">    1704 Metals (including their alloys)</v>
          </cell>
          <cell r="AA112" t="str">
            <v>PEN</v>
          </cell>
        </row>
        <row r="113">
          <cell r="C113" t="str">
            <v>NACE C - 26.3 Manufacture of communication equipment</v>
          </cell>
          <cell r="D113" t="str">
            <v>NACE C - 10.71 Manufacture of bread; manufacture of fresh pastry goods and cakes</v>
          </cell>
          <cell r="E113" t="str">
            <v>Iceland</v>
          </cell>
          <cell r="K113" t="str">
            <v xml:space="preserve">        040209 Non-Hazardous Waste - Waste from composite materials (impregnated textile, elastomer, plastomer)</v>
          </cell>
          <cell r="Z113" t="str">
            <v xml:space="preserve">    1705 Soil and dredging spoil</v>
          </cell>
          <cell r="AA113" t="str">
            <v>PGK</v>
          </cell>
        </row>
        <row r="114">
          <cell r="C114" t="str">
            <v>NACE C - 26.4 Manufacture of consumer electronics</v>
          </cell>
          <cell r="D114" t="str">
            <v>NACE C - 10.72 Manufacture of rusks, biscuits, preserved pastries and cakes</v>
          </cell>
          <cell r="E114" t="str">
            <v>Italy</v>
          </cell>
          <cell r="K114" t="str">
            <v xml:space="preserve">        040210 Non-Hazardous Waste - Organic matter from natural products (e.g. grease, wax)</v>
          </cell>
          <cell r="Z114" t="str">
            <v xml:space="preserve">    1706 Insulation materials</v>
          </cell>
          <cell r="AA114" t="str">
            <v>PHP</v>
          </cell>
        </row>
        <row r="115">
          <cell r="C115" t="str">
            <v>NACE C - 26.5 Manufacture of measuring testing instruments, clocks and watches</v>
          </cell>
          <cell r="D115" t="str">
            <v>NACE C - 10.73 Manufacture of farinaceous products</v>
          </cell>
          <cell r="E115" t="str">
            <v>Jersey</v>
          </cell>
          <cell r="K115" t="str">
            <v xml:space="preserve">        040214 Hazardous Waste - Waste from finishing containing organic solvents</v>
          </cell>
          <cell r="Z115" t="str">
            <v xml:space="preserve">    1707 Mixed construction and demolition waste</v>
          </cell>
          <cell r="AA115" t="str">
            <v>PKR</v>
          </cell>
        </row>
        <row r="116">
          <cell r="C116" t="str">
            <v>NACE C - 26.6 Manufacture of irradiation, electromedical and electrotherapeutic equipment</v>
          </cell>
          <cell r="D116" t="str">
            <v>NACE C - 10.8 Manufacture of other food products</v>
          </cell>
          <cell r="E116" t="str">
            <v>Jamaica</v>
          </cell>
          <cell r="K116" t="str">
            <v xml:space="preserve">        040215 Non-Hazardous Waste - Other wastes from finishing</v>
          </cell>
          <cell r="Z116" t="str">
            <v>18 WASTES FROM HUMAN OR ANIMAL HEALTH CARE AND/OR RELATED RESEARCH (except kitchen and restaurant wastes not arising from immediate health care)</v>
          </cell>
          <cell r="AA116" t="str">
            <v>PLN</v>
          </cell>
        </row>
        <row r="117">
          <cell r="C117" t="str">
            <v>NACE C - 26.7 Manufacture of optical instruments, magnetic and optical media and photographic equipment</v>
          </cell>
          <cell r="D117" t="str">
            <v>NACE C - 10.81 Manufacture of sugar</v>
          </cell>
          <cell r="E117" t="str">
            <v>Jordan</v>
          </cell>
          <cell r="K117" t="str">
            <v xml:space="preserve">        040216 Hazardous Waste - Dyestuffs and pigments containing dangerous substances</v>
          </cell>
          <cell r="Z117" t="str">
            <v xml:space="preserve">    1801 Wastes from natal care, diagnosis, treatment or prevention of disease in humans</v>
          </cell>
          <cell r="AA117" t="str">
            <v>PYG</v>
          </cell>
        </row>
        <row r="118">
          <cell r="C118" t="str">
            <v>NACE C - 27 Manufacture of electrical equipment</v>
          </cell>
          <cell r="D118" t="str">
            <v>NACE C - 10.82 Manufacture of cocoa, chocolate and sugar confectionery</v>
          </cell>
          <cell r="E118" t="str">
            <v>Japan</v>
          </cell>
          <cell r="K118" t="str">
            <v xml:space="preserve">        040217 Non-Hazardous Waste - Other dyestuffs and pigments</v>
          </cell>
          <cell r="Z118" t="str">
            <v xml:space="preserve">    1802 Wastes from research, diagnosis, treatment or prevention of disease involving animals</v>
          </cell>
          <cell r="AA118" t="str">
            <v>QAR</v>
          </cell>
        </row>
        <row r="119">
          <cell r="C119" t="str">
            <v>NACE C - 27.1 Manufacture of electric motors, generators, transformers and electricity distribution and control apparatus</v>
          </cell>
          <cell r="D119" t="str">
            <v>NACE C - 10.83 Processing of tea and coffee</v>
          </cell>
          <cell r="E119" t="str">
            <v>Kenya</v>
          </cell>
          <cell r="K119" t="str">
            <v xml:space="preserve">        040219 Hazardous Waste - Sludges from on-site effluent treatment containing dangereous substances</v>
          </cell>
          <cell r="Z119" t="str">
            <v>19 WASTES FROM WASTE TREATMENT FACILITIES, OFF-SITE WASTE WATER TREATMENT PLANTS AND THE WATER INDUSTRY</v>
          </cell>
          <cell r="AA119" t="str">
            <v>RON</v>
          </cell>
        </row>
        <row r="120">
          <cell r="C120" t="str">
            <v>NACE C - 27.2 Manufacture of batteries and accumulators</v>
          </cell>
          <cell r="D120" t="str">
            <v>NACE C - 10.84 Manufacture of condiments and seasonings</v>
          </cell>
          <cell r="E120" t="str">
            <v>Kyrgyzstan</v>
          </cell>
          <cell r="K120" t="str">
            <v xml:space="preserve">        040220 Non-Hazardous Waste - Other sludges from on-site effluent treatment</v>
          </cell>
          <cell r="Z120" t="str">
            <v xml:space="preserve">    1901 Wastes from incineration or pyrolysis of waste</v>
          </cell>
          <cell r="AA120" t="str">
            <v>RSD</v>
          </cell>
        </row>
        <row r="121">
          <cell r="C121" t="str">
            <v>NACE C - 27.3 Manufacture of wiring and wiring devices</v>
          </cell>
          <cell r="D121" t="str">
            <v>NACE C - 10.85 Manufacture of prepared meals and dishes</v>
          </cell>
          <cell r="E121" t="str">
            <v>Cambodia</v>
          </cell>
          <cell r="K121" t="str">
            <v xml:space="preserve">        040299 Non-Hazardous Waste - Wastes not otherwise specified</v>
          </cell>
          <cell r="Z121" t="str">
            <v xml:space="preserve">    1902 Wastes from specific physico/chemical treatments of industrial waste, (e.g. dechromatation, decyanidation, neutralisation)</v>
          </cell>
          <cell r="AA121" t="str">
            <v>RUB</v>
          </cell>
        </row>
        <row r="122">
          <cell r="C122" t="str">
            <v>NACE C - 27.4 Manufacture of lighting equipment</v>
          </cell>
          <cell r="D122" t="str">
            <v>NACE C - 10.86 Manufacture of homogenised food preparations and dietetic food</v>
          </cell>
          <cell r="E122" t="str">
            <v>Kiribati</v>
          </cell>
          <cell r="K122" t="str">
            <v>05 WASTES FROM PETROLEUM REFINING, NATURAL GAS PURIFICATION AND PYROLYTIC TREATMENT OF COAL</v>
          </cell>
          <cell r="Z122" t="str">
            <v xml:space="preserve">    1903 Stabilised/solidified wastes</v>
          </cell>
          <cell r="AA122" t="str">
            <v>RWF</v>
          </cell>
        </row>
        <row r="123">
          <cell r="C123" t="str">
            <v>NACE C - 27.5 Manufacture of domestic appliances</v>
          </cell>
          <cell r="D123" t="str">
            <v>NACE C - 10.89 Manufacture of other food products n.e.c.</v>
          </cell>
          <cell r="E123" t="str">
            <v>Comoros</v>
          </cell>
          <cell r="K123" t="str">
            <v xml:space="preserve">    0501 Oily sludges and solid wastes</v>
          </cell>
          <cell r="Z123" t="str">
            <v xml:space="preserve">    1904 Vitrified waste and wastes from vitrification</v>
          </cell>
          <cell r="AA123" t="str">
            <v>SAR</v>
          </cell>
        </row>
        <row r="124">
          <cell r="C124" t="str">
            <v>NACE C - 27.9 Manufacture of other electrical equipment</v>
          </cell>
          <cell r="D124" t="str">
            <v>NACE C - 10.9 Manufacture of prepared animal feeds</v>
          </cell>
          <cell r="E124" t="str">
            <v>Saint Kitts and Nevis</v>
          </cell>
          <cell r="K124" t="str">
            <v xml:space="preserve">        050102 Non-Hazardous Waste - Desalter sludges</v>
          </cell>
          <cell r="Z124" t="str">
            <v xml:space="preserve">    1905 Wastes from aerobic treatment of solid wastes</v>
          </cell>
          <cell r="AA124" t="str">
            <v>SBD</v>
          </cell>
        </row>
        <row r="125">
          <cell r="C125" t="str">
            <v>NACE C - 28 Manufacture of machinery and equipment n.e.c.</v>
          </cell>
          <cell r="D125" t="str">
            <v>NACE C - 10.91 Manufacture of prepared feeds for farm animals</v>
          </cell>
          <cell r="E125" t="str">
            <v>Korea (the Democratic People's Republic of)</v>
          </cell>
          <cell r="K125" t="str">
            <v xml:space="preserve">        050103 Hazardous Waste - Tank bottom sludges</v>
          </cell>
          <cell r="Z125" t="str">
            <v xml:space="preserve">    1906 Wastes from anaerobic treatment of waste</v>
          </cell>
          <cell r="AA125" t="str">
            <v>SCR</v>
          </cell>
        </row>
        <row r="126">
          <cell r="C126" t="str">
            <v>NACE C - 28.1 Manufacture of general-purpose machinery</v>
          </cell>
          <cell r="D126" t="str">
            <v>NACE C - 10.92 Manufacture of prepared pet foods</v>
          </cell>
          <cell r="E126" t="str">
            <v>Korea (the Republic of)</v>
          </cell>
          <cell r="K126" t="str">
            <v xml:space="preserve">        050104 Hazardous Waste - Acid alkyl sludges</v>
          </cell>
          <cell r="Z126" t="str">
            <v xml:space="preserve">    1907 Landfill leachate</v>
          </cell>
          <cell r="AA126" t="str">
            <v>SDG</v>
          </cell>
        </row>
        <row r="127">
          <cell r="C127" t="str">
            <v>NACE C - 28.2 Manufacture of other general-purpose machinery</v>
          </cell>
          <cell r="D127" t="str">
            <v>NACE C - 11 Manufacture of beverages</v>
          </cell>
          <cell r="E127" t="str">
            <v>Kuwait</v>
          </cell>
          <cell r="K127" t="str">
            <v xml:space="preserve">        050105 Hazardous Waste - Oil spills</v>
          </cell>
          <cell r="Z127" t="str">
            <v xml:space="preserve">    1908 Wastes from waste water treatment plants not otherwise specified</v>
          </cell>
          <cell r="AA127" t="str">
            <v>SEK</v>
          </cell>
        </row>
        <row r="128">
          <cell r="C128" t="str">
            <v>NACE C - 28.3 Manufacture of agricultural and forestry machinery</v>
          </cell>
          <cell r="D128" t="str">
            <v>NACE C - 11.0 Manufacture of beverages</v>
          </cell>
          <cell r="E128" t="str">
            <v>Cayman Islands</v>
          </cell>
          <cell r="K128" t="str">
            <v xml:space="preserve">        050106 Non-Hazardous Waste - Sludges from plant, equipment and maintenance operations</v>
          </cell>
          <cell r="Z128" t="str">
            <v xml:space="preserve">    1909 Wastes from the preparation of drinking water or water for industrial use</v>
          </cell>
          <cell r="AA128" t="str">
            <v>SGD</v>
          </cell>
        </row>
        <row r="129">
          <cell r="C129" t="str">
            <v>NACE C - 28.4 Manufacture of metal forming machinery and machine tools</v>
          </cell>
          <cell r="D129" t="str">
            <v>NACE C - 11.01 Distilling, rectifying and blending of spirits</v>
          </cell>
          <cell r="E129" t="str">
            <v>Kazakhstan</v>
          </cell>
          <cell r="K129" t="str">
            <v xml:space="preserve">        050107 Hazardous Waste - Acid tars</v>
          </cell>
          <cell r="Z129" t="str">
            <v xml:space="preserve">    1910 Wastes from shredding of metal-containing waste</v>
          </cell>
          <cell r="AA129" t="str">
            <v>SHP</v>
          </cell>
        </row>
        <row r="130">
          <cell r="C130" t="str">
            <v>NACE C - 28.9 Manufacture of other special-purpose machinery</v>
          </cell>
          <cell r="D130" t="str">
            <v>NACE C - 11.02 Manufacture of wine from grape</v>
          </cell>
          <cell r="E130" t="str">
            <v>Lao People's Democratic Republic</v>
          </cell>
          <cell r="K130" t="str">
            <v xml:space="preserve">        050108 Hazardous Waste - Other tars</v>
          </cell>
          <cell r="Z130" t="str">
            <v>20 MUNICIPAL WASTES AND SIMILAR COMMERCIAL, INDUSTRIAL AND INSTITUTIONAL WASTES INCLUDING SEPARATELY COLLECTED FRACTIONS</v>
          </cell>
          <cell r="AA130" t="str">
            <v>SLL</v>
          </cell>
        </row>
        <row r="131">
          <cell r="C131" t="str">
            <v>NACE C - 29 Manufacture of motor vehicles, trailers and semi-trailers</v>
          </cell>
          <cell r="D131" t="str">
            <v>NACE C - 11.03 Manufacture of cider and other fermented fruit beverages</v>
          </cell>
          <cell r="E131" t="str">
            <v>Lebanon</v>
          </cell>
          <cell r="K131" t="str">
            <v xml:space="preserve">        050109 Hazardous Waste - Sludges from on-site effluent treatment containing dangerous substances</v>
          </cell>
          <cell r="Z131" t="str">
            <v xml:space="preserve">    2001 Separately collected fractions</v>
          </cell>
          <cell r="AA131" t="str">
            <v>SOS</v>
          </cell>
        </row>
        <row r="132">
          <cell r="C132" t="str">
            <v>NACE C - 29.1 Manufacture of motor vehicles</v>
          </cell>
          <cell r="D132" t="str">
            <v>NACE C - 11.04 Manufacture of other non-distilled fermented beverages</v>
          </cell>
          <cell r="E132" t="str">
            <v>Saint Lucia</v>
          </cell>
          <cell r="K132" t="str">
            <v xml:space="preserve">        050110 Non-Hazardous Waste - Other sludges from on-site effluent treatment</v>
          </cell>
          <cell r="Z132" t="str">
            <v xml:space="preserve">    2002 Garden and park wastes (including cemetery waste)</v>
          </cell>
          <cell r="AA132" t="str">
            <v>SRD</v>
          </cell>
        </row>
        <row r="133">
          <cell r="C133" t="str">
            <v>NACE C - 29.2 Manufacture of bodies and coachwork for motor vehicles; manufacture of trailers and semi-trailers</v>
          </cell>
          <cell r="D133" t="str">
            <v>NACE C - 11.05 Manufacture of beer</v>
          </cell>
          <cell r="E133" t="str">
            <v>Liechtenstein</v>
          </cell>
          <cell r="K133" t="str">
            <v xml:space="preserve">        050199 Non-Hazardous Waste - Wastes not otherwise specified</v>
          </cell>
          <cell r="Z133" t="str">
            <v xml:space="preserve">    2003 Other municipal wastes</v>
          </cell>
          <cell r="AA133" t="str">
            <v>SSP</v>
          </cell>
        </row>
        <row r="134">
          <cell r="C134" t="str">
            <v>NACE C - 29.3 Manufacture of motor vehicle parts and accessories</v>
          </cell>
          <cell r="D134" t="str">
            <v>NACE C - 11.06 Manufacture of malt</v>
          </cell>
          <cell r="E134" t="str">
            <v>Sri Lanka</v>
          </cell>
          <cell r="K134" t="str">
            <v xml:space="preserve">    0502 Non oily sludges and solid wastes</v>
          </cell>
          <cell r="AA134" t="str">
            <v>STD</v>
          </cell>
        </row>
        <row r="135">
          <cell r="C135" t="str">
            <v>NACE C - 30 Manufacture of other transport equipment</v>
          </cell>
          <cell r="D135" t="str">
            <v>NACE C - 11.07 Manufacture of soft drinks and bottled waters</v>
          </cell>
          <cell r="E135" t="str">
            <v>Liberia</v>
          </cell>
          <cell r="K135" t="str">
            <v xml:space="preserve">        050201 Non-Hazardous Waste - Boiler feedwater sludges</v>
          </cell>
          <cell r="AA135" t="str">
            <v>SVC</v>
          </cell>
        </row>
        <row r="136">
          <cell r="C136" t="str">
            <v>NACE C - 30.1 Building of ships and boats</v>
          </cell>
          <cell r="D136" t="str">
            <v>NACE C - 12 Manufacture of tobacco products</v>
          </cell>
          <cell r="E136" t="str">
            <v>Lesotho</v>
          </cell>
          <cell r="K136" t="str">
            <v xml:space="preserve">        050202 Non-Hazardous Waste - Waste from cooling columns</v>
          </cell>
          <cell r="AA136" t="str">
            <v>SYP</v>
          </cell>
        </row>
        <row r="137">
          <cell r="C137" t="str">
            <v>NACE C - 30.2 Manufacture of railway locomotives and rolling stock</v>
          </cell>
          <cell r="D137" t="str">
            <v>NACE C - 12.0 Manufacture of tobacco products</v>
          </cell>
          <cell r="E137" t="str">
            <v>Lithuania</v>
          </cell>
          <cell r="K137" t="str">
            <v xml:space="preserve">        050299 Non-Hazardous Waste - Wastes not otherwise specified</v>
          </cell>
          <cell r="AA137" t="str">
            <v>SZL</v>
          </cell>
        </row>
        <row r="138">
          <cell r="C138" t="str">
            <v>NACE C - 30.3 Manufacture of air and spacecraft and related machinery</v>
          </cell>
          <cell r="D138" t="str">
            <v>NACE C - 12.00 Manufacture of tobacco products</v>
          </cell>
          <cell r="E138" t="str">
            <v>Luxembourg</v>
          </cell>
          <cell r="K138" t="str">
            <v xml:space="preserve">    0504 Spent filter clays</v>
          </cell>
          <cell r="AA138" t="str">
            <v>THB</v>
          </cell>
        </row>
        <row r="139">
          <cell r="C139" t="str">
            <v>NACE C - 30.4 Manufacture of military fighting vehicles</v>
          </cell>
          <cell r="D139" t="str">
            <v>NACE C - 13 Manufacture of textiles</v>
          </cell>
          <cell r="E139" t="str">
            <v>Latvia</v>
          </cell>
          <cell r="K139" t="str">
            <v xml:space="preserve">        050401 Hazardous Waste - Spent filter clays</v>
          </cell>
          <cell r="AA139" t="str">
            <v>TJS</v>
          </cell>
        </row>
        <row r="140">
          <cell r="C140" t="str">
            <v>NACE C - 30.9 Manufacture of transport equipment n.e.c.</v>
          </cell>
          <cell r="D140" t="str">
            <v>NACE C - 13.1 Preparation and spinning of textile fibres</v>
          </cell>
          <cell r="E140" t="str">
            <v>Libya</v>
          </cell>
          <cell r="K140" t="str">
            <v xml:space="preserve">    0505 Oil desulphurisation wastes</v>
          </cell>
          <cell r="AA140" t="str">
            <v>TMT</v>
          </cell>
        </row>
        <row r="141">
          <cell r="C141" t="str">
            <v>NACE C - 31 Manufacture of furniture</v>
          </cell>
          <cell r="D141" t="str">
            <v>NACE C - 13.10 Preparation and spinning of textile fibres</v>
          </cell>
          <cell r="E141" t="str">
            <v>Morocco</v>
          </cell>
          <cell r="K141" t="str">
            <v xml:space="preserve">        050501 Non-Hazardous Waste - Waste containing sulphur</v>
          </cell>
          <cell r="AA141" t="str">
            <v>TND</v>
          </cell>
        </row>
        <row r="142">
          <cell r="C142" t="str">
            <v>NACE C - 31.0 Manufacture of furniture</v>
          </cell>
          <cell r="D142" t="str">
            <v>NACE C - 13.2 Weaving of textiles</v>
          </cell>
          <cell r="E142" t="str">
            <v>Monaco</v>
          </cell>
          <cell r="K142" t="str">
            <v xml:space="preserve">        050599 Non-Hazardous Waste - Wastes not otherwise specified</v>
          </cell>
          <cell r="AA142" t="str">
            <v>TOP</v>
          </cell>
        </row>
        <row r="143">
          <cell r="C143" t="str">
            <v>NACE C - 32 Other manufacturing</v>
          </cell>
          <cell r="D143" t="str">
            <v>NACE C - 13.20 Weaving of textiles</v>
          </cell>
          <cell r="E143" t="str">
            <v>Moldova (the Republic of)</v>
          </cell>
          <cell r="K143" t="str">
            <v xml:space="preserve">    0506 Wastes from the pyrolytic treatment of coal</v>
          </cell>
          <cell r="AA143" t="str">
            <v>TRY</v>
          </cell>
        </row>
        <row r="144">
          <cell r="C144" t="str">
            <v>NACE C - 32.1 Manufacture of jewellery, bijouterie and related articles</v>
          </cell>
          <cell r="D144" t="str">
            <v>NACE C - 13.3 Finishing of textiles</v>
          </cell>
          <cell r="E144" t="str">
            <v>Montenegro</v>
          </cell>
          <cell r="K144" t="str">
            <v xml:space="preserve">        050601 Hazardous Waste - Acid tars</v>
          </cell>
          <cell r="AA144" t="str">
            <v>TTD</v>
          </cell>
        </row>
        <row r="145">
          <cell r="C145" t="str">
            <v>NACE C - 32.2 Manufacture of musical instruments</v>
          </cell>
          <cell r="D145" t="str">
            <v>NACE C - 13.30 Finishing of textiles</v>
          </cell>
          <cell r="E145" t="str">
            <v>Saint Martin (French part)</v>
          </cell>
          <cell r="K145" t="str">
            <v xml:space="preserve">        050602 Non-Hazardous Waste - Asphalt</v>
          </cell>
          <cell r="AA145" t="str">
            <v>TWD</v>
          </cell>
        </row>
        <row r="146">
          <cell r="C146" t="str">
            <v>NACE C - 32.3 Manufacture of sports goods</v>
          </cell>
          <cell r="D146" t="str">
            <v>NACE C - 13.9 Manufacture of other textiles</v>
          </cell>
          <cell r="E146" t="str">
            <v>Madagascar</v>
          </cell>
          <cell r="K146" t="str">
            <v xml:space="preserve">        050603 Hazardous Waste - Other tars</v>
          </cell>
          <cell r="AA146" t="str">
            <v>TZS</v>
          </cell>
        </row>
        <row r="147">
          <cell r="C147" t="str">
            <v>NACE C - 32.4 Manufacture of games and toys</v>
          </cell>
          <cell r="D147" t="str">
            <v>NACE C - 13.91 Manufacture of knitted and crocheted fabrics</v>
          </cell>
          <cell r="E147" t="str">
            <v>Marshall Islands</v>
          </cell>
          <cell r="K147" t="str">
            <v xml:space="preserve">        050604 Non-Hazardous Waste - Waste from cooling columns</v>
          </cell>
          <cell r="AA147" t="str">
            <v>UAH</v>
          </cell>
        </row>
        <row r="148">
          <cell r="C148" t="str">
            <v>NACE C - 32.5 Manufacture of medical and dental instruments and supplies</v>
          </cell>
          <cell r="D148" t="str">
            <v>NACE C - 13.92 Manufacture of household textiles and made-up furnishing articles</v>
          </cell>
          <cell r="E148" t="str">
            <v>North Macedonia</v>
          </cell>
          <cell r="K148" t="str">
            <v xml:space="preserve">        050699 Non-Hazardous Waste - Wastes not otherwise specified</v>
          </cell>
          <cell r="AA148" t="str">
            <v>UGX</v>
          </cell>
        </row>
        <row r="149">
          <cell r="C149" t="str">
            <v>NACE C - 32.9 Manufacturing n.e.c.</v>
          </cell>
          <cell r="D149" t="str">
            <v>NACE C - 13.93 Manufacture of carpets and rugs</v>
          </cell>
          <cell r="E149" t="str">
            <v>Mali</v>
          </cell>
          <cell r="K149" t="str">
            <v xml:space="preserve">    0507 Wastes from natural gas purification</v>
          </cell>
          <cell r="AA149" t="str">
            <v>USD</v>
          </cell>
        </row>
        <row r="150">
          <cell r="C150" t="str">
            <v>NACE C - 33 Repair, maintenance and installation of machinery and equipment</v>
          </cell>
          <cell r="D150" t="str">
            <v>NACE C - 13.94 Manufacture of cordage, rope, twine and netting</v>
          </cell>
          <cell r="E150" t="str">
            <v>Myanmar</v>
          </cell>
          <cell r="K150" t="str">
            <v xml:space="preserve">        050701 Hazardous Waste - Sludges containing mercury</v>
          </cell>
          <cell r="AA150" t="str">
            <v>UYI</v>
          </cell>
        </row>
        <row r="151">
          <cell r="C151" t="str">
            <v>NACE C - 33.1 Repair and maintenance of fabricated metal products, machinery and equipment</v>
          </cell>
          <cell r="D151" t="str">
            <v>NACE C - 13.95 Manufacture of non-wovens and non-woven articles</v>
          </cell>
          <cell r="E151" t="str">
            <v>Mongolia</v>
          </cell>
          <cell r="K151" t="str">
            <v xml:space="preserve">        050702 Non-Hazardous Waste - Waste containing sulphur</v>
          </cell>
          <cell r="AA151" t="str">
            <v>UYU</v>
          </cell>
        </row>
        <row r="152">
          <cell r="C152" t="str">
            <v>NACE C - 33.2 Installation of industrial machinery and equipment</v>
          </cell>
          <cell r="D152" t="str">
            <v>NACE C - 13.96 Manufacture of other technical and industrial textiles</v>
          </cell>
          <cell r="E152" t="str">
            <v>Macao</v>
          </cell>
          <cell r="K152" t="str">
            <v xml:space="preserve">        050799 Non-Hazardous Waste - Wastes not otherwise specified</v>
          </cell>
          <cell r="AA152" t="str">
            <v>UZS</v>
          </cell>
        </row>
        <row r="153">
          <cell r="C153" t="str">
            <v>NACE C - MANUFACTURING</v>
          </cell>
          <cell r="D153" t="str">
            <v>NACE C - 13.99 Manufacture of other textiles n.e.c.</v>
          </cell>
          <cell r="E153" t="str">
            <v>Northern Mariana Islands</v>
          </cell>
          <cell r="K153" t="str">
            <v xml:space="preserve">    0508 Wastes from oil regeneration</v>
          </cell>
          <cell r="AA153" t="str">
            <v>VES</v>
          </cell>
        </row>
        <row r="154">
          <cell r="C154" t="str">
            <v>NACE D - 35 Electricity, gas, steam and air conditioning supply</v>
          </cell>
          <cell r="D154" t="str">
            <v>NACE C - 14 Manufacture of wearing apparel</v>
          </cell>
          <cell r="E154" t="str">
            <v>Martinique</v>
          </cell>
          <cell r="K154" t="str">
            <v xml:space="preserve">        050801 Hazardous Waste - Spent filter clays</v>
          </cell>
          <cell r="AA154" t="str">
            <v>VND</v>
          </cell>
        </row>
        <row r="155">
          <cell r="C155" t="str">
            <v>NACE D - 35.1 Electric power generation, transmission and distribution</v>
          </cell>
          <cell r="D155" t="str">
            <v>NACE C - 14.1 Manufacture of knitted and crocheted apparel</v>
          </cell>
          <cell r="E155" t="str">
            <v>Mauritania</v>
          </cell>
          <cell r="K155" t="str">
            <v xml:space="preserve">        050802 Hazardous Waste - Acid tars</v>
          </cell>
          <cell r="AA155" t="str">
            <v>VUV</v>
          </cell>
        </row>
        <row r="156">
          <cell r="C156" t="str">
            <v>NACE D - 35.2 Manufacture of gas, and distribution of gaseous fuels through mains</v>
          </cell>
          <cell r="D156" t="str">
            <v>NACE C - 14.10 Manufacture of knitted and crocheted apparel</v>
          </cell>
          <cell r="E156" t="str">
            <v>Montserrat</v>
          </cell>
          <cell r="K156" t="str">
            <v xml:space="preserve">        050803 Hazardous Waste - Other tars</v>
          </cell>
          <cell r="AA156" t="str">
            <v>WST</v>
          </cell>
        </row>
        <row r="157">
          <cell r="C157" t="str">
            <v>NACE D - 35.3 Steam and air conditioning supply</v>
          </cell>
          <cell r="D157" t="str">
            <v>NACE C - 14.2 Manufacture of other wearing apparel and accessories</v>
          </cell>
          <cell r="E157" t="str">
            <v>Malta</v>
          </cell>
          <cell r="K157" t="str">
            <v xml:space="preserve">        050804 Hazardous Waste - Aqueous liquid waste from oil regeneration</v>
          </cell>
          <cell r="AA157" t="str">
            <v>XAF</v>
          </cell>
        </row>
        <row r="158">
          <cell r="C158" t="str">
            <v>NACE D - 35.4 Activities of brokers and agents for electric power and natural gas</v>
          </cell>
          <cell r="D158" t="str">
            <v>NACE C - 14.21 Manufacture of outerwear</v>
          </cell>
          <cell r="E158" t="str">
            <v>Mauritius</v>
          </cell>
          <cell r="K158" t="str">
            <v xml:space="preserve">        050899 Hazardous Waste - Wastes not otherwise specified</v>
          </cell>
          <cell r="AA158" t="str">
            <v>XAG</v>
          </cell>
        </row>
        <row r="159">
          <cell r="C159" t="str">
            <v>NACE D - ELECTRICITY, GAS, STEAM AND AIR CONDITIONING SUPPLY</v>
          </cell>
          <cell r="D159" t="str">
            <v>NACE C - 14.22 Manufacture of underwear</v>
          </cell>
          <cell r="E159" t="str">
            <v>Maldives</v>
          </cell>
          <cell r="K159" t="str">
            <v>06 WASTES FROM INORGANIC CHEMICAL PROCESSES</v>
          </cell>
          <cell r="AA159" t="str">
            <v>XAU</v>
          </cell>
        </row>
        <row r="160">
          <cell r="C160" t="str">
            <v>NACE E - 36 Water collection, treatment and supply</v>
          </cell>
          <cell r="D160" t="str">
            <v>NACE C - 14.23 Manufacture of workwear</v>
          </cell>
          <cell r="E160" t="str">
            <v>Malawi</v>
          </cell>
          <cell r="K160" t="str">
            <v xml:space="preserve">    0601 Waste acidic solutions</v>
          </cell>
          <cell r="AA160" t="str">
            <v>XCD</v>
          </cell>
        </row>
        <row r="161">
          <cell r="C161" t="str">
            <v>NACE E - 36.0 Water collection, treatment and supply</v>
          </cell>
          <cell r="D161" t="str">
            <v>NACE C - 14.24 Manufacture of leather clothes and fur apparel</v>
          </cell>
          <cell r="E161" t="str">
            <v>Mexico</v>
          </cell>
          <cell r="K161" t="str">
            <v xml:space="preserve">        060101 Hazardous Waste - Sulphuric acid and sulphurous acid</v>
          </cell>
          <cell r="AA161" t="str">
            <v>XDR</v>
          </cell>
        </row>
        <row r="162">
          <cell r="C162" t="str">
            <v>NACE E - 37 Sewerage</v>
          </cell>
          <cell r="D162" t="str">
            <v>NACE C - 14.29 Manufacture of other wearing apparel and accessories n.e.c.</v>
          </cell>
          <cell r="E162" t="str">
            <v>Malaysia</v>
          </cell>
          <cell r="K162" t="str">
            <v xml:space="preserve">        060102 Hazardous Waste - Hydrochloric acid</v>
          </cell>
          <cell r="AA162" t="str">
            <v>XOF</v>
          </cell>
        </row>
        <row r="163">
          <cell r="C163" t="str">
            <v>NACE E - 37.0 Sewerage</v>
          </cell>
          <cell r="D163" t="str">
            <v>NACE C - 15 Manufacture of leather and related products of other materials</v>
          </cell>
          <cell r="E163" t="str">
            <v>Mozambique</v>
          </cell>
          <cell r="K163" t="str">
            <v xml:space="preserve">        060103 Hazardous Waste - Hydrofluoric acid</v>
          </cell>
          <cell r="AA163" t="str">
            <v>XPD</v>
          </cell>
        </row>
        <row r="164">
          <cell r="C164" t="str">
            <v>NACE E - 38 Waste collection, recovery and disposal activities</v>
          </cell>
          <cell r="D164" t="str">
            <v>NACE C - 15.1 Tanning, dyeing, dressing of leather and fur; manufacture of luggage, handbags, saddlery and harness</v>
          </cell>
          <cell r="E164" t="str">
            <v>Namibia</v>
          </cell>
          <cell r="K164" t="str">
            <v xml:space="preserve">        060104 Hazardous Waste - Phosphoric and phosphorous acid</v>
          </cell>
          <cell r="AA164" t="str">
            <v>XPF</v>
          </cell>
        </row>
        <row r="165">
          <cell r="C165" t="str">
            <v>NACE E - 38.1 Waste collection</v>
          </cell>
          <cell r="D165" t="str">
            <v>NACE C - 15.11 Tanning, dressing, dyeing of leather and fur</v>
          </cell>
          <cell r="E165" t="str">
            <v>New Caledonia</v>
          </cell>
          <cell r="K165" t="str">
            <v xml:space="preserve">        060105 Hazardous Waste - Nitric acid and nitrous acid</v>
          </cell>
          <cell r="AA165" t="str">
            <v>XPT</v>
          </cell>
        </row>
        <row r="166">
          <cell r="C166" t="str">
            <v>NACE E - 38.2 Waste recovery</v>
          </cell>
          <cell r="D166" t="str">
            <v>NACE C - 15.12 Manufacture of luggage, handbags, saddlery and harness of any material</v>
          </cell>
          <cell r="E166" t="str">
            <v>Niger</v>
          </cell>
          <cell r="K166" t="str">
            <v xml:space="preserve">        060199 Hazardous Waste - Wastes not otherwise specified</v>
          </cell>
          <cell r="AA166" t="str">
            <v>XSU</v>
          </cell>
        </row>
        <row r="167">
          <cell r="C167" t="str">
            <v>NACE E - 38.3 Waste disposal without recovery</v>
          </cell>
          <cell r="D167" t="str">
            <v>NACE C - 15.2 Manufacture of footwear</v>
          </cell>
          <cell r="E167" t="str">
            <v>Norfolk Island</v>
          </cell>
          <cell r="K167" t="str">
            <v xml:space="preserve">    0602 Waste alkaline solutions</v>
          </cell>
          <cell r="AA167" t="str">
            <v>XUA</v>
          </cell>
        </row>
        <row r="168">
          <cell r="C168" t="str">
            <v>NACE E - 39 Remediation activities and other waste management service activities</v>
          </cell>
          <cell r="D168" t="str">
            <v>NACE C - 15.20 Manufacture of footwear</v>
          </cell>
          <cell r="E168" t="str">
            <v>Nigeria</v>
          </cell>
          <cell r="K168" t="str">
            <v xml:space="preserve">        060201 Hazardous Waste - Calcium hydroxide</v>
          </cell>
          <cell r="AA168" t="str">
            <v>YER</v>
          </cell>
        </row>
        <row r="169">
          <cell r="C169" t="str">
            <v>NACE E - 39.0 Remediation activities and other waste management service activities</v>
          </cell>
          <cell r="D169" t="str">
            <v>NACE C - 16 Manufacture of wood and of products of wood and cork, except furniture; manufacture of articles of straw and plaiting materials</v>
          </cell>
          <cell r="E169" t="str">
            <v>Nicaragua</v>
          </cell>
          <cell r="K169" t="str">
            <v xml:space="preserve">        060202 Hazardous Waste - Soda</v>
          </cell>
          <cell r="AA169" t="str">
            <v>ZAR</v>
          </cell>
        </row>
        <row r="170">
          <cell r="C170" t="str">
            <v>NACE E - WATER SUPPLY; SEWERAGE, WASTE MANAGEMENT AND REMEDIATION ACTIVITIES</v>
          </cell>
          <cell r="D170" t="str">
            <v>NACE C - 16.1 Sawmilling and planing of wood; processing and finishing of wood</v>
          </cell>
          <cell r="E170" t="str">
            <v>Netherlands (Kingdom of the)</v>
          </cell>
          <cell r="K170" t="str">
            <v xml:space="preserve">        060203 Hazardous Waste - Ammonia</v>
          </cell>
          <cell r="AA170" t="str">
            <v>ZMW</v>
          </cell>
        </row>
        <row r="171">
          <cell r="C171" t="str">
            <v>NACE F - 41 Construction of residential and non-residential buildings</v>
          </cell>
          <cell r="D171" t="str">
            <v>NACE C - 16.11 Sawmilling and planing of wood</v>
          </cell>
          <cell r="E171" t="str">
            <v>Norway</v>
          </cell>
          <cell r="K171" t="str">
            <v xml:space="preserve">        060299 Hazardous Waste - Waste salts and their solutions</v>
          </cell>
        </row>
        <row r="172">
          <cell r="C172" t="str">
            <v>NACE F - 41.0 Construction of residential and non-residential buildings</v>
          </cell>
          <cell r="D172" t="str">
            <v>NACE C - 16.12 Processing and finishing of wood</v>
          </cell>
          <cell r="E172" t="str">
            <v>Nepal</v>
          </cell>
          <cell r="K172" t="str">
            <v xml:space="preserve">    0603 Waste salts and their solutions</v>
          </cell>
        </row>
        <row r="173">
          <cell r="C173" t="str">
            <v>NACE F - 42 Civil engineering</v>
          </cell>
          <cell r="D173" t="str">
            <v>NACE C - 16.2 Manufacture of products of wood, cork, straw and plaiting materials</v>
          </cell>
          <cell r="E173" t="str">
            <v>Nauru</v>
          </cell>
          <cell r="K173" t="str">
            <v xml:space="preserve">        060301 Non-Hazardous Waste - Carbonates (except off-specification calcium carbonate)</v>
          </cell>
        </row>
        <row r="174">
          <cell r="C174" t="str">
            <v>NACE F - 42.1 Construction of roads and railways</v>
          </cell>
          <cell r="D174" t="str">
            <v>NACE C - 16.21 Manufacture of veneer sheets and wood-based panels</v>
          </cell>
          <cell r="E174" t="str">
            <v>Neutral Zone (before 1993-07-12)</v>
          </cell>
          <cell r="K174" t="str">
            <v xml:space="preserve">        060302 Non-Hazardous Waste - Saline solutions containing sulphates, sulphites or sulphides</v>
          </cell>
        </row>
        <row r="175">
          <cell r="C175" t="str">
            <v>NACE F - 42.2 Construction of utility projects</v>
          </cell>
          <cell r="D175" t="str">
            <v>NACE C - 16.22 Manufacture of assembled parquet floors</v>
          </cell>
          <cell r="E175" t="str">
            <v>Niue</v>
          </cell>
          <cell r="K175" t="str">
            <v xml:space="preserve">        060303 Non-Hazardous Waste - Solid salts containing sulphates, sulphites or sulphides</v>
          </cell>
        </row>
        <row r="176">
          <cell r="C176" t="str">
            <v>NACE F - 42.9 Construction of other civil engineering projects</v>
          </cell>
          <cell r="D176" t="str">
            <v>NACE C - 16.23 Manufacture of other builders’ carpentry and joinery</v>
          </cell>
          <cell r="E176" t="str">
            <v>New Zealand</v>
          </cell>
          <cell r="K176" t="str">
            <v xml:space="preserve">        060304 Non-Hazardous Waste - Saline solutions containing chlorides, fluorides and halides</v>
          </cell>
        </row>
        <row r="177">
          <cell r="C177" t="str">
            <v>NACE F - 43 Specialised construction activities</v>
          </cell>
          <cell r="D177" t="str">
            <v>NACE C - 16.24 Manufacture of wooden containers</v>
          </cell>
          <cell r="E177" t="str">
            <v>Oman</v>
          </cell>
          <cell r="K177" t="str">
            <v xml:space="preserve">        060305 Non-Hazardous Waste - Solid salts containing chlorides, fluorides and other halogenated solid salts</v>
          </cell>
        </row>
        <row r="178">
          <cell r="C178" t="str">
            <v>NACE F - 43.1 Demolition and site preparation</v>
          </cell>
          <cell r="D178" t="str">
            <v>NACE C - 16.25 Manufacture of doors and windows of wood</v>
          </cell>
          <cell r="E178" t="str">
            <v>Panama</v>
          </cell>
          <cell r="K178" t="str">
            <v xml:space="preserve">        060306 Non-Hazardous Waste - Saline solutions containing phosphates and related solid salts</v>
          </cell>
        </row>
        <row r="179">
          <cell r="C179" t="str">
            <v>NACE F - 43.2 Electrical, plumbing and other construction installation activities</v>
          </cell>
          <cell r="D179" t="str">
            <v>NACE C - 16.26 Manufacture of solid fuels from vegetable biomass</v>
          </cell>
          <cell r="E179" t="str">
            <v>Peru</v>
          </cell>
          <cell r="K179" t="str">
            <v xml:space="preserve">        060307 Non-Hazardous Waste - Phosphates and related solid salts</v>
          </cell>
        </row>
        <row r="180">
          <cell r="C180" t="str">
            <v>NACE F - 43.3 Building completion and finishing</v>
          </cell>
          <cell r="D180" t="str">
            <v>NACE C - 16.27 Finishing of wooden products</v>
          </cell>
          <cell r="E180" t="str">
            <v>French Polynesia</v>
          </cell>
          <cell r="K180" t="str">
            <v xml:space="preserve">        060308 Non-Hazardous Waste - Saline solutions containing nitrates and related compounds</v>
          </cell>
        </row>
        <row r="181">
          <cell r="C181" t="str">
            <v>NACE F - 43.4 Specialised construction activities in construction of buildings</v>
          </cell>
          <cell r="D181" t="str">
            <v>NACE C - 16.28 Manufacture of other products of wood and articles of cork, straw and plaiting materials</v>
          </cell>
          <cell r="E181" t="str">
            <v>Papua New Guinea</v>
          </cell>
          <cell r="K181" t="str">
            <v xml:space="preserve">        060309 Non-Hazardous Waste - Solid salts containing nitrides (nitrometallic)</v>
          </cell>
        </row>
        <row r="182">
          <cell r="C182" t="str">
            <v>NACE F - 43.5 Specialised construction activities in civil engineering</v>
          </cell>
          <cell r="D182" t="str">
            <v>NACE C - 17 Manufacture of paper and paper products</v>
          </cell>
          <cell r="E182" t="str">
            <v>Philippines</v>
          </cell>
          <cell r="K182" t="str">
            <v xml:space="preserve">        060310 Non-Hazardous Waste - Solid salts containing ammonium</v>
          </cell>
        </row>
        <row r="183">
          <cell r="C183" t="str">
            <v>NACE F - 43.6 Intermediation service activities for specialised construction services</v>
          </cell>
          <cell r="D183" t="str">
            <v>NACE C - 17.1 Manufacture of pulp, paper and paperboard</v>
          </cell>
          <cell r="E183" t="str">
            <v>Pakistan</v>
          </cell>
          <cell r="K183" t="str">
            <v xml:space="preserve">        060311 Hazardous Waste - Salts and solutions containing cyanides</v>
          </cell>
        </row>
        <row r="184">
          <cell r="C184" t="str">
            <v>NACE F - 43.9 Other specialised construction activities</v>
          </cell>
          <cell r="D184" t="str">
            <v>NACE C - 17.11 Manufacture of pulp</v>
          </cell>
          <cell r="E184" t="str">
            <v>Poland</v>
          </cell>
          <cell r="K184" t="str">
            <v xml:space="preserve">        060312 Non-Hazardous Waste - Salts and solutions containing organic compounds</v>
          </cell>
        </row>
        <row r="185">
          <cell r="C185" t="str">
            <v>NACE F - CONSTRUCTION</v>
          </cell>
          <cell r="D185" t="str">
            <v>NACE C - 17.12 Manufacture of paper and paperboard</v>
          </cell>
          <cell r="E185" t="str">
            <v>Saint Pierre and Miquelon</v>
          </cell>
          <cell r="K185" t="str">
            <v xml:space="preserve">        060399 Non-Hazardous Waste - Wastes not otherwise specified</v>
          </cell>
        </row>
        <row r="186">
          <cell r="C186" t="str">
            <v>NACE G - 46 Wholesale trade</v>
          </cell>
          <cell r="D186" t="str">
            <v>NACE C - 17.2 Manufacture of articles of paper and paperboard</v>
          </cell>
          <cell r="E186" t="str">
            <v>Pitcairn</v>
          </cell>
          <cell r="K186" t="str">
            <v xml:space="preserve">    0604 Metal-containing wastes</v>
          </cell>
        </row>
        <row r="187">
          <cell r="C187" t="str">
            <v>NACE G - 46.1 Wholesale on a fee or contract basis</v>
          </cell>
          <cell r="D187" t="str">
            <v>NACE C - 17.21 Manufacture of corrugated paper, paperboard and containers of paper and paperboard</v>
          </cell>
          <cell r="E187" t="str">
            <v>Puerto Rico</v>
          </cell>
          <cell r="K187" t="str">
            <v xml:space="preserve">        060401 Non-Hazardous Waste - Metallic oxides</v>
          </cell>
        </row>
        <row r="188">
          <cell r="C188" t="str">
            <v>NACE G - 46.2 Wholesale of agricultural raw materials and live animals</v>
          </cell>
          <cell r="D188" t="str">
            <v>NACE C - 17.22 Manufacture of household and sanitary goods and of toilet requisites</v>
          </cell>
          <cell r="E188" t="str">
            <v>Palestine, State of</v>
          </cell>
          <cell r="K188" t="str">
            <v xml:space="preserve">        060402 Hazardous Waste - Metallic salts (except waste salts and their solutions)</v>
          </cell>
        </row>
        <row r="189">
          <cell r="C189" t="str">
            <v>NACE G - 46.3 Wholesale of food, beverages and tobacco</v>
          </cell>
          <cell r="D189" t="str">
            <v>NACE C - 17.23 Manufacture of paper stationery</v>
          </cell>
          <cell r="E189" t="str">
            <v>Portugal</v>
          </cell>
          <cell r="K189" t="str">
            <v xml:space="preserve">        060403 Hazardous Waste - Waste containing arsenic</v>
          </cell>
        </row>
        <row r="190">
          <cell r="C190" t="str">
            <v>NACE G - 46.4 Wholesale of household goods</v>
          </cell>
          <cell r="D190" t="str">
            <v>NACE C - 17.24 Manufacture of wallpaper</v>
          </cell>
          <cell r="E190" t="str">
            <v>Palau</v>
          </cell>
          <cell r="K190" t="str">
            <v xml:space="preserve">        060404 Hazardous Waste - Waste containing mercury</v>
          </cell>
        </row>
        <row r="191">
          <cell r="C191" t="str">
            <v>NACE G - 46.5 Wholesale of information and communication equipment</v>
          </cell>
          <cell r="D191" t="str">
            <v>NACE C - 17.25 Manufacture of other articles of paper and paperboard</v>
          </cell>
          <cell r="E191" t="str">
            <v>Paraguay</v>
          </cell>
          <cell r="K191" t="str">
            <v xml:space="preserve">        060405 Hazardous Waste - Waste containing other heavy metals</v>
          </cell>
        </row>
        <row r="192">
          <cell r="C192" t="str">
            <v>NACE G - 46.6 Wholesale of other machinery, equipment and supplies</v>
          </cell>
          <cell r="D192" t="str">
            <v>NACE C - 18 Printing and reproduction of recorded media</v>
          </cell>
          <cell r="E192" t="str">
            <v>Qatar</v>
          </cell>
          <cell r="K192" t="str">
            <v xml:space="preserve">        060499 Non-Hazardous Waste - Wastes not otherwise specified</v>
          </cell>
        </row>
        <row r="193">
          <cell r="C193" t="str">
            <v>NACE G - 46.7 Wholesale of motor vehicles, motorcycles and related parts and accessories</v>
          </cell>
          <cell r="D193" t="str">
            <v>NACE C - 18.1 Printing and service activities related to printing</v>
          </cell>
          <cell r="E193" t="str">
            <v>Réunion</v>
          </cell>
          <cell r="K193" t="str">
            <v xml:space="preserve">    0605 Sludges from on-site effluent treatment</v>
          </cell>
        </row>
        <row r="194">
          <cell r="C194" t="str">
            <v>NACE G - 46.8 Other specialised wholesale</v>
          </cell>
          <cell r="D194" t="str">
            <v>NACE C - 18.11 Printing of newspapers</v>
          </cell>
          <cell r="E194" t="str">
            <v>Romania</v>
          </cell>
          <cell r="K194" t="str">
            <v xml:space="preserve">        060502 Hazardous Waste - Sludges from on-site effluent treatment containing dangerous substances</v>
          </cell>
        </row>
        <row r="195">
          <cell r="C195" t="str">
            <v>NACE G - 46.9 Non-specialised wholesale trade</v>
          </cell>
          <cell r="D195" t="str">
            <v>NACE C - 18.12 Other printing</v>
          </cell>
          <cell r="E195" t="str">
            <v>Serbia</v>
          </cell>
          <cell r="K195" t="str">
            <v xml:space="preserve">        060503 Non-Hazardous Waste - Other sludges from on-site effluent treatment</v>
          </cell>
        </row>
        <row r="196">
          <cell r="C196" t="str">
            <v>NACE G - 47 Retail trade</v>
          </cell>
          <cell r="D196" t="str">
            <v>NACE C - 18.13 Pre-press and pre-media services</v>
          </cell>
          <cell r="E196" t="str">
            <v>Russian Federation</v>
          </cell>
          <cell r="K196" t="str">
            <v xml:space="preserve">    0606 Wastes from sulphur chemical processes (production and transformation) and desulphurisation processes</v>
          </cell>
        </row>
        <row r="197">
          <cell r="C197" t="str">
            <v>NACE G - 47.1 Non-specialised retail sale</v>
          </cell>
          <cell r="D197" t="str">
            <v>NACE C - 18.14 Binding and related services</v>
          </cell>
          <cell r="E197" t="str">
            <v>Rwanda</v>
          </cell>
          <cell r="K197" t="str">
            <v xml:space="preserve">        060601 Non-Hazardous Waste - Waste containing sulphur</v>
          </cell>
        </row>
        <row r="198">
          <cell r="C198" t="str">
            <v>NACE G - 47.2 Retail sale of food, beverages and tobacco</v>
          </cell>
          <cell r="D198" t="str">
            <v>NACE C - 18.2 Reproduction of recorded media</v>
          </cell>
          <cell r="E198" t="str">
            <v>Saudi Arabia</v>
          </cell>
          <cell r="K198" t="str">
            <v xml:space="preserve">        060699 Non-Hazardous Waste - Wastes not otherwise specified</v>
          </cell>
        </row>
        <row r="199">
          <cell r="C199" t="str">
            <v>NACE G - 47.3 Retail sale of automotive fuel</v>
          </cell>
          <cell r="D199" t="str">
            <v>NACE C - 18.20 Reproduction of recorded media</v>
          </cell>
          <cell r="E199" t="str">
            <v>Solomon Islands</v>
          </cell>
          <cell r="K199" t="str">
            <v xml:space="preserve">    0607 Wastes from halogen chemical processes</v>
          </cell>
        </row>
        <row r="200">
          <cell r="C200" t="str">
            <v>NACE G - 47.4 Retail sale of information and communication equipment</v>
          </cell>
          <cell r="D200" t="str">
            <v>NACE C - 19 Manufacture of coke and refined petroleum products</v>
          </cell>
          <cell r="E200" t="str">
            <v>Seychelles</v>
          </cell>
          <cell r="K200" t="str">
            <v xml:space="preserve">        060701 Hazardous Waste - Waste containing asbestos from electrolysis</v>
          </cell>
        </row>
        <row r="201">
          <cell r="C201" t="str">
            <v>NACE G - 47.5 Retail sale of other household equipment</v>
          </cell>
          <cell r="D201" t="str">
            <v>NACE C - 19.1 Manufacture of coke oven products</v>
          </cell>
          <cell r="E201" t="str">
            <v>Sudan</v>
          </cell>
          <cell r="K201" t="str">
            <v xml:space="preserve">        060702 Hazardous Waste - Activated carbon from chlorine production</v>
          </cell>
        </row>
        <row r="202">
          <cell r="C202" t="str">
            <v>NACE G - 47.6 Retail sale of cultural and recreation goods</v>
          </cell>
          <cell r="D202" t="str">
            <v>NACE C - 19.10 Manufacture of coke oven products</v>
          </cell>
          <cell r="E202" t="str">
            <v>Sweden</v>
          </cell>
          <cell r="K202" t="str">
            <v xml:space="preserve">        060799 Non-Hazardous Waste - Wastes not otherwise specified</v>
          </cell>
        </row>
        <row r="203">
          <cell r="C203" t="str">
            <v>NACE G - 47.7 Retail sale of other goods, except motor vehicles and motorcycles</v>
          </cell>
          <cell r="D203" t="str">
            <v>NACE C - 19.2 Manufacture of refined petroleum products and fossil fuel products</v>
          </cell>
          <cell r="E203" t="str">
            <v>Singapore</v>
          </cell>
          <cell r="K203" t="str">
            <v xml:space="preserve">    0608 Waste from production of silicon and silicon derivatives</v>
          </cell>
        </row>
        <row r="204">
          <cell r="C204" t="str">
            <v>NACE G - 47.8 Retail sale of motor vehicles, motorcycles and related parts and accessories</v>
          </cell>
          <cell r="D204" t="str">
            <v>NACE C - 19.20 Manufacture of refined petroleum products and fossil fuel products</v>
          </cell>
          <cell r="E204" t="str">
            <v>Saint Helena, Ascension and Tristan da Cunha</v>
          </cell>
          <cell r="K204" t="str">
            <v xml:space="preserve">        060801 Non-Hazardous Waste - Waste from production of silicon and silicon derivatives</v>
          </cell>
        </row>
        <row r="205">
          <cell r="C205" t="str">
            <v>NACE G - 47.9 Intermediation service activities for retail sale</v>
          </cell>
          <cell r="D205" t="str">
            <v>NACE C - 20 Manufacture of chemicals and chemical products</v>
          </cell>
          <cell r="E205" t="str">
            <v>Slovenia</v>
          </cell>
          <cell r="K205" t="str">
            <v xml:space="preserve">    0609 Wastes from phosphorus chemical processes</v>
          </cell>
        </row>
        <row r="206">
          <cell r="C206" t="str">
            <v>NACE G - WHOLESALE AND RETAIL TRADE</v>
          </cell>
          <cell r="D206" t="str">
            <v>NACE C - 20.1 Manufacture of basic chemicals, fertilisers and nitrogen compounds, plastics and synthetic rubber in primary forms</v>
          </cell>
          <cell r="E206" t="str">
            <v>Svalbard and Jan Mayen</v>
          </cell>
          <cell r="K206" t="str">
            <v xml:space="preserve">        060901 Non-Hazardous Waste - Phosphogypsum</v>
          </cell>
        </row>
        <row r="207">
          <cell r="C207" t="str">
            <v>NACE H - 49 Land transport and transport via pipelines</v>
          </cell>
          <cell r="D207" t="str">
            <v>NACE C - 20.11 Manufacture of industrial gases</v>
          </cell>
          <cell r="E207" t="str">
            <v>Slovakia</v>
          </cell>
          <cell r="K207" t="str">
            <v xml:space="preserve">        060902 Non-Hazardous Waste - Phosphorous slag</v>
          </cell>
        </row>
        <row r="208">
          <cell r="C208" t="str">
            <v>NACE H - 49.1 Passenger rail transport</v>
          </cell>
          <cell r="D208" t="str">
            <v>NACE C - 20.12 Manufacture of dyes and pigments</v>
          </cell>
          <cell r="E208" t="str">
            <v>Sierra Leone</v>
          </cell>
          <cell r="K208" t="str">
            <v xml:space="preserve">        060999 Non-Hazardous Waste - Wastes not otherwise specified</v>
          </cell>
        </row>
        <row r="209">
          <cell r="C209" t="str">
            <v>NACE H - 49.2 Freight rail transport</v>
          </cell>
          <cell r="D209" t="str">
            <v>NACE C - 20.13 Manufacture of other inorganic basic chemicals</v>
          </cell>
          <cell r="E209" t="str">
            <v>San Marino</v>
          </cell>
          <cell r="K209" t="str">
            <v xml:space="preserve">    0610 Waste from nitrogen chemical processes and fertiliser manufacture</v>
          </cell>
        </row>
        <row r="210">
          <cell r="C210" t="str">
            <v>NACE H - 49.3 Other passenger land transport</v>
          </cell>
          <cell r="D210" t="str">
            <v>NACE C - 20.14 Manufacture of other organic basic chemicals</v>
          </cell>
          <cell r="E210" t="str">
            <v>Senegal</v>
          </cell>
          <cell r="K210" t="str">
            <v xml:space="preserve">        061001 Non-Hazardous Waste - Waste from nitrogen chemical processes and fertiliser manufacture</v>
          </cell>
        </row>
        <row r="211">
          <cell r="C211" t="str">
            <v>NACE H - 49.4 Freight transport by road and removal services</v>
          </cell>
          <cell r="D211" t="str">
            <v>NACE C - 20.15 Manufacture of fertilisers and nitrogen compounds</v>
          </cell>
          <cell r="E211" t="str">
            <v>Somalia</v>
          </cell>
          <cell r="K211" t="str">
            <v xml:space="preserve">    0611 Waste from the manufacture of inorganic pigments and opacificiers</v>
          </cell>
        </row>
        <row r="212">
          <cell r="C212" t="str">
            <v>NACE H - 49.5 Transport via pipeline</v>
          </cell>
          <cell r="D212" t="str">
            <v>NACE C - 20.16 Manufacture of plastics in primary forms</v>
          </cell>
          <cell r="E212" t="str">
            <v>Suriname</v>
          </cell>
          <cell r="K212" t="str">
            <v xml:space="preserve">        061101 Non-Hazardous Waste - Gypsum from titanium dioxide production</v>
          </cell>
        </row>
        <row r="213">
          <cell r="C213" t="str">
            <v>NACE H - 50 Water transport</v>
          </cell>
          <cell r="D213" t="str">
            <v>NACE C - 20.17 Manufacture of synthetic rubber in primary forms</v>
          </cell>
          <cell r="E213" t="str">
            <v>South Sudan</v>
          </cell>
          <cell r="K213" t="str">
            <v xml:space="preserve">        061199 Non-Hazardous Waste - Wastes not otherwise specified</v>
          </cell>
        </row>
        <row r="214">
          <cell r="C214" t="str">
            <v>NACE H - 50.1 Sea and coastal passenger water transport</v>
          </cell>
          <cell r="D214" t="str">
            <v>NACE C - 20.2 Manufacture of pesticides, disinfectants and other agrochemical products</v>
          </cell>
          <cell r="E214" t="str">
            <v>Sao Tome and Principe</v>
          </cell>
          <cell r="K214" t="str">
            <v xml:space="preserve">    0613 Wastes from other inorganic chemical processes</v>
          </cell>
        </row>
        <row r="215">
          <cell r="C215" t="str">
            <v>NACE H - 50.2 Sea and coastal freight water transport</v>
          </cell>
          <cell r="D215" t="str">
            <v>NACE C - 20.20 Manufacture of pesticides, disinfectants and other agrochemical products</v>
          </cell>
          <cell r="E215" t="str">
            <v>El Salvador</v>
          </cell>
          <cell r="K215" t="str">
            <v xml:space="preserve">        061301 Hazardous Waste - Inorganic pesticides, biocides and wood preserving agents</v>
          </cell>
        </row>
        <row r="216">
          <cell r="C216" t="str">
            <v>NACE H - 50.3 Inland passenger water transport</v>
          </cell>
          <cell r="D216" t="str">
            <v>NACE C - 20.3 Manufacture of paints, varnishes and similar coatings, printing ink and mastics</v>
          </cell>
          <cell r="E216" t="str">
            <v>Sint Maarten (Dutch part)</v>
          </cell>
          <cell r="K216" t="str">
            <v xml:space="preserve">        061302 Hazardous Waste - Spent activated carbon (except activated carbon from chlorine production)</v>
          </cell>
        </row>
        <row r="217">
          <cell r="C217" t="str">
            <v>NACE H - 50.4 Inland freight water transport</v>
          </cell>
          <cell r="D217" t="str">
            <v>NACE C - 20.30 Manufacture of paints, varnishes and similar coatings, printing ink and mastics</v>
          </cell>
          <cell r="E217" t="str">
            <v>Syrian Arab Republic</v>
          </cell>
          <cell r="K217" t="str">
            <v xml:space="preserve">        061303 Non-Hazardous Waste - Carbon black</v>
          </cell>
        </row>
        <row r="218">
          <cell r="C218" t="str">
            <v>NACE H - 51 Air transport</v>
          </cell>
          <cell r="D218" t="str">
            <v>NACE C - 20.4 Manufacture of washing, cleaning and polishing preparations</v>
          </cell>
          <cell r="E218" t="str">
            <v>Eswatini</v>
          </cell>
          <cell r="K218" t="str">
            <v xml:space="preserve">        061304 Hazardous Waste - Waste from asbestos processing</v>
          </cell>
        </row>
        <row r="219">
          <cell r="C219" t="str">
            <v>NACE H - 51.1 Passenger air transport</v>
          </cell>
          <cell r="D219" t="str">
            <v>NACE C - 20.41 Manufacture of soap and detergents, cleaning and polishing preparations</v>
          </cell>
          <cell r="E219" t="str">
            <v>Turks and Caicos Islands</v>
          </cell>
          <cell r="K219" t="str">
            <v xml:space="preserve">        061399 Non-Hazardous Waste - Wastes not otherwise specified</v>
          </cell>
        </row>
        <row r="220">
          <cell r="C220" t="str">
            <v>NACE H - 51.2 Freight air transport and space transport</v>
          </cell>
          <cell r="D220" t="str">
            <v>NACE C - 20.42 Manufacture of perfume and toilet preparations</v>
          </cell>
          <cell r="E220" t="str">
            <v>Chad</v>
          </cell>
          <cell r="K220" t="str">
            <v>07 WASTES FROM ORGANIC CHEMICAL PROCESSES</v>
          </cell>
        </row>
        <row r="221">
          <cell r="C221" t="str">
            <v>NACE H - 52 Warehousing, storage and support activities for transportation</v>
          </cell>
          <cell r="D221" t="str">
            <v>NACE C - 20.5 Manufacture of other chemical products</v>
          </cell>
          <cell r="E221" t="str">
            <v>French Southern Territories</v>
          </cell>
          <cell r="K221" t="str">
            <v xml:space="preserve">    0701 Wastes from the manufacture, formulation, supply and use (MFSU) of basic organic chemicals</v>
          </cell>
        </row>
        <row r="222">
          <cell r="C222" t="str">
            <v>NACE H - 52.1 Warehousing and storage</v>
          </cell>
          <cell r="D222" t="str">
            <v>NACE C - 20.51 Manufacture of liquid biofuels</v>
          </cell>
          <cell r="E222" t="str">
            <v>Togo</v>
          </cell>
          <cell r="K222" t="str">
            <v xml:space="preserve">        070101 Hazardous Waste - Aqueous washing liquids and mother liquors</v>
          </cell>
        </row>
        <row r="223">
          <cell r="C223" t="str">
            <v>NACE H - 52.2 Support activities for transportation</v>
          </cell>
          <cell r="D223" t="str">
            <v>NACE C - 20.59 Manufacture of other chemical products n.e.c.</v>
          </cell>
          <cell r="E223" t="str">
            <v>Thailand</v>
          </cell>
          <cell r="K223" t="str">
            <v xml:space="preserve">        070103 Hazardous Waste - Organic halogenated solvents, washing liquids and mother liquors</v>
          </cell>
        </row>
        <row r="224">
          <cell r="C224" t="str">
            <v>NACE H - 52.3 Intermediation service activities for transportation</v>
          </cell>
          <cell r="D224" t="str">
            <v>NACE C - 20.6 Manufacture of man-made fibres</v>
          </cell>
          <cell r="E224" t="str">
            <v>Tajikistan</v>
          </cell>
          <cell r="K224" t="str">
            <v xml:space="preserve">        070104 Hazardous Waste - Other organic solvents, washing liquids and mother liquors</v>
          </cell>
        </row>
        <row r="225">
          <cell r="C225" t="str">
            <v>NACE H - 53 Postal and courier activities</v>
          </cell>
          <cell r="D225" t="str">
            <v>NACE C - 20.60 Manufacture of man-made fibres</v>
          </cell>
          <cell r="E225" t="str">
            <v>Tokelau</v>
          </cell>
          <cell r="K225" t="str">
            <v xml:space="preserve">        070107 Hazardous Waste - Halogenated still bottoms and reaction residues</v>
          </cell>
        </row>
        <row r="226">
          <cell r="C226" t="str">
            <v>NACE H - 53.1 Postal activities under universal service obligation</v>
          </cell>
          <cell r="D226" t="str">
            <v>NACE C - 21 Manufacture of basic pharmaceutical products and pharmaceutical preparations</v>
          </cell>
          <cell r="E226" t="str">
            <v>Timor-Leste</v>
          </cell>
          <cell r="K226" t="str">
            <v xml:space="preserve">        070108 Hazardous Waste - Other still bottoms and reaction residues</v>
          </cell>
        </row>
        <row r="227">
          <cell r="C227" t="str">
            <v>NACE H - 53.2 Other postal and courier activities</v>
          </cell>
          <cell r="D227" t="str">
            <v>NACE C - 21.1 Manufacture of basic pharmaceutical products</v>
          </cell>
          <cell r="E227" t="str">
            <v>Turkmenistan</v>
          </cell>
          <cell r="K227" t="str">
            <v xml:space="preserve">        070109 Hazardous Waste - Halogenated filter cakes, spent absorbents</v>
          </cell>
        </row>
        <row r="228">
          <cell r="C228" t="str">
            <v>NACE H - 53.3 Intermediation service activities for postal and courier activities</v>
          </cell>
          <cell r="D228" t="str">
            <v>NACE C - 21.10 Manufacture of basic pharmaceutical products</v>
          </cell>
          <cell r="E228" t="str">
            <v>Tunisia</v>
          </cell>
          <cell r="K228" t="str">
            <v xml:space="preserve">        070110 Hazardous Waste - Other filter cakes, spent absorbents</v>
          </cell>
        </row>
        <row r="229">
          <cell r="C229" t="str">
            <v>NACE H - TRANSPORTATION AND STORAGE</v>
          </cell>
          <cell r="D229" t="str">
            <v>NACE C - 21.2 Manufacture of pharmaceutical preparations</v>
          </cell>
          <cell r="E229" t="str">
            <v>Tonga</v>
          </cell>
          <cell r="K229" t="str">
            <v xml:space="preserve">        070111 Hazardous Waste - Sludges from on-site effluent treatment containing dangerous substances</v>
          </cell>
        </row>
        <row r="230">
          <cell r="C230" t="str">
            <v>NACE I - 55 Accommodation</v>
          </cell>
          <cell r="D230" t="str">
            <v>NACE C - 21.20 Manufacture of pharmaceutical preparations</v>
          </cell>
          <cell r="E230" t="str">
            <v>East Timor (before 2002-05-20)</v>
          </cell>
          <cell r="K230" t="str">
            <v xml:space="preserve">        070112 Non-Hazardous Waste - Other sludges from on-site effluent treatment</v>
          </cell>
        </row>
        <row r="231">
          <cell r="C231" t="str">
            <v>NACE I - 55.1 Hotels and similar accommodation</v>
          </cell>
          <cell r="D231" t="str">
            <v>NACE C - 22 Manufacture of rubber and plastic products</v>
          </cell>
          <cell r="E231" t="str">
            <v>Türkiye</v>
          </cell>
          <cell r="K231" t="str">
            <v xml:space="preserve">        070199 Non-Hazardous Waste - Wastes not otherwise specified</v>
          </cell>
        </row>
        <row r="232">
          <cell r="C232" t="str">
            <v>NACE I - 55.2 Holiday and other short-stay accommodation</v>
          </cell>
          <cell r="D232" t="str">
            <v>NACE C - 22.1 Manufacture of rubber products</v>
          </cell>
          <cell r="E232" t="str">
            <v>Trinidad and Tobago</v>
          </cell>
          <cell r="K232" t="str">
            <v xml:space="preserve">    0702 Wastes from the MFSU of plastics, synthetic rubber and man-made fibres</v>
          </cell>
        </row>
        <row r="233">
          <cell r="C233" t="str">
            <v>NACE I - 55.3 Camping grounds and recreational vehicle parks</v>
          </cell>
          <cell r="D233" t="str">
            <v>NACE C - 22.11 Manufacture, retreading and rebuilding of rubber tyres and manufacture of tubes</v>
          </cell>
          <cell r="E233" t="str">
            <v>Tuvalu</v>
          </cell>
          <cell r="K233" t="str">
            <v xml:space="preserve">        070201 Hazardous Waste - Aqueous washing liquids and mother liquors</v>
          </cell>
        </row>
        <row r="234">
          <cell r="C234" t="str">
            <v>NACE I - 55.4 Intermediation service activities for accommodation</v>
          </cell>
          <cell r="D234" t="str">
            <v>NACE C - 22.12 Manufacture of other rubber products</v>
          </cell>
          <cell r="E234" t="str">
            <v>Taiwan (Province of China)</v>
          </cell>
          <cell r="K234" t="str">
            <v xml:space="preserve">        070203 Hazardous Waste - Organic halogenated solvents, washing liquids and mother liquors</v>
          </cell>
        </row>
        <row r="235">
          <cell r="C235" t="str">
            <v>NACE I - 55.9 Other accommodation</v>
          </cell>
          <cell r="D235" t="str">
            <v>NACE C - 22.2 Manufacture of plastic products</v>
          </cell>
          <cell r="E235" t="str">
            <v>Tanzania, the United Republic of</v>
          </cell>
          <cell r="K235" t="str">
            <v xml:space="preserve">        070204 Hazardous Waste - Other organic solvents, washing liquids and mother liquors</v>
          </cell>
        </row>
        <row r="236">
          <cell r="C236" t="str">
            <v>NACE I - 56 Food and beverage service activities</v>
          </cell>
          <cell r="D236" t="str">
            <v>NACE C - 22.21 Manufacture of plastic plates, sheets, tubes and profiles</v>
          </cell>
          <cell r="E236" t="str">
            <v>Ukraine</v>
          </cell>
          <cell r="K236" t="str">
            <v xml:space="preserve">        070207 Hazardous Waste - Halogenated still bottoms and reaction residues</v>
          </cell>
        </row>
        <row r="237">
          <cell r="C237" t="str">
            <v>NACE I - 56.1 Restaurants and mobile food service activities</v>
          </cell>
          <cell r="D237" t="str">
            <v>NACE C - 22.22 Manufacture of plastic packing goods</v>
          </cell>
          <cell r="E237" t="str">
            <v>Uganda</v>
          </cell>
          <cell r="K237" t="str">
            <v xml:space="preserve">        070208 Hazardous Waste - Other still bottoms and reaction residues</v>
          </cell>
        </row>
        <row r="238">
          <cell r="C238" t="str">
            <v>NACE I - 56.2 Event catering, contract catering service activities and other food service activities</v>
          </cell>
          <cell r="D238" t="str">
            <v>NACE C - 22.23 Manufacture of doors and windows of plastic</v>
          </cell>
          <cell r="E238" t="str">
            <v>United States Minor Outlying Islands</v>
          </cell>
          <cell r="K238" t="str">
            <v xml:space="preserve">        070209 Hazardous Waste - Halogenated filter cakes, spent absorbents</v>
          </cell>
        </row>
        <row r="239">
          <cell r="C239" t="str">
            <v>NACE I - 56.21 Event catering activities</v>
          </cell>
          <cell r="D239" t="str">
            <v>NACE C - 22.24 Manufacture of builders’ ware of plastic</v>
          </cell>
          <cell r="E239" t="str">
            <v>United States of America</v>
          </cell>
          <cell r="K239" t="str">
            <v xml:space="preserve">        070210 Hazardous Waste - Other filter cakes, spent absorbents</v>
          </cell>
        </row>
        <row r="240">
          <cell r="C240" t="str">
            <v>NACE I - 56.3 Beverage serving activities</v>
          </cell>
          <cell r="D240" t="str">
            <v>NACE C - 22.25 Processing and finishing of plastic products</v>
          </cell>
          <cell r="E240" t="str">
            <v>Uruguay</v>
          </cell>
          <cell r="K240" t="str">
            <v xml:space="preserve">        070211 Hazardous Waste - Sludges from on-site effluent treatment containing dangerous substances</v>
          </cell>
        </row>
        <row r="241">
          <cell r="C241" t="str">
            <v>NACE I - 56.4 Intermediation service activities for food and beverage services activities</v>
          </cell>
          <cell r="D241" t="str">
            <v>NACE C - 22.26 Manufacture of other plastic products</v>
          </cell>
          <cell r="E241" t="str">
            <v>Uzbekistan</v>
          </cell>
          <cell r="K241" t="str">
            <v xml:space="preserve">        070212 Non-Hazardous Waste - Other sludges from on-site effluent treatment</v>
          </cell>
        </row>
        <row r="242">
          <cell r="C242" t="str">
            <v>NACE I - ACCOMMODATION AND FOOD SERVICE ACTIVITIES</v>
          </cell>
          <cell r="D242" t="str">
            <v>NACE C - 23 Manufacture of other non-metallic mineral products</v>
          </cell>
          <cell r="E242" t="str">
            <v>Holy See</v>
          </cell>
          <cell r="K242" t="str">
            <v xml:space="preserve">        070213 Non-Hazardous Waste - Waste plastic</v>
          </cell>
        </row>
        <row r="243">
          <cell r="C243" t="str">
            <v>NACE J - 58 Publishing activities</v>
          </cell>
          <cell r="D243" t="str">
            <v>NACE C - 23.1 Manufacture of glass and glass products</v>
          </cell>
          <cell r="E243" t="str">
            <v>Saint Vincent and the Grenadines</v>
          </cell>
          <cell r="K243" t="str">
            <v xml:space="preserve">        070299 Non-Hazardous Waste - Wastes not otherwise specified</v>
          </cell>
        </row>
        <row r="244">
          <cell r="C244" t="str">
            <v>NACE J - 58.1 Publishing of books, newspapers and other publishing activities, except software publishing</v>
          </cell>
          <cell r="D244" t="str">
            <v>NACE C - 23.11 Manufacture of flat glass</v>
          </cell>
          <cell r="E244" t="str">
            <v>Venezuela (Bolivarian Republic of)</v>
          </cell>
          <cell r="K244" t="str">
            <v xml:space="preserve">    0703 Wastes from the MFSU of organic dyes and pigments (except waste from the manufacture of inorganic pigments and opacificiers)</v>
          </cell>
        </row>
        <row r="245">
          <cell r="C245" t="str">
            <v>NACE J - 58.2 Software publishing</v>
          </cell>
          <cell r="D245" t="str">
            <v>NACE C - 23.12 Shaping and processing of flat glass</v>
          </cell>
          <cell r="E245" t="str">
            <v>Virgin Islands (British)</v>
          </cell>
          <cell r="K245" t="str">
            <v xml:space="preserve">        070301 Hazardous Waste - Aqueous washing liquids and mother liquors</v>
          </cell>
        </row>
        <row r="246">
          <cell r="C246" t="str">
            <v>NACE J - 59 Motion picture, video and television programme production, sound recording and music publishing activities</v>
          </cell>
          <cell r="D246" t="str">
            <v>NACE C - 23.13 Manufacture of hollow glass</v>
          </cell>
          <cell r="E246" t="str">
            <v>Virgin Islands (U.S.)</v>
          </cell>
          <cell r="K246" t="str">
            <v xml:space="preserve">        070303 Hazardous Waste - Organic halogenated solvents, washing liquids and mother liquors</v>
          </cell>
        </row>
        <row r="247">
          <cell r="C247" t="str">
            <v>NACE J - 59.1 Motion picture, video and television programme activities</v>
          </cell>
          <cell r="D247" t="str">
            <v>NACE C - 23.14 Manufacture of glass fibres</v>
          </cell>
          <cell r="E247" t="str">
            <v>Viet Nam</v>
          </cell>
          <cell r="K247" t="str">
            <v xml:space="preserve">        070304 Hazardous Waste - Other organic solvents, washing liquids and mother liquors</v>
          </cell>
        </row>
        <row r="248">
          <cell r="C248" t="str">
            <v>NACE J - 59.2 Sound recording and music publishing activities</v>
          </cell>
          <cell r="D248" t="str">
            <v>NACE C - 23.15 Manufacture and processing of other glass, including technical glassware</v>
          </cell>
          <cell r="E248" t="str">
            <v>Vanuatu</v>
          </cell>
          <cell r="K248" t="str">
            <v xml:space="preserve">        070307 Hazardous Waste - Halogenated still bottoms and reaction residues</v>
          </cell>
        </row>
        <row r="249">
          <cell r="C249" t="str">
            <v>NACE J - 60 Programming, broadcasting, news agency and other content distribution activities</v>
          </cell>
          <cell r="D249" t="str">
            <v>NACE C - 23.2 Manufacture of refractory products</v>
          </cell>
          <cell r="E249" t="str">
            <v>Wallis and Futuna</v>
          </cell>
          <cell r="K249" t="str">
            <v xml:space="preserve">        070308 Hazardous Waste - Other still bottoms and reaction residues</v>
          </cell>
        </row>
        <row r="250">
          <cell r="C250" t="str">
            <v>NACE J - 60.1 Radio broadcasting and audio distribution activities</v>
          </cell>
          <cell r="D250" t="str">
            <v>NACE C - 23.20 Manufacture of refractory products</v>
          </cell>
          <cell r="E250" t="str">
            <v>Samoa</v>
          </cell>
          <cell r="K250" t="str">
            <v xml:space="preserve">        070309 Hazardous Waste - Halogenated filter cakes, spent absorbents</v>
          </cell>
        </row>
        <row r="251">
          <cell r="C251" t="str">
            <v>NACE J - 60.2 Television programming, broadcasting and video distribution activities</v>
          </cell>
          <cell r="D251" t="str">
            <v>NACE C - 23.3 Manufacture of clay building materials</v>
          </cell>
          <cell r="E251" t="str">
            <v>Yemen</v>
          </cell>
          <cell r="K251" t="str">
            <v xml:space="preserve">        070310 Hazardous Waste - Other filter cakes, spent absorbents</v>
          </cell>
        </row>
        <row r="252">
          <cell r="C252" t="str">
            <v>NACE J - 60.3 News agency and other content distribution activities</v>
          </cell>
          <cell r="D252" t="str">
            <v>NACE C - 23.31 Manufacture of ceramic tiles and flags</v>
          </cell>
          <cell r="E252" t="str">
            <v>Mayotte</v>
          </cell>
          <cell r="K252" t="str">
            <v xml:space="preserve">        070311 Hazardous Waste - Sludges from on-site effluent treatment containing dangerous substances</v>
          </cell>
        </row>
        <row r="253">
          <cell r="C253" t="str">
            <v>NACE J - PUBLISHING, BROADCASTING, AND CONTENT PRODUCTION AND DISTRIBUTION ACTIVITIES</v>
          </cell>
          <cell r="D253" t="str">
            <v>NACE C - 23.32 Manufacture of bricks, tiles and construction products, in baked clay</v>
          </cell>
          <cell r="E253" t="str">
            <v>Yugoslavia (before 2003-07-23)</v>
          </cell>
          <cell r="K253" t="str">
            <v xml:space="preserve">        070312 Non-Hazardous Waste - Other sludges from on-site effluent treatment</v>
          </cell>
        </row>
        <row r="254">
          <cell r="C254" t="str">
            <v>NACE K - 61 Telecommunication</v>
          </cell>
          <cell r="D254" t="str">
            <v>NACE C - 23.4 Manufacture of other porcelain and ceramic products</v>
          </cell>
          <cell r="E254" t="str">
            <v>South Africa</v>
          </cell>
          <cell r="K254" t="str">
            <v xml:space="preserve">        070399 Non-Hazardous Waste - Wastes not otherwise specified</v>
          </cell>
        </row>
        <row r="255">
          <cell r="C255" t="str">
            <v>NACE K - 61.1 Wired, wireless, and satellite telecommunication activities</v>
          </cell>
          <cell r="D255" t="str">
            <v>NACE C - 23.41 Manufacture of ceramic household and ornamental articles</v>
          </cell>
          <cell r="E255" t="str">
            <v>Zambia</v>
          </cell>
          <cell r="K255" t="str">
            <v xml:space="preserve">    0704 Wastes from the MFSU of organic pesticides (except agrochemical wastes)</v>
          </cell>
        </row>
        <row r="256">
          <cell r="C256" t="str">
            <v>NACE K - 61.2 Telecommunication reselling activities and intermediation service activities for telecommunication</v>
          </cell>
          <cell r="D256" t="str">
            <v>NACE C - 23.42 Manufacture of ceramic sanitary fixtures</v>
          </cell>
          <cell r="E256" t="str">
            <v>Zaire (before 1997-07-14)</v>
          </cell>
          <cell r="K256" t="str">
            <v xml:space="preserve">        070401 Hazardous Waste - Aqueous washing liquids and mother liquors</v>
          </cell>
        </row>
        <row r="257">
          <cell r="C257" t="str">
            <v>NACE K - 61.9 Other telecommunication activities</v>
          </cell>
          <cell r="D257" t="str">
            <v>NACE C - 23.43 Manufacture of ceramic insulators and insulating fittings</v>
          </cell>
          <cell r="E257" t="str">
            <v>Zimbabwe</v>
          </cell>
          <cell r="K257" t="str">
            <v xml:space="preserve">        070403 Hazardous Waste - Organic halogenated solvents, washing liquids and mother liquors</v>
          </cell>
        </row>
        <row r="258">
          <cell r="C258" t="str">
            <v>NACE K - 62 Computer programming, consultancy and related activities</v>
          </cell>
          <cell r="D258" t="str">
            <v>NACE C - 23.44 Manufacture of other technical ceramic products</v>
          </cell>
          <cell r="K258" t="str">
            <v xml:space="preserve">        070404 Hazardous Waste - Other organic solvents, washing liquids and mother liquors</v>
          </cell>
        </row>
        <row r="259">
          <cell r="C259" t="str">
            <v>NACE K - 62.1 Computer programming activities</v>
          </cell>
          <cell r="D259" t="str">
            <v>NACE C - 23.45 Manufacture of other ceramic products</v>
          </cell>
          <cell r="K259" t="str">
            <v xml:space="preserve">        070407 Hazardous Waste - Halogenated still bottoms and reaction residues</v>
          </cell>
        </row>
        <row r="260">
          <cell r="C260" t="str">
            <v>NACE K - 62.2 Computer consultancy and computer facilities management activities</v>
          </cell>
          <cell r="D260" t="str">
            <v>NACE C - 23.5 Manufacture of cement, lime and plaster</v>
          </cell>
          <cell r="K260" t="str">
            <v xml:space="preserve">        070408 Hazardous Waste - Other still bottoms and reaction residues</v>
          </cell>
        </row>
        <row r="261">
          <cell r="C261" t="str">
            <v>NACE K - 62.9 Other information technology and computer service activities</v>
          </cell>
          <cell r="D261" t="str">
            <v>NACE C - 23.51 Manufacture of cement</v>
          </cell>
          <cell r="K261" t="str">
            <v xml:space="preserve">        070409 Hazardous Waste - Halogenated filter cakes, spent absorbents</v>
          </cell>
        </row>
        <row r="262">
          <cell r="C262" t="str">
            <v>NACE K - 63 Computing infrastructure, data processing, hosting and other information service activities</v>
          </cell>
          <cell r="D262" t="str">
            <v>NACE C - 23.52 Manufacture of lime and plaster</v>
          </cell>
          <cell r="K262" t="str">
            <v xml:space="preserve">        070410 Hazardous Waste - Other filter cakes, spent absorbents</v>
          </cell>
        </row>
        <row r="263">
          <cell r="C263" t="str">
            <v>NACE K - 63.1 Computing infrastructure, data processing, hosting and related activities</v>
          </cell>
          <cell r="D263" t="str">
            <v>NACE C - 23.6 Manufacture of articles of concrete, cement and plaster</v>
          </cell>
          <cell r="K263" t="str">
            <v xml:space="preserve">        070411 Hazardous Waste - Sludges from on-site effluent treatment containing dangerous substances</v>
          </cell>
        </row>
        <row r="264">
          <cell r="C264" t="str">
            <v>NACE K - 63.9 Web search portal activities and other information service activities</v>
          </cell>
          <cell r="D264" t="str">
            <v>NACE C - 23.61 Manufacture of concrete products for construction purposes</v>
          </cell>
          <cell r="K264" t="str">
            <v xml:space="preserve">        070412 Non-Hazardous Waste - Other sludges from on-site effluent treatment</v>
          </cell>
        </row>
        <row r="265">
          <cell r="C265" t="str">
            <v>NACE K - TELECOMMUNICATION, COMPUTER PROGRAMMING, CONSULTING, COMPUTING INFRASTRUCTURE AND OTHER INFORMATION SERVICE ACTIVITIES</v>
          </cell>
          <cell r="D265" t="str">
            <v>NACE C - 23.62 Manufacture of plaster products for construction purposes</v>
          </cell>
          <cell r="K265" t="str">
            <v xml:space="preserve">        070499 Non-Hazardous Waste - Wastes not otherwise specified</v>
          </cell>
        </row>
        <row r="266">
          <cell r="C266" t="str">
            <v>NACE L - 64 Financial service activities, except insurance and pension funding</v>
          </cell>
          <cell r="D266" t="str">
            <v>NACE C - 23.63 Manufacture of ready-mixed concrete</v>
          </cell>
          <cell r="K266" t="str">
            <v xml:space="preserve">    0705 Wastes from the MFSU of pharmaceuticals</v>
          </cell>
        </row>
        <row r="267">
          <cell r="C267" t="str">
            <v>NACE L - 64.1 Monetary intermediation</v>
          </cell>
          <cell r="D267" t="str">
            <v>NACE C - 23.64 Manufacture of mortars</v>
          </cell>
          <cell r="K267" t="str">
            <v xml:space="preserve">        070501 Hazardous Waste - Aqueous washing liquids and mother liquors</v>
          </cell>
        </row>
        <row r="268">
          <cell r="C268" t="str">
            <v>NACE L - 64.2 Activities of holding companies and financing conduits</v>
          </cell>
          <cell r="D268" t="str">
            <v>NACE C - 23.65 Manufacture of fibre cement</v>
          </cell>
          <cell r="K268" t="str">
            <v xml:space="preserve">        070503 Hazardous Waste - Organic halogenated solvents, washing liquids and mother liquors</v>
          </cell>
        </row>
        <row r="269">
          <cell r="C269" t="str">
            <v>NACE L - 64.3 Activities of trusts, funds and similar financial entities</v>
          </cell>
          <cell r="D269" t="str">
            <v>NACE C - 23.66 Manufacture of other articles of concrete, cement and plaster</v>
          </cell>
          <cell r="K269" t="str">
            <v xml:space="preserve">        070504 Hazardous Waste - Other organic solvents, washing liquids and mother liquors</v>
          </cell>
        </row>
        <row r="270">
          <cell r="C270" t="str">
            <v>NACE L - 64.9 Other financial service activities, except insurance and pension funding</v>
          </cell>
          <cell r="D270" t="str">
            <v>NACE C - 23.7 Cutting, shaping and finishing of stone</v>
          </cell>
          <cell r="K270" t="str">
            <v xml:space="preserve">        070507 Hazardous Waste - Halogenated still bottoms and reaction residues</v>
          </cell>
        </row>
        <row r="271">
          <cell r="C271" t="str">
            <v>NACE L - 65 Insurance, reinsurance and pension funding, except compulsory social security</v>
          </cell>
          <cell r="D271" t="str">
            <v>NACE C - 23.70 Cutting, shaping and finishing of stone</v>
          </cell>
          <cell r="K271" t="str">
            <v xml:space="preserve">        070508 Hazardous Waste - Other still bottoms and reaction residues</v>
          </cell>
        </row>
        <row r="272">
          <cell r="C272" t="str">
            <v>NACE L - 65.1 Insurance</v>
          </cell>
          <cell r="D272" t="str">
            <v>NACE C - 23.9 Manufacture of abrasive products and non-metallic mineral products n.e.c.</v>
          </cell>
          <cell r="K272" t="str">
            <v xml:space="preserve">        070509 Hazardous Waste - Halogenated filter cakes, spent absorbents</v>
          </cell>
        </row>
        <row r="273">
          <cell r="C273" t="str">
            <v>NACE L - 65.2 Reinsurance</v>
          </cell>
          <cell r="D273" t="str">
            <v>NACE C - 23.91 Manufacture of abrasive products</v>
          </cell>
          <cell r="K273" t="str">
            <v xml:space="preserve">        070510 Hazardous Waste - Other filter cakes, spent absorbents</v>
          </cell>
        </row>
        <row r="274">
          <cell r="C274" t="str">
            <v>NACE L - 65.3 Pension funding</v>
          </cell>
          <cell r="D274" t="str">
            <v>NACE C - 23.99 Manufacture of other non-metallic mineral products n.e.c.</v>
          </cell>
          <cell r="K274" t="str">
            <v xml:space="preserve">        070511 Hazardous Waste - Sludges from on-site effluent treatment containing dangerous substances</v>
          </cell>
        </row>
        <row r="275">
          <cell r="C275" t="str">
            <v>NACE L - 66 Activities auxiliary to financial services and insurance activities</v>
          </cell>
          <cell r="D275" t="str">
            <v>NACE C - 24 Manufacture of basic metals</v>
          </cell>
          <cell r="K275" t="str">
            <v xml:space="preserve">        070512 Non-Hazardous Waste - Other sludges from on-site effluent treatment</v>
          </cell>
        </row>
        <row r="276">
          <cell r="C276" t="str">
            <v>NACE L - 66.1 Activities auxiliary to financial services, except insurance and pension funding</v>
          </cell>
          <cell r="D276" t="str">
            <v>NACE C - 24.1 Manufacture of basic iron and steel and of ferro-alloys</v>
          </cell>
          <cell r="K276" t="str">
            <v xml:space="preserve">        070599 Non-Hazardous Waste - Wastes not otherwise specified</v>
          </cell>
        </row>
        <row r="277">
          <cell r="C277" t="str">
            <v>NACE L - 66.2 Activities auxiliary to insurance and pension funding</v>
          </cell>
          <cell r="D277" t="str">
            <v>NACE C - 24.10 Manufacture of basic iron and steel and of ferro-alloys</v>
          </cell>
          <cell r="K277" t="str">
            <v xml:space="preserve">    0706 Wastes from the MFSU of fats, grease, soaps, detergents disinfectants and cosmetics</v>
          </cell>
        </row>
        <row r="278">
          <cell r="C278" t="str">
            <v>NACE L - 66.3 Fund management activities</v>
          </cell>
          <cell r="D278" t="str">
            <v>NACE C - 24.2 Manufacture of tubes, pipes, hollow profiles and related fittings, of steel</v>
          </cell>
          <cell r="K278" t="str">
            <v xml:space="preserve">        070601 Hazardous Waste - Aqueous washing liquids and mother liquors</v>
          </cell>
        </row>
        <row r="279">
          <cell r="C279" t="str">
            <v>NACE L - FINANCIAL AND INSURANCE ACTIVITIES</v>
          </cell>
          <cell r="D279" t="str">
            <v>NACE C - 24.20 Manufacture of tubes, pipes, hollow profiles and related fittings, of steel</v>
          </cell>
          <cell r="K279" t="str">
            <v xml:space="preserve">        070603 Hazardous Waste - Organic halogenated solvents, washing liquids and mother liquors</v>
          </cell>
        </row>
        <row r="280">
          <cell r="C280" t="str">
            <v>NACE M - 68 Real estate activities</v>
          </cell>
          <cell r="D280" t="str">
            <v>NACE C - 24.3 Manufacture of other products of first processing of steel</v>
          </cell>
          <cell r="K280" t="str">
            <v xml:space="preserve">        070604 Hazardous Waste - Other organic solvents, washing liquids and mother liquors</v>
          </cell>
        </row>
        <row r="281">
          <cell r="C281" t="str">
            <v>NACE M - 68.1 Real estate activities with own property and development of building projects</v>
          </cell>
          <cell r="D281" t="str">
            <v>NACE C - 24.31 Cold drawing of bars</v>
          </cell>
          <cell r="K281" t="str">
            <v xml:space="preserve">        070607 Hazardous Waste - Halogenated still bottoms and reaction residues</v>
          </cell>
        </row>
        <row r="282">
          <cell r="C282" t="str">
            <v>NACE M - 68.2 Rental and operating of own or leased real estate</v>
          </cell>
          <cell r="D282" t="str">
            <v>NACE C - 24.32 Cold rolling of narrow strip</v>
          </cell>
          <cell r="K282" t="str">
            <v xml:space="preserve">        070608 Hazardous Waste - Other still bottoms and reaction residues</v>
          </cell>
        </row>
        <row r="283">
          <cell r="C283" t="str">
            <v>NACE M - 68.3 Real estate activities on a fee or contract basis</v>
          </cell>
          <cell r="D283" t="str">
            <v>NACE C - 24.33 Cold forming or folding</v>
          </cell>
          <cell r="K283" t="str">
            <v xml:space="preserve">        070609 Hazardous Waste - Halogenated filter cakes, spent absorbents</v>
          </cell>
        </row>
        <row r="284">
          <cell r="C284" t="str">
            <v>NACE M - REAL ESTATE ACTIVITIES</v>
          </cell>
          <cell r="D284" t="str">
            <v>NACE C - 24.34 Cold drawing of wire</v>
          </cell>
          <cell r="K284" t="str">
            <v xml:space="preserve">        070610 Hazardous Waste - Other filter cakes, spent absorbents</v>
          </cell>
        </row>
        <row r="285">
          <cell r="C285" t="str">
            <v>NACE N - 69 Legal and accounting activities</v>
          </cell>
          <cell r="D285" t="str">
            <v>NACE C - 24.4 Manufacture of basic precious and other non-ferrous metals</v>
          </cell>
          <cell r="K285" t="str">
            <v xml:space="preserve">        070611 Hazardous Waste - Sludges from on-site effluent treatment containing dangerous substances</v>
          </cell>
        </row>
        <row r="286">
          <cell r="C286" t="str">
            <v>NACE N - 69.1 Legal activities</v>
          </cell>
          <cell r="D286" t="str">
            <v>NACE C - 24.41 Precious metals production</v>
          </cell>
          <cell r="K286" t="str">
            <v xml:space="preserve">        070612 Non-Hazardous Waste - Other sludges from on-site effluent treatment</v>
          </cell>
        </row>
        <row r="287">
          <cell r="C287" t="str">
            <v>NACE N - 69.2 Accounting, bookkeeping and auditing activities; tax consultancy</v>
          </cell>
          <cell r="D287" t="str">
            <v>NACE C - 24.42 Aluminium production</v>
          </cell>
          <cell r="K287" t="str">
            <v xml:space="preserve">        070699 Non-Hazardous Waste - Wastes not otherwise specified</v>
          </cell>
        </row>
        <row r="288">
          <cell r="C288" t="str">
            <v>NACE N - 70 Activities of head offices and management consultancy</v>
          </cell>
          <cell r="D288" t="str">
            <v>NACE C - 24.43 Lead, zinc and tin production</v>
          </cell>
          <cell r="K288" t="str">
            <v xml:space="preserve">    0707 Wastes from the MFSU of fine chemicals and chemical products not otherwise specified</v>
          </cell>
        </row>
        <row r="289">
          <cell r="C289" t="str">
            <v>NACE N - 70.1 Activities of head offices</v>
          </cell>
          <cell r="D289" t="str">
            <v>NACE C - 24.44 Copper production</v>
          </cell>
          <cell r="K289" t="str">
            <v xml:space="preserve">        070701 Hazardous Waste - Aqueous washing liquids and mother liquors</v>
          </cell>
        </row>
        <row r="290">
          <cell r="C290" t="str">
            <v>NACE N - 70.2 Business and other management consultancy activities</v>
          </cell>
          <cell r="D290" t="str">
            <v>NACE C - 24.45 Other non-ferrous metal production</v>
          </cell>
          <cell r="K290" t="str">
            <v xml:space="preserve">        070703 Hazardous Waste - Organic halogenated solvents, washing liquids and mother liquors</v>
          </cell>
        </row>
        <row r="291">
          <cell r="C291" t="str">
            <v>NACE N - 71 Architectural and engineering activities; technical testing and analysis</v>
          </cell>
          <cell r="D291" t="str">
            <v>NACE C - 24.46 Processing of nuclear fuel</v>
          </cell>
          <cell r="K291" t="str">
            <v xml:space="preserve">        070704 Hazardous Waste - Other organic solvents, washing liquids and mother liquors</v>
          </cell>
        </row>
        <row r="292">
          <cell r="C292" t="str">
            <v>NACE N - 71.1 Architectural and engineering activities and related technical consultancy</v>
          </cell>
          <cell r="D292" t="str">
            <v>NACE C - 24.5 Casting of metals</v>
          </cell>
          <cell r="K292" t="str">
            <v xml:space="preserve">        070707 Hazardous Waste - Halogenated still bottoms and reaction residues</v>
          </cell>
        </row>
        <row r="293">
          <cell r="C293" t="str">
            <v>NACE N - 71.2 Technical testing and analysis</v>
          </cell>
          <cell r="D293" t="str">
            <v>NACE C - 24.51 Casting of iron</v>
          </cell>
          <cell r="K293" t="str">
            <v xml:space="preserve">        070708 Hazardous Waste - Other still bottoms and reaction residues</v>
          </cell>
        </row>
        <row r="294">
          <cell r="C294" t="str">
            <v>NACE N - 72 Scientific research and development</v>
          </cell>
          <cell r="D294" t="str">
            <v>NACE C - 24.52 Casting of steel</v>
          </cell>
          <cell r="K294" t="str">
            <v xml:space="preserve">        070709 Hazardous Waste - Halogenated filter cakes, spent absorbents</v>
          </cell>
        </row>
        <row r="295">
          <cell r="C295" t="str">
            <v>NACE N - 72.1 Research and experimental development on natural sciences and engineering</v>
          </cell>
          <cell r="D295" t="str">
            <v>NACE C - 24.53 Casting of light metals</v>
          </cell>
          <cell r="K295" t="str">
            <v xml:space="preserve">        070710 Hazardous Waste - Other filter cakes, spent absorbents</v>
          </cell>
        </row>
        <row r="296">
          <cell r="C296" t="str">
            <v>NACE N - 72.2 Research and experimental development on social sciences and humanities</v>
          </cell>
          <cell r="D296" t="str">
            <v>NACE C - 24.54 Casting of other non-ferrous metals</v>
          </cell>
          <cell r="K296" t="str">
            <v xml:space="preserve">        070711 Hazardous Waste - Sludges from on-site effluent treatment containing dangerous substances</v>
          </cell>
        </row>
        <row r="297">
          <cell r="C297" t="str">
            <v>NACE N - 73 Activities of advertising, market research and public relations</v>
          </cell>
          <cell r="D297" t="str">
            <v>NACE C - 25 Manufacture of fabricated metal products, except machinery and equipment</v>
          </cell>
          <cell r="K297" t="str">
            <v xml:space="preserve">        070712 Non-Hazardous Waste - Other sludges from on-site effluent treatment</v>
          </cell>
        </row>
        <row r="298">
          <cell r="C298" t="str">
            <v>NACE N - 73.1 Advertising</v>
          </cell>
          <cell r="D298" t="str">
            <v>NACE C - 25.1 Manufacture of structural metal products</v>
          </cell>
          <cell r="K298" t="str">
            <v xml:space="preserve">        070799 Non-Hazardous Waste - Wastes not otherwise specified</v>
          </cell>
        </row>
        <row r="299">
          <cell r="C299" t="str">
            <v>NACE N - 73.2 Market research and public opinion polling</v>
          </cell>
          <cell r="D299" t="str">
            <v>NACE C - 25.11 Manufacture of metal structures and parts of structures</v>
          </cell>
          <cell r="K299" t="str">
            <v>08 WASTES FROM THE MANUFACTURE, FORMULATION, SUPPLY AND USE (MFSU) OF COATINGS (PAINTS, VARNISHES AND VITREOUS ENAMELS), ADHESIVES, SEALANTS AND PRINTING INKS</v>
          </cell>
        </row>
        <row r="300">
          <cell r="C300" t="str">
            <v>NACE N - 73.3 Public relations and communication activities</v>
          </cell>
          <cell r="D300" t="str">
            <v>NACE C - 25.12 Manufacture of doors and windows of metal</v>
          </cell>
          <cell r="K300" t="str">
            <v xml:space="preserve">    0801 Wastes from MFSU and removal of paint and varnish</v>
          </cell>
        </row>
        <row r="301">
          <cell r="C301" t="str">
            <v>NACE N - 74 Other professional, scientific and technical activities</v>
          </cell>
          <cell r="D301" t="str">
            <v>NACE C - 25.2 Manufacture of tanks, reservoirs and containers of metal</v>
          </cell>
          <cell r="K301" t="str">
            <v xml:space="preserve">        080111 Hazardous Waste - Waste paint and varnish containing organic solvents or other dangerous substances</v>
          </cell>
        </row>
        <row r="302">
          <cell r="C302" t="str">
            <v>NACE N - 74.1 Specialised design activities</v>
          </cell>
          <cell r="D302" t="str">
            <v>NACE C - 25.21 Manufacture of central heating radiators, steam generators and boilers</v>
          </cell>
          <cell r="K302" t="str">
            <v xml:space="preserve">        080112 Non-Hazardous Waste - Other waste paints and varnishes</v>
          </cell>
        </row>
        <row r="303">
          <cell r="C303" t="str">
            <v>NACE N - 74.2 Photographic activities</v>
          </cell>
          <cell r="D303" t="str">
            <v>NACE C - 25.22 Manufacture of other tanks, reservoirs and containers of metal</v>
          </cell>
          <cell r="K303" t="str">
            <v xml:space="preserve">        080113 Hazardous Waste - Sludges from paint or varnish containing organic solvents or other dangerous substances</v>
          </cell>
        </row>
        <row r="304">
          <cell r="C304" t="str">
            <v>NACE N - 74.3 Translation and interpretation activities</v>
          </cell>
          <cell r="D304" t="str">
            <v>NACE C - 25.3 Manufacture of weapons and ammunition</v>
          </cell>
          <cell r="K304" t="str">
            <v xml:space="preserve">        080114 Non-Hazardous Waste - Other sludges from paint or varnish</v>
          </cell>
        </row>
        <row r="305">
          <cell r="C305" t="str">
            <v>NACE N - 74.9 Other professional, scientific and technical activities n.e.c.</v>
          </cell>
          <cell r="D305" t="str">
            <v>NACE C - 25.30 Manufacture of weapons and ammunition</v>
          </cell>
          <cell r="K305" t="str">
            <v xml:space="preserve">        080115 Hazardous Waste - Aqueous sludges containing paint or varnish containing organic solvents or other dangerous substances</v>
          </cell>
        </row>
        <row r="306">
          <cell r="C306" t="str">
            <v>NACE N - 75 Veterinary activities</v>
          </cell>
          <cell r="D306" t="str">
            <v>NACE C - 25.4 Forging and shaping metal and powder metallurgy</v>
          </cell>
          <cell r="K306" t="str">
            <v xml:space="preserve">        080116 Non-Hazardous Waste - </v>
          </cell>
        </row>
        <row r="307">
          <cell r="C307" t="str">
            <v>NACE N - 75.0 Veterinary activities</v>
          </cell>
          <cell r="D307" t="str">
            <v>NACE C - 25.40 Forging and shaping metal and powder metallurgy</v>
          </cell>
          <cell r="K307" t="str">
            <v xml:space="preserve">        080117 Hazardous Waste - Other aqueous sludges containing paint or varnish</v>
          </cell>
        </row>
        <row r="308">
          <cell r="C308" t="str">
            <v>NACE N - PROFESSIONAL, SCIENTIFIC AND TECHNICAL ACTIVITIES</v>
          </cell>
          <cell r="D308" t="str">
            <v>NACE C - 25.5 Treatment and coating of metals; machining</v>
          </cell>
          <cell r="K308" t="str">
            <v xml:space="preserve">        080118 Non-Hazardous Waste - Other wastes from paint or varnish removal</v>
          </cell>
        </row>
        <row r="309">
          <cell r="C309" t="str">
            <v>NACE O - 77 Rental and leasing activities</v>
          </cell>
          <cell r="D309" t="str">
            <v>NACE C - 25.51 Coating of metals</v>
          </cell>
          <cell r="K309" t="str">
            <v xml:space="preserve">        080119 Hazardous Waste - Aqueous suspensions containing paint or varnish containing organic solvents or other dangerous substances</v>
          </cell>
        </row>
        <row r="310">
          <cell r="C310" t="str">
            <v>NACE O - 77.1 Rental and leasing of motor vehicles</v>
          </cell>
          <cell r="D310" t="str">
            <v>NACE C - 25.52 Heat treatment of metals</v>
          </cell>
          <cell r="K310" t="str">
            <v xml:space="preserve">        080120 Non-Hazardous Waste - Other aqueous suspensions containing paint or varnish</v>
          </cell>
        </row>
        <row r="311">
          <cell r="C311" t="str">
            <v>NACE O - 77.2 Rental and leasing of personal and household goods</v>
          </cell>
          <cell r="D311" t="str">
            <v>NACE C - 25.53 Machining of metals</v>
          </cell>
          <cell r="K311" t="str">
            <v xml:space="preserve">        080121 Hazardous Waste - Waste paint or varnish remover</v>
          </cell>
        </row>
        <row r="312">
          <cell r="C312" t="str">
            <v>NACE O - 77.3 Rental and leasing of other machinery, equipment and tangible goods</v>
          </cell>
          <cell r="D312" t="str">
            <v>NACE C - 25.6 Manufacture of cutlery, tools and general hardware</v>
          </cell>
          <cell r="K312" t="str">
            <v xml:space="preserve">        080199 Non-Hazardous Waste - Wastes not otherwise specified</v>
          </cell>
        </row>
        <row r="313">
          <cell r="C313" t="str">
            <v>NACE O - 77.4 Leasing of intellectual property and similar products, except copyrighted works</v>
          </cell>
          <cell r="D313" t="str">
            <v>NACE C - 25.61 Manufacture of cutlery</v>
          </cell>
          <cell r="K313" t="str">
            <v xml:space="preserve">    0802 Wastes from MFSU of other coatings (including ceramic materials)</v>
          </cell>
        </row>
        <row r="314">
          <cell r="C314" t="str">
            <v>NACE O - 77.5 Intermediation service activities for rental and leasing of tangible goods and non-financial intangible assets</v>
          </cell>
          <cell r="D314" t="str">
            <v>NACE C - 25.62 Manufacture of locks and hinges</v>
          </cell>
          <cell r="K314" t="str">
            <v xml:space="preserve">        080201 Non-Hazardous Waste - Waste coating powders</v>
          </cell>
        </row>
        <row r="315">
          <cell r="C315" t="str">
            <v>NACE O - 78 Employment activities</v>
          </cell>
          <cell r="D315" t="str">
            <v>NACE C - 25.63 Manufacture of tools</v>
          </cell>
          <cell r="K315" t="str">
            <v xml:space="preserve">        080202 Non-Hazardous Waste - Aqueous sludges containing ceramic materials</v>
          </cell>
        </row>
        <row r="316">
          <cell r="C316" t="str">
            <v>NACE O - 78.1 Activities of employment placement agencies</v>
          </cell>
          <cell r="D316" t="str">
            <v>NACE C - 25.9 Manufacture of other fabricated metal products</v>
          </cell>
          <cell r="K316" t="str">
            <v xml:space="preserve">        080203 Non-Hazardous Waste - Aqueous suspensions containing ceramic materials</v>
          </cell>
        </row>
        <row r="317">
          <cell r="C317" t="str">
            <v>NACE O - 78.2 Temporary employment agency activities and other human resource provisions</v>
          </cell>
          <cell r="D317" t="str">
            <v>NACE C - 25.91 Manufacture of steel drums and similar containers</v>
          </cell>
          <cell r="K317" t="str">
            <v xml:space="preserve">        080299 Non-Hazardous Waste - Wastes not otherwise specified</v>
          </cell>
        </row>
        <row r="318">
          <cell r="C318" t="str">
            <v>NACE O - 79 Travel agency, tour operator and other reservation service and related activities</v>
          </cell>
          <cell r="D318" t="str">
            <v>NACE C - 25.92 Manufacture of light metal packaging</v>
          </cell>
          <cell r="K318" t="str">
            <v xml:space="preserve">    0803 Wastes from MFSU of printing inks</v>
          </cell>
        </row>
        <row r="319">
          <cell r="C319" t="str">
            <v>NACE O - 79.1 Travel agency and tour operator activities</v>
          </cell>
          <cell r="D319" t="str">
            <v>NACE C - 25.93 Manufacture of wire products, chain and springs</v>
          </cell>
          <cell r="K319" t="str">
            <v xml:space="preserve">        080301 Hazardous Waste - Waste ink containing halogenated solvents</v>
          </cell>
        </row>
        <row r="320">
          <cell r="C320" t="str">
            <v>NACE O - 79.9 Other reservation service and related activities</v>
          </cell>
          <cell r="D320" t="str">
            <v>NACE C - 25.94 Manufacture of fasteners and screw machine products</v>
          </cell>
          <cell r="K320" t="str">
            <v xml:space="preserve">        080302 Hazardous Waste - Waste ink containing non-halogenated solvents</v>
          </cell>
        </row>
        <row r="321">
          <cell r="C321" t="str">
            <v>NACE O - 80 Investigation and security activities</v>
          </cell>
          <cell r="D321" t="str">
            <v>NACE C - 25.99 Manufacture of other fabricated metal products n.e.c.</v>
          </cell>
          <cell r="K321" t="str">
            <v xml:space="preserve">        080303 Non-Hazardous Waste - Waste from water-based ink</v>
          </cell>
        </row>
        <row r="322">
          <cell r="C322" t="str">
            <v>NACE O - 80.0 Investigation and security activities</v>
          </cell>
          <cell r="D322" t="str">
            <v>NACE C - 26 Manufacture of computer, electronic and optical products</v>
          </cell>
          <cell r="K322" t="str">
            <v xml:space="preserve">        080304 Non-Hazardous Waste - Dried ink</v>
          </cell>
        </row>
        <row r="323">
          <cell r="C323" t="str">
            <v>NACE O - 81 Services to buildings and landscape activities</v>
          </cell>
          <cell r="D323" t="str">
            <v>NACE C - 26.1 Manufacture of electronic components and boards</v>
          </cell>
          <cell r="K323" t="str">
            <v xml:space="preserve">        080305 Hazardous Waste - Ink sludges containing halogenated solvents</v>
          </cell>
        </row>
        <row r="324">
          <cell r="C324" t="str">
            <v>NACE O - 81.1 Combined facilities support activities</v>
          </cell>
          <cell r="D324" t="str">
            <v>NACE C - 26.11 Manufacture of electronic components</v>
          </cell>
          <cell r="K324" t="str">
            <v xml:space="preserve">        080306 Hazardous Waste - Ink sludges containing non-halogenated solvents</v>
          </cell>
        </row>
        <row r="325">
          <cell r="C325" t="str">
            <v>NACE O - 81.2 Cleaning activities</v>
          </cell>
          <cell r="D325" t="str">
            <v>NACE C - 26.12 Manufacture of loaded electronic boards</v>
          </cell>
          <cell r="K325" t="str">
            <v xml:space="preserve">        080307 Non-Hazardous Waste - Aqueous sludges containing ink</v>
          </cell>
        </row>
        <row r="326">
          <cell r="C326" t="str">
            <v>NACE O - 81.3 Landscape service activities</v>
          </cell>
          <cell r="D326" t="str">
            <v>NACE C - 26.2 Manufacture of computers and peripheral equipment</v>
          </cell>
          <cell r="K326" t="str">
            <v xml:space="preserve">        080308 Non-Hazardous Waste - Aqueous liquid waste containing ink</v>
          </cell>
        </row>
        <row r="327">
          <cell r="C327" t="str">
            <v>NACE O - 82 Office administrative, office support and other business support activities</v>
          </cell>
          <cell r="D327" t="str">
            <v>NACE C - 26.20 Manufacture of computers and peripheral equipment</v>
          </cell>
          <cell r="K327" t="str">
            <v xml:space="preserve">        080309 Non-Hazardous Waste - Waste printing toner (including cartridges)</v>
          </cell>
        </row>
        <row r="328">
          <cell r="C328" t="str">
            <v>NACE O - 82.1 Office administrative and support activities</v>
          </cell>
          <cell r="D328" t="str">
            <v>NACE C - 26.3 Manufacture of communication equipment</v>
          </cell>
          <cell r="K328" t="str">
            <v xml:space="preserve">        080310 Hazardous Waste - Waste organic solvents used for cleaning</v>
          </cell>
        </row>
        <row r="329">
          <cell r="C329" t="str">
            <v>NACE O - 82.2 Activities of call centres</v>
          </cell>
          <cell r="D329" t="str">
            <v>NACE C - 26.30 Manufacture of communication equipment</v>
          </cell>
          <cell r="K329" t="str">
            <v xml:space="preserve">        080311 Hazardous Waste - Waste etching solutions</v>
          </cell>
        </row>
        <row r="330">
          <cell r="C330" t="str">
            <v>NACE O - 82.3 Organisation of conventions and trade shows</v>
          </cell>
          <cell r="D330" t="str">
            <v>NACE C - 26.4 Manufacture of consumer electronics</v>
          </cell>
          <cell r="K330" t="str">
            <v xml:space="preserve">        080399 Non-Hazardous Waste - Wastes not otherwise specified</v>
          </cell>
        </row>
        <row r="331">
          <cell r="C331" t="str">
            <v>NACE O - 82.4 Intermediation service activities for business support service activities n.e.c.</v>
          </cell>
          <cell r="D331" t="str">
            <v>NACE C - 26.40 Manufacture of consumer electronics</v>
          </cell>
          <cell r="K331" t="str">
            <v xml:space="preserve">    0804 Wastes from MFSU of adhesives and sealants (including waterproofing products)</v>
          </cell>
        </row>
        <row r="332">
          <cell r="C332" t="str">
            <v>NACE O - 82.9 Business support service activities n.e.c.</v>
          </cell>
          <cell r="D332" t="str">
            <v>NACE C - 26.5 Manufacture of measuring testing instruments, clocks and watches</v>
          </cell>
          <cell r="K332" t="str">
            <v xml:space="preserve">        080409 Hazardous Waste - Waste adhesives and sealants containing organic solvents or other dangerous substances</v>
          </cell>
        </row>
        <row r="333">
          <cell r="C333" t="str">
            <v>NACE O - ADMINISTRATIVE AND SUPPORT SERVICE ACTIVITIES</v>
          </cell>
          <cell r="D333" t="str">
            <v>NACE C - 26.51 Manufacture of instruments and appliances for measuring, testing and navigation</v>
          </cell>
          <cell r="K333" t="str">
            <v xml:space="preserve">        080410 Non-Hazardous Waste - Wastes from MFSU of adhesives and sealants (including waterproofing products)</v>
          </cell>
        </row>
        <row r="334">
          <cell r="C334" t="str">
            <v>NACE P - 84 Public administration and defence; compulsory social security</v>
          </cell>
          <cell r="D334" t="str">
            <v>NACE C - 26.52 Manufacture of watches and clocks</v>
          </cell>
          <cell r="K334" t="str">
            <v xml:space="preserve">        080411 Hazardous Waste - Adhesive and sealant sludges containing organic solvents or other dangerous substances</v>
          </cell>
        </row>
        <row r="335">
          <cell r="C335" t="str">
            <v>NACE P - 84.1 Administration of the State and the economic, social and environmental policies of the community</v>
          </cell>
          <cell r="D335" t="str">
            <v>NACE C - 26.6 Manufacture of irradiation, electromedical and electrotherapeutic equipment</v>
          </cell>
          <cell r="K335" t="str">
            <v xml:space="preserve">        080412 Non-Hazardous Waste - Other adhesives and sealant sludges</v>
          </cell>
        </row>
        <row r="336">
          <cell r="C336" t="str">
            <v>NACE P - 84.2 Provision of services to the community as a whole</v>
          </cell>
          <cell r="D336" t="str">
            <v>NACE C - 26.60 Manufacture of irradiation, electromedical and electrotherapeutic equipment</v>
          </cell>
          <cell r="K336" t="str">
            <v xml:space="preserve">        080413 Hazardous Waste - Aqueous sludges containing adhesives or sealants containing organic solvents or other dangerous substances</v>
          </cell>
        </row>
        <row r="337">
          <cell r="C337" t="str">
            <v>NACE P - 84.3 Compulsory social security activities</v>
          </cell>
          <cell r="D337" t="str">
            <v>NACE C - 26.7 Manufacture of optical instruments, magnetic and optical media and photographic equipment</v>
          </cell>
          <cell r="K337" t="str">
            <v xml:space="preserve">        080414 Non-Hazardous Waste - Other aqueous sludges containing adhesives or sealants</v>
          </cell>
        </row>
        <row r="338">
          <cell r="C338" t="str">
            <v>NACE P - PUBLIC ADMINISTRATION AND DEFENCE; COMPULSORY SOCIAL SECURITY</v>
          </cell>
          <cell r="D338" t="str">
            <v>NACE C - 26.70 Manufacture of optical instruments, magnetic and optical media and photographic equipment</v>
          </cell>
          <cell r="K338" t="str">
            <v xml:space="preserve">        080415 Hazardous Waste - Aqueous liquid wastes containing adhesives or sealants with organic solvents or other dangerous substances</v>
          </cell>
        </row>
        <row r="339">
          <cell r="C339" t="str">
            <v>NACE Q - 85 Education</v>
          </cell>
          <cell r="D339" t="str">
            <v>NACE C - 27 Manufacture of electrical equipment</v>
          </cell>
          <cell r="K339" t="str">
            <v xml:space="preserve">        080416 Non-Hazardous Waste - Other aqueous liquid waste containing adhesives or sealants</v>
          </cell>
        </row>
        <row r="340">
          <cell r="C340" t="str">
            <v>NACE Q - 85.1 Pre-primary education</v>
          </cell>
          <cell r="D340" t="str">
            <v>NACE C - 27.1 Manufacture of electric motors, generators, transformers and electricity distribution and control apparatus</v>
          </cell>
          <cell r="K340" t="str">
            <v xml:space="preserve">        080499 Non-Hazardous Waste - Wastes not otherwise specified</v>
          </cell>
        </row>
        <row r="341">
          <cell r="C341" t="str">
            <v>NACE Q - 85.2 Primary education</v>
          </cell>
          <cell r="D341" t="str">
            <v>NACE C - 27.11 Manufacture of electric motors, generators and transformers</v>
          </cell>
          <cell r="K341" t="str">
            <v xml:space="preserve">    0805 Wastes not otherwise specified</v>
          </cell>
        </row>
        <row r="342">
          <cell r="C342" t="str">
            <v>NACE Q - 85.3 Secondary and post-secondary non-tertiary education</v>
          </cell>
          <cell r="D342" t="str">
            <v>NACE C - 27.12 Manufacture of electricity distribution and control apparatus</v>
          </cell>
          <cell r="K342" t="str">
            <v xml:space="preserve">        080501 Hazardous Waste - Waste isocyanates</v>
          </cell>
        </row>
        <row r="343">
          <cell r="C343" t="str">
            <v>NACE Q - 85.4 Tertiary education</v>
          </cell>
          <cell r="D343" t="str">
            <v>NACE C - 27.2 Manufacture of batteries and accumulators</v>
          </cell>
          <cell r="K343" t="str">
            <v>09 WASTES FROM THE PHOTOGRAPHIC INDUSTRY</v>
          </cell>
        </row>
        <row r="344">
          <cell r="C344" t="str">
            <v>NACE Q - 85.5 Other education</v>
          </cell>
          <cell r="D344" t="str">
            <v>NACE C - 27.20 Manufacture of batteries and accumulators</v>
          </cell>
          <cell r="K344" t="str">
            <v xml:space="preserve">    0901 Wastes from the photographic industry</v>
          </cell>
        </row>
        <row r="345">
          <cell r="C345" t="str">
            <v>NACE Q - 85.6 Educational support activities</v>
          </cell>
          <cell r="D345" t="str">
            <v>NACE C - 27.3 Manufacture of wiring and wiring devices</v>
          </cell>
          <cell r="K345" t="str">
            <v xml:space="preserve">        090101 Hazardous Waste - Water-based developer and activator solutions</v>
          </cell>
        </row>
        <row r="346">
          <cell r="C346" t="str">
            <v>NACE Q - EDUCATION</v>
          </cell>
          <cell r="D346" t="str">
            <v>NACE C - 27.31 Manufacture of fibre optic cables</v>
          </cell>
          <cell r="K346" t="str">
            <v xml:space="preserve">        090102 Hazardous Waste - Water-based offset plate developer solutions</v>
          </cell>
        </row>
        <row r="347">
          <cell r="C347" t="str">
            <v>NACE R - 86 Human health activities</v>
          </cell>
          <cell r="D347" t="str">
            <v>NACE C - 27.32 Manufacture of other electronic and electric wires and cables</v>
          </cell>
          <cell r="K347" t="str">
            <v xml:space="preserve">        090103 Hazardous Waste - Solvent-based developer solutions</v>
          </cell>
        </row>
        <row r="348">
          <cell r="C348" t="str">
            <v>NACE R - 86.1 Hospital activities</v>
          </cell>
          <cell r="D348" t="str">
            <v>NACE C - 27.33 Manufacture of wiring devices</v>
          </cell>
          <cell r="K348" t="str">
            <v xml:space="preserve">        090104 Hazardous Waste - Fixer solutions</v>
          </cell>
        </row>
        <row r="349">
          <cell r="C349" t="str">
            <v>NACE R - 86.2 Medical and dental practice activities</v>
          </cell>
          <cell r="D349" t="str">
            <v>NACE C - 27.4 Manufacture of lighting equipment</v>
          </cell>
          <cell r="K349" t="str">
            <v xml:space="preserve">        090105 Hazardous Waste - Bleach solutions and bleach fixer solutions</v>
          </cell>
        </row>
        <row r="350">
          <cell r="C350" t="str">
            <v>NACE R - 86.9 Other human health activities</v>
          </cell>
          <cell r="D350" t="str">
            <v>NACE C - 27.40 Manufacture of lighting equipment</v>
          </cell>
          <cell r="K350" t="str">
            <v xml:space="preserve">        090106 Hazardous Waste - Waste containing silver from on-site treatment of photographic waste</v>
          </cell>
        </row>
        <row r="351">
          <cell r="C351" t="str">
            <v>NACE R - 87 Residential care activities</v>
          </cell>
          <cell r="D351" t="str">
            <v>NACE C - 27.5 Manufacture of domestic appliances</v>
          </cell>
          <cell r="K351" t="str">
            <v xml:space="preserve">        090107 Non-Hazardous Waste - Photographic film and paper containing silver or silver compounds</v>
          </cell>
        </row>
        <row r="352">
          <cell r="C352" t="str">
            <v>NACE R - 87.1 Residential nursing care activities</v>
          </cell>
          <cell r="D352" t="str">
            <v>NACE C - 27.51 Manufacture of electric domestic appliances</v>
          </cell>
          <cell r="K352" t="str">
            <v xml:space="preserve">        090108 Non-Hazardous Waste - Photographic film and paper free of silver or silver compounds</v>
          </cell>
        </row>
        <row r="353">
          <cell r="C353" t="str">
            <v>NACE R - 87.2 Residential care activities for persons living with or having a diagnosis of a mental illness or substance abuse</v>
          </cell>
          <cell r="D353" t="str">
            <v>NACE C - 27.52 Manufacture of non-electric domestic appliances</v>
          </cell>
          <cell r="K353" t="str">
            <v xml:space="preserve">        090110 Non-Hazardous Waste - Single-use cameras without batteries</v>
          </cell>
        </row>
        <row r="354">
          <cell r="C354" t="str">
            <v>NACE R - 87.3 Residential care activities for older persons or persons with physical disabilities</v>
          </cell>
          <cell r="D354" t="str">
            <v>NACE C - 27.9 Manufacture of other electrical equipment</v>
          </cell>
          <cell r="K354" t="str">
            <v xml:space="preserve">        090111 Hazardous Waste - Single-use cameras containing batteries included in end-of-life tyres, discarded vehicles or end-of-life vehicles, drained of liquids and emptied of other hazardous components</v>
          </cell>
        </row>
        <row r="355">
          <cell r="C355" t="str">
            <v>NACE R - 87.9 Other residential care activities</v>
          </cell>
          <cell r="D355" t="str">
            <v>NACE C - 27.90 Manufacture of other electrical equipment</v>
          </cell>
          <cell r="K355" t="str">
            <v xml:space="preserve">        090112 Non-Hazardous Waste - Other single-use cameras containing batteries</v>
          </cell>
        </row>
        <row r="356">
          <cell r="C356" t="str">
            <v>NACE R - 88 Social work activities without accommodation</v>
          </cell>
          <cell r="D356" t="str">
            <v>NACE C - 28 Manufacture of machinery and equipment n.e.c.</v>
          </cell>
          <cell r="K356" t="str">
            <v xml:space="preserve">        090199 Non-Hazardous Waste - Wastes not otherwise specified</v>
          </cell>
        </row>
        <row r="357">
          <cell r="C357" t="str">
            <v>NACE R - 88.1 Social work activities without accommodation for older persons or persons with disabilities</v>
          </cell>
          <cell r="D357" t="str">
            <v>NACE C - 28.1 Manufacture of general-purpose machinery</v>
          </cell>
          <cell r="K357" t="str">
            <v>10 INORGANIC WASTES FROM THERMAL PROCESSES</v>
          </cell>
        </row>
        <row r="358">
          <cell r="C358" t="str">
            <v>NACE R - 88.9 Other social work activities without accommodation</v>
          </cell>
          <cell r="D358" t="str">
            <v>NACE C - 28.11 Manufacture of engines and turbines, except aircraft, vehicle and cycle engines</v>
          </cell>
          <cell r="K358" t="str">
            <v xml:space="preserve">    1001 Wastes from power stations and other combustion plants (except wastes from waste treatment facilities, off-site waste water treatment plants and the water industry)</v>
          </cell>
        </row>
        <row r="359">
          <cell r="C359" t="str">
            <v>NACE R - HUMAN HEALTH AND SOCIAL WORK ACTIVITIES</v>
          </cell>
          <cell r="D359" t="str">
            <v>NACE C - 28.12 Manufacture of fluid power equipment</v>
          </cell>
          <cell r="K359" t="str">
            <v xml:space="preserve">        100101 Non-Hazardous Waste - Bottom ash</v>
          </cell>
        </row>
        <row r="360">
          <cell r="C360" t="str">
            <v>NACE S - 90 Arts creation and performing arts activities</v>
          </cell>
          <cell r="D360" t="str">
            <v>NACE C - 28.13 Manufacture of other pumps and compressors</v>
          </cell>
          <cell r="K360" t="str">
            <v xml:space="preserve">        100102 Non-Hazardous Waste - Coal fly ash</v>
          </cell>
        </row>
        <row r="361">
          <cell r="C361" t="str">
            <v>NACE S - 90.1 Arts creation activities</v>
          </cell>
          <cell r="D361" t="str">
            <v>NACE C - 28.14 Manufacture of other taps and valves</v>
          </cell>
          <cell r="K361" t="str">
            <v xml:space="preserve">        100103 Non-Hazardous Waste - Peat and (untreated) wood fly ash</v>
          </cell>
        </row>
        <row r="362">
          <cell r="C362" t="str">
            <v>NACE S - 90.2 Activities of performing arts</v>
          </cell>
          <cell r="D362" t="str">
            <v>NACE C - 28.15 Manufacture of bearings, gears, gearing and driving elements</v>
          </cell>
          <cell r="K362" t="str">
            <v xml:space="preserve">        100104 Hazardous Waste - Oil fly ash</v>
          </cell>
        </row>
        <row r="363">
          <cell r="C363" t="str">
            <v>NACE S - 90.3 Support activities to arts creation and performing arts</v>
          </cell>
          <cell r="D363" t="str">
            <v>NACE C - 28.2 Manufacture of other general-purpose machinery</v>
          </cell>
          <cell r="K363" t="str">
            <v xml:space="preserve">        100105 Non-Hazardous Waste - Calcium-based reaction waste from flue gas desulphurisation in solid form</v>
          </cell>
        </row>
        <row r="364">
          <cell r="C364" t="str">
            <v>NACE S - 91 Libraries, archives, museums and other cultural activities</v>
          </cell>
          <cell r="D364" t="str">
            <v>NACE C - 28.21 Manufacture of ovens, furnaces and permanent household heating equipment</v>
          </cell>
          <cell r="K364" t="str">
            <v xml:space="preserve">        100106 Non-Hazardous Waste - Other solid wastes from gas treatment</v>
          </cell>
        </row>
        <row r="365">
          <cell r="C365" t="str">
            <v>NACE S - 91.1 Library and archive activities</v>
          </cell>
          <cell r="D365" t="str">
            <v>NACE C - 28.22 Manufacture of lifting and handling equipment</v>
          </cell>
          <cell r="K365" t="str">
            <v xml:space="preserve">        100107 Non-Hazardous Waste - Calcium-based reaction waste from flue gas desulphurisation in sludge form</v>
          </cell>
        </row>
        <row r="366">
          <cell r="C366" t="str">
            <v>NACE S - 91.2 Museum, collection, historical site and monument activities</v>
          </cell>
          <cell r="D366" t="str">
            <v>NACE C - 28.23 Manufacture of office machinery and equipment, except computers and peripheral equipment</v>
          </cell>
          <cell r="K366" t="str">
            <v xml:space="preserve">        100108 Non-Hazardous Waste - Other sludges from gas treatment</v>
          </cell>
        </row>
        <row r="367">
          <cell r="C367" t="str">
            <v>NACE S - 91.3 Conservation, restoration and other support activities for cultural heritage</v>
          </cell>
          <cell r="D367" t="str">
            <v>NACE C - 28.24 Manufacture of power-driven hand tools</v>
          </cell>
          <cell r="K367" t="str">
            <v xml:space="preserve">        100109 Hazardous Waste - Sulphuric acid</v>
          </cell>
        </row>
        <row r="368">
          <cell r="C368" t="str">
            <v>NACE S - 91.4 Botanical and zoological garden and nature reserve activities</v>
          </cell>
          <cell r="D368" t="str">
            <v>NACE C - 28.25 Manufacture of non-domestic air conditioning equipment</v>
          </cell>
          <cell r="K368" t="str">
            <v xml:space="preserve">        100111 Non-Hazardous Waste - Aqueous sludges from boiler cleansing</v>
          </cell>
        </row>
        <row r="369">
          <cell r="C369" t="str">
            <v>NACE S - 92 Gambling and betting activities</v>
          </cell>
          <cell r="D369" t="str">
            <v>NACE C - 28.29 Manufacture of other general-purpose machinery n.e.c.</v>
          </cell>
          <cell r="K369" t="str">
            <v xml:space="preserve">        100112 Non-Hazardous Waste - Spent linings and refractories</v>
          </cell>
        </row>
        <row r="370">
          <cell r="C370" t="str">
            <v>NACE S - 92.0 Gambling and betting activities</v>
          </cell>
          <cell r="D370" t="str">
            <v>NACE C - 28.3 Manufacture of agricultural and forestry machinery</v>
          </cell>
          <cell r="K370" t="str">
            <v xml:space="preserve">        100113 Hazardous Waste - Fly ash from emulsified hydrocarbons used as fuel</v>
          </cell>
        </row>
        <row r="371">
          <cell r="C371" t="str">
            <v>NACE S - 93 Sports activities and amusement and recreation activities</v>
          </cell>
          <cell r="D371" t="str">
            <v>NACE C - 28.30 Manufacture of agricultural and forestry machinery</v>
          </cell>
          <cell r="K371" t="str">
            <v xml:space="preserve">        100199 Non-Hazardous Waste - Wastes not otherwise specified</v>
          </cell>
        </row>
        <row r="372">
          <cell r="C372" t="str">
            <v>NACE S - 93.1 Sports activities</v>
          </cell>
          <cell r="D372" t="str">
            <v>NACE C - 28.4 Manufacture of metal forming machinery and machine tools</v>
          </cell>
          <cell r="K372" t="str">
            <v xml:space="preserve">    1002 Wastes from the iron and steel industry</v>
          </cell>
        </row>
        <row r="373">
          <cell r="C373" t="str">
            <v>NACE S - 93.2 Amusement and recreation activities</v>
          </cell>
          <cell r="D373" t="str">
            <v>NACE C - 28.41 Manufacture of metal forming machinery and machine tools for metal work</v>
          </cell>
          <cell r="K373" t="str">
            <v xml:space="preserve">        100201 Non-Hazardous Waste - Waste from the processing of slag</v>
          </cell>
        </row>
        <row r="374">
          <cell r="C374" t="str">
            <v>NACE S - ARTS, SPORTS AND RECREATION</v>
          </cell>
          <cell r="D374" t="str">
            <v>NACE C - 28.42 Manufacture of other machine tools</v>
          </cell>
          <cell r="K374" t="str">
            <v xml:space="preserve">        100202 Non-Hazardous Waste - Unprocessed slag</v>
          </cell>
        </row>
        <row r="375">
          <cell r="C375" t="str">
            <v>NACE T - 94 Activities of membership organisations</v>
          </cell>
          <cell r="D375" t="str">
            <v>NACE C - 28.9 Manufacture of other special-purpose machinery</v>
          </cell>
          <cell r="K375" t="str">
            <v xml:space="preserve">        100205 Non-Hazardous Waste - Other sludges</v>
          </cell>
        </row>
        <row r="376">
          <cell r="C376" t="str">
            <v>NACE T - 94.1 Activities of business, employers and professional membership organisations</v>
          </cell>
          <cell r="D376" t="str">
            <v>NACE C - 28.91 Manufacture of machinery for metallurgy</v>
          </cell>
          <cell r="K376" t="str">
            <v xml:space="preserve">        100206 Non-Hazardous Waste - Spent linings and refractories</v>
          </cell>
        </row>
        <row r="377">
          <cell r="C377" t="str">
            <v>NACE T - 94.2 Activities of trade unions</v>
          </cell>
          <cell r="D377" t="str">
            <v>NACE C - 28.92 Manufacture of machinery for mining, quarrying and construction</v>
          </cell>
          <cell r="K377" t="str">
            <v xml:space="preserve">        100207 Hazardous Waste - Solid waste from gas treatment of electrical arc furnaces containing dangerous substances</v>
          </cell>
        </row>
        <row r="378">
          <cell r="C378" t="str">
            <v>NACE T - 94.9 Activities of other membership organisations</v>
          </cell>
          <cell r="D378" t="str">
            <v>NACE C - 28.93 Manufacture of machinery for food, beverage and tobacco processing</v>
          </cell>
          <cell r="K378" t="str">
            <v xml:space="preserve">        100208 Non-Hazardous Waste - Others solid wastes from gas treatment of electrical arc furnaces</v>
          </cell>
        </row>
        <row r="379">
          <cell r="C379" t="str">
            <v>NACE T - 95 Repair and maintenance of computers, personal and household goods, and motor vehicles and motorcycles</v>
          </cell>
          <cell r="D379" t="str">
            <v>NACE C - 28.94 Manufacture of machinery for textile, apparel and leather production</v>
          </cell>
          <cell r="K379" t="str">
            <v xml:space="preserve">        100209 Non-Hazardous Waste - Solid waste from gas treatment of other iron and steel processes</v>
          </cell>
        </row>
        <row r="380">
          <cell r="C380" t="str">
            <v>NACE T - 95.1 Repair and maintenance of computers and communication equipment</v>
          </cell>
          <cell r="D380" t="str">
            <v>NACE C - 28.95 Manufacture of machinery for paper and paperboard production</v>
          </cell>
          <cell r="K380" t="str">
            <v xml:space="preserve">        100210 Non-Hazardous Waste - Mill scales</v>
          </cell>
        </row>
        <row r="381">
          <cell r="C381" t="str">
            <v>NACE T - 95.2 Repair and maintenance of personal and household goods</v>
          </cell>
          <cell r="D381" t="str">
            <v>NACE C - 28.96 Manufacture of plastics and rubber machinery</v>
          </cell>
          <cell r="K381" t="str">
            <v xml:space="preserve">        100211 Hazardous Waste - Waste from cooling water treatment containing oil</v>
          </cell>
        </row>
        <row r="382">
          <cell r="C382" t="str">
            <v>NACE T - 95.3 Repair and maintenance of motor vehicles and motorcycles</v>
          </cell>
          <cell r="D382" t="str">
            <v>NACE C - 28.97 Manufacture of additive manufacturing machinery</v>
          </cell>
          <cell r="K382" t="str">
            <v xml:space="preserve">        100212 Non-Hazardous Waste - Other wastes from cooling water treatment</v>
          </cell>
        </row>
        <row r="383">
          <cell r="C383" t="str">
            <v>NACE T - 95.4 Intermediation service activities for repair and maintenance of computers, personal and household goods, and motor vehicles and motorcycles</v>
          </cell>
          <cell r="D383" t="str">
            <v>NACE C - 28.99 Manufacture of other special-purpose machinery n.e.c.</v>
          </cell>
          <cell r="K383" t="str">
            <v xml:space="preserve">        100213 Hazardous Waste - Sludges from gas treatment containing dangerous substances</v>
          </cell>
        </row>
        <row r="384">
          <cell r="C384" t="str">
            <v>NACE T - 96 Personal service activities</v>
          </cell>
          <cell r="D384" t="str">
            <v>NACE C - 29 Manufacture of motor vehicles, trailers and semi-trailers</v>
          </cell>
          <cell r="K384" t="str">
            <v xml:space="preserve">        100214 Non-Hazardous Waste - Other sludges from gas treatment other</v>
          </cell>
        </row>
        <row r="385">
          <cell r="C385" t="str">
            <v>NACE T - 96.1 Washing and cleaning of textile and fur products</v>
          </cell>
          <cell r="D385" t="str">
            <v>NACE C - 29.1 Manufacture of motor vehicles</v>
          </cell>
          <cell r="K385" t="str">
            <v xml:space="preserve">        100299 Non-Hazardous Waste - Wastes not otherwise specified</v>
          </cell>
        </row>
        <row r="386">
          <cell r="C386" t="str">
            <v>NACE T - 96.2 Hairdressing, beauty treatment, day spa and similar activities</v>
          </cell>
          <cell r="D386" t="str">
            <v>NACE C - 29.10 Manufacture of motor vehicles</v>
          </cell>
          <cell r="K386" t="str">
            <v xml:space="preserve">    1003 Wastes from aluminium thermal metallurgy</v>
          </cell>
        </row>
        <row r="387">
          <cell r="C387" t="str">
            <v>NACE T - 96.3 Funeral and related activities</v>
          </cell>
          <cell r="D387" t="str">
            <v>NACE C - 29.2 Manufacture of bodies and coachwork for motor vehicles; manufacture of trailers and semi-trailers</v>
          </cell>
          <cell r="K387" t="str">
            <v xml:space="preserve">        100301 Hazardous Waste - Tars and other carbon-containing wastes from anode manufacture</v>
          </cell>
        </row>
        <row r="388">
          <cell r="C388" t="str">
            <v>NACE T - 96.4 Intermediation service activities for personal services</v>
          </cell>
          <cell r="D388" t="str">
            <v>NACE C - 29.20 Manufacture of bodies and coachwork for motor vehicles; manufacture of trailers and semi-trailers</v>
          </cell>
          <cell r="K388" t="str">
            <v xml:space="preserve">        100302 Non-Hazardous Waste - Anode scraps</v>
          </cell>
        </row>
        <row r="389">
          <cell r="C389" t="str">
            <v>NACE T - 96.9 Other personal service activities</v>
          </cell>
          <cell r="D389" t="str">
            <v>NACE C - 29.3 Manufacture of motor vehicle parts and accessories</v>
          </cell>
          <cell r="K389" t="str">
            <v xml:space="preserve">        100304 Hazardous Waste - Primary smelting slags/white drosses</v>
          </cell>
        </row>
        <row r="390">
          <cell r="C390" t="str">
            <v>NACE T - OTHER SERVICE ACTIVITIES</v>
          </cell>
          <cell r="D390" t="str">
            <v>NACE C - 29.31 Manufacture of electrical and electronic equipment for motor vehicles</v>
          </cell>
          <cell r="K390" t="str">
            <v xml:space="preserve">        100305 Non-Hazardous Waste - Alumina dust</v>
          </cell>
        </row>
        <row r="391">
          <cell r="C391" t="str">
            <v>NACE U - 97 Activities of households as employers of domestic personnel</v>
          </cell>
          <cell r="D391" t="str">
            <v>NACE C - 29.32 Manufacture of other parts and accessories for motor vehicles</v>
          </cell>
          <cell r="K391" t="str">
            <v xml:space="preserve">        100306 Non-Hazardous Waste - Used carbon strips and fireproof materials from electrolysis</v>
          </cell>
        </row>
        <row r="392">
          <cell r="C392" t="str">
            <v>NACE U - 97.0 Activities of households as employers of domestic personnel</v>
          </cell>
          <cell r="D392" t="str">
            <v>NACE C - 30 Manufacture of other transport equipment</v>
          </cell>
          <cell r="K392" t="str">
            <v xml:space="preserve">        100307 Hazardous Waste - Spent pot linings</v>
          </cell>
        </row>
        <row r="393">
          <cell r="C393" t="str">
            <v>NACE U - 98 Undifferentiated goods- and service-producing activities of private households for own use</v>
          </cell>
          <cell r="D393" t="str">
            <v>NACE C - 30.1 Building of ships and boats</v>
          </cell>
          <cell r="K393" t="str">
            <v xml:space="preserve">        100308 Hazardous Waste - Salt slags from secondary smelting</v>
          </cell>
        </row>
        <row r="394">
          <cell r="C394" t="str">
            <v>NACE U - 98.1 Undifferentiated goods-producing activities of private households for own use</v>
          </cell>
          <cell r="D394" t="str">
            <v>NACE C - 30.11 Building of civilian ships and floating structures</v>
          </cell>
          <cell r="K394" t="str">
            <v xml:space="preserve">        100309 Hazardous Waste - Black drosses from secondary smelting</v>
          </cell>
        </row>
        <row r="395">
          <cell r="C395" t="str">
            <v>NACE U - 98.2 Undifferentiated service-producing activities of private households for own use</v>
          </cell>
          <cell r="D395" t="str">
            <v>NACE C - 30.12 Building of pleasure and sporting boats</v>
          </cell>
          <cell r="K395" t="str">
            <v xml:space="preserve">        100310 Hazardous Waste - Waste from treatment of salt slags and black drosses</v>
          </cell>
        </row>
        <row r="396">
          <cell r="C396" t="str">
            <v>NACE U - ACTIVITIES OF HOUSEHOLDS AS EMPLOYERS AND UNDIFFERENTIATED GOODS – AND SERVICE-PRODUCING ACTIVITIES OF HOUSEHOLDS FOR OWN USE</v>
          </cell>
          <cell r="D396" t="str">
            <v>NACE C - 30.13 Building of military ships and vessels</v>
          </cell>
          <cell r="K396" t="str">
            <v xml:space="preserve">        100311 Non-Hazardous Waste - Flue gas dust</v>
          </cell>
        </row>
        <row r="397">
          <cell r="C397" t="str">
            <v>NACE V - 99 Activities of extraterritorial organisations and bodies</v>
          </cell>
          <cell r="D397" t="str">
            <v>NACE C - 30.2 Manufacture of railway locomotives and rolling stock</v>
          </cell>
          <cell r="K397" t="str">
            <v xml:space="preserve">        100312 Non-Hazardous Waste - Other particulates and dust (including ball mill dust)</v>
          </cell>
        </row>
        <row r="398">
          <cell r="C398" t="str">
            <v>NACE V - 99.0 Activities of extraterritorial organisations and bodies</v>
          </cell>
          <cell r="D398" t="str">
            <v>NACE C - 30.20 Manufacture of railway locomotives and rolling stock</v>
          </cell>
          <cell r="K398" t="str">
            <v xml:space="preserve">        100313 Non-Hazardous Waste - Solid waste from gas treatment</v>
          </cell>
        </row>
        <row r="399">
          <cell r="C399" t="str">
            <v>NACE V - ACTIVITIES OF EXTRATERRITORIAL ORGANISATIONS AND BODIES</v>
          </cell>
          <cell r="D399" t="str">
            <v>NACE C - 30.3 Manufacture of air and spacecraft and related machinery</v>
          </cell>
          <cell r="K399" t="str">
            <v xml:space="preserve">        100314 Non-Hazardous Waste - Sludges from gas treatment</v>
          </cell>
        </row>
        <row r="400">
          <cell r="D400" t="str">
            <v>NACE C - 30.31 Manufacture of civilian air and spacecraft and related machinery</v>
          </cell>
          <cell r="K400" t="str">
            <v xml:space="preserve">        100315 Hazardous Waste - Skimmings that are flammable or emit, upon contact with water, flammable gases in dangerous quantities</v>
          </cell>
        </row>
        <row r="401">
          <cell r="D401" t="str">
            <v>NACE C - 30.32 Manufacture of military air and spacecraft and related machinery</v>
          </cell>
          <cell r="K401" t="str">
            <v xml:space="preserve">        100316 Non-Hazardous Waste - Other skimmings</v>
          </cell>
        </row>
        <row r="402">
          <cell r="D402" t="str">
            <v>NACE C - 30.4 Manufacture of military fighting vehicles</v>
          </cell>
          <cell r="K402" t="str">
            <v xml:space="preserve">        100399 Non-Hazardous Waste - Wastes not otherwise specified</v>
          </cell>
        </row>
        <row r="403">
          <cell r="D403" t="str">
            <v>NACE C - 30.40 Manufacture of military fighting vehicles</v>
          </cell>
          <cell r="K403" t="str">
            <v xml:space="preserve">    1004 Wastes from lead thermal metallurgy</v>
          </cell>
        </row>
        <row r="404">
          <cell r="D404" t="str">
            <v>NACE C - 30.9 Manufacture of transport equipment n.e.c.</v>
          </cell>
          <cell r="K404" t="str">
            <v xml:space="preserve">        100401 Hazardous Waste - Slags (first and second smelting)</v>
          </cell>
        </row>
        <row r="405">
          <cell r="D405" t="str">
            <v>NACE C - 30.91 Manufacture of motorcycles</v>
          </cell>
          <cell r="K405" t="str">
            <v xml:space="preserve">        100402 Hazardous Waste - Dross and skimmings (first and second smelting)</v>
          </cell>
        </row>
        <row r="406">
          <cell r="D406" t="str">
            <v>NACE C - 30.92 Manufacture of bicycles and invalid carriages</v>
          </cell>
          <cell r="K406" t="str">
            <v xml:space="preserve">        100403 Hazardous Waste - Calcium arsenate</v>
          </cell>
        </row>
        <row r="407">
          <cell r="D407" t="str">
            <v>NACE C - 30.99 Manufacture of other transport equipment n.e.c.</v>
          </cell>
          <cell r="K407" t="str">
            <v xml:space="preserve">        100404 Hazardous Waste - Flue gas dust</v>
          </cell>
        </row>
        <row r="408">
          <cell r="D408" t="str">
            <v>NACE C - 31 Manufacture of furniture</v>
          </cell>
          <cell r="K408" t="str">
            <v xml:space="preserve">        100405 Hazardous Waste - Other particulates and dust</v>
          </cell>
        </row>
        <row r="409">
          <cell r="D409" t="str">
            <v>NACE C - 31.0 Manufacture of furniture</v>
          </cell>
          <cell r="K409" t="str">
            <v xml:space="preserve">        100406 Hazardous Waste - Solid waste from gas treatment</v>
          </cell>
        </row>
        <row r="410">
          <cell r="D410" t="str">
            <v>NACE C - 31.00 Manufacture of furniture</v>
          </cell>
          <cell r="K410" t="str">
            <v xml:space="preserve">        100407 Hazardous Waste - Sludges from gas treatment</v>
          </cell>
        </row>
        <row r="411">
          <cell r="D411" t="str">
            <v>NACE C - 32 Other manufacturing</v>
          </cell>
          <cell r="K411" t="str">
            <v xml:space="preserve">        100408 Non-Hazardous Waste - Spent linings and refractories</v>
          </cell>
        </row>
        <row r="412">
          <cell r="D412" t="str">
            <v>NACE C - 32.1 Manufacture of jewellery, bijouterie and related articles</v>
          </cell>
          <cell r="K412" t="str">
            <v xml:space="preserve">        100499 Non-Hazardous Waste - Wastes not otherwise specified</v>
          </cell>
        </row>
        <row r="413">
          <cell r="D413" t="str">
            <v>NACE C - 32.11 Striking of coins</v>
          </cell>
          <cell r="K413" t="str">
            <v xml:space="preserve">    1005 Wastes from zinc thermal metallurgy</v>
          </cell>
        </row>
        <row r="414">
          <cell r="D414" t="str">
            <v>NACE C - 32.12 Manufacture of jewellery and related articles</v>
          </cell>
          <cell r="K414" t="str">
            <v xml:space="preserve">        100501 Hazardous Waste - Slags (first and second smelting)</v>
          </cell>
        </row>
        <row r="415">
          <cell r="D415" t="str">
            <v>NACE C - 32.13 Manufacture of imitation jewellery and related articles</v>
          </cell>
          <cell r="K415" t="str">
            <v xml:space="preserve">        100502 Non-Hazardous Waste - Dross and skimmings (first and second smelting)</v>
          </cell>
        </row>
        <row r="416">
          <cell r="D416" t="str">
            <v>NACE C - 32.2 Manufacture of musical instruments</v>
          </cell>
          <cell r="K416" t="str">
            <v xml:space="preserve">        100503 Hazardous Waste - Flue gas dust</v>
          </cell>
        </row>
        <row r="417">
          <cell r="D417" t="str">
            <v>NACE C - 32.20 Manufacture of musical instruments</v>
          </cell>
          <cell r="K417" t="str">
            <v xml:space="preserve">        100504 Non-Hazardous Waste - Other particulates and dust</v>
          </cell>
        </row>
        <row r="418">
          <cell r="D418" t="str">
            <v>NACE C - 32.3 Manufacture of sports goods</v>
          </cell>
          <cell r="K418" t="str">
            <v xml:space="preserve">        100505 Hazardous Waste - Solid waste from gas treatment</v>
          </cell>
        </row>
        <row r="419">
          <cell r="D419" t="str">
            <v>NACE C - 32.30 Manufacture of sports goods</v>
          </cell>
          <cell r="K419" t="str">
            <v xml:space="preserve">        100506 Hazardous Waste - Sludges from gas treatment</v>
          </cell>
        </row>
        <row r="420">
          <cell r="D420" t="str">
            <v>NACE C - 32.4 Manufacture of games and toys</v>
          </cell>
          <cell r="K420" t="str">
            <v xml:space="preserve">        100507 Non-Hazardous Waste - Spent linings and refractories</v>
          </cell>
        </row>
        <row r="421">
          <cell r="D421" t="str">
            <v>NACE C - 32.40 Manufacture of games and toys</v>
          </cell>
          <cell r="K421" t="str">
            <v xml:space="preserve">        100599 Non-Hazardous Waste - Wastes not otherwise specified</v>
          </cell>
        </row>
        <row r="422">
          <cell r="D422" t="str">
            <v>NACE C - 32.5 Manufacture of medical and dental instruments and supplies</v>
          </cell>
          <cell r="K422" t="str">
            <v xml:space="preserve">    1006 Wastes from copper thermal metallurgy</v>
          </cell>
        </row>
        <row r="423">
          <cell r="D423" t="str">
            <v>NACE C - 32.50 Manufacture of medical and dental instruments and supplies</v>
          </cell>
          <cell r="K423" t="str">
            <v xml:space="preserve">        100601 Non-Hazardous Waste - Slags (first and second smelting)</v>
          </cell>
        </row>
        <row r="424">
          <cell r="D424" t="str">
            <v>NACE C - 32.9 Manufacturing n.e.c.</v>
          </cell>
          <cell r="K424" t="str">
            <v xml:space="preserve">        100602 Non-Hazardous Waste - Dross and skimmings (first and second smelting)</v>
          </cell>
        </row>
        <row r="425">
          <cell r="D425" t="str">
            <v>NACE C - 32.91 Manufacture of brooms and brushes</v>
          </cell>
          <cell r="K425" t="str">
            <v xml:space="preserve">        100603 Hazardous Waste - Flue gas dust</v>
          </cell>
        </row>
        <row r="426">
          <cell r="D426" t="str">
            <v>NACE C - 32.99 Other manufacturing n.e.c.</v>
          </cell>
          <cell r="K426" t="str">
            <v xml:space="preserve">        100604 Non-Hazardous Waste - Other particulates and dust</v>
          </cell>
        </row>
        <row r="427">
          <cell r="D427" t="str">
            <v>NACE C - 33 Repair, maintenance and installation of machinery and equipment</v>
          </cell>
          <cell r="K427" t="str">
            <v xml:space="preserve">        100605 Hazardous Waste - Waste from electrolytic refining</v>
          </cell>
        </row>
        <row r="428">
          <cell r="D428" t="str">
            <v>NACE C - 33.1 Repair and maintenance of fabricated metal products, machinery and equipment</v>
          </cell>
          <cell r="K428" t="str">
            <v xml:space="preserve">        100606 Hazardous Waste - Solid waste from gas treatment</v>
          </cell>
        </row>
        <row r="429">
          <cell r="D429" t="str">
            <v>NACE C - 33.11 Repair and maintenance of fabricated metal products</v>
          </cell>
          <cell r="K429" t="str">
            <v xml:space="preserve">        100607 Hazardous Waste - Sludges from gas treatment</v>
          </cell>
        </row>
        <row r="430">
          <cell r="D430" t="str">
            <v>NACE C - 33.12 Repair and maintenance of machinery</v>
          </cell>
          <cell r="K430" t="str">
            <v xml:space="preserve">        100608 Non-Hazardous Waste - Spent linings and refractories</v>
          </cell>
        </row>
        <row r="431">
          <cell r="D431" t="str">
            <v>NACE C - 33.13 Repair and maintenance of electronic and optical equipment</v>
          </cell>
          <cell r="K431" t="str">
            <v xml:space="preserve">        100699 Non-Hazardous Waste - Wastes not otherwise specified</v>
          </cell>
        </row>
        <row r="432">
          <cell r="D432" t="str">
            <v>NACE C - 33.14 Repair and maintenance of electrical equipment</v>
          </cell>
          <cell r="K432" t="str">
            <v xml:space="preserve">    1007 Wastes from silver, gold and platinum thermal metallurgy</v>
          </cell>
        </row>
        <row r="433">
          <cell r="D433" t="str">
            <v>NACE C - 33.15 Repair and maintenance of civilian ships and boats</v>
          </cell>
          <cell r="K433" t="str">
            <v xml:space="preserve">        100701 Non-Hazardous Waste - Slags (first and second smelting)</v>
          </cell>
        </row>
        <row r="434">
          <cell r="D434" t="str">
            <v>NACE C - 33.16 Repair and maintenance of civilian air and spacecraft</v>
          </cell>
          <cell r="K434" t="str">
            <v xml:space="preserve">        100702 Non-Hazardous Waste - Dross and skimmings (first and second smelting)</v>
          </cell>
        </row>
        <row r="435">
          <cell r="D435" t="str">
            <v>NACE C - 33.17 Repair and maintenance of other civilian transport equipment</v>
          </cell>
          <cell r="K435" t="str">
            <v xml:space="preserve">        100703 Non-Hazardous Waste - Solid waste from gas treatment</v>
          </cell>
        </row>
        <row r="436">
          <cell r="D436" t="str">
            <v>NACE C - 33.18 Repair and maintenance of military fighting vehicles, ships, boats, air and spacecraft</v>
          </cell>
          <cell r="K436" t="str">
            <v xml:space="preserve">        100704 Non-Hazardous Waste - Other particulates and dust</v>
          </cell>
        </row>
        <row r="437">
          <cell r="D437" t="str">
            <v>NACE C - 33.19 Repair and maintenance of other equipment</v>
          </cell>
          <cell r="K437" t="str">
            <v xml:space="preserve">        100705 Non-Hazardous Waste - Sludges from gas treatment</v>
          </cell>
        </row>
        <row r="438">
          <cell r="D438" t="str">
            <v>NACE C - 33.2 Installation of industrial machinery and equipment</v>
          </cell>
          <cell r="K438" t="str">
            <v xml:space="preserve">        100706 Non-Hazardous Waste - Spent linings and refractories</v>
          </cell>
        </row>
        <row r="439">
          <cell r="D439" t="str">
            <v>NACE C - 33.20 Installation of industrial machinery and equipment</v>
          </cell>
          <cell r="K439" t="str">
            <v xml:space="preserve">        100799 Non-Hazardous Waste - Wastes not otherwise specified</v>
          </cell>
        </row>
        <row r="440">
          <cell r="D440" t="str">
            <v>NACE D - ELECTRICITY, GAS, STEAM AND AIR CONDITIONING SUPPLY</v>
          </cell>
          <cell r="K440" t="str">
            <v xml:space="preserve">    1008 Wastes from other non-ferrous thermal metallurgy</v>
          </cell>
        </row>
        <row r="441">
          <cell r="D441" t="str">
            <v>NACE D - 35 Electricity, gas, steam and air conditioning supply</v>
          </cell>
          <cell r="K441" t="str">
            <v xml:space="preserve">        100801 Non-Hazardous Waste - Slags (first and second smelting)</v>
          </cell>
        </row>
        <row r="442">
          <cell r="D442" t="str">
            <v>NACE D - 35.1 Electric power generation, transmission and distribution</v>
          </cell>
          <cell r="K442" t="str">
            <v xml:space="preserve">        100802 Non-Hazardous Waste - Dross and skimmings (first and second smelting)</v>
          </cell>
        </row>
        <row r="443">
          <cell r="D443" t="str">
            <v>NACE D - 35.11 Production of electricity from non-renewable sources</v>
          </cell>
          <cell r="K443" t="str">
            <v xml:space="preserve">        100803 Non-Hazardous Waste - Flue gas dust</v>
          </cell>
        </row>
        <row r="444">
          <cell r="D444" t="str">
            <v>NACE D - 35.12 Production of electricity from renewable sources</v>
          </cell>
          <cell r="K444" t="str">
            <v xml:space="preserve">        100804 Non-Hazardous Waste - Other particulates and dust</v>
          </cell>
        </row>
        <row r="445">
          <cell r="D445" t="str">
            <v>NACE D - 35.13 Transmission of electricity</v>
          </cell>
          <cell r="K445" t="str">
            <v xml:space="preserve">        100805 Non-Hazardous Waste - Solid waste from gas treatment</v>
          </cell>
        </row>
        <row r="446">
          <cell r="D446" t="str">
            <v>NACE D - 35.14 Distribution of electricity</v>
          </cell>
          <cell r="K446" t="str">
            <v xml:space="preserve">        100806 Non-Hazardous Waste - Sludges from gas treatment</v>
          </cell>
        </row>
        <row r="447">
          <cell r="D447" t="str">
            <v>NACE D - 35.15 Trade of electricity</v>
          </cell>
          <cell r="K447" t="str">
            <v xml:space="preserve">        100807 Non-Hazardous Waste - Spent linings and refractories</v>
          </cell>
        </row>
        <row r="448">
          <cell r="D448" t="str">
            <v>NACE D - 35.16 Storage of electricity</v>
          </cell>
          <cell r="K448" t="str">
            <v xml:space="preserve">        100899 Non-Hazardous Waste - Wastes not otherwise specified</v>
          </cell>
        </row>
        <row r="449">
          <cell r="D449" t="str">
            <v>NACE D - 35.2 Manufacture of gas, and distribution of gaseous fuels through mains</v>
          </cell>
          <cell r="K449" t="str">
            <v xml:space="preserve">    1009 Wastes from casting of ferrous pieces</v>
          </cell>
        </row>
        <row r="450">
          <cell r="D450" t="str">
            <v>NACE D - 35.21 Manufacture of gas</v>
          </cell>
          <cell r="K450" t="str">
            <v xml:space="preserve">        100901 Non-Hazardous Waste - Casting cores and moulds containing organic binders which have not undergone pouring</v>
          </cell>
        </row>
        <row r="451">
          <cell r="D451" t="str">
            <v>NACE D - 35.22 Distribution of gaseous fuels through mains</v>
          </cell>
          <cell r="K451" t="str">
            <v xml:space="preserve">        100902 Non-Hazardous Waste - Casting cores and moulds containing organic binders which have undergone pouring</v>
          </cell>
        </row>
        <row r="452">
          <cell r="D452" t="str">
            <v>NACE D - 35.23 Trade of gas through mains</v>
          </cell>
          <cell r="K452" t="str">
            <v xml:space="preserve">        100903 Non-Hazardous Waste - Furnace slag</v>
          </cell>
        </row>
        <row r="453">
          <cell r="D453" t="str">
            <v>NACE D - 35.24 Storage of gas as part of network supply services</v>
          </cell>
          <cell r="K453" t="str">
            <v xml:space="preserve">        100904 Non-Hazardous Waste - Furnace dust</v>
          </cell>
        </row>
        <row r="454">
          <cell r="D454" t="str">
            <v>NACE D - 35.3 Steam and air conditioning supply</v>
          </cell>
          <cell r="K454" t="str">
            <v xml:space="preserve">        100999 Non-Hazardous Waste - Wastes not otherwise specified</v>
          </cell>
        </row>
        <row r="455">
          <cell r="D455" t="str">
            <v>NACE D - 35.30 Steam and air conditioning supply</v>
          </cell>
          <cell r="K455" t="str">
            <v xml:space="preserve">    1010 Wastes from casting of non-ferrous pieces</v>
          </cell>
        </row>
        <row r="456">
          <cell r="D456" t="str">
            <v>NACE D - 35.4 Activities of brokers and agents for electric power and natural gas</v>
          </cell>
          <cell r="K456" t="str">
            <v xml:space="preserve">        101001 Non-Hazardous Waste - Casting cores and moulds containing organic binders which have not undergone pouring</v>
          </cell>
        </row>
        <row r="457">
          <cell r="D457" t="str">
            <v>NACE D - 35.40 Activities of brokers and agents for electric power and natural gas</v>
          </cell>
          <cell r="K457" t="str">
            <v xml:space="preserve">        101002 Non-Hazardous Waste - Casting cores and moulds containing organic binders which have undergone pouring</v>
          </cell>
        </row>
        <row r="458">
          <cell r="D458" t="str">
            <v>NACE E - WATER SUPPLY; SEWERAGE, WASTE MANAGEMENT AND REMEDIATION ACTIVITIES</v>
          </cell>
          <cell r="K458" t="str">
            <v xml:space="preserve">        101003 Non-Hazardous Waste - Furnace slag</v>
          </cell>
        </row>
        <row r="459">
          <cell r="D459" t="str">
            <v>NACE E - 36 Water collection, treatment and supply</v>
          </cell>
          <cell r="K459" t="str">
            <v xml:space="preserve">        101004 Non-Hazardous Waste - Furnace dust</v>
          </cell>
        </row>
        <row r="460">
          <cell r="D460" t="str">
            <v>NACE E - 36.0 Water collection, treatment and supply</v>
          </cell>
          <cell r="K460" t="str">
            <v xml:space="preserve">        101099 Non-Hazardous Waste - Wastes not otherwise specified</v>
          </cell>
        </row>
        <row r="461">
          <cell r="D461" t="str">
            <v>NACE E - 36.00 Water collection, treatment and supply</v>
          </cell>
          <cell r="K461" t="str">
            <v xml:space="preserve">    1011 Wastes from manufacture of glass and glass products</v>
          </cell>
        </row>
        <row r="462">
          <cell r="D462" t="str">
            <v>NACE E - 37 Sewerage</v>
          </cell>
          <cell r="K462" t="str">
            <v xml:space="preserve">        101101 Non-Hazardous Waste - Waste preparation mixture before thermal processing</v>
          </cell>
        </row>
        <row r="463">
          <cell r="D463" t="str">
            <v>NACE E - 37.0 Sewerage</v>
          </cell>
          <cell r="K463" t="str">
            <v xml:space="preserve">        101102 Non-Hazardous Waste - Waste glass</v>
          </cell>
        </row>
        <row r="464">
          <cell r="D464" t="str">
            <v>NACE E - 37.00 Sewerage</v>
          </cell>
          <cell r="K464" t="str">
            <v xml:space="preserve">        101103 Non-Hazardous Waste - Waste glass-based fibrous materials</v>
          </cell>
        </row>
        <row r="465">
          <cell r="D465" t="str">
            <v>NACE E - 38 Waste collection, recovery and disposal activities</v>
          </cell>
          <cell r="K465" t="str">
            <v xml:space="preserve">        101104 Non-Hazardous Waste - Flue gas dust</v>
          </cell>
        </row>
        <row r="466">
          <cell r="D466" t="str">
            <v>NACE E - 38.1 Waste collection</v>
          </cell>
          <cell r="K466" t="str">
            <v xml:space="preserve">        101105 Non-Hazardous Waste - Other particulates and dust</v>
          </cell>
        </row>
        <row r="467">
          <cell r="D467" t="str">
            <v>NACE E - 38.11 Collection of non-hazardous waste</v>
          </cell>
          <cell r="K467" t="str">
            <v xml:space="preserve">        101106 Non-Hazardous Waste - Solid waste from gas treatment</v>
          </cell>
        </row>
        <row r="468">
          <cell r="D468" t="str">
            <v>NACE E - 38.12 Collection of hazardous waste</v>
          </cell>
          <cell r="K468" t="str">
            <v xml:space="preserve">        101107 Non-Hazardous Waste - Sludges from gas treatment</v>
          </cell>
        </row>
        <row r="469">
          <cell r="D469" t="str">
            <v>NACE E - 38.2 Waste recovery</v>
          </cell>
          <cell r="K469" t="str">
            <v xml:space="preserve">        101108 Non-Hazardous Waste - Spent linings and refractories</v>
          </cell>
        </row>
        <row r="470">
          <cell r="D470" t="str">
            <v>NACE E - 38.21 Materials recovery</v>
          </cell>
          <cell r="K470" t="str">
            <v xml:space="preserve">        101199 Non-Hazardous Waste - Wastes not otherwise specified</v>
          </cell>
        </row>
        <row r="471">
          <cell r="D471" t="str">
            <v>NACE E - 38.22 Energy recovery</v>
          </cell>
          <cell r="K471" t="str">
            <v xml:space="preserve">    1012 Wastes from manufacture of ceramic goods, bricks, tiles and construction products</v>
          </cell>
        </row>
        <row r="472">
          <cell r="D472" t="str">
            <v>NACE E - 38.23 Other waste recovery</v>
          </cell>
          <cell r="K472" t="str">
            <v xml:space="preserve">        101201 Non-Hazardous Waste - Waste preparation mixture before thermal processing</v>
          </cell>
        </row>
        <row r="473">
          <cell r="D473" t="str">
            <v>NACE E - 38.3 Waste disposal without recovery</v>
          </cell>
          <cell r="K473" t="str">
            <v xml:space="preserve">        101202 Non-Hazardous Waste - Flue gas dust</v>
          </cell>
        </row>
        <row r="474">
          <cell r="D474" t="str">
            <v>NACE E - 38.31 Incineration without energy recovery</v>
          </cell>
          <cell r="K474" t="str">
            <v xml:space="preserve">        101203 Non-Hazardous Waste - Other particulates and dust</v>
          </cell>
        </row>
        <row r="475">
          <cell r="D475" t="str">
            <v>NACE E - 38.32 Landfilling or permanent storage</v>
          </cell>
          <cell r="K475" t="str">
            <v xml:space="preserve">        101204 Non-Hazardous Waste - Solid waste from gas treatment</v>
          </cell>
        </row>
        <row r="476">
          <cell r="D476" t="str">
            <v>NACE E - 38.33 Other waste disposal</v>
          </cell>
          <cell r="K476" t="str">
            <v xml:space="preserve">        101205 Non-Hazardous Waste - Sludges from gas treatment</v>
          </cell>
        </row>
        <row r="477">
          <cell r="D477" t="str">
            <v>NACE E - 39 Remediation activities and other waste management service activities</v>
          </cell>
          <cell r="K477" t="str">
            <v xml:space="preserve">        101206 Non-Hazardous Waste - Discarded moulds</v>
          </cell>
        </row>
        <row r="478">
          <cell r="D478" t="str">
            <v>NACE E - 39.0 Remediation activities and other waste management service activities</v>
          </cell>
          <cell r="K478" t="str">
            <v xml:space="preserve">        101207 Non-Hazardous Waste - Spent linings and refractories</v>
          </cell>
        </row>
        <row r="479">
          <cell r="D479" t="str">
            <v>NACE E - 39.00 Remediation activities and other waste management service activities</v>
          </cell>
          <cell r="K479" t="str">
            <v xml:space="preserve">        101299 Non-Hazardous Waste - Wastes not otherwise specified</v>
          </cell>
        </row>
        <row r="480">
          <cell r="D480" t="str">
            <v>NACE F - CONSTRUCTION</v>
          </cell>
          <cell r="K480" t="str">
            <v xml:space="preserve">    1013 Wastes from manufacture of cement, lime and plaster and articles and products made from them</v>
          </cell>
        </row>
        <row r="481">
          <cell r="D481" t="str">
            <v>NACE F - 41 Construction of residential and non-residential buildings</v>
          </cell>
          <cell r="K481" t="str">
            <v xml:space="preserve">        101301 Non-Hazardous Waste - Waste preparation mixture before thermal processing</v>
          </cell>
        </row>
        <row r="482">
          <cell r="D482" t="str">
            <v>NACE F - 41.0 Construction of residential and non-residential buildings</v>
          </cell>
          <cell r="K482" t="str">
            <v xml:space="preserve">        101302 Non-Hazardous Waste - Waste from asbestos-cement manufacture</v>
          </cell>
        </row>
        <row r="483">
          <cell r="D483" t="str">
            <v>NACE F - 41.00 Construction of residential and non-residential buildings</v>
          </cell>
          <cell r="K483" t="str">
            <v xml:space="preserve">        101303 Non-Hazardous Waste - Waste from other cement-based composite materials</v>
          </cell>
        </row>
        <row r="484">
          <cell r="D484" t="str">
            <v>NACE F - 42 Civil engineering</v>
          </cell>
          <cell r="K484" t="str">
            <v xml:space="preserve">        101304 Non-Hazardous Waste - Waste from calcination and hydration of lime</v>
          </cell>
        </row>
        <row r="485">
          <cell r="D485" t="str">
            <v>NACE F - 42.1 Construction of roads and railways</v>
          </cell>
          <cell r="K485" t="str">
            <v xml:space="preserve">        101305 Non-Hazardous Waste - Solid waste from gas treatment</v>
          </cell>
        </row>
        <row r="486">
          <cell r="D486" t="str">
            <v>NACE F - 42.11 Construction of roads and motorways</v>
          </cell>
          <cell r="K486" t="str">
            <v xml:space="preserve">        101306 Non-Hazardous Waste - Other particulates and dust</v>
          </cell>
        </row>
        <row r="487">
          <cell r="D487" t="str">
            <v>NACE F - 42.12 Construction of railways and underground railways</v>
          </cell>
          <cell r="K487" t="str">
            <v xml:space="preserve">        101307 Non-Hazardous Waste - Sludges from gas treatment</v>
          </cell>
        </row>
        <row r="488">
          <cell r="D488" t="str">
            <v>NACE F - 42.13 Construction of bridges and tunnels</v>
          </cell>
          <cell r="K488" t="str">
            <v xml:space="preserve">        101308 Non-Hazardous Waste - Spent linings and refractories</v>
          </cell>
        </row>
        <row r="489">
          <cell r="D489" t="str">
            <v>NACE F - 42.2 Construction of utility projects</v>
          </cell>
          <cell r="K489" t="str">
            <v xml:space="preserve">        101399 Non-Hazardous Waste - Wastes not otherwise specified</v>
          </cell>
        </row>
        <row r="490">
          <cell r="D490" t="str">
            <v>NACE F - 42.21 Construction of utility projects for fluids</v>
          </cell>
          <cell r="K490" t="str">
            <v>11 INORGANIC METAL-CONTAINING WASTES FROM METAL TREATMENT AND THE COATING OF METALS, AND NON-FERROUS HYDROMETALLURGY</v>
          </cell>
        </row>
        <row r="491">
          <cell r="D491" t="str">
            <v>NACE F - 42.22 Construction of utility projects for electricity and telecommunications</v>
          </cell>
          <cell r="K491" t="str">
            <v xml:space="preserve">    1101 Liquid wastes and sludges from metal treatment and coating of metals, (e.g. galvanic processes, zinc coating processes, pickling processes, etching, phosphatising, alkaline degreasing)</v>
          </cell>
        </row>
        <row r="492">
          <cell r="D492" t="str">
            <v>NACE F - 42.9 Construction of other civil engineering projects</v>
          </cell>
          <cell r="K492" t="str">
            <v xml:space="preserve">        110101 Hazardous Waste - Cyanidic (alkaline) waste containing heavy metals other than chromium</v>
          </cell>
        </row>
        <row r="493">
          <cell r="D493" t="str">
            <v>NACE F - 42.91 Construction of water projects</v>
          </cell>
          <cell r="K493" t="str">
            <v xml:space="preserve">        110102 Hazardous Waste - Cyanidic (alkaline) waste not containing heavy metals</v>
          </cell>
        </row>
        <row r="494">
          <cell r="D494" t="str">
            <v>NACE F - 42.99 Construction of other civil engineering projects n.e.c.</v>
          </cell>
          <cell r="K494" t="str">
            <v xml:space="preserve">        110103 Hazardous Waste - Cyanide-free wastes containing chromium</v>
          </cell>
        </row>
        <row r="495">
          <cell r="D495" t="str">
            <v>NACE F - 43 Specialised construction activities</v>
          </cell>
          <cell r="K495" t="str">
            <v xml:space="preserve">        110104 Non-Hazardous Waste - Cyanide-free wastes not containing chromium</v>
          </cell>
        </row>
        <row r="496">
          <cell r="D496" t="str">
            <v>NACE F - 43.1 Demolition and site preparation</v>
          </cell>
          <cell r="K496" t="str">
            <v xml:space="preserve">        110105 Hazardous Waste - Acidic pickling solutions</v>
          </cell>
        </row>
        <row r="497">
          <cell r="D497" t="str">
            <v>NACE F - 43.11 Demolition</v>
          </cell>
          <cell r="K497" t="str">
            <v xml:space="preserve">        110106 Hazardous Waste - Acids not otherwise specified</v>
          </cell>
        </row>
        <row r="498">
          <cell r="D498" t="str">
            <v>NACE F - 43.12 Site preparation</v>
          </cell>
          <cell r="K498" t="str">
            <v xml:space="preserve">        110107 Hazardous Waste - Alkalis not otherwise specified</v>
          </cell>
        </row>
        <row r="499">
          <cell r="D499" t="str">
            <v>NACE F - 43.13 Test drilling and boring</v>
          </cell>
          <cell r="K499" t="str">
            <v xml:space="preserve">        110108 Hazardous Waste - Phosphatising sludges</v>
          </cell>
        </row>
        <row r="500">
          <cell r="D500" t="str">
            <v>NACE F - 43.2 Electrical, plumbing and other construction installation activities</v>
          </cell>
          <cell r="K500" t="str">
            <v xml:space="preserve">    1102 Wastes and sludges from non-ferrous hydrometallurgical processes</v>
          </cell>
        </row>
        <row r="501">
          <cell r="D501" t="str">
            <v>NACE F - 43.21 Electrical installation</v>
          </cell>
          <cell r="K501" t="str">
            <v xml:space="preserve">        110201 Non-Hazardous Waste - Sludges from copper hydrometallurgy</v>
          </cell>
        </row>
        <row r="502">
          <cell r="D502" t="str">
            <v>NACE F - 43.22 Plumbing, heat and air-conditioning installation</v>
          </cell>
          <cell r="K502" t="str">
            <v xml:space="preserve">        110202 Hazardous Waste - Sludges from zinc hydrometallurgy (including jarosite, goethite)</v>
          </cell>
        </row>
        <row r="503">
          <cell r="D503" t="str">
            <v>NACE F - 43.23 Installation of insulation</v>
          </cell>
          <cell r="K503" t="str">
            <v xml:space="preserve">        110203 Non-Hazardous Waste - Waste from the production of anodes for aqueous electrolytical processes</v>
          </cell>
        </row>
        <row r="504">
          <cell r="D504" t="str">
            <v>NACE F - 43.24 Other construction installation</v>
          </cell>
          <cell r="K504" t="str">
            <v xml:space="preserve">        110204 Non-Hazardous Waste - Sludges not otherwise specified</v>
          </cell>
        </row>
        <row r="505">
          <cell r="D505" t="str">
            <v>NACE F - 43.3 Building completion and finishing</v>
          </cell>
          <cell r="K505" t="str">
            <v xml:space="preserve">    1103 Sludges and solids from tempering processes</v>
          </cell>
        </row>
        <row r="506">
          <cell r="D506" t="str">
            <v>NACE F - 43.31 Plastering</v>
          </cell>
          <cell r="K506" t="str">
            <v xml:space="preserve">        110301 Hazardous Waste - Waste containing cyanide</v>
          </cell>
        </row>
        <row r="507">
          <cell r="D507" t="str">
            <v>NACE F - 43.32 Joinery installation</v>
          </cell>
          <cell r="K507" t="str">
            <v xml:space="preserve">        110302 Hazardous Waste - Other wastes</v>
          </cell>
        </row>
        <row r="508">
          <cell r="D508" t="str">
            <v>NACE F - 43.33 Floor and wall covering</v>
          </cell>
          <cell r="K508" t="str">
            <v xml:space="preserve">    1104 Other inorganic metal-containing wastes not otherwise specified</v>
          </cell>
        </row>
        <row r="509">
          <cell r="D509" t="str">
            <v>NACE F - 43.34 Painting and glazing</v>
          </cell>
          <cell r="K509" t="str">
            <v xml:space="preserve">        110401 Non-Hazardous Waste - Other inorganic metal-containing wastes not otherwise specified</v>
          </cell>
        </row>
        <row r="510">
          <cell r="D510" t="str">
            <v>NACE F - 43.35 Other building completion and finishing</v>
          </cell>
          <cell r="K510" t="str">
            <v>12 WASTES FROM SHAPING AND SURFACE TREATMENT OF METALS AND PLASTICS</v>
          </cell>
        </row>
        <row r="511">
          <cell r="D511" t="str">
            <v>NACE F - 43.4 Specialised construction activities in construction of buildings</v>
          </cell>
          <cell r="K511" t="str">
            <v xml:space="preserve">    1201 Wastes from shaping (including forgoing, welding, pressing, drawing, turning, cutting and filing)</v>
          </cell>
        </row>
        <row r="512">
          <cell r="D512" t="str">
            <v>NACE F - 43.41 Roofing activities</v>
          </cell>
          <cell r="K512" t="str">
            <v xml:space="preserve">        120101 Non-Hazardous Waste - Ferrous metal filings and turnings</v>
          </cell>
        </row>
        <row r="513">
          <cell r="D513" t="str">
            <v>NACE F - 43.42 Other specialised construction activities in construction of buildings</v>
          </cell>
          <cell r="K513" t="str">
            <v xml:space="preserve">        120102 Non-Hazardous Waste - Other ferrous metal particles</v>
          </cell>
        </row>
        <row r="514">
          <cell r="D514" t="str">
            <v>NACE F - 43.5 Specialised construction activities in civil engineering</v>
          </cell>
          <cell r="K514" t="str">
            <v xml:space="preserve">        120103 Non-Hazardous Waste - Non-ferrous metal filings and turnings</v>
          </cell>
        </row>
        <row r="515">
          <cell r="D515" t="str">
            <v>NACE F - 43.50 Specialised construction activities in civil engineering</v>
          </cell>
          <cell r="K515" t="str">
            <v xml:space="preserve">        120104 Non-Hazardous Waste - Other non-ferrous metal particles</v>
          </cell>
        </row>
        <row r="516">
          <cell r="D516" t="str">
            <v>NACE F - 43.6 Intermediation service activities for specialised construction services</v>
          </cell>
          <cell r="K516" t="str">
            <v xml:space="preserve">        120105 Non-Hazardous Waste - Plastics particles</v>
          </cell>
        </row>
        <row r="517">
          <cell r="D517" t="str">
            <v>NACE F - 43.60 Intermediation service activities for specialised construction services</v>
          </cell>
          <cell r="K517" t="str">
            <v xml:space="preserve">        120106 Hazardous Waste - Waste machining oils containing halogens (except emulsions)</v>
          </cell>
        </row>
        <row r="518">
          <cell r="D518" t="str">
            <v>NACE F - 43.9 Other specialised construction activities</v>
          </cell>
          <cell r="K518" t="str">
            <v xml:space="preserve">        120107 Hazardous Waste - Waste machining oils free of halogens (except emulsions)</v>
          </cell>
        </row>
        <row r="519">
          <cell r="D519" t="str">
            <v>NACE F - 43.91 Masonry and bricklaying activities</v>
          </cell>
          <cell r="K519" t="str">
            <v xml:space="preserve">        120108 Hazardous Waste - Waste machining emulsions containing halogens</v>
          </cell>
        </row>
        <row r="520">
          <cell r="D520" t="str">
            <v>NACE F - 43.99 Other specialised construction activities n.e.c.</v>
          </cell>
          <cell r="K520" t="str">
            <v xml:space="preserve">        120109 Hazardous Waste - Waste machining emulsions free of halogens</v>
          </cell>
        </row>
        <row r="521">
          <cell r="D521" t="str">
            <v>NACE G - WHOLESALE AND RETAIL TRADE</v>
          </cell>
          <cell r="K521" t="str">
            <v xml:space="preserve">        120110 Hazardous Waste - Synthetic machining oils</v>
          </cell>
        </row>
        <row r="522">
          <cell r="D522" t="str">
            <v>NACE G - 46 Wholesale trade</v>
          </cell>
          <cell r="K522" t="str">
            <v xml:space="preserve">        120111 Hazardous Waste - Machining sludges</v>
          </cell>
        </row>
        <row r="523">
          <cell r="D523" t="str">
            <v>NACE G - 46.1 Wholesale on a fee or contract basis</v>
          </cell>
          <cell r="K523" t="str">
            <v xml:space="preserve">        120112 Hazardous Waste - Spent waxes and fats</v>
          </cell>
        </row>
        <row r="524">
          <cell r="D524" t="str">
            <v>NACE G - 46.11 Activities of agents involved in the wholesale of agricultural raw materials, live animals, textile raw materials and semi-finished goods</v>
          </cell>
          <cell r="K524" t="str">
            <v xml:space="preserve">        120113 Non-Hazardous Waste - Welding waste</v>
          </cell>
        </row>
        <row r="525">
          <cell r="D525" t="str">
            <v>NACE G - 46.12 Activities of agents involved in the wholesale of fuels, ores, metals and industrial chemicals</v>
          </cell>
          <cell r="K525" t="str">
            <v xml:space="preserve">        120199 Non-Hazardous Waste - Wastes not otherwise specified</v>
          </cell>
        </row>
        <row r="526">
          <cell r="D526" t="str">
            <v>NACE G - 46.13 Activities of agents involved in the wholesale of timber and building materials</v>
          </cell>
          <cell r="K526" t="str">
            <v xml:space="preserve">    1202 Wastes from mechanical surface treatment processes (blasting, grinding, honing, lapping, polishing)</v>
          </cell>
        </row>
        <row r="527">
          <cell r="D527" t="str">
            <v>NACE G - 46.14 Activities of agents involved in the wholesale of machinery, industrial equipment, ships and aircraft</v>
          </cell>
          <cell r="K527" t="str">
            <v xml:space="preserve">        120201 Non-Hazardous Waste - Spent blasting grit</v>
          </cell>
        </row>
        <row r="528">
          <cell r="D528" t="str">
            <v>NACE G - 46.15 Activities of agents involved in the wholesale of furniture, household goods, hardware and ironmongery</v>
          </cell>
          <cell r="K528" t="str">
            <v xml:space="preserve">        120202 Non-Hazardous Waste - Sludges from grinding, honing and lapping</v>
          </cell>
        </row>
        <row r="529">
          <cell r="D529" t="str">
            <v>NACE G - 46.16 Activities of agents involved in the wholesale of textiles, clothing, fur, footwear and leather goods</v>
          </cell>
          <cell r="K529" t="str">
            <v xml:space="preserve">        120203 Non-Hazardous Waste - Polishing sludges</v>
          </cell>
        </row>
        <row r="530">
          <cell r="D530" t="str">
            <v>NACE G - 46.17 Activities of agents involved in the wholesale of food, beverages and tobacco</v>
          </cell>
          <cell r="K530" t="str">
            <v xml:space="preserve">        120299 Non-Hazardous Waste - Wastes not otherwise specified</v>
          </cell>
        </row>
        <row r="531">
          <cell r="D531" t="str">
            <v>NACE G - 46.18 Activities of agents involved in the wholesale of other particular products</v>
          </cell>
          <cell r="K531" t="str">
            <v xml:space="preserve">    1203 Wastes from water and steam degreasing processes (except inorganic metal-containing wastes from metal treatment and the coating of metals, and non-ferrous hydrometallurgy)</v>
          </cell>
        </row>
        <row r="532">
          <cell r="D532" t="str">
            <v>NACE G - 46.19 Activities of agents involved in non-specialised wholesale</v>
          </cell>
          <cell r="K532" t="str">
            <v xml:space="preserve">        120301 Hazardous Waste - Aqueous washing liquids</v>
          </cell>
        </row>
        <row r="533">
          <cell r="D533" t="str">
            <v>NACE G - 46.2 Wholesale of agricultural raw materials and live animals</v>
          </cell>
          <cell r="K533" t="str">
            <v xml:space="preserve">        120302 Hazardous Waste - Steam degreasing waste</v>
          </cell>
        </row>
        <row r="534">
          <cell r="D534" t="str">
            <v>NACE G - 46.21 Wholesale of grain, unmanufactured tobacco, seeds and animal feeds</v>
          </cell>
          <cell r="K534" t="str">
            <v>13 OIL WASTES (except edible oils, wastes from petroleum refining, natural gas purification and pyrolytic treatment of coal and wastes from shaping and surface treatment of metals and plastics)</v>
          </cell>
        </row>
        <row r="535">
          <cell r="D535" t="str">
            <v>NACE G - 46.22 Wholesale of flowers and plants</v>
          </cell>
          <cell r="K535" t="str">
            <v xml:space="preserve">    1301 Waste hydraulic oils and brake fluids</v>
          </cell>
        </row>
        <row r="536">
          <cell r="D536" t="str">
            <v>NACE G - 46.23 Wholesale of live animals</v>
          </cell>
          <cell r="K536" t="str">
            <v xml:space="preserve">        130101 Hazardous Waste - Hydraulic oils, containing PCBs or PCTs</v>
          </cell>
        </row>
        <row r="537">
          <cell r="D537" t="str">
            <v>NACE G - 46.24 Wholesale of hides, skins and leather</v>
          </cell>
          <cell r="K537" t="str">
            <v xml:space="preserve">        130102 Hazardous Waste - Other chlorinated hydraulic oils (except emulsions)</v>
          </cell>
        </row>
        <row r="538">
          <cell r="D538" t="str">
            <v>NACE G - 46.3 Wholesale of food, beverages and tobacco</v>
          </cell>
          <cell r="K538" t="str">
            <v xml:space="preserve">        130103 Hazardous Waste - Non-chlorinated hydraulic oils (except emulsions)</v>
          </cell>
        </row>
        <row r="539">
          <cell r="D539" t="str">
            <v>NACE G - 46.31 Wholesale of fruit and vegetables</v>
          </cell>
          <cell r="K539" t="str">
            <v xml:space="preserve">        130104 Hazardous Waste - Chlorinated emulsions</v>
          </cell>
        </row>
        <row r="540">
          <cell r="D540" t="str">
            <v>NACE G - 46.32 Wholesale of meat, meat products, fish and fish products</v>
          </cell>
          <cell r="K540" t="str">
            <v xml:space="preserve">        130105 Hazardous Waste - Non-chlorinated emulsions</v>
          </cell>
        </row>
        <row r="541">
          <cell r="D541" t="str">
            <v>NACE G - 46.33 Wholesale of dairy products, eggs and edible oils and fats</v>
          </cell>
          <cell r="K541" t="str">
            <v xml:space="preserve">        130106 Hazardous Waste - Hydraulic oils containing only mineral oil</v>
          </cell>
        </row>
        <row r="542">
          <cell r="D542" t="str">
            <v>NACE G - 46.34 Wholesale of beverages</v>
          </cell>
          <cell r="K542" t="str">
            <v xml:space="preserve">        130107 Hazardous Waste - Other hydraulic oils</v>
          </cell>
        </row>
        <row r="543">
          <cell r="D543" t="str">
            <v>NACE G - 46.35 Wholesale of tobacco products</v>
          </cell>
          <cell r="K543" t="str">
            <v xml:space="preserve">        130108 Hazardous Waste - Brake fluids</v>
          </cell>
        </row>
        <row r="544">
          <cell r="D544" t="str">
            <v>NACE G - 46.36 Wholesale of sugar, chocolate and sugar confectionery</v>
          </cell>
          <cell r="K544" t="str">
            <v xml:space="preserve">    1302 Waste engine, gear and lubricating oils</v>
          </cell>
        </row>
        <row r="545">
          <cell r="D545" t="str">
            <v>NACE G - 46.37 Wholesale of coffee, tea, cocoa and spices</v>
          </cell>
          <cell r="K545" t="str">
            <v xml:space="preserve">        130201 Hazardous Waste - Chlorinated engine, gear and lubricating oils</v>
          </cell>
        </row>
        <row r="546">
          <cell r="D546" t="str">
            <v>NACE G - 46.38 Wholesale of other food</v>
          </cell>
          <cell r="K546" t="str">
            <v xml:space="preserve">        130202 Hazardous Waste - Non-chlorinated engine, gear and lubricating oils</v>
          </cell>
        </row>
        <row r="547">
          <cell r="D547" t="str">
            <v>NACE G - 46.39 Non-specialised wholesale of food, beverages and tobacco</v>
          </cell>
          <cell r="K547" t="str">
            <v xml:space="preserve">        130203 Hazardous Waste - Other engine, gear and lubricating oils</v>
          </cell>
        </row>
        <row r="548">
          <cell r="D548" t="str">
            <v>NACE G - 46.4 Wholesale of household goods</v>
          </cell>
          <cell r="K548" t="str">
            <v xml:space="preserve">    1303 Waste insulating and heat transmission oils and other liquids</v>
          </cell>
        </row>
        <row r="549">
          <cell r="D549" t="str">
            <v>NACE G - 46.41 Wholesale of textiles</v>
          </cell>
          <cell r="K549" t="str">
            <v xml:space="preserve">        130301 Hazardous Waste - Insulating or heat transmission oils and other liquids containing PCBs or PCTs</v>
          </cell>
        </row>
        <row r="550">
          <cell r="D550" t="str">
            <v>NACE G - 46.42 Wholesale of clothing and footwear</v>
          </cell>
          <cell r="K550" t="str">
            <v xml:space="preserve">        130302 Hazardous Waste - Other chlorinated insulating and heat transmission oils and other liquids</v>
          </cell>
        </row>
        <row r="551">
          <cell r="D551" t="str">
            <v>NACE G - 46.43 Wholesale of electrical household appliances</v>
          </cell>
          <cell r="K551" t="str">
            <v xml:space="preserve">        130303 Hazardous Waste - Non-chlorinated insulating and heat transmission oils and other liquids</v>
          </cell>
        </row>
        <row r="552">
          <cell r="D552" t="str">
            <v>NACE G - 46.44 Wholesale of china and glassware and cleaning materials</v>
          </cell>
          <cell r="K552" t="str">
            <v xml:space="preserve">        130304 Hazardous Waste - Synthetic insulating and heat transmission oils and other liquids</v>
          </cell>
        </row>
        <row r="553">
          <cell r="D553" t="str">
            <v>NACE G - 46.45 Wholesale of perfume and cosmetics</v>
          </cell>
          <cell r="K553" t="str">
            <v xml:space="preserve">        130305 Hazardous Waste - Mineral insulating and heat transmission oils</v>
          </cell>
        </row>
        <row r="554">
          <cell r="D554" t="str">
            <v>NACE G - 46.46 Wholesale of pharmaceutical and medical goods</v>
          </cell>
          <cell r="K554" t="str">
            <v xml:space="preserve">    1304 Bilge oils</v>
          </cell>
        </row>
        <row r="555">
          <cell r="D555" t="str">
            <v>NACE G - 46.47 Wholesale of household, office and shop furniture, carpets and lighting equipment</v>
          </cell>
          <cell r="K555" t="str">
            <v xml:space="preserve">        130401 Hazardous Waste - Bilge oils from inland navigation</v>
          </cell>
        </row>
        <row r="556">
          <cell r="D556" t="str">
            <v>NACE G - 46.48 Wholesale of watches and jewellery</v>
          </cell>
          <cell r="K556" t="str">
            <v xml:space="preserve">        130402 Hazardous Waste - Bilge oils from jetty sewers</v>
          </cell>
        </row>
        <row r="557">
          <cell r="D557" t="str">
            <v>NACE G - 46.49 Wholesale of other household goods</v>
          </cell>
          <cell r="K557" t="str">
            <v xml:space="preserve">        130403 Hazardous Waste - Bilge oils from other navigation</v>
          </cell>
        </row>
        <row r="558">
          <cell r="D558" t="str">
            <v>NACE G - 46.5 Wholesale of information and communication equipment</v>
          </cell>
          <cell r="K558" t="str">
            <v xml:space="preserve">    1305 Oil/water separator contents</v>
          </cell>
        </row>
        <row r="559">
          <cell r="D559" t="str">
            <v>NACE G - 46.50 Wholesale of information and communication equipment</v>
          </cell>
          <cell r="K559" t="str">
            <v xml:space="preserve">        130501 Hazardous Waste - Oil/water separator solids</v>
          </cell>
        </row>
        <row r="560">
          <cell r="D560" t="str">
            <v>NACE G - 46.6 Wholesale of other machinery, equipment and supplies</v>
          </cell>
          <cell r="K560" t="str">
            <v xml:space="preserve">        130502 Hazardous Waste - Oil/water separator sludges</v>
          </cell>
        </row>
        <row r="561">
          <cell r="D561" t="str">
            <v>NACE G - 46.61 Wholesale of agricultural machinery, equipment and supplies</v>
          </cell>
          <cell r="K561" t="str">
            <v xml:space="preserve">        130503 Hazardous Waste - Interceptor sludges</v>
          </cell>
        </row>
        <row r="562">
          <cell r="D562" t="str">
            <v>NACE G - 46.62 Wholesale of machine tools</v>
          </cell>
          <cell r="K562" t="str">
            <v xml:space="preserve">        130504 Hazardous Waste - Desalter sludges or emulsions</v>
          </cell>
        </row>
        <row r="563">
          <cell r="D563" t="str">
            <v>NACE G - 46.63 Wholesale of mining, construction and civil engineering machinery</v>
          </cell>
          <cell r="K563" t="str">
            <v xml:space="preserve">        130505 Hazardous Waste - Other emulsions</v>
          </cell>
        </row>
        <row r="564">
          <cell r="D564" t="str">
            <v>NACE G - 46.64 Wholesale of other machinery and equipment</v>
          </cell>
          <cell r="K564" t="str">
            <v xml:space="preserve">    1306 Oil waste not otherwise specified</v>
          </cell>
        </row>
        <row r="565">
          <cell r="D565" t="str">
            <v>NACE G - 46.7 Wholesale of motor vehicles, motorcycles and related parts and accessories</v>
          </cell>
          <cell r="K565" t="str">
            <v xml:space="preserve">        130601 Hazardous Waste - Oil waste not otherwise specified</v>
          </cell>
        </row>
        <row r="566">
          <cell r="D566" t="str">
            <v>NACE G - 46.71 Wholesale of motor vehicles</v>
          </cell>
          <cell r="K566" t="str">
            <v>14 WASTES FROM ORGANIC SUBSTANCES USED AS SOLVENTS (except WASTES FROM ORGANIC CHEMICAL PROCESSES and WASTES FROM THE MANUFACTURE, FORMULATION, SUPPLY AND USE (MFSU) OF COATINGS (PAINTS, VARNISHES AND VITREOUS ENAMELS), ADHESIVES, SEALANTS AND PRINTING INKS)</v>
          </cell>
        </row>
        <row r="567">
          <cell r="D567" t="str">
            <v>NACE G - 46.72 Wholesale of motor vehicle parts and accessories</v>
          </cell>
          <cell r="K567" t="str">
            <v xml:space="preserve">    1401 Wastes from metal degreasing and machinery maintenance</v>
          </cell>
        </row>
        <row r="568">
          <cell r="D568" t="str">
            <v>NACE G - 46.73 Wholesale of motorcycles, motorcycle parts and accessories</v>
          </cell>
          <cell r="K568" t="str">
            <v xml:space="preserve">        140101 Hazardous Waste - chlorofluorocarbons</v>
          </cell>
        </row>
        <row r="569">
          <cell r="D569" t="str">
            <v>NACE G - 46.8 Other specialised wholesale</v>
          </cell>
          <cell r="K569" t="str">
            <v xml:space="preserve">        140102 Hazardous Waste - other halogenated solvents and solvent mixes</v>
          </cell>
        </row>
        <row r="570">
          <cell r="D570" t="str">
            <v>NACE G - 46.81 Wholesale of solid, liquid and gaseous fuels and related products</v>
          </cell>
          <cell r="K570" t="str">
            <v xml:space="preserve">        140103 Hazardous Waste - Other solvents and solvent mixes</v>
          </cell>
        </row>
        <row r="571">
          <cell r="D571" t="str">
            <v>NACE G - 46.82 Wholesale of metals and metal ores</v>
          </cell>
          <cell r="K571" t="str">
            <v xml:space="preserve">        140104 Hazardous Waste - Aqueous solvent mixes containing halogens</v>
          </cell>
        </row>
        <row r="572">
          <cell r="D572" t="str">
            <v>NACE G - 46.83 Wholesale of wood, construction materials and sanitary equipment</v>
          </cell>
          <cell r="K572" t="str">
            <v xml:space="preserve">        140105 Hazardous Waste - Aqueous solvent mixes free of halogens</v>
          </cell>
        </row>
        <row r="573">
          <cell r="D573" t="str">
            <v>NACE G - 46.84 Wholesale of hardware, plumbing and heating equipment and supplies</v>
          </cell>
          <cell r="K573" t="str">
            <v xml:space="preserve">        140106 Hazardous Waste - Sludges or solid wastes containing halogenated solvents</v>
          </cell>
        </row>
        <row r="574">
          <cell r="D574" t="str">
            <v>NACE G - 46.85 Wholesale of chemical products</v>
          </cell>
          <cell r="K574" t="str">
            <v xml:space="preserve">        140107 Hazardous Waste - Sludges or solid wastes free of halogenated solvents</v>
          </cell>
        </row>
        <row r="575">
          <cell r="D575" t="str">
            <v>NACE G - 46.86 Wholesale of other intermediate products</v>
          </cell>
          <cell r="K575" t="str">
            <v xml:space="preserve">    1402 Wastes from textile cleaning and degreasing of natural products</v>
          </cell>
        </row>
        <row r="576">
          <cell r="D576" t="str">
            <v>NACE G - 46.87 Wholesale of waste and scrap</v>
          </cell>
          <cell r="K576" t="str">
            <v xml:space="preserve">        140201 Hazardous Waste - Halogenated solvents and solvent mixes</v>
          </cell>
        </row>
        <row r="577">
          <cell r="D577" t="str">
            <v>NACE G - 46.89 Other specialised wholesale n.e.c.</v>
          </cell>
          <cell r="K577" t="str">
            <v xml:space="preserve">        140202 Hazardous Waste - Solvent mixes or organic liquids free of halogenated solvents</v>
          </cell>
        </row>
        <row r="578">
          <cell r="D578" t="str">
            <v>NACE G - 46.9 Non-specialised wholesale trade</v>
          </cell>
          <cell r="K578" t="str">
            <v xml:space="preserve">        140203 Hazardous Waste - Sludges or solid waste containing halogenated solvents</v>
          </cell>
        </row>
        <row r="579">
          <cell r="D579" t="str">
            <v>NACE G - 46.90 Non-specialised wholesale trade</v>
          </cell>
          <cell r="K579" t="str">
            <v xml:space="preserve">        140204 Hazardous Waste - Sludges or solid waste containing other solvents</v>
          </cell>
        </row>
        <row r="580">
          <cell r="D580" t="str">
            <v>NACE G - 47 Retail trade</v>
          </cell>
          <cell r="K580" t="str">
            <v xml:space="preserve">    1403 Wastes from the electronic industry</v>
          </cell>
        </row>
        <row r="581">
          <cell r="D581" t="str">
            <v>NACE G - 47.1 Non-specialised retail sale</v>
          </cell>
          <cell r="K581" t="str">
            <v xml:space="preserve">        140301 Hazardous Waste - Chlorofluorocarbons</v>
          </cell>
        </row>
        <row r="582">
          <cell r="D582" t="str">
            <v>NACE G - 47.11 Non-specialised retail sale of predominately food, beverages or tobacco</v>
          </cell>
          <cell r="K582" t="str">
            <v xml:space="preserve">        140302 Hazardous Waste - Other halogenated solvents</v>
          </cell>
        </row>
        <row r="583">
          <cell r="D583" t="str">
            <v>NACE G - 47.12 Other non-specialised retail sale</v>
          </cell>
          <cell r="K583" t="str">
            <v xml:space="preserve">        140303 Hazardous Waste - Solvents and solvent mixes free of halogenated solvents</v>
          </cell>
        </row>
        <row r="584">
          <cell r="D584" t="str">
            <v>NACE G - 47.2 Retail sale of food, beverages and tobacco</v>
          </cell>
          <cell r="K584" t="str">
            <v xml:space="preserve">        140304 Hazardous Waste - Sludges or solid wastes containing halogenated solvents</v>
          </cell>
        </row>
        <row r="585">
          <cell r="D585" t="str">
            <v>NACE G - 47.21 Retail sale of fruit and vegetables</v>
          </cell>
          <cell r="K585" t="str">
            <v xml:space="preserve">        140305 Hazardous Waste - Sludges or solid wastes containing other solvents</v>
          </cell>
        </row>
        <row r="586">
          <cell r="D586" t="str">
            <v>NACE G - 47.22 Retail sale of meat and meat products</v>
          </cell>
          <cell r="K586" t="str">
            <v xml:space="preserve">    1404 Wastes from coolants, foam/aerosol propellents</v>
          </cell>
        </row>
        <row r="587">
          <cell r="D587" t="str">
            <v>NACE G - 47.23 Retail sale of fish, crustaceans and molluscs</v>
          </cell>
          <cell r="K587" t="str">
            <v xml:space="preserve">        140401 Hazardous Waste - Chlorofluorocarbons</v>
          </cell>
        </row>
        <row r="588">
          <cell r="D588" t="str">
            <v>NACE G - 47.24 Retail sale of bread, cake and confectionery</v>
          </cell>
          <cell r="K588" t="str">
            <v xml:space="preserve">        140402 Hazardous Waste - Other halogenated solvents and solvent mixes</v>
          </cell>
        </row>
        <row r="589">
          <cell r="D589" t="str">
            <v>NACE G - 47.25 Retail sale of beverages</v>
          </cell>
          <cell r="K589" t="str">
            <v xml:space="preserve">        140403 Hazardous Waste - Other solvents and solvent mixes</v>
          </cell>
        </row>
        <row r="590">
          <cell r="D590" t="str">
            <v>NACE G - 47.26 Retail sale of tobacco products</v>
          </cell>
          <cell r="K590" t="str">
            <v xml:space="preserve">        140404 Hazardous Waste - Sludges or solid waste containing halogenated solvents</v>
          </cell>
        </row>
        <row r="591">
          <cell r="D591" t="str">
            <v>NACE G - 47.27 Retail sale of other food</v>
          </cell>
          <cell r="K591" t="str">
            <v xml:space="preserve">        140405 Hazardous Waste - Sludges or solid waste containing other solvents</v>
          </cell>
        </row>
        <row r="592">
          <cell r="D592" t="str">
            <v>NACE G - 47.3 Retail sale of automotive fuel</v>
          </cell>
          <cell r="K592" t="str">
            <v xml:space="preserve">    1405 Wastes from solvent and coolant recovery (still bottoms)</v>
          </cell>
        </row>
        <row r="593">
          <cell r="D593" t="str">
            <v>NACE G - 47.30 Retail sale of automotive fuel</v>
          </cell>
          <cell r="K593" t="str">
            <v xml:space="preserve">        140501 Non-Hazardous Waste - Chlorofluorocarbons</v>
          </cell>
        </row>
        <row r="594">
          <cell r="D594" t="str">
            <v>NACE G - 47.4 Retail sale of information and communication equipment</v>
          </cell>
          <cell r="K594" t="str">
            <v xml:space="preserve">        140502 Non-Hazardous Waste - Halogenated solvents and solvent mixes</v>
          </cell>
        </row>
        <row r="595">
          <cell r="D595" t="str">
            <v>NACE G - 47.40 Retail sale of information and communication equipment</v>
          </cell>
          <cell r="K595" t="str">
            <v xml:space="preserve">        140503 Non-Hazardous Waste - Other solvents and solvent mixes</v>
          </cell>
        </row>
        <row r="596">
          <cell r="D596" t="str">
            <v>NACE G - 47.5 Retail sale of other household equipment</v>
          </cell>
          <cell r="K596" t="str">
            <v xml:space="preserve">        140504 Non-Hazardous Waste - Sludges containing halogenated solvents</v>
          </cell>
        </row>
        <row r="597">
          <cell r="D597" t="str">
            <v>NACE G - 47.51 Retail sale of textiles</v>
          </cell>
          <cell r="K597" t="str">
            <v xml:space="preserve">        140505 Non-Hazardous Waste - Sludges containing other solvents</v>
          </cell>
        </row>
        <row r="598">
          <cell r="D598" t="str">
            <v>NACE G - 47.52 Retail sale of hardware, building materials, paints and glass</v>
          </cell>
          <cell r="K598" t="str">
            <v>15 WASTE PACKAGING; ABSORBENTS, WIPING CLOTHS, FILTER MATERIALS AND PROTECTIVE CLOTHING NOT OTHERWISE SPECIFIED</v>
          </cell>
        </row>
        <row r="599">
          <cell r="D599" t="str">
            <v>NACE G - 47.53 Retail sale of carpets, rugs, wall and floor coverings</v>
          </cell>
          <cell r="K599" t="str">
            <v xml:space="preserve">    1501 Packaging</v>
          </cell>
        </row>
        <row r="600">
          <cell r="D600" t="str">
            <v>NACE G - 47.54 Retail sale of electrical household appliances</v>
          </cell>
          <cell r="K600" t="str">
            <v xml:space="preserve">        150101 Non-Hazardous Waste - Paper and cardboard packaging</v>
          </cell>
        </row>
        <row r="601">
          <cell r="D601" t="str">
            <v>NACE G - 47.55 Retail sale of furniture, lighting equipment, tableware and other household goods</v>
          </cell>
          <cell r="K601" t="str">
            <v xml:space="preserve">        150102 Non-Hazardous Waste - Plastic packaging</v>
          </cell>
        </row>
        <row r="602">
          <cell r="D602" t="str">
            <v>NACE G - 47.6 Retail sale of cultural and recreation goods</v>
          </cell>
          <cell r="K602" t="str">
            <v xml:space="preserve">        150103 Non-Hazardous Waste - Wooden packaging</v>
          </cell>
        </row>
        <row r="603">
          <cell r="D603" t="str">
            <v>NACE G - 47.61 Retail sale of books</v>
          </cell>
          <cell r="K603" t="str">
            <v xml:space="preserve">        150104 Non-Hazardous Waste - Metallic packaging</v>
          </cell>
        </row>
        <row r="604">
          <cell r="D604" t="str">
            <v>NACE G - 47.62 Retail sale of newspapers, and other periodical publications and stationery</v>
          </cell>
          <cell r="K604" t="str">
            <v xml:space="preserve">        150105 Non-Hazardous Waste - Composite packaging</v>
          </cell>
        </row>
        <row r="605">
          <cell r="D605" t="str">
            <v>NACE G - 47.63 Retail sale of sporting equipment</v>
          </cell>
          <cell r="K605" t="str">
            <v xml:space="preserve">        150106 Non-Hazardous Waste - Mixed packaging</v>
          </cell>
        </row>
        <row r="606">
          <cell r="D606" t="str">
            <v>NACE G - 47.64 Retail sale of games and toys</v>
          </cell>
          <cell r="K606" t="str">
            <v xml:space="preserve">        150107 Non-Hazardous Waste - Glass packaging</v>
          </cell>
        </row>
        <row r="607">
          <cell r="D607" t="str">
            <v>NACE G - 47.69 Retail sale of cultural and recreational goods n.e.c.</v>
          </cell>
          <cell r="K607" t="str">
            <v xml:space="preserve">        150108 Hazardous Waste - Packaging containing residues of or contaminated by dangerous substances</v>
          </cell>
        </row>
        <row r="608">
          <cell r="D608" t="str">
            <v>NACE G - 47.7 Retail sale of other goods, except motor vehicles and motorcycles</v>
          </cell>
          <cell r="K608" t="str">
            <v xml:space="preserve">    1502 Absorbents, filter materials, wiping cloths and protective clothing</v>
          </cell>
        </row>
        <row r="609">
          <cell r="D609" t="str">
            <v>NACE G - 47.71 Retail sale of clothing</v>
          </cell>
          <cell r="K609" t="str">
            <v xml:space="preserve">        150202 Hazardous Waste - Absorbents, filter materials, wiping cloths, protective clothing contaminated by dangerous substances</v>
          </cell>
        </row>
        <row r="610">
          <cell r="D610" t="str">
            <v>NACE G - 47.72 Retail sale of footwear and leather goods</v>
          </cell>
          <cell r="K610" t="str">
            <v xml:space="preserve">        150203 Non-Hazardous Waste - Other absorbents, filter materials , wiping cloths and protective clothing</v>
          </cell>
        </row>
        <row r="611">
          <cell r="D611" t="str">
            <v>NACE G - 47.73 Retail sale of pharmaceutical products</v>
          </cell>
          <cell r="K611" t="str">
            <v>16 WASTES NOT OTHERWISE SPECIFIED IN THE LIST</v>
          </cell>
        </row>
        <row r="612">
          <cell r="D612" t="str">
            <v>NACE G - 47.74 Retail sale of medical and orthopaedic goods</v>
          </cell>
          <cell r="K612" t="str">
            <v xml:space="preserve">    1601 End-of-life vehicles and their components</v>
          </cell>
        </row>
        <row r="613">
          <cell r="D613" t="str">
            <v>NACE G - 47.75 Retail sale of cosmetic and toilet articles</v>
          </cell>
          <cell r="K613" t="str">
            <v xml:space="preserve">        160103 Non-Hazardous Waste - End-of-life tyres</v>
          </cell>
        </row>
        <row r="614">
          <cell r="D614" t="str">
            <v>NACE G - 47.76 Retail sale of flowers, plants, fertilisers, pets and pet food</v>
          </cell>
          <cell r="K614" t="str">
            <v xml:space="preserve">        160104 Non-Hazardous Waste - Discarded vehicles</v>
          </cell>
        </row>
        <row r="615">
          <cell r="D615" t="str">
            <v>NACE G - 47.77 Retail sale of watches and jewellery</v>
          </cell>
          <cell r="K615" t="str">
            <v xml:space="preserve">        160106 Non-Hazardous Waste - End-of-life vehicles, drained of liquids and emptied of other hazardous components</v>
          </cell>
        </row>
        <row r="616">
          <cell r="D616" t="str">
            <v>NACE G - 47.78 Retail sale of other new goods</v>
          </cell>
          <cell r="K616" t="str">
            <v xml:space="preserve">        160199 Non-Hazardous Waste - Wastes not otherwise specified</v>
          </cell>
        </row>
        <row r="617">
          <cell r="D617" t="str">
            <v>NACE G - 47.79 Retail sale of second-hand goods</v>
          </cell>
          <cell r="K617" t="str">
            <v xml:space="preserve">    1602 Discarded equipment and its components</v>
          </cell>
        </row>
        <row r="618">
          <cell r="D618" t="str">
            <v>NACE G - 47.8 Retail sale of motor vehicles, motorcycles and related parts and accessories</v>
          </cell>
          <cell r="K618" t="str">
            <v xml:space="preserve">        160209 Hazardous Waste - Transformers and capacitors containing PCBs or PCTs</v>
          </cell>
        </row>
        <row r="619">
          <cell r="D619" t="str">
            <v>NACE G - 47.81 Retail sale of motor vehicles</v>
          </cell>
          <cell r="K619" t="str">
            <v xml:space="preserve">        160210 Hazardous Waste - Discarded equipment containing or contaminated by PCBs or PCTs other than transformers and capacitors containing PCBs or PCTs</v>
          </cell>
        </row>
        <row r="620">
          <cell r="D620" t="str">
            <v>NACE G - 47.82 Retail sale of motor vehicle parts and accessories</v>
          </cell>
          <cell r="K620" t="str">
            <v xml:space="preserve">        160211 Hazardous Waste - Discarded equipment containing chlorofluorocarbons</v>
          </cell>
        </row>
        <row r="621">
          <cell r="D621" t="str">
            <v>NACE G - 47.83 Retail sale of motorcycles, motorcycle parts and accessories</v>
          </cell>
          <cell r="K621" t="str">
            <v xml:space="preserve">        160212 Hazardous Waste - Discarded equipment containing free asbestos</v>
          </cell>
        </row>
        <row r="622">
          <cell r="D622" t="str">
            <v>NACE G - 47.9 Intermediation service activities for retail sale</v>
          </cell>
          <cell r="K622" t="str">
            <v xml:space="preserve">        160213 Hazardous Waste - Other discarded equipments containing hazardous components</v>
          </cell>
        </row>
        <row r="623">
          <cell r="D623" t="str">
            <v>NACE G - 47.91 Intermediation service activities for non-specialised retail sale</v>
          </cell>
          <cell r="K623" t="str">
            <v xml:space="preserve">        160214 Non-Hazardous Waste - Other iscarded equipments</v>
          </cell>
        </row>
        <row r="624">
          <cell r="D624" t="str">
            <v>NACE G - 47.92 Intermediation service activities for specialised retail sale</v>
          </cell>
          <cell r="K624" t="str">
            <v xml:space="preserve">        160215 Hazardous Waste - Hazardous components removed from discarded equipment</v>
          </cell>
        </row>
        <row r="625">
          <cell r="D625" t="str">
            <v>NACE H - TRANSPORTATION AND STORAGE</v>
          </cell>
          <cell r="K625" t="str">
            <v xml:space="preserve">        160216 Non-Hazardous Waste - Other components removed from discarded equipment</v>
          </cell>
        </row>
        <row r="626">
          <cell r="D626" t="str">
            <v>NACE H - 49 Land transport and transport via pipelines</v>
          </cell>
          <cell r="K626" t="str">
            <v xml:space="preserve">    1603 Off-specification batches</v>
          </cell>
        </row>
        <row r="627">
          <cell r="D627" t="str">
            <v>NACE H - 49.1 Passenger rail transport</v>
          </cell>
          <cell r="K627" t="str">
            <v xml:space="preserve">        160301 Non-Hazardous Waste - Inorganic off-specification batches</v>
          </cell>
        </row>
        <row r="628">
          <cell r="D628" t="str">
            <v>NACE H - 49.11 Passenger heavy rail transport</v>
          </cell>
          <cell r="K628" t="str">
            <v xml:space="preserve">        160302 Non-Hazardous Waste - Organic off-specification batches</v>
          </cell>
        </row>
        <row r="629">
          <cell r="D629" t="str">
            <v>NACE H - 49.12 Other passenger rail transport</v>
          </cell>
          <cell r="K629" t="str">
            <v xml:space="preserve">    1604 Waste explosives</v>
          </cell>
        </row>
        <row r="630">
          <cell r="D630" t="str">
            <v>NACE H - 49.2 Freight rail transport</v>
          </cell>
          <cell r="K630" t="str">
            <v xml:space="preserve">        160401 Hazardous Waste - Waste ammunition</v>
          </cell>
        </row>
        <row r="631">
          <cell r="D631" t="str">
            <v>NACE H - 49.20 Freight rail transport</v>
          </cell>
          <cell r="K631" t="str">
            <v xml:space="preserve">        160402 Hazardous Waste - Fireworks waste</v>
          </cell>
        </row>
        <row r="632">
          <cell r="D632" t="str">
            <v>NACE H - 49.3 Other passenger land transport</v>
          </cell>
          <cell r="K632" t="str">
            <v xml:space="preserve">        160403 Hazardous Waste - Other waste explosives</v>
          </cell>
        </row>
        <row r="633">
          <cell r="D633" t="str">
            <v>NACE H - 49.31 Scheduled passenger transport by road</v>
          </cell>
          <cell r="K633" t="str">
            <v xml:space="preserve">    1605 Chemicals and gases in containers</v>
          </cell>
        </row>
        <row r="634">
          <cell r="D634" t="str">
            <v>NACE H - 49.32 Non-scheduled passenger transport by road</v>
          </cell>
          <cell r="K634" t="str">
            <v xml:space="preserve">        160501 Non-Hazardous Waste - Industrial gases in high pressure cylinders, LPG containers and industrial aerosol containers (including halons)</v>
          </cell>
        </row>
        <row r="635">
          <cell r="D635" t="str">
            <v>NACE H - 49.33 On-demand passenger transport service activities by vehicle with driver</v>
          </cell>
          <cell r="K635" t="str">
            <v xml:space="preserve">        160502 Non-Hazardous Waste - Other waste containing inorganic chemicals, e.g. lab chemicals not otherwise specified, fire extinguishing powders</v>
          </cell>
        </row>
        <row r="636">
          <cell r="D636" t="str">
            <v>NACE H - 49.34 Passenger transport by cableways and ski lifts</v>
          </cell>
          <cell r="K636" t="str">
            <v xml:space="preserve">        160503 Non-Hazardous Waste - Other waste containing organic chemicals, e.g. lab chemicals not otherwise specified</v>
          </cell>
        </row>
        <row r="637">
          <cell r="D637" t="str">
            <v>NACE H - 49.39 Other passenger land transport n.e.c.</v>
          </cell>
          <cell r="K637" t="str">
            <v xml:space="preserve">    1606 Batteries and accumulators</v>
          </cell>
        </row>
        <row r="638">
          <cell r="D638" t="str">
            <v>NACE H - 49.4 Freight transport by road and removal services</v>
          </cell>
          <cell r="K638" t="str">
            <v xml:space="preserve">        160601 Hazardous Waste - Lead batteries</v>
          </cell>
        </row>
        <row r="639">
          <cell r="D639" t="str">
            <v>NACE H - 49.41 Freight transport by road</v>
          </cell>
          <cell r="K639" t="str">
            <v xml:space="preserve">        160602 Hazardous Waste - Ni-Cd batteries</v>
          </cell>
        </row>
        <row r="640">
          <cell r="D640" t="str">
            <v>NACE H - 49.42 Removal services</v>
          </cell>
          <cell r="K640" t="str">
            <v xml:space="preserve">        160603 Hazardous Waste - Mercury-containing batteries</v>
          </cell>
        </row>
        <row r="641">
          <cell r="D641" t="str">
            <v>NACE H - 49.5 Transport via pipeline</v>
          </cell>
          <cell r="K641" t="str">
            <v xml:space="preserve">        160604 Non-Hazardous Waste - Alkaline batteries (except mercury-containing batteries)</v>
          </cell>
        </row>
        <row r="642">
          <cell r="D642" t="str">
            <v>NACE H - 49.50 Transport via pipeline</v>
          </cell>
          <cell r="K642" t="str">
            <v xml:space="preserve">        160605 Non-Hazardous Waste - Other batteries and accumulators</v>
          </cell>
        </row>
        <row r="643">
          <cell r="D643" t="str">
            <v>NACE H - 50 Water transport</v>
          </cell>
          <cell r="K643" t="str">
            <v xml:space="preserve">        160606 Hazardous Waste - Electrolyte from batteries and accumulators</v>
          </cell>
        </row>
        <row r="644">
          <cell r="D644" t="str">
            <v>NACE H - 50.1 Sea and coastal passenger water transport</v>
          </cell>
          <cell r="K644" t="str">
            <v xml:space="preserve">    1607 Wastes from transport and storage tank cleaning (except wastes from petroleum refining, natural gas purification and pyrolytic treatment of coal and wastes from shaping and surface treatment of metals and plastics)</v>
          </cell>
        </row>
        <row r="645">
          <cell r="D645" t="str">
            <v>NACE H - 50.10 Sea and coastal passenger water transport</v>
          </cell>
          <cell r="K645" t="str">
            <v xml:space="preserve">        160701 Hazardous Waste - Waste from marine transport tank cleaning, containing chemicals</v>
          </cell>
        </row>
        <row r="646">
          <cell r="D646" t="str">
            <v>NACE H - 50.2 Sea and coastal freight water transport</v>
          </cell>
          <cell r="K646" t="str">
            <v xml:space="preserve">        160702 Hazardous Waste - Waste from marine transport tank cleaning, containing oil</v>
          </cell>
        </row>
        <row r="647">
          <cell r="D647" t="str">
            <v>NACE H - 50.20 Sea and coastal freight water transport</v>
          </cell>
          <cell r="K647" t="str">
            <v xml:space="preserve">        160703 Hazardous Waste - Waste from railway and road transport tank cleaning, containing oil</v>
          </cell>
        </row>
        <row r="648">
          <cell r="D648" t="str">
            <v>NACE H - 50.3 Inland passenger water transport</v>
          </cell>
          <cell r="K648" t="str">
            <v xml:space="preserve">        160704 Hazardous Waste - Waste from railway and road transport tank cleaning, containing chemicals</v>
          </cell>
        </row>
        <row r="649">
          <cell r="D649" t="str">
            <v>NACE H - 50.30 Inland passenger water transport</v>
          </cell>
          <cell r="K649" t="str">
            <v xml:space="preserve">        160705 Hazardous Waste - Waste from storage tank cleaning, containing chemicals</v>
          </cell>
        </row>
        <row r="650">
          <cell r="D650" t="str">
            <v>NACE H - 50.4 Inland freight water transport</v>
          </cell>
          <cell r="K650" t="str">
            <v xml:space="preserve">        160706 Hazardous Waste - Waste from storage tank cleaning, containing oil</v>
          </cell>
        </row>
        <row r="651">
          <cell r="D651" t="str">
            <v>NACE H - 50.40 Inland freight water transport</v>
          </cell>
          <cell r="K651" t="str">
            <v xml:space="preserve">        160707 Non-Hazardous Waste - Solid waste from ship cargoes</v>
          </cell>
        </row>
        <row r="652">
          <cell r="D652" t="str">
            <v>NACE H - 51 Air transport</v>
          </cell>
          <cell r="K652" t="str">
            <v xml:space="preserve">        160799 Non-Hazardous Waste - Wastes not otherwise specified</v>
          </cell>
        </row>
        <row r="653">
          <cell r="D653" t="str">
            <v>NACE H - 51.1 Passenger air transport</v>
          </cell>
          <cell r="K653" t="str">
            <v xml:space="preserve">    1608 Spent catalysts</v>
          </cell>
        </row>
        <row r="654">
          <cell r="D654" t="str">
            <v>NACE H - 51.10 Passenger air transport</v>
          </cell>
          <cell r="K654" t="str">
            <v xml:space="preserve">        160801 Non-Hazardous Waste - Spent catalysts containing gold, silver, rhenium, rhodium, palladium, iridium or platinum (except spent catalysts contaminated with dangerous substances)</v>
          </cell>
        </row>
        <row r="655">
          <cell r="D655" t="str">
            <v>NACE H - 51.2 Freight air transport and space transport</v>
          </cell>
          <cell r="K655" t="str">
            <v xml:space="preserve">        160802 Hazardous Waste - Spent catalysts containing dangerous transition metals or transition metal compounds</v>
          </cell>
        </row>
        <row r="656">
          <cell r="D656" t="str">
            <v>NACE H - 51.21 Freight air transport</v>
          </cell>
          <cell r="K656" t="str">
            <v xml:space="preserve">        160803 Non-Hazardous Waste - Spent catalysts containing other transition metals or transition metal compounds (except spent catalysts contaminated with dangerous substances)</v>
          </cell>
        </row>
        <row r="657">
          <cell r="D657" t="str">
            <v>NACE H - 51.22 Space transport</v>
          </cell>
          <cell r="K657" t="str">
            <v xml:space="preserve">        160804 Non-Hazardous Waste - Spent fluid catalytic cracking catalysts</v>
          </cell>
        </row>
        <row r="658">
          <cell r="D658" t="str">
            <v>NACE H - 52 Warehousing, storage and support activities for transportation</v>
          </cell>
          <cell r="K658" t="str">
            <v xml:space="preserve">        160805 Hazardous Waste - Spent catalysts containing phosphoric acid</v>
          </cell>
        </row>
        <row r="659">
          <cell r="D659" t="str">
            <v>NACE H - 52.1 Warehousing and storage</v>
          </cell>
          <cell r="K659" t="str">
            <v xml:space="preserve">        160806 Hazardous Waste - Spent liquids used as catalysts</v>
          </cell>
        </row>
        <row r="660">
          <cell r="D660" t="str">
            <v>NACE H - 52.10 Warehousing and storage</v>
          </cell>
          <cell r="K660" t="str">
            <v xml:space="preserve">        160807 Hazardous Waste - Spent catalysts contaminated with dangerous substances</v>
          </cell>
        </row>
        <row r="661">
          <cell r="D661" t="str">
            <v>NACE H - 52.2 Support activities for transportation</v>
          </cell>
          <cell r="K661" t="str">
            <v>17 CONSTRUCTION AND DEMOLITION WASTES (INCLUDING ROAD CONSTRUCTION)</v>
          </cell>
        </row>
        <row r="662">
          <cell r="D662" t="str">
            <v>NACE H - 52.21 Service activities incidental to land transportation</v>
          </cell>
          <cell r="K662" t="str">
            <v xml:space="preserve">    1701 Concrete, bricks, tiles, ceramics, and gypsum-based materials</v>
          </cell>
        </row>
        <row r="663">
          <cell r="D663" t="str">
            <v>NACE H - 52.22 Service activities incidental to water transportation</v>
          </cell>
          <cell r="K663" t="str">
            <v xml:space="preserve">        170101 Non-Hazardous Waste - Concrete</v>
          </cell>
        </row>
        <row r="664">
          <cell r="D664" t="str">
            <v>NACE H - 52.23 Service activities incidental to air transportation</v>
          </cell>
          <cell r="K664" t="str">
            <v xml:space="preserve">        170102 Non-Hazardous Waste - Bricks</v>
          </cell>
        </row>
        <row r="665">
          <cell r="D665" t="str">
            <v>NACE H - 52.24 Cargo handling</v>
          </cell>
          <cell r="K665" t="str">
            <v xml:space="preserve">        170103 Non-Hazardous Waste - Tiles and ceramics</v>
          </cell>
        </row>
        <row r="666">
          <cell r="D666" t="str">
            <v>NACE H - 52.25 Logistics service activities</v>
          </cell>
          <cell r="K666" t="str">
            <v xml:space="preserve">        170104 Non-Hazardous Waste - Gypsum-based construction materials</v>
          </cell>
        </row>
        <row r="667">
          <cell r="D667" t="str">
            <v>NACE H - 52.26 Other support activities for transportation</v>
          </cell>
          <cell r="K667" t="str">
            <v xml:space="preserve">        170105 Non-Hazardous Waste - Asbestos-based construction materials</v>
          </cell>
        </row>
        <row r="668">
          <cell r="D668" t="str">
            <v>NACE H - 52.3 Intermediation service activities for transportation</v>
          </cell>
          <cell r="K668" t="str">
            <v xml:space="preserve">    1702 Wood, glass and plastic</v>
          </cell>
        </row>
        <row r="669">
          <cell r="D669" t="str">
            <v>NACE H - 52.31 Intermediation service activities for freight transportation</v>
          </cell>
          <cell r="K669" t="str">
            <v xml:space="preserve">        170201 Non-Hazardous Waste - Wood</v>
          </cell>
        </row>
        <row r="670">
          <cell r="D670" t="str">
            <v>NACE H - 52.32 Intermediation service activities for passenger transportation</v>
          </cell>
          <cell r="K670" t="str">
            <v xml:space="preserve">        170202 Non-Hazardous Waste - Glass</v>
          </cell>
        </row>
        <row r="671">
          <cell r="D671" t="str">
            <v>NACE H - 53 Postal and courier activities</v>
          </cell>
          <cell r="K671" t="str">
            <v xml:space="preserve">        170203 Non-Hazardous Waste - Plastic</v>
          </cell>
        </row>
        <row r="672">
          <cell r="D672" t="str">
            <v>NACE H - 53.1 Postal activities under universal service obligation</v>
          </cell>
          <cell r="K672" t="str">
            <v xml:space="preserve">    1703 Asphalt, tar and tarred products</v>
          </cell>
        </row>
        <row r="673">
          <cell r="D673" t="str">
            <v>NACE H - 53.10 Postal activities under universal service obligation</v>
          </cell>
          <cell r="K673" t="str">
            <v xml:space="preserve">        170301 Non-Hazardous Waste - Asphalt containing tar</v>
          </cell>
        </row>
        <row r="674">
          <cell r="D674" t="str">
            <v>NACE H - 53.2 Other postal and courier activities</v>
          </cell>
          <cell r="K674" t="str">
            <v xml:space="preserve">        170302 Non-Hazardous Waste - Asphalt not containing tar</v>
          </cell>
        </row>
        <row r="675">
          <cell r="D675" t="str">
            <v>NACE H - 53.20 Other postal and courier activities</v>
          </cell>
          <cell r="K675" t="str">
            <v xml:space="preserve">        170303 Non-Hazardous Waste - Tar and tar products</v>
          </cell>
        </row>
        <row r="676">
          <cell r="D676" t="str">
            <v>NACE H - 53.3 Intermediation service activities for postal and courier activities</v>
          </cell>
          <cell r="K676" t="str">
            <v xml:space="preserve">    1704 Metals (including their alloys)</v>
          </cell>
        </row>
        <row r="677">
          <cell r="D677" t="str">
            <v>NACE H - 53.30 Intermediation service activities for postal and courier activities</v>
          </cell>
          <cell r="K677" t="str">
            <v xml:space="preserve">        170401 Non-Hazardous Waste - Copper, bronze, brass</v>
          </cell>
        </row>
        <row r="678">
          <cell r="D678" t="str">
            <v>NACE I - ACCOMMODATION AND FOOD SERVICE ACTIVITIES</v>
          </cell>
          <cell r="K678" t="str">
            <v xml:space="preserve">        170402 Non-Hazardous Waste - Aluminium</v>
          </cell>
        </row>
        <row r="679">
          <cell r="D679" t="str">
            <v>NACE I - 55 Accommodation</v>
          </cell>
          <cell r="K679" t="str">
            <v xml:space="preserve">        170403 Non-Hazardous Waste - Lead</v>
          </cell>
        </row>
        <row r="680">
          <cell r="D680" t="str">
            <v>NACE I - 55.1 Hotels and similar accommodation</v>
          </cell>
          <cell r="K680" t="str">
            <v xml:space="preserve">        170404 Non-Hazardous Waste - Zinc</v>
          </cell>
        </row>
        <row r="681">
          <cell r="D681" t="str">
            <v>NACE I - 55.10 Hotels and similar accommodation</v>
          </cell>
          <cell r="K681" t="str">
            <v xml:space="preserve">        170405 Non-Hazardous Waste - Iron and steel</v>
          </cell>
        </row>
        <row r="682">
          <cell r="D682" t="str">
            <v>NACE I - 55.2 Holiday and other short-stay accommodation</v>
          </cell>
          <cell r="K682" t="str">
            <v xml:space="preserve">        170406 Non-Hazardous Waste - Tin</v>
          </cell>
        </row>
        <row r="683">
          <cell r="D683" t="str">
            <v>NACE I - 55.20 Holiday and other short-stay accommodation</v>
          </cell>
          <cell r="K683" t="str">
            <v xml:space="preserve">        170407 Non-Hazardous Waste - Mixed metals</v>
          </cell>
        </row>
        <row r="684">
          <cell r="D684" t="str">
            <v>NACE I - 55.3 Camping grounds and recreational vehicle parks</v>
          </cell>
          <cell r="K684" t="str">
            <v xml:space="preserve">        170408 Non-Hazardous Waste - Cables</v>
          </cell>
        </row>
        <row r="685">
          <cell r="D685" t="str">
            <v>NACE I - 55.30 Camping grounds and recreational vehicle parks</v>
          </cell>
          <cell r="K685" t="str">
            <v xml:space="preserve">    1705 Soil and dredging spoil</v>
          </cell>
        </row>
        <row r="686">
          <cell r="D686" t="str">
            <v>NACE I - 55.4 Intermediation service activities for accommodation</v>
          </cell>
          <cell r="K686" t="str">
            <v xml:space="preserve">        170503 Hazardous Waste - Soil and stones containing dangerous substances</v>
          </cell>
        </row>
        <row r="687">
          <cell r="D687" t="str">
            <v>NACE I - 55.40 Intermediation service activities for accommodation</v>
          </cell>
          <cell r="K687" t="str">
            <v xml:space="preserve">        170504 Non-Hazardous Waste - Other soil and stones</v>
          </cell>
        </row>
        <row r="688">
          <cell r="D688" t="str">
            <v>NACE I - 55.9 Other accommodation</v>
          </cell>
          <cell r="K688" t="str">
            <v xml:space="preserve">        170505 Hazardous Waste - Dredging spoil containing dangerous substances</v>
          </cell>
        </row>
        <row r="689">
          <cell r="D689" t="str">
            <v>NACE I - 55.90 Other accommodation</v>
          </cell>
          <cell r="K689" t="str">
            <v xml:space="preserve">        170506 Non-Hazardous Waste - Other dredging spoils</v>
          </cell>
        </row>
        <row r="690">
          <cell r="D690" t="str">
            <v>NACE I - 56 Food and beverage service activities</v>
          </cell>
          <cell r="K690" t="str">
            <v xml:space="preserve">    1706 Insulation materials</v>
          </cell>
        </row>
        <row r="691">
          <cell r="D691" t="str">
            <v>NACE I - 56.1 Restaurants and mobile food service activities</v>
          </cell>
          <cell r="K691" t="str">
            <v xml:space="preserve">        170601 Hazardous Waste - Insulation materials containing asbestos</v>
          </cell>
        </row>
        <row r="692">
          <cell r="D692" t="str">
            <v>NACE I - 56.11 Restaurant activities</v>
          </cell>
          <cell r="K692" t="str">
            <v xml:space="preserve">        170602 Non-Hazardous Waste - Other insulation materials</v>
          </cell>
        </row>
        <row r="693">
          <cell r="D693" t="str">
            <v>NACE I - 56.12 Mobile food service activities</v>
          </cell>
          <cell r="K693" t="str">
            <v xml:space="preserve">    1707 Mixed construction and demolition waste</v>
          </cell>
        </row>
        <row r="694">
          <cell r="D694" t="str">
            <v>NACE I - 56.2 Event catering, contract catering service activities and other food service activities</v>
          </cell>
          <cell r="K694" t="str">
            <v xml:space="preserve">        170702 Hazardous Waste - Mixed construction and demolition waste or separated fractions containing dangerous substances</v>
          </cell>
        </row>
        <row r="695">
          <cell r="D695" t="str">
            <v>NACE I - 56.21 Event catering activities</v>
          </cell>
          <cell r="K695" t="str">
            <v xml:space="preserve">        170703 Non-Hazardous Waste - Mixed construction and demolition waste other than mixed construction and demolition waste or separated fractions containing dangerous substances</v>
          </cell>
        </row>
        <row r="696">
          <cell r="D696" t="str">
            <v>NACE I - 56.22 Contract catering service activities and other food service activities</v>
          </cell>
          <cell r="K696" t="str">
            <v>18 WASTES FROM HUMAN OR ANIMAL HEALTH CARE AND/OR RELATED RESEARCH (except kitchen and restaurant wastes not arising from immediate health care)</v>
          </cell>
        </row>
        <row r="697">
          <cell r="D697" t="str">
            <v>NACE I - 56.3 Beverage serving activities</v>
          </cell>
          <cell r="K697" t="str">
            <v xml:space="preserve">    1801 Wastes from natal care, diagnosis, treatment or prevention of disease in humans</v>
          </cell>
        </row>
        <row r="698">
          <cell r="D698" t="str">
            <v>NACE I - 56.30 Beverage serving activities</v>
          </cell>
          <cell r="K698" t="str">
            <v xml:space="preserve">        180101 Non-Hazardous Waste - Sharps (except waste whose collection and disposal is subject to special requirements in view of the prevention of infection)</v>
          </cell>
        </row>
        <row r="699">
          <cell r="D699" t="str">
            <v>NACE I - 56.4 Intermediation service activities for food and beverage services activities</v>
          </cell>
          <cell r="K699" t="str">
            <v xml:space="preserve">        180102 Non-Hazardous Waste - Body parts and organs including blood bags and blood preserves (except waste whose collection and disposal is subject to special requirements in view of the prevention of infection)</v>
          </cell>
        </row>
        <row r="700">
          <cell r="D700" t="str">
            <v>NACE I - 56.40 Intermediation service activities for food and beverage services activities</v>
          </cell>
          <cell r="K700" t="str">
            <v xml:space="preserve">        180103 Hazardous Waste - Waste whose collection and disposal is subject to special requirements in view of the prevention of infection</v>
          </cell>
        </row>
        <row r="701">
          <cell r="D701" t="str">
            <v>NACE J - PUBLISHING, BROADCASTING, AND CONTENT PRODUCTION AND DISTRIBUTION ACTIVITIES</v>
          </cell>
          <cell r="K701" t="str">
            <v xml:space="preserve">        180104 Non-Hazardous Waste - Waste whose collection and disposal is not subject to special requirements in view of the prevention of infection, (e.g. dressings, plaster casts, linen, disposable clothing, diapers)</v>
          </cell>
        </row>
        <row r="702">
          <cell r="D702" t="str">
            <v>NACE J - 58 Publishing activities</v>
          </cell>
          <cell r="K702" t="str">
            <v xml:space="preserve">        180106 Hazardous Waste - Chemicals consisting of or containing dangerous substances</v>
          </cell>
        </row>
        <row r="703">
          <cell r="D703" t="str">
            <v>NACE J - 58.1 Publishing of books, newspapers and other publishing activities, except software publishing</v>
          </cell>
          <cell r="K703" t="str">
            <v xml:space="preserve">        180107 Non-Hazardous Waste - Chemicals other than chemicals consisting of or containing dangerous substances</v>
          </cell>
        </row>
        <row r="704">
          <cell r="D704" t="str">
            <v>NACE J - 58.11 Publishing of books</v>
          </cell>
          <cell r="K704" t="str">
            <v xml:space="preserve">        180108 Hazardous Waste - Cytotoxic and cytostatic medicines</v>
          </cell>
        </row>
        <row r="705">
          <cell r="D705" t="str">
            <v>NACE J - 58.12 Publishing of newspapers</v>
          </cell>
          <cell r="K705" t="str">
            <v xml:space="preserve">        180109 Non-Hazardous Waste - Medicines other than cytotoxic and cytostatic medicines</v>
          </cell>
        </row>
        <row r="706">
          <cell r="D706" t="str">
            <v>NACE J - 58.13 Publishing of journals and periodicals</v>
          </cell>
          <cell r="K706" t="str">
            <v xml:space="preserve">        180110 Hazardous Waste - Amalgam waste from dental care</v>
          </cell>
        </row>
        <row r="707">
          <cell r="D707" t="str">
            <v>NACE J - 58.19 Other publishing activities, except software publishing</v>
          </cell>
          <cell r="K707" t="str">
            <v xml:space="preserve">    1802 Wastes from research, diagnosis, treatment or prevention of disease involving animals</v>
          </cell>
        </row>
        <row r="708">
          <cell r="D708" t="str">
            <v>NACE J - 58.2 Software publishing</v>
          </cell>
          <cell r="K708" t="str">
            <v xml:space="preserve">        180201 Non-Hazardous Waste - Sharps (except waste whose collection and disposal is subject to special requirements in view of the prevention of infection)</v>
          </cell>
        </row>
        <row r="709">
          <cell r="D709" t="str">
            <v>NACE J - 58.21 Publishing of video games</v>
          </cell>
          <cell r="K709" t="str">
            <v xml:space="preserve">        180202 Hazardous Waste - Waste whose collection and disposal is subject to special requirements in view of the prevention of infection</v>
          </cell>
        </row>
        <row r="710">
          <cell r="D710" t="str">
            <v>NACE J - 58.29 Other software publishing</v>
          </cell>
          <cell r="K710" t="str">
            <v xml:space="preserve">        180203 Non-Hazardous Waste - Waste whose collection and disposal is not subject to special requirements in view of the prevention of infection</v>
          </cell>
        </row>
        <row r="711">
          <cell r="D711" t="str">
            <v>NACE J - 59 Motion picture, video and television programme production, sound recording and music publishing activities</v>
          </cell>
          <cell r="K711" t="str">
            <v xml:space="preserve">        180205 Hazardous Waste - Chemicals consisting of or containing dangerous substances</v>
          </cell>
        </row>
        <row r="712">
          <cell r="D712" t="str">
            <v>NACE J - 59.1 Motion picture, video and television programme activities</v>
          </cell>
          <cell r="K712" t="str">
            <v xml:space="preserve">        180206 Non-Hazardous Waste - Chemicals other than chemicals consisting of or containing dangerous substances</v>
          </cell>
        </row>
        <row r="713">
          <cell r="D713" t="str">
            <v>NACE J - 59.11 Motion picture, video and television programme production activities</v>
          </cell>
          <cell r="K713" t="str">
            <v xml:space="preserve">        180207 Hazardous Waste - Cytotoxic and cytostatic medicines</v>
          </cell>
        </row>
        <row r="714">
          <cell r="D714" t="str">
            <v>NACE J - 59.12 Motion picture, video and television programme post-production activities</v>
          </cell>
          <cell r="K714" t="str">
            <v xml:space="preserve">        180208 Non-Hazardous Waste - Medicines other than cytotoxic and cytostatic medicines</v>
          </cell>
        </row>
        <row r="715">
          <cell r="D715" t="str">
            <v>NACE J - 59.13 Motion picture and video distribution activities</v>
          </cell>
          <cell r="K715" t="str">
            <v>19 WASTES FROM WASTE TREATMENT FACILITIES, OFF-SITE WASTE WATER TREATMENT PLANTS AND THE WATER INDUSTRY</v>
          </cell>
        </row>
        <row r="716">
          <cell r="D716" t="str">
            <v>NACE J - 59.14 Motion picture projection activities</v>
          </cell>
          <cell r="K716" t="str">
            <v xml:space="preserve">    1901 Wastes from incineration or pyrolysis of waste</v>
          </cell>
        </row>
        <row r="717">
          <cell r="D717" t="str">
            <v>NACE J - 59.2 Sound recording and music publishing activities</v>
          </cell>
          <cell r="K717" t="str">
            <v xml:space="preserve">        190102 Non-Hazardous Waste - Ferrous materials removed from bottom ash</v>
          </cell>
        </row>
        <row r="718">
          <cell r="D718" t="str">
            <v>NACE J - 59.20 Sound recording and music publishing activities</v>
          </cell>
          <cell r="K718" t="str">
            <v xml:space="preserve">        190105 Hazardous Waste - Filter cake from gas treatment</v>
          </cell>
        </row>
        <row r="719">
          <cell r="D719" t="str">
            <v>NACE J - 60 Programming, broadcasting, news agency and other content distribution activities</v>
          </cell>
          <cell r="K719" t="str">
            <v xml:space="preserve">        190106 Hazardous Waste - Aqueous liquid waste from gas treatment and other aqueous liquid waste</v>
          </cell>
        </row>
        <row r="720">
          <cell r="D720" t="str">
            <v>NACE J - 60.1 Radio broadcasting and audio distribution activities</v>
          </cell>
          <cell r="K720" t="str">
            <v xml:space="preserve">        190107 Hazardous Waste - Solid waste from gas treatment</v>
          </cell>
        </row>
        <row r="721">
          <cell r="D721" t="str">
            <v>NACE J - 60.10 Radio broadcasting and audio distribution activities</v>
          </cell>
          <cell r="K721" t="str">
            <v xml:space="preserve">        190110 Hazardous Waste - Spent activated carbon from flue gas treatment</v>
          </cell>
        </row>
        <row r="722">
          <cell r="D722" t="str">
            <v>NACE J - 60.2 Television programming, broadcasting and video distribution activities</v>
          </cell>
          <cell r="K722" t="str">
            <v xml:space="preserve">        190111 Hazardous Waste - Bottom ash and slag containing dangerous substances</v>
          </cell>
        </row>
        <row r="723">
          <cell r="D723" t="str">
            <v>NACE J - 60.20 Television programming, broadcasting and video distribution activities</v>
          </cell>
          <cell r="K723" t="str">
            <v xml:space="preserve">        190112 Non-Hazardous Waste - Bottom ash and slag other than bottom ash and slag containing dangerous substances</v>
          </cell>
        </row>
        <row r="724">
          <cell r="D724" t="str">
            <v>NACE J - 60.3 News agency and other content distribution activities</v>
          </cell>
          <cell r="K724" t="str">
            <v xml:space="preserve">        190113 Hazardous Waste - Fly ash containing dangerous substances</v>
          </cell>
        </row>
        <row r="725">
          <cell r="D725" t="str">
            <v>NACE J - 60.31 News agency activities</v>
          </cell>
          <cell r="K725" t="str">
            <v xml:space="preserve">        190114 Non-Hazardous Waste - Fly ash other than fly ash containing dangerous substances</v>
          </cell>
        </row>
        <row r="726">
          <cell r="D726" t="str">
            <v>NACE J - 60.39 Other content distribution activities</v>
          </cell>
          <cell r="K726" t="str">
            <v xml:space="preserve">        190115 Hazardous Waste - Boiler dust containing dangerous substances</v>
          </cell>
        </row>
        <row r="727">
          <cell r="D727" t="str">
            <v>NACE K - TELECOMMUNICATION, COMPUTER PROGRAMMING, CONSULTING, COMPUTING INFRASTRUCTURE AND OTHER INFORMATION SERVICE ACTIVITIES</v>
          </cell>
          <cell r="K727" t="str">
            <v xml:space="preserve">        190116 Non-Hazardous Waste - Boiler dust other than boiler dust containing dangerous substances</v>
          </cell>
        </row>
        <row r="728">
          <cell r="D728" t="str">
            <v>NACE K - 61 Telecommunication</v>
          </cell>
          <cell r="K728" t="str">
            <v xml:space="preserve">        190117 Hazardous Waste - Pyrolysis waste containing dangerous substances</v>
          </cell>
        </row>
        <row r="729">
          <cell r="D729" t="str">
            <v>NACE K - 61.1 Wired, wireless, and satellite telecommunication activities</v>
          </cell>
          <cell r="K729" t="str">
            <v xml:space="preserve">        190118 Non-Hazardous Waste - Pyrolysis waste other than pyrolysis waste containing dangerous substances</v>
          </cell>
        </row>
        <row r="730">
          <cell r="D730" t="str">
            <v>NACE K - 61.10 Wired, wireless, and satellite telecommunication activities</v>
          </cell>
          <cell r="K730" t="str">
            <v xml:space="preserve">        190199 Non-Hazardous Waste - Wastes not otherwise specified</v>
          </cell>
        </row>
        <row r="731">
          <cell r="D731" t="str">
            <v>NACE K - 61.2 Telecommunication reselling activities and intermediation service activities for telecommunication</v>
          </cell>
          <cell r="K731" t="str">
            <v xml:space="preserve">    1902 Wastes from specific physico/chemical treatments of industrial waste, (e.g. dechromatation, decyanidation, neutralisation)</v>
          </cell>
        </row>
        <row r="732">
          <cell r="D732" t="str">
            <v>NACE K - 61.20 Telecommunication reselling activities and intermediation service activities for telecommunication</v>
          </cell>
          <cell r="K732" t="str">
            <v xml:space="preserve">        190201 Hazardous Waste - Metal hydroxide sludges and other sludges from metal insolubilisation treatment</v>
          </cell>
        </row>
        <row r="733">
          <cell r="D733" t="str">
            <v>NACE K - 61.9 Other telecommunication activities</v>
          </cell>
          <cell r="K733" t="str">
            <v xml:space="preserve">        190203 Non-Hazardous Waste - Premixed waste composed only of wastes not marked as hazardous</v>
          </cell>
        </row>
        <row r="734">
          <cell r="D734" t="str">
            <v>NACE K - 61.90 Other telecommunication activities</v>
          </cell>
          <cell r="K734" t="str">
            <v xml:space="preserve">        190204 Hazardous Waste - Premixed waste composed of at least one waste marked as hazardous</v>
          </cell>
        </row>
        <row r="735">
          <cell r="D735" t="str">
            <v>NACE K - 62 Computer programming, consultancy and related activities</v>
          </cell>
          <cell r="K735" t="str">
            <v xml:space="preserve">    1903 Stabilised/solidified wastes</v>
          </cell>
        </row>
        <row r="736">
          <cell r="D736" t="str">
            <v>NACE K - 62.1 Computer programming activities</v>
          </cell>
          <cell r="K736" t="str">
            <v xml:space="preserve">        190304 Hazardous Waste - Waste marked as hazardous, partly stabilised</v>
          </cell>
        </row>
        <row r="737">
          <cell r="D737" t="str">
            <v>NACE K - 62.10 Computer programming activities</v>
          </cell>
          <cell r="K737" t="str">
            <v xml:space="preserve">        190305 Non-Hazardous Waste - Stabilised waste other wastes marked as hazardous, partly stabilised</v>
          </cell>
        </row>
        <row r="738">
          <cell r="D738" t="str">
            <v>NACE K - 62.2 Computer consultancy and computer facilities management activities</v>
          </cell>
          <cell r="K738" t="str">
            <v xml:space="preserve">        190306 Hazardous Waste - Waste marked as hazardous, solidified</v>
          </cell>
        </row>
        <row r="739">
          <cell r="D739" t="str">
            <v>NACE K - 62.20 Computer consultancy and computer facilities management activities</v>
          </cell>
          <cell r="K739" t="str">
            <v xml:space="preserve">        190307 Non-Hazardous Waste - Solidified waste other than wastes marked as hazardous, solidified</v>
          </cell>
        </row>
        <row r="740">
          <cell r="D740" t="str">
            <v>NACE K - 62.9 Other information technology and computer service activities</v>
          </cell>
          <cell r="K740" t="str">
            <v xml:space="preserve">    1904 Vitrified waste and wastes from vitrification</v>
          </cell>
        </row>
        <row r="741">
          <cell r="D741" t="str">
            <v>NACE K - 62.90 Other information technology and computer service activities</v>
          </cell>
          <cell r="K741" t="str">
            <v xml:space="preserve">        190401 Non-Hazardous Waste - Vitrified waste</v>
          </cell>
        </row>
        <row r="742">
          <cell r="D742" t="str">
            <v>NACE K - 63 Computing infrastructure, data processing, hosting and other information service activities</v>
          </cell>
          <cell r="K742" t="str">
            <v xml:space="preserve">        190402 Hazardous Waste - Fly ash and other flue gas treatment waste</v>
          </cell>
        </row>
        <row r="743">
          <cell r="D743" t="str">
            <v>NACE K - 63.1 Computing infrastructure, data processing, hosting and related activities</v>
          </cell>
          <cell r="K743" t="str">
            <v xml:space="preserve">        190403 Hazardous Waste - Non-vitrified solid phase</v>
          </cell>
        </row>
        <row r="744">
          <cell r="D744" t="str">
            <v>NACE K - 63.10 Computing infrastructure, data processing, hosting and related activities</v>
          </cell>
          <cell r="K744" t="str">
            <v xml:space="preserve">        190404 Non-Hazardous Waste - Aqueous liquid waste from vitrified waste tempering</v>
          </cell>
        </row>
        <row r="745">
          <cell r="D745" t="str">
            <v>NACE K - 63.9 Web search portal activities and other information service activities</v>
          </cell>
          <cell r="K745" t="str">
            <v xml:space="preserve">    1905 Wastes from aerobic treatment of solid wastes</v>
          </cell>
        </row>
        <row r="746">
          <cell r="D746" t="str">
            <v>NACE K - 63.91 Web search portal activities</v>
          </cell>
          <cell r="K746" t="str">
            <v xml:space="preserve">        190501 Non-Hazardous Waste - Non-composted fraction of municipal and similar waste</v>
          </cell>
        </row>
        <row r="747">
          <cell r="D747" t="str">
            <v>NACE K - 63.92 Other information service activities</v>
          </cell>
          <cell r="K747" t="str">
            <v xml:space="preserve">        190502 Non-Hazardous Waste - Non-composted fraction of animal and vegetable waste</v>
          </cell>
        </row>
        <row r="748">
          <cell r="D748" t="str">
            <v>NACE L - FINANCIAL AND INSURANCE ACTIVITIES</v>
          </cell>
          <cell r="K748" t="str">
            <v xml:space="preserve">        190503 Non-Hazardous Waste - Off-specification compost</v>
          </cell>
        </row>
        <row r="749">
          <cell r="D749" t="str">
            <v>NACE L - 64 Financial service activities, except insurance and pension funding</v>
          </cell>
          <cell r="K749" t="str">
            <v xml:space="preserve">        190599 Non-Hazardous Waste - Wastes not otherwise specified</v>
          </cell>
        </row>
        <row r="750">
          <cell r="D750" t="str">
            <v>NACE L - 64.1 Monetary intermediation</v>
          </cell>
          <cell r="K750" t="str">
            <v xml:space="preserve">    1906 Wastes from anaerobic treatment of waste</v>
          </cell>
        </row>
        <row r="751">
          <cell r="D751" t="str">
            <v>NACE L - 64.11 Central banking</v>
          </cell>
          <cell r="K751" t="str">
            <v xml:space="preserve">        190601 Non-Hazardous Waste - Anaerobic treatment sludges of municipal and similar waste</v>
          </cell>
        </row>
        <row r="752">
          <cell r="D752" t="str">
            <v>NACE L - 64.19 Other monetary intermediation</v>
          </cell>
          <cell r="K752" t="str">
            <v xml:space="preserve">        190602 Non-Hazardous Waste - Anaerobic treatment sludges of animal and vegetal waste</v>
          </cell>
        </row>
        <row r="753">
          <cell r="D753" t="str">
            <v>NACE L - 64.2 Activities of holding companies and financing conduits</v>
          </cell>
          <cell r="K753" t="str">
            <v xml:space="preserve">        190699 Non-Hazardous Waste - Wastes not otherwise specified</v>
          </cell>
        </row>
        <row r="754">
          <cell r="D754" t="str">
            <v>NACE L - 64.21 Activities of holding companies</v>
          </cell>
          <cell r="K754" t="str">
            <v xml:space="preserve">    1907 Landfill leachate</v>
          </cell>
        </row>
        <row r="755">
          <cell r="D755" t="str">
            <v>NACE L - 64.22 Activities of financing conduits</v>
          </cell>
          <cell r="K755" t="str">
            <v xml:space="preserve">        190701 Non-Hazardous Waste - Landfill leachate</v>
          </cell>
        </row>
        <row r="756">
          <cell r="D756" t="str">
            <v>NACE L - 64.3 Activities of trusts, funds and similar financial entities</v>
          </cell>
          <cell r="K756" t="str">
            <v xml:space="preserve">    1908 Wastes from waste water treatment plants not otherwise specified</v>
          </cell>
        </row>
        <row r="757">
          <cell r="D757" t="str">
            <v>NACE L - 64.31 Activities of money market and non-money market investments funds</v>
          </cell>
          <cell r="K757" t="str">
            <v xml:space="preserve">        190801 Non-Hazardous Waste - Screenings</v>
          </cell>
        </row>
        <row r="758">
          <cell r="D758" t="str">
            <v>NACE L - 64.32 Activities of trust, estate and agency accounts</v>
          </cell>
          <cell r="K758" t="str">
            <v xml:space="preserve">        190802 Non-Hazardous Waste - Waste from desanding</v>
          </cell>
        </row>
        <row r="759">
          <cell r="D759" t="str">
            <v>NACE L - 64.9 Other financial service activities, except insurance and pension funding</v>
          </cell>
          <cell r="K759" t="str">
            <v xml:space="preserve">        190803 Hazardous Waste - Grease and oil mixture from oil/waste water separation</v>
          </cell>
        </row>
        <row r="760">
          <cell r="D760" t="str">
            <v>NACE L - 64.91 Financial leasing</v>
          </cell>
          <cell r="K760" t="str">
            <v xml:space="preserve">        190804 Non-Hazardous Waste - Sludges from the treatment of industrial waste water</v>
          </cell>
        </row>
        <row r="761">
          <cell r="D761" t="str">
            <v>NACE L - 64.92 Other credit granting</v>
          </cell>
          <cell r="K761" t="str">
            <v xml:space="preserve">        190805 Non-Hazardous Waste - Sludges from treatment of urban waste water</v>
          </cell>
        </row>
        <row r="762">
          <cell r="D762" t="str">
            <v>NACE L - 64.99 Other financial service activities, except insurance and pension funding n.e.c.</v>
          </cell>
          <cell r="K762" t="str">
            <v xml:space="preserve">        190806 Hazardous Waste - Saturated or spent ion exchange resins</v>
          </cell>
        </row>
        <row r="763">
          <cell r="D763" t="str">
            <v>NACE L - 65 Insurance, reinsurance and pension funding, except compulsory social security</v>
          </cell>
          <cell r="K763" t="str">
            <v xml:space="preserve">        190807 Hazardous Waste - Solutions and sludges from regeneration of ion exchangers</v>
          </cell>
        </row>
        <row r="764">
          <cell r="D764" t="str">
            <v>NACE L - 65.1 Insurance</v>
          </cell>
          <cell r="K764" t="str">
            <v xml:space="preserve">        190899 Non-Hazardous Waste - Wastes not otherwise specified</v>
          </cell>
        </row>
        <row r="765">
          <cell r="D765" t="str">
            <v>NACE L - 65.11 Life insurance</v>
          </cell>
          <cell r="K765" t="str">
            <v xml:space="preserve">    1909 Wastes from the preparation of drinking water or water for industrial use</v>
          </cell>
        </row>
        <row r="766">
          <cell r="D766" t="str">
            <v>NACE L - 65.12 Non-life insurance</v>
          </cell>
          <cell r="K766" t="str">
            <v xml:space="preserve">        190901 Non-Hazardous Waste - Solid waste from primary filtration and screenings</v>
          </cell>
        </row>
        <row r="767">
          <cell r="D767" t="str">
            <v>NACE L - 65.2 Reinsurance</v>
          </cell>
          <cell r="K767" t="str">
            <v xml:space="preserve">        190902 Non-Hazardous Waste - Sludges from water clarification</v>
          </cell>
        </row>
        <row r="768">
          <cell r="D768" t="str">
            <v>NACE L - 65.20 Reinsurance</v>
          </cell>
          <cell r="K768" t="str">
            <v xml:space="preserve">        190903 Non-Hazardous Waste - Sludges from decarbonation</v>
          </cell>
        </row>
        <row r="769">
          <cell r="D769" t="str">
            <v>NACE L - 65.3 Pension funding</v>
          </cell>
          <cell r="K769" t="str">
            <v xml:space="preserve">        190904 Non-Hazardous Waste - Spent activated carbon</v>
          </cell>
        </row>
        <row r="770">
          <cell r="D770" t="str">
            <v>NACE L - 65.30 Pension funding</v>
          </cell>
          <cell r="K770" t="str">
            <v xml:space="preserve">        190905 Non-Hazardous Waste - Saturated or spent ion exchange resins</v>
          </cell>
        </row>
        <row r="771">
          <cell r="D771" t="str">
            <v>NACE L - 66 Activities auxiliary to financial services and insurance activities</v>
          </cell>
          <cell r="K771" t="str">
            <v xml:space="preserve">        190906 Non-Hazardous Waste - Solutions and sludges from regeneration of ion exchangers</v>
          </cell>
        </row>
        <row r="772">
          <cell r="D772" t="str">
            <v>NACE L - 66.1 Activities auxiliary to financial services, except insurance and pension funding</v>
          </cell>
          <cell r="K772" t="str">
            <v xml:space="preserve">        190999 Non-Hazardous Waste - Wastes not otherwise specified</v>
          </cell>
        </row>
        <row r="773">
          <cell r="D773" t="str">
            <v>NACE L - 66.11 Administration of financial markets</v>
          </cell>
          <cell r="K773" t="str">
            <v xml:space="preserve">    1910 Wastes from shredding of metal-containing waste</v>
          </cell>
        </row>
        <row r="774">
          <cell r="D774" t="str">
            <v>NACE L - 66.12 Security and commodity contracts brokerage</v>
          </cell>
          <cell r="K774" t="str">
            <v xml:space="preserve">        191001 Non-Hazardous Waste - Iron and steel waste</v>
          </cell>
        </row>
        <row r="775">
          <cell r="D775" t="str">
            <v>NACE L - 66.19 Other activities auxiliary to financial services, except insurance and pension funding</v>
          </cell>
          <cell r="K775" t="str">
            <v xml:space="preserve">        191002 Non-Hazardous Waste - Non-ferrous waste</v>
          </cell>
        </row>
        <row r="776">
          <cell r="D776" t="str">
            <v>NACE L - 66.2 Activities auxiliary to insurance and pension funding</v>
          </cell>
          <cell r="K776" t="str">
            <v xml:space="preserve">        191003 Hazardous Waste - Fluff — light fraction containing dangerous substances</v>
          </cell>
        </row>
        <row r="777">
          <cell r="D777" t="str">
            <v>NACE L - 66.21 Risk and damage evaluation</v>
          </cell>
          <cell r="K777" t="str">
            <v xml:space="preserve">        191004 Non-Hazardous Waste - Other fluffs — light fractions</v>
          </cell>
        </row>
        <row r="778">
          <cell r="D778" t="str">
            <v>NACE L - 66.22 Activities of insurance agents and brokers</v>
          </cell>
          <cell r="K778" t="str">
            <v xml:space="preserve">        191005 Hazardous Waste - Dust and other fractions containing dangerous substances</v>
          </cell>
        </row>
        <row r="779">
          <cell r="D779" t="str">
            <v>NACE L - 66.29 Activities auxiliary to insurance and pension funding n.e.c.</v>
          </cell>
          <cell r="K779" t="str">
            <v xml:space="preserve">        191006 Non-Hazardous Waste - Other dusts and other fractions</v>
          </cell>
        </row>
        <row r="780">
          <cell r="D780" t="str">
            <v>NACE L - 66.3 Fund management activities</v>
          </cell>
          <cell r="K780" t="str">
            <v>20 MUNICIPAL WASTES AND SIMILAR COMMERCIAL, INDUSTRIAL AND INSTITUTIONAL WASTES INCLUDING SEPARATELY COLLECTED FRACTIONS</v>
          </cell>
        </row>
        <row r="781">
          <cell r="D781" t="str">
            <v>NACE L - 66.30 Fund management activities</v>
          </cell>
          <cell r="K781" t="str">
            <v xml:space="preserve">    2001 Separately collected fractions</v>
          </cell>
        </row>
        <row r="782">
          <cell r="D782" t="str">
            <v>NACE M - REAL ESTATE ACTIVITIES</v>
          </cell>
          <cell r="K782" t="str">
            <v xml:space="preserve">        200101 Non-Hazardous Waste - Paper and cardboard</v>
          </cell>
        </row>
        <row r="783">
          <cell r="D783" t="str">
            <v>NACE M - 68 Real estate activities</v>
          </cell>
          <cell r="K783" t="str">
            <v xml:space="preserve">        200102 Non-Hazardous Waste - Glass</v>
          </cell>
        </row>
        <row r="784">
          <cell r="D784" t="str">
            <v>NACE M - 68.1 Real estate activities with own property and development of building projects</v>
          </cell>
          <cell r="K784" t="str">
            <v xml:space="preserve">        200103 Non-Hazardous Waste - Small plastics</v>
          </cell>
        </row>
        <row r="785">
          <cell r="D785" t="str">
            <v>NACE M - 68.11 Buying and selling of own real estate</v>
          </cell>
          <cell r="K785" t="str">
            <v xml:space="preserve">        200104 Non-Hazardous Waste - Other plastics</v>
          </cell>
        </row>
        <row r="786">
          <cell r="D786" t="str">
            <v>NACE M - 68.12 Development of building projects</v>
          </cell>
          <cell r="K786" t="str">
            <v xml:space="preserve">        200105 Non-Hazardous Waste - Small metals (cans, etc.)</v>
          </cell>
        </row>
        <row r="787">
          <cell r="D787" t="str">
            <v>NACE M - 68.2 Rental and operating of own or leased real estate</v>
          </cell>
          <cell r="K787" t="str">
            <v xml:space="preserve">        200106 Non-Hazardous Waste - Other metals</v>
          </cell>
        </row>
        <row r="788">
          <cell r="D788" t="str">
            <v>NACE M - 68.20 Rental and operating of own or leased real estate</v>
          </cell>
          <cell r="K788" t="str">
            <v xml:space="preserve">        200107 Non-Hazardous Waste - Wood</v>
          </cell>
        </row>
        <row r="789">
          <cell r="D789" t="str">
            <v>NACE M - 68.3 Real estate activities on a fee or contract basis</v>
          </cell>
          <cell r="K789" t="str">
            <v xml:space="preserve">        200108 Non-Hazardous Waste - Organic kitchen waste</v>
          </cell>
        </row>
        <row r="790">
          <cell r="D790" t="str">
            <v>NACE M - 68.31 Intermediation service activities for real estate activities</v>
          </cell>
          <cell r="K790" t="str">
            <v xml:space="preserve">        200110 Non-Hazardous Waste - Clothes</v>
          </cell>
        </row>
        <row r="791">
          <cell r="D791" t="str">
            <v>NACE M - 68.32 Other real estate activities on a fee or contract basis</v>
          </cell>
          <cell r="K791" t="str">
            <v xml:space="preserve">        200111 Non-Hazardous Waste - Textiles</v>
          </cell>
        </row>
        <row r="792">
          <cell r="D792" t="str">
            <v>NACE N - PROFESSIONAL, SCIENTIFIC AND TECHNICAL ACTIVITIES</v>
          </cell>
          <cell r="K792" t="str">
            <v xml:space="preserve">        200113 Hazardous Waste - Solvents</v>
          </cell>
        </row>
        <row r="793">
          <cell r="D793" t="str">
            <v>NACE N - 69 Legal and accounting activities</v>
          </cell>
          <cell r="K793" t="str">
            <v xml:space="preserve">        200114 Hazardous Waste - Acids</v>
          </cell>
        </row>
        <row r="794">
          <cell r="D794" t="str">
            <v>NACE N - 69.1 Legal activities</v>
          </cell>
          <cell r="K794" t="str">
            <v xml:space="preserve">        200115 Hazardous Waste - Alkalines</v>
          </cell>
        </row>
        <row r="795">
          <cell r="D795" t="str">
            <v>NACE N - 69.10 Legal activities</v>
          </cell>
          <cell r="K795" t="str">
            <v xml:space="preserve">        200117 Hazardous Waste - Photochemicals</v>
          </cell>
        </row>
        <row r="796">
          <cell r="D796" t="str">
            <v>NACE N - 69.2 Accounting, bookkeeping and auditing activities; tax consultancy</v>
          </cell>
          <cell r="K796" t="str">
            <v xml:space="preserve">        200119 Hazardous Waste - Pesticides</v>
          </cell>
        </row>
        <row r="797">
          <cell r="D797" t="str">
            <v>NACE N - 69.20 Accounting, bookkeeping and auditing activities; tax consultancy</v>
          </cell>
          <cell r="K797" t="str">
            <v xml:space="preserve">        200121 Hazardous Waste - Fluorescent tubes and other mercury-containing waste</v>
          </cell>
        </row>
        <row r="798">
          <cell r="D798" t="str">
            <v>NACE N - 70 Activities of head offices and management consultancy</v>
          </cell>
          <cell r="K798" t="str">
            <v xml:space="preserve">        200122 Non-Hazardous Waste - Aerosols</v>
          </cell>
        </row>
        <row r="799">
          <cell r="D799" t="str">
            <v>NACE N - 70.1 Activities of head offices</v>
          </cell>
          <cell r="K799" t="str">
            <v xml:space="preserve">        200123 Hazardous Waste - Discarded equipment containing chlorofluorocarbons</v>
          </cell>
        </row>
        <row r="800">
          <cell r="D800" t="str">
            <v>NACE N - 70.10 Activities of head offices</v>
          </cell>
          <cell r="K800" t="str">
            <v xml:space="preserve">        200125 Non-Hazardous Waste - Edible oil and fat</v>
          </cell>
        </row>
        <row r="801">
          <cell r="D801" t="str">
            <v>NACE N - 70.2 Business and other management consultancy activities</v>
          </cell>
          <cell r="K801" t="str">
            <v xml:space="preserve">        200126 Hazardous Waste - Other oils and fats</v>
          </cell>
        </row>
        <row r="802">
          <cell r="D802" t="str">
            <v>NACE N - 70.20 Business and other management consultancy activities</v>
          </cell>
          <cell r="K802" t="str">
            <v xml:space="preserve">        200127 Hazardous Waste - Paint, inks, adhesives and resins containing dangerous substances</v>
          </cell>
        </row>
        <row r="803">
          <cell r="D803" t="str">
            <v>NACE N - 71 Architectural and engineering activities; technical testing and analysis</v>
          </cell>
          <cell r="K803" t="str">
            <v xml:space="preserve">        200128 Non-Hazardous Waste - Other paints, inks, adhesives and resins</v>
          </cell>
        </row>
        <row r="804">
          <cell r="D804" t="str">
            <v>NACE N - 71.1 Architectural and engineering activities and related technical consultancy</v>
          </cell>
          <cell r="K804" t="str">
            <v xml:space="preserve">        200129 Hazardous Waste - Detergents containing dangerous substances</v>
          </cell>
        </row>
        <row r="805">
          <cell r="D805" t="str">
            <v>NACE N - 71.11 Architectural activities</v>
          </cell>
          <cell r="K805" t="str">
            <v xml:space="preserve">        200130 Non-Hazardous Waste - Other detergents</v>
          </cell>
        </row>
        <row r="806">
          <cell r="D806" t="str">
            <v>NACE N - 71.12 Engineering activities and related technical consultancy</v>
          </cell>
          <cell r="K806" t="str">
            <v xml:space="preserve">        200131 Hazardous Waste - Cytotoxic and cytostatic medicines</v>
          </cell>
        </row>
        <row r="807">
          <cell r="D807" t="str">
            <v>NACE N - 71.2 Technical testing and analysis</v>
          </cell>
          <cell r="K807" t="str">
            <v xml:space="preserve">        200132 Non-Hazardous Waste - Other medicines</v>
          </cell>
        </row>
        <row r="808">
          <cell r="D808" t="str">
            <v>NACE N - 71.20 Technical testing and analysis</v>
          </cell>
          <cell r="K808" t="str">
            <v xml:space="preserve">        200133 Hazardous Waste - Mixed batteries and accumulators containing batteries or accumulators included in lead batteries, Ni-Cd batteries or mercury-containing batteries</v>
          </cell>
        </row>
        <row r="809">
          <cell r="D809" t="str">
            <v>NACE N - 72 Scientific research and development</v>
          </cell>
          <cell r="K809" t="str">
            <v xml:space="preserve">        200134 Non-Hazardous Waste - Batteries and accumulators other than mixed batteries and accumulators containing batteries or accumulators included in lead batteries, Ni-Cd batteries or mercury-containing batteries</v>
          </cell>
        </row>
        <row r="810">
          <cell r="D810" t="str">
            <v>NACE N - 72.1 Research and experimental development on natural sciences and engineering</v>
          </cell>
          <cell r="K810" t="str">
            <v xml:space="preserve">        200135 Hazardous Waste - Discarded equipment other than fluorescent tubes and other mercury-containing waste and discarded equipment containing chlorofluorocarbons containing hazardous components</v>
          </cell>
        </row>
        <row r="811">
          <cell r="D811" t="str">
            <v>NACE N - 72.10 Research and experimental development on natural sciences and engineering</v>
          </cell>
          <cell r="K811" t="str">
            <v xml:space="preserve">        200136 Non-Hazardous Waste - Discarded equipment other than fluorescent tubes and other mercury-containing waste and discarded equipment containing chlorofluorocarbons</v>
          </cell>
        </row>
        <row r="812">
          <cell r="D812" t="str">
            <v>NACE N - 72.2 Research and experimental development on social sciences and humanities</v>
          </cell>
          <cell r="K812" t="str">
            <v xml:space="preserve">    2002 Garden and park wastes (including cemetery waste)</v>
          </cell>
        </row>
        <row r="813">
          <cell r="D813" t="str">
            <v>NACE N - 72.20 Research and experimental development on social sciences and humanities</v>
          </cell>
          <cell r="K813" t="str">
            <v xml:space="preserve">        200201 Non-Hazardous Waste - Compostable waste</v>
          </cell>
        </row>
        <row r="814">
          <cell r="D814" t="str">
            <v>NACE N - 73 Activities of advertising, market research and public relations</v>
          </cell>
          <cell r="K814" t="str">
            <v xml:space="preserve">        200202 Non-Hazardous Waste - Soil and stones</v>
          </cell>
        </row>
        <row r="815">
          <cell r="D815" t="str">
            <v>NACE N - 73.1 Advertising</v>
          </cell>
          <cell r="K815" t="str">
            <v xml:space="preserve">        200203 Non-Hazardous Waste - Other non-compostable wastes</v>
          </cell>
        </row>
        <row r="816">
          <cell r="D816" t="str">
            <v>NACE N - 73.11 Activities of advertising agencies</v>
          </cell>
          <cell r="K816" t="str">
            <v xml:space="preserve">    2003 Other municipal wastes</v>
          </cell>
        </row>
        <row r="817">
          <cell r="D817" t="str">
            <v>NACE N - 73.12 Media representation</v>
          </cell>
          <cell r="K817" t="str">
            <v xml:space="preserve">        200301 Non-Hazardous Waste - Mixed municipal waste</v>
          </cell>
        </row>
        <row r="818">
          <cell r="D818" t="str">
            <v>NACE N - 73.2 Market research and public opinion polling</v>
          </cell>
          <cell r="K818" t="str">
            <v xml:space="preserve">        200302 Non-Hazardous Waste - Waste from markets</v>
          </cell>
        </row>
        <row r="819">
          <cell r="D819" t="str">
            <v>NACE N - 73.20 Market research and public opinion polling</v>
          </cell>
          <cell r="K819" t="str">
            <v xml:space="preserve">        200303 Non-Hazardous Waste - Street cleaning residues</v>
          </cell>
        </row>
        <row r="820">
          <cell r="D820" t="str">
            <v>NACE N - 73.3 Public relations and communication activities</v>
          </cell>
          <cell r="K820" t="str">
            <v xml:space="preserve">        200304 Non-Hazardous Waste - Septic tank sludge</v>
          </cell>
        </row>
        <row r="821">
          <cell r="D821" t="str">
            <v>NACE N - 73.30 Public relations and communication activities</v>
          </cell>
        </row>
        <row r="822">
          <cell r="D822" t="str">
            <v>NACE N - 74 Other professional, scientific and technical activities</v>
          </cell>
        </row>
        <row r="823">
          <cell r="D823" t="str">
            <v>NACE N - 74.1 Specialised design activities</v>
          </cell>
        </row>
        <row r="824">
          <cell r="D824" t="str">
            <v>NACE N - 74.11 Industrial product and fashion design activities</v>
          </cell>
        </row>
        <row r="825">
          <cell r="D825" t="str">
            <v>NACE N - 74.12 Graphic design and visual communication activities</v>
          </cell>
        </row>
        <row r="826">
          <cell r="D826" t="str">
            <v>NACE N - 74.13 Interior design activities</v>
          </cell>
        </row>
        <row r="827">
          <cell r="D827" t="str">
            <v>NACE N - 74.14 Other specialised design activities</v>
          </cell>
        </row>
        <row r="828">
          <cell r="D828" t="str">
            <v>NACE N - 74.2 Photographic activities</v>
          </cell>
        </row>
        <row r="829">
          <cell r="D829" t="str">
            <v>NACE N - 74.20 Photographic activities</v>
          </cell>
        </row>
        <row r="830">
          <cell r="D830" t="str">
            <v>NACE N - 74.3 Translation and interpretation activities</v>
          </cell>
        </row>
        <row r="831">
          <cell r="D831" t="str">
            <v>NACE N - 74.30 Translation and interpretation activities</v>
          </cell>
        </row>
        <row r="832">
          <cell r="D832" t="str">
            <v>NACE N - 74.9 Other professional, scientific and technical activities n.e.c.</v>
          </cell>
        </row>
        <row r="833">
          <cell r="D833" t="str">
            <v>NACE N - 74.91 Patent brokering and marketing service activities</v>
          </cell>
        </row>
        <row r="834">
          <cell r="D834" t="str">
            <v>NACE N - 74.99 All other professional, scientific and technical activities n.e.c.</v>
          </cell>
        </row>
        <row r="835">
          <cell r="D835" t="str">
            <v>NACE N - 75 Veterinary activities</v>
          </cell>
        </row>
        <row r="836">
          <cell r="D836" t="str">
            <v>NACE N - 75.0 Veterinary activities</v>
          </cell>
        </row>
        <row r="837">
          <cell r="D837" t="str">
            <v>NACE N - 75.00 Veterinary activities</v>
          </cell>
        </row>
        <row r="838">
          <cell r="D838" t="str">
            <v>NACE O - ADMINISTRATIVE AND SUPPORT SERVICE ACTIVITIES</v>
          </cell>
        </row>
        <row r="839">
          <cell r="D839" t="str">
            <v>NACE O - 77 Rental and leasing activities</v>
          </cell>
        </row>
        <row r="840">
          <cell r="D840" t="str">
            <v>NACE O - 77.1 Rental and leasing of motor vehicles</v>
          </cell>
        </row>
        <row r="841">
          <cell r="D841" t="str">
            <v>NACE O - 77.11 Rental and leasing of cars and light motor vehicles</v>
          </cell>
        </row>
        <row r="842">
          <cell r="D842" t="str">
            <v>NACE O - 77.12 Rental and leasing of trucks</v>
          </cell>
        </row>
        <row r="843">
          <cell r="D843" t="str">
            <v>NACE O - 77.2 Rental and leasing of personal and household goods</v>
          </cell>
        </row>
        <row r="844">
          <cell r="D844" t="str">
            <v>NACE O - 77.21 Rental and leasing of recreational and sports goods</v>
          </cell>
        </row>
        <row r="845">
          <cell r="D845" t="str">
            <v>NACE O - 77.22 Rental and leasing of other personal and household goods</v>
          </cell>
        </row>
        <row r="846">
          <cell r="D846" t="str">
            <v>NACE O - 77.3 Rental and leasing of other machinery, equipment and tangible goods</v>
          </cell>
        </row>
        <row r="847">
          <cell r="D847" t="str">
            <v>NACE O - 77.31 Rental and leasing of agricultural machinery and equipment</v>
          </cell>
        </row>
        <row r="848">
          <cell r="D848" t="str">
            <v>NACE O - 77.32 Rental and leasing of construction and civil engineering machinery and equipment</v>
          </cell>
        </row>
        <row r="849">
          <cell r="D849" t="str">
            <v>NACE O - 77.33 Rental and leasing of office machinery, equipment and computers</v>
          </cell>
        </row>
        <row r="850">
          <cell r="D850" t="str">
            <v>NACE O - 77.34 Rental and leasing of water transport equipment</v>
          </cell>
        </row>
        <row r="851">
          <cell r="D851" t="str">
            <v>NACE O - 77.35 Rental and leasing of air transport equipment</v>
          </cell>
        </row>
        <row r="852">
          <cell r="D852" t="str">
            <v>NACE O - 77.39 Rental and leasing of other machinery, equipment and tangible goods n.e.c.</v>
          </cell>
        </row>
        <row r="853">
          <cell r="D853" t="str">
            <v>NACE O - 77.4 Leasing of intellectual property and similar products, except copyrighted works</v>
          </cell>
        </row>
        <row r="854">
          <cell r="D854" t="str">
            <v>NACE O - 77.40 Leasing of intellectual property and similar products, except copyrighted works</v>
          </cell>
        </row>
        <row r="855">
          <cell r="D855" t="str">
            <v>NACE O - 77.5 Intermediation service activities for rental and leasing of tangible goods and non-financial intangible assets</v>
          </cell>
        </row>
        <row r="856">
          <cell r="D856" t="str">
            <v>NACE O - 77.51 Intermediation service activities for rental and leasing of cars, motorhomes and trailers</v>
          </cell>
        </row>
        <row r="857">
          <cell r="D857" t="str">
            <v>NACE O - 77.52 Intermediation service activities for rental and leasing of other tangible goods and non-financial intangible assets</v>
          </cell>
        </row>
        <row r="858">
          <cell r="D858" t="str">
            <v>NACE O - 78 Employment activities</v>
          </cell>
        </row>
        <row r="859">
          <cell r="D859" t="str">
            <v>NACE O - 78.1 Activities of employment placement agencies</v>
          </cell>
        </row>
        <row r="860">
          <cell r="D860" t="str">
            <v>NACE O - 78.10 Activities of employment placement agencies</v>
          </cell>
        </row>
        <row r="861">
          <cell r="D861" t="str">
            <v>NACE O - 78.2 Temporary employment agency activities and other human resource provisions</v>
          </cell>
        </row>
        <row r="862">
          <cell r="D862" t="str">
            <v>NACE O - 78.20 Temporary employment agency activities and other human resource provisions</v>
          </cell>
        </row>
        <row r="863">
          <cell r="D863" t="str">
            <v>NACE O - 79 Travel agency, tour operator and other reservation service and related activities</v>
          </cell>
        </row>
        <row r="864">
          <cell r="D864" t="str">
            <v>NACE O - 79.1 Travel agency and tour operator activities</v>
          </cell>
        </row>
        <row r="865">
          <cell r="D865" t="str">
            <v>NACE O - 79.11 Travel agency activities</v>
          </cell>
        </row>
        <row r="866">
          <cell r="D866" t="str">
            <v>NACE O - 79.12 Tour operator activities</v>
          </cell>
        </row>
        <row r="867">
          <cell r="D867" t="str">
            <v>NACE O - 79.9 Other reservation service and related activities</v>
          </cell>
        </row>
        <row r="868">
          <cell r="D868" t="str">
            <v>NACE O - 79.90 Other reservation service and related activities</v>
          </cell>
        </row>
        <row r="869">
          <cell r="D869" t="str">
            <v>NACE O - 80 Investigation and security activities</v>
          </cell>
        </row>
        <row r="870">
          <cell r="D870" t="str">
            <v>NACE O - 80.0 Investigation and security activities</v>
          </cell>
        </row>
        <row r="871">
          <cell r="D871" t="str">
            <v>NACE O - 80.01 Investigation and private security activities</v>
          </cell>
        </row>
        <row r="872">
          <cell r="D872" t="str">
            <v>NACE O - 80.09 Security activities n.e.c.</v>
          </cell>
        </row>
        <row r="873">
          <cell r="D873" t="str">
            <v>NACE O - 81 Services to buildings and landscape activities</v>
          </cell>
        </row>
        <row r="874">
          <cell r="D874" t="str">
            <v>NACE O - 81.1 Combined facilities support activities</v>
          </cell>
        </row>
        <row r="875">
          <cell r="D875" t="str">
            <v>NACE O - 81.10 Combined facilities support activities</v>
          </cell>
        </row>
        <row r="876">
          <cell r="D876" t="str">
            <v>NACE O - 81.2 Cleaning activities</v>
          </cell>
        </row>
        <row r="877">
          <cell r="D877" t="str">
            <v>NACE O - 81.21 General cleaning of buildings</v>
          </cell>
        </row>
        <row r="878">
          <cell r="D878" t="str">
            <v>NACE O - 81.22 Other building and industrial cleaning activities</v>
          </cell>
        </row>
        <row r="879">
          <cell r="D879" t="str">
            <v>NACE O - 81.23 Other cleaning activities</v>
          </cell>
        </row>
        <row r="880">
          <cell r="D880" t="str">
            <v>NACE O - 81.3 Landscape service activities</v>
          </cell>
        </row>
        <row r="881">
          <cell r="D881" t="str">
            <v>NACE O - 81.30 Landscape service activities</v>
          </cell>
        </row>
        <row r="882">
          <cell r="D882" t="str">
            <v>NACE O - 82 Office administrative, office support and other business support activities</v>
          </cell>
        </row>
        <row r="883">
          <cell r="D883" t="str">
            <v>NACE O - 82.1 Office administrative and support activities</v>
          </cell>
        </row>
        <row r="884">
          <cell r="D884" t="str">
            <v>NACE O - 82.10 Office administrative and support activities</v>
          </cell>
        </row>
        <row r="885">
          <cell r="D885" t="str">
            <v>NACE O - 82.2 Activities of call centres</v>
          </cell>
        </row>
        <row r="886">
          <cell r="D886" t="str">
            <v>NACE O - 82.20 Activities of call centres</v>
          </cell>
        </row>
        <row r="887">
          <cell r="D887" t="str">
            <v>NACE O - 82.3 Organisation of conventions and trade shows</v>
          </cell>
        </row>
        <row r="888">
          <cell r="D888" t="str">
            <v>NACE O - 82.30 Organisation of conventions and trade shows</v>
          </cell>
        </row>
        <row r="889">
          <cell r="D889" t="str">
            <v>NACE O - 82.4 Intermediation service activities for business support service activities n.e.c.</v>
          </cell>
        </row>
        <row r="890">
          <cell r="D890" t="str">
            <v>NACE O - 82.40 Intermediation service activities for business support service activities n.e.c.</v>
          </cell>
        </row>
        <row r="891">
          <cell r="D891" t="str">
            <v>NACE O - 82.9 Business support service activities n.e.c.</v>
          </cell>
        </row>
        <row r="892">
          <cell r="D892" t="str">
            <v>NACE O - 82.91 Activities of collection agencies and credit bureaus</v>
          </cell>
        </row>
        <row r="893">
          <cell r="D893" t="str">
            <v>NACE O - 82.92 Packaging activities</v>
          </cell>
        </row>
        <row r="894">
          <cell r="D894" t="str">
            <v>NACE O - 82.99 Other business support service activities n.e.c.</v>
          </cell>
        </row>
        <row r="895">
          <cell r="D895" t="str">
            <v>NACE P - PUBLIC ADMINISTRATION AND DEFENCE; COMPULSORY SOCIAL SECURITY</v>
          </cell>
        </row>
        <row r="896">
          <cell r="D896" t="str">
            <v>NACE P - 84 Public administration and defence; compulsory social security</v>
          </cell>
        </row>
        <row r="897">
          <cell r="D897" t="str">
            <v>NACE P - 84.1 Administration of the State and the economic, social and environmental policies of the community</v>
          </cell>
        </row>
        <row r="898">
          <cell r="D898" t="str">
            <v>NACE P - 84.11 General public administration activities</v>
          </cell>
        </row>
        <row r="899">
          <cell r="D899" t="str">
            <v>NACE P - 84.12 Regulation of health care, education, cultural services and other social services</v>
          </cell>
        </row>
        <row r="900">
          <cell r="D900" t="str">
            <v>NACE P - 84.13 Regulation of and contribution to more efficient operation of businesses</v>
          </cell>
        </row>
        <row r="901">
          <cell r="D901" t="str">
            <v>NACE P - 84.2 Provision of services to the community as a whole</v>
          </cell>
        </row>
        <row r="902">
          <cell r="D902" t="str">
            <v>NACE P - 84.21 Foreign affairs</v>
          </cell>
        </row>
        <row r="903">
          <cell r="D903" t="str">
            <v>NACE P - 84.22 Defence activities</v>
          </cell>
        </row>
        <row r="904">
          <cell r="D904" t="str">
            <v>NACE P - 84.23 Justice and judicial activities</v>
          </cell>
        </row>
        <row r="905">
          <cell r="D905" t="str">
            <v>NACE P - 84.24 Public order and safety activities</v>
          </cell>
        </row>
        <row r="906">
          <cell r="D906" t="str">
            <v>NACE P - 84.25 Fire service activities</v>
          </cell>
        </row>
        <row r="907">
          <cell r="D907" t="str">
            <v>NACE P - 84.3 Compulsory social security activities</v>
          </cell>
        </row>
        <row r="908">
          <cell r="D908" t="str">
            <v>NACE P - 84.30 Compulsory social security activities</v>
          </cell>
        </row>
        <row r="909">
          <cell r="D909" t="str">
            <v>NACE Q - EDUCATION</v>
          </cell>
        </row>
        <row r="910">
          <cell r="D910" t="str">
            <v>NACE Q - 85 Education</v>
          </cell>
        </row>
        <row r="911">
          <cell r="D911" t="str">
            <v>NACE Q - 85.1 Pre-primary education</v>
          </cell>
        </row>
        <row r="912">
          <cell r="D912" t="str">
            <v>NACE Q - 85.10 Pre-primary education</v>
          </cell>
        </row>
        <row r="913">
          <cell r="D913" t="str">
            <v>NACE Q - 85.2 Primary education</v>
          </cell>
        </row>
        <row r="914">
          <cell r="D914" t="str">
            <v>NACE Q - 85.20 Primary education</v>
          </cell>
        </row>
        <row r="915">
          <cell r="D915" t="str">
            <v>NACE Q - 85.3 Secondary and post-secondary non-tertiary education</v>
          </cell>
        </row>
        <row r="916">
          <cell r="D916" t="str">
            <v>NACE Q - 85.31 General secondary education</v>
          </cell>
        </row>
        <row r="917">
          <cell r="D917" t="str">
            <v>NACE Q - 85.32 Vocational secondary education</v>
          </cell>
        </row>
        <row r="918">
          <cell r="D918" t="str">
            <v>NACE Q - 85.33 Post-secondary non-tertiary education</v>
          </cell>
        </row>
        <row r="919">
          <cell r="D919" t="str">
            <v>NACE Q - 85.4 Tertiary education</v>
          </cell>
        </row>
        <row r="920">
          <cell r="D920" t="str">
            <v>NACE Q - 85.40 Tertiary education</v>
          </cell>
        </row>
        <row r="921">
          <cell r="D921" t="str">
            <v>NACE Q - 85.5 Other education</v>
          </cell>
        </row>
        <row r="922">
          <cell r="D922" t="str">
            <v>NACE Q - 85.51 Sports and recreation education</v>
          </cell>
        </row>
        <row r="923">
          <cell r="D923" t="str">
            <v>NACE Q - 85.52 Cultural education</v>
          </cell>
        </row>
        <row r="924">
          <cell r="D924" t="str">
            <v>NACE Q - 85.53 Driving school activities</v>
          </cell>
        </row>
        <row r="925">
          <cell r="D925" t="str">
            <v>NACE Q - 85.59 Other education n.e.c.</v>
          </cell>
        </row>
        <row r="926">
          <cell r="D926" t="str">
            <v>NACE Q - 85.6 Educational support activities</v>
          </cell>
        </row>
        <row r="927">
          <cell r="D927" t="str">
            <v>NACE Q - 85.61 Intermediation service activities for courses and tutors</v>
          </cell>
        </row>
        <row r="928">
          <cell r="D928" t="str">
            <v>NACE Q - 85.69 Educational support activities n.e.c.</v>
          </cell>
        </row>
        <row r="929">
          <cell r="D929" t="str">
            <v>NACE R - HUMAN HEALTH AND SOCIAL WORK ACTIVITIES</v>
          </cell>
        </row>
        <row r="930">
          <cell r="D930" t="str">
            <v>NACE R - 86 Human health activities</v>
          </cell>
        </row>
        <row r="931">
          <cell r="D931" t="str">
            <v>NACE R - 86.1 Hospital activities</v>
          </cell>
        </row>
        <row r="932">
          <cell r="D932" t="str">
            <v>NACE R - 86.10 Hospital activities</v>
          </cell>
        </row>
        <row r="933">
          <cell r="D933" t="str">
            <v>NACE R - 86.2 Medical and dental practice activities</v>
          </cell>
        </row>
        <row r="934">
          <cell r="D934" t="str">
            <v>NACE R - 86.21 General medical practice activities</v>
          </cell>
        </row>
        <row r="935">
          <cell r="D935" t="str">
            <v>NACE R - 86.22 Medical specialists activities</v>
          </cell>
        </row>
        <row r="936">
          <cell r="D936" t="str">
            <v>NACE R - 86.23 Dental practice care activities</v>
          </cell>
        </row>
        <row r="937">
          <cell r="D937" t="str">
            <v>NACE R - 86.9 Other human health activities</v>
          </cell>
        </row>
        <row r="938">
          <cell r="D938" t="str">
            <v>NACE R - 86.91 Diagnostic imaging services and medical laboratory activities</v>
          </cell>
        </row>
        <row r="939">
          <cell r="D939" t="str">
            <v>NACE R - 86.92 Patient transportation by ambulance</v>
          </cell>
        </row>
        <row r="940">
          <cell r="D940" t="str">
            <v>NACE R - 86.93 Activities of psychologists and psychotherapists, except medical doctors</v>
          </cell>
        </row>
        <row r="941">
          <cell r="D941" t="str">
            <v>NACE R - 86.94 Nursing and midwifery activities</v>
          </cell>
        </row>
        <row r="942">
          <cell r="D942" t="str">
            <v>NACE R - 86.95 Physiotherapy activities</v>
          </cell>
        </row>
        <row r="943">
          <cell r="D943" t="str">
            <v>NACE R - 86.96 Traditional, complementary and alternative medicine activities</v>
          </cell>
        </row>
        <row r="944">
          <cell r="D944" t="str">
            <v>NACE R - 86.97 Intermediation service activities for medical, dental and other human health services</v>
          </cell>
        </row>
        <row r="945">
          <cell r="D945" t="str">
            <v>NACE R - 86.99 Other human health activities n.e.c.</v>
          </cell>
        </row>
        <row r="946">
          <cell r="D946" t="str">
            <v>NACE R - 87 Residential care activities</v>
          </cell>
        </row>
        <row r="947">
          <cell r="D947" t="str">
            <v>NACE R - 87.1 Residential nursing care activities</v>
          </cell>
        </row>
        <row r="948">
          <cell r="D948" t="str">
            <v>NACE R - 87.10 Residential nursing care activities</v>
          </cell>
        </row>
        <row r="949">
          <cell r="D949" t="str">
            <v>NACE R - 87.2 Residential care activities for persons living with or having a diagnosis of a mental illness or substance abuse</v>
          </cell>
        </row>
        <row r="950">
          <cell r="D950" t="str">
            <v>NACE R - 87.20 Residential care activities for persons living with or having a diagnosis of a mental illness or substance abuse</v>
          </cell>
        </row>
        <row r="951">
          <cell r="D951" t="str">
            <v>NACE R - 87.3 Residential care activities for older persons or persons with physical disabilities</v>
          </cell>
        </row>
        <row r="952">
          <cell r="D952" t="str">
            <v>NACE R - 87.30 Residential care activities for older persons or persons with physical disabilities</v>
          </cell>
        </row>
        <row r="953">
          <cell r="D953" t="str">
            <v>NACE R - 87.9 Other residential care activities</v>
          </cell>
        </row>
        <row r="954">
          <cell r="D954" t="str">
            <v>NACE R - 87.91 Intermediation service activities for residential care activities</v>
          </cell>
        </row>
        <row r="955">
          <cell r="D955" t="str">
            <v>NACE R - 87.99 Other residential care activities n.e.c.</v>
          </cell>
        </row>
        <row r="956">
          <cell r="D956" t="str">
            <v>NACE R - 88 Social work activities without accommodation</v>
          </cell>
        </row>
        <row r="957">
          <cell r="D957" t="str">
            <v>NACE R - 88.1 Social work activities without accommodation for older persons or persons with disabilities</v>
          </cell>
        </row>
        <row r="958">
          <cell r="D958" t="str">
            <v>NACE R - 88.10 Social work activities without accommodation for older persons or persons with disabilities</v>
          </cell>
        </row>
        <row r="959">
          <cell r="D959" t="str">
            <v>NACE R - 88.9 Other social work activities without accommodation</v>
          </cell>
        </row>
        <row r="960">
          <cell r="D960" t="str">
            <v>NACE R - 88.91 Child day-care activities</v>
          </cell>
        </row>
        <row r="961">
          <cell r="D961" t="str">
            <v>NACE R - 88.99 Other social work activities without accommodation n.e.c.</v>
          </cell>
        </row>
        <row r="962">
          <cell r="D962" t="str">
            <v>NACE S - ARTS, SPORTS AND RECREATION</v>
          </cell>
        </row>
        <row r="963">
          <cell r="D963" t="str">
            <v>NACE S - 90 Arts creation and performing arts activities</v>
          </cell>
        </row>
        <row r="964">
          <cell r="D964" t="str">
            <v>NACE S - 90.1 Arts creation activities</v>
          </cell>
        </row>
        <row r="965">
          <cell r="D965" t="str">
            <v>NACE S - 90.11 Literary creation and musical composition activities</v>
          </cell>
        </row>
        <row r="966">
          <cell r="D966" t="str">
            <v>NACE S - 90.12 Visual arts creation activities</v>
          </cell>
        </row>
        <row r="967">
          <cell r="D967" t="str">
            <v>NACE S - 90.13 Other arts creation activities</v>
          </cell>
        </row>
        <row r="968">
          <cell r="D968" t="str">
            <v>NACE S - 90.2 Activities of performing arts</v>
          </cell>
        </row>
        <row r="969">
          <cell r="D969" t="str">
            <v>NACE S - 90.20 Activities of performing arts</v>
          </cell>
        </row>
        <row r="970">
          <cell r="D970" t="str">
            <v>NACE S - 90.3 Support activities to arts creation and performing arts</v>
          </cell>
        </row>
        <row r="971">
          <cell r="D971" t="str">
            <v>NACE S - 90.31 Operation of arts facilities and sites</v>
          </cell>
        </row>
        <row r="972">
          <cell r="D972" t="str">
            <v>NACE S - 90.39 Other support activities to arts and performing arts</v>
          </cell>
        </row>
        <row r="973">
          <cell r="D973" t="str">
            <v>NACE S - 91 Libraries, archives, museums and other cultural activities</v>
          </cell>
        </row>
        <row r="974">
          <cell r="D974" t="str">
            <v>NACE S - 91.1 Library and archive activities</v>
          </cell>
        </row>
        <row r="975">
          <cell r="D975" t="str">
            <v>NACE S - 91.11 Library activities</v>
          </cell>
        </row>
        <row r="976">
          <cell r="D976" t="str">
            <v>NACE S - 91.12 Archive activities</v>
          </cell>
        </row>
        <row r="977">
          <cell r="D977" t="str">
            <v>NACE S - 91.2 Museum, collection, historical site and monument activities</v>
          </cell>
        </row>
        <row r="978">
          <cell r="D978" t="str">
            <v>NACE S - 91.21 Museum and collection activities</v>
          </cell>
        </row>
        <row r="979">
          <cell r="D979" t="str">
            <v>NACE S - 91.22 Historical site and monument activities</v>
          </cell>
        </row>
        <row r="980">
          <cell r="D980" t="str">
            <v>NACE S - 91.3 Conservation, restoration and other support activities for cultural heritage</v>
          </cell>
        </row>
        <row r="981">
          <cell r="D981" t="str">
            <v>NACE S - 91.30 Conservation, restoration and other support activities for cultural heritage</v>
          </cell>
        </row>
        <row r="982">
          <cell r="D982" t="str">
            <v>NACE S - 91.4 Botanical and zoological garden and nature reserve activities</v>
          </cell>
        </row>
        <row r="983">
          <cell r="D983" t="str">
            <v>NACE S - 91.41 Botanical and zoological garden activities</v>
          </cell>
        </row>
        <row r="984">
          <cell r="D984" t="str">
            <v>NACE S - 91.42 Nature reserve activities</v>
          </cell>
        </row>
        <row r="985">
          <cell r="D985" t="str">
            <v>NACE S - 92 Gambling and betting activities</v>
          </cell>
        </row>
        <row r="986">
          <cell r="D986" t="str">
            <v>NACE S - 92.0 Gambling and betting activities</v>
          </cell>
        </row>
        <row r="987">
          <cell r="D987" t="str">
            <v>NACE S - 92.00 Gambling and betting activities</v>
          </cell>
        </row>
        <row r="988">
          <cell r="D988" t="str">
            <v>NACE S - 93 Sports activities and amusement and recreation activities</v>
          </cell>
        </row>
        <row r="989">
          <cell r="D989" t="str">
            <v>NACE S - 93.1 Sports activities</v>
          </cell>
        </row>
        <row r="990">
          <cell r="D990" t="str">
            <v>NACE S - 93.11 Operation of sports facilities</v>
          </cell>
        </row>
        <row r="991">
          <cell r="D991" t="str">
            <v>NACE S - 93.12 Activities of sports clubs</v>
          </cell>
        </row>
        <row r="992">
          <cell r="D992" t="str">
            <v>NACE S - 93.13 Activities of fitness centres</v>
          </cell>
        </row>
        <row r="993">
          <cell r="D993" t="str">
            <v>NACE S - 93.19 Sports activities n.e.c.</v>
          </cell>
        </row>
        <row r="994">
          <cell r="D994" t="str">
            <v>NACE S - 93.2 Amusement and recreation activities</v>
          </cell>
        </row>
        <row r="995">
          <cell r="D995" t="str">
            <v>NACE S - 93.21 Activities of amusement parks and theme parks</v>
          </cell>
        </row>
        <row r="996">
          <cell r="D996" t="str">
            <v>NACE S - 93.29 Amusement and recreation activities n.e.c.</v>
          </cell>
        </row>
        <row r="997">
          <cell r="D997" t="str">
            <v>NACE T - OTHER SERVICE ACTIVITIES</v>
          </cell>
        </row>
        <row r="998">
          <cell r="D998" t="str">
            <v>NACE T - 94 Activities of membership organisations</v>
          </cell>
        </row>
        <row r="999">
          <cell r="D999" t="str">
            <v>NACE T - 94.1 Activities of business, employers and professional membership organisations</v>
          </cell>
        </row>
        <row r="1000">
          <cell r="D1000" t="str">
            <v>NACE T - 94.11 Activities of business and employers membership organisations</v>
          </cell>
        </row>
        <row r="1001">
          <cell r="D1001" t="str">
            <v>NACE T - 94.12 Activities of professional membership organisations</v>
          </cell>
        </row>
        <row r="1002">
          <cell r="D1002" t="str">
            <v>NACE T - 94.2 Activities of trade unions</v>
          </cell>
        </row>
        <row r="1003">
          <cell r="D1003" t="str">
            <v>NACE T - 94.20 Activities of trade unions</v>
          </cell>
        </row>
        <row r="1004">
          <cell r="D1004" t="str">
            <v>NACE T - 94.9 Activities of other membership organisations</v>
          </cell>
        </row>
        <row r="1005">
          <cell r="D1005" t="str">
            <v>NACE T - 94.91 Activities of religious organisations</v>
          </cell>
        </row>
        <row r="1006">
          <cell r="D1006" t="str">
            <v>NACE T - 94.92 Activities of political organisations</v>
          </cell>
        </row>
        <row r="1007">
          <cell r="D1007" t="str">
            <v>NACE T - 94.99 Activities of other membership organisations n.e.c.</v>
          </cell>
        </row>
        <row r="1008">
          <cell r="D1008" t="str">
            <v>NACE T - 95 Repair and maintenance of computers, personal and household goods, and motor vehicles and motorcycles</v>
          </cell>
        </row>
        <row r="1009">
          <cell r="D1009" t="str">
            <v>NACE T - 95.1 Repair and maintenance of computers and communication equipment</v>
          </cell>
        </row>
        <row r="1010">
          <cell r="D1010" t="str">
            <v>NACE T - 95.10 Repair and maintenance of computers and communication equipment</v>
          </cell>
        </row>
        <row r="1011">
          <cell r="D1011" t="str">
            <v>NACE T - 95.2 Repair and maintenance of personal and household goods</v>
          </cell>
        </row>
        <row r="1012">
          <cell r="D1012" t="str">
            <v>NACE T - 95.21 Repair and maintenance of consumer electronics</v>
          </cell>
        </row>
        <row r="1013">
          <cell r="D1013" t="str">
            <v>NACE T - 95.22 Repair and maintenance of household appliances and home and garden equipment</v>
          </cell>
        </row>
        <row r="1014">
          <cell r="D1014" t="str">
            <v>NACE T - 95.23 Repair and maintenance of footwear and leather goods</v>
          </cell>
        </row>
        <row r="1015">
          <cell r="D1015" t="str">
            <v>NACE T - 95.24 Repair and maintenance of furniture and home furnishings</v>
          </cell>
        </row>
        <row r="1016">
          <cell r="D1016" t="str">
            <v>NACE T - 95.25 Repair and maintenance of watches, clocks and jewellery</v>
          </cell>
        </row>
        <row r="1017">
          <cell r="D1017" t="str">
            <v>NACE T - 95.29 Repair and maintenance of personal and household goods n.e.c.</v>
          </cell>
        </row>
        <row r="1018">
          <cell r="D1018" t="str">
            <v>NACE T - 95.3 Repair and maintenance of motor vehicles and motorcycles</v>
          </cell>
        </row>
        <row r="1019">
          <cell r="D1019" t="str">
            <v>NACE T - 95.31 Repair and maintenance of motor vehicles</v>
          </cell>
        </row>
        <row r="1020">
          <cell r="D1020" t="str">
            <v>NACE T - 95.32 Repair and maintenance of motorcycles</v>
          </cell>
        </row>
        <row r="1021">
          <cell r="D1021" t="str">
            <v>NACE T - 95.4 Intermediation service activities for repair and maintenance of computers, personal and household goods, and motor vehicles and motorcycles</v>
          </cell>
        </row>
        <row r="1022">
          <cell r="D1022" t="str">
            <v>NACE T - 95.40 Intermediation service activities for repair and maintenance of computers, personal and household goods, and motor vehicles and motorcycles</v>
          </cell>
        </row>
        <row r="1023">
          <cell r="D1023" t="str">
            <v>NACE T - 96 Personal service activities</v>
          </cell>
        </row>
        <row r="1024">
          <cell r="D1024" t="str">
            <v>NACE T - 96.1 Washing and cleaning of textile and fur products</v>
          </cell>
        </row>
        <row r="1025">
          <cell r="D1025" t="str">
            <v>NACE T - 96.10 Washing and cleaning of textile and fur products</v>
          </cell>
        </row>
        <row r="1026">
          <cell r="D1026" t="str">
            <v>NACE T - 96.2 Hairdressing, beauty treatment, day spa and similar activities</v>
          </cell>
        </row>
        <row r="1027">
          <cell r="D1027" t="str">
            <v>NACE T - 96.21 Hairdressing and barber activities</v>
          </cell>
        </row>
        <row r="1028">
          <cell r="D1028" t="str">
            <v>NACE T - 96.22 Beauty care and other beauty treatment activities</v>
          </cell>
        </row>
        <row r="1029">
          <cell r="D1029" t="str">
            <v>NACE T - 96.23 Day spa, sauna and steam bath activities</v>
          </cell>
        </row>
        <row r="1030">
          <cell r="D1030" t="str">
            <v>NACE T - 96.3 Funeral and related activities</v>
          </cell>
        </row>
        <row r="1031">
          <cell r="D1031" t="str">
            <v>NACE T - 96.30 Funeral and related activities</v>
          </cell>
        </row>
        <row r="1032">
          <cell r="D1032" t="str">
            <v>NACE T - 96.4 Intermediation service activities for personal services</v>
          </cell>
        </row>
        <row r="1033">
          <cell r="D1033" t="str">
            <v>NACE T - 96.40 Intermediation service activities for personal services</v>
          </cell>
        </row>
        <row r="1034">
          <cell r="D1034" t="str">
            <v>NACE T - 96.9 Other personal service activities</v>
          </cell>
        </row>
        <row r="1035">
          <cell r="D1035" t="str">
            <v>NACE T - 96.91 Provision of domestic personal service activities</v>
          </cell>
        </row>
        <row r="1036">
          <cell r="D1036" t="str">
            <v>NACE T - 96.99 Other personal service activities n.e.c.</v>
          </cell>
        </row>
        <row r="1037">
          <cell r="D1037" t="str">
            <v>NACE U - ACTIVITIES OF HOUSEHOLDS AS EMPLOYERS AND UNDIFFERENTIATED GOODS – AND SERVICE-PRODUCING ACTIVITIES OF HOUSEHOLDS FOR OWN USE</v>
          </cell>
        </row>
        <row r="1038">
          <cell r="D1038" t="str">
            <v>NACE U - 97 Activities of households as employers of domestic personnel</v>
          </cell>
        </row>
        <row r="1039">
          <cell r="D1039" t="str">
            <v>NACE U - 97.0 Activities of households as employers of domestic personnel</v>
          </cell>
        </row>
        <row r="1040">
          <cell r="D1040" t="str">
            <v>NACE U - 97.00 Activities of households as employers of domestic personnel</v>
          </cell>
        </row>
        <row r="1041">
          <cell r="D1041" t="str">
            <v>NACE U - 98 Undifferentiated goods- and service-producing activities of private households for own use</v>
          </cell>
        </row>
        <row r="1042">
          <cell r="D1042" t="str">
            <v>NACE U - 98.1 Undifferentiated goods-producing activities of private households for own use</v>
          </cell>
        </row>
        <row r="1043">
          <cell r="D1043" t="str">
            <v>NACE U - 98.10 Undifferentiated goods-producing activities of private households for own use</v>
          </cell>
        </row>
        <row r="1044">
          <cell r="D1044" t="str">
            <v>NACE U - 98.2 Undifferentiated service-producing activities of private households for own use</v>
          </cell>
        </row>
        <row r="1045">
          <cell r="D1045" t="str">
            <v>NACE U - 98.20 Undifferentiated service-producing activities of private households for own use</v>
          </cell>
        </row>
        <row r="1046">
          <cell r="D1046" t="str">
            <v>NACE V - ACTIVITIES OF EXTRATERRITORIAL ORGANISATIONS AND BODIES</v>
          </cell>
        </row>
        <row r="1047">
          <cell r="D1047" t="str">
            <v>NACE V - 99 Activities of extraterritorial organisations and bodies</v>
          </cell>
        </row>
        <row r="1048">
          <cell r="D1048" t="str">
            <v>NACE V - 99.0 Activities of extraterritorial organisations and bodies</v>
          </cell>
        </row>
        <row r="1049">
          <cell r="D1049" t="str">
            <v>NACE V - 99.00 Activities of extraterritorial organisations and bodies</v>
          </cell>
        </row>
      </sheetData>
      <sheetData sheetId="12">
        <row r="1">
          <cell r="B1" t="str">
            <v>from 2024-01-01 to 2024-12-31</v>
          </cell>
        </row>
        <row r="2">
          <cell r="B2" t="str">
            <v>at 2024-12-31</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3" Type="http://schemas.openxmlformats.org/officeDocument/2006/relationships/drawing" Target="../drawings/drawing2.xml"/><Relationship Id="rId5" Type="http://schemas.openxmlformats.org/officeDocument/2006/relationships/hyperlink" Target="https://xbrl.efrag.org/eng/interactive/vsme/vsme-standard-annex-i/2025-07-30-ec-rec/24/b"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printerSettings" Target="../printerSettings/printerSettings2.bin"/><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hyperlink" Target="http://www.test.report.com/" TargetMode="External"/><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36" TargetMode="External"/><Relationship Id="rId47" Type="http://schemas.openxmlformats.org/officeDocument/2006/relationships/hyperlink" Target="https://xbrl.efrag.org/eng/interactive/vsme/vsme-standard-annex-i/2025-07-30-ec-rec/54/e" TargetMode="External"/><Relationship Id="rId63" Type="http://schemas.openxmlformats.org/officeDocument/2006/relationships/hyperlink" Target="https://xbrl.efrag.org/eng/interactive/vsme/vsme-guidance-annex-ii/2025-07-30-ec-rec/152-158" TargetMode="External"/><Relationship Id="rId68" Type="http://schemas.openxmlformats.org/officeDocument/2006/relationships/hyperlink" Target="https://xbrl.efrag.org/eng/interactive/vsme/vsme-guidance-annex-ii/2025-07-30-ec-rec/70-73" TargetMode="External"/><Relationship Id="rId84" Type="http://schemas.openxmlformats.org/officeDocument/2006/relationships/hyperlink" Target="https://xbrl.efrag.org/eng/interactive/vsme/vsme-guidance-annex-ii/2025-07-30-ec-rec/164-16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ng/interactive/vsme/vsme-standard-annex-i/2025-07-30-ec-rec/54/d" TargetMode="External"/><Relationship Id="rId53" Type="http://schemas.openxmlformats.org/officeDocument/2006/relationships/hyperlink" Target="https://xbrl.efrag.org/eng/interactive/vsme/vsme-standard-annex-i/2025-07-30-ec-rec/35"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guidance-annex-ii/2025-07-30-ec-rec/108-109" TargetMode="External"/><Relationship Id="rId79" Type="http://schemas.openxmlformats.org/officeDocument/2006/relationships/hyperlink" Target="https://xbrl.efrag.org/eng/interactive/vsme/vsme-guidance-annex-ii/2025-07-30-ec-rec/164-166"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29" TargetMode="External"/><Relationship Id="rId48" Type="http://schemas.openxmlformats.org/officeDocument/2006/relationships/hyperlink" Target="https://xbrl.efrag.org/eng/interactive/vsme/vsme-standard-annex-i/2025-07-30-ec-rec/56" TargetMode="External"/><Relationship Id="rId56" Type="http://schemas.openxmlformats.org/officeDocument/2006/relationships/hyperlink" Target="https://xbrl.efrag.org/eng/interactive/vsme/vsme-standard-annex-i/2025-07-30-ec-rec/38/c" TargetMode="External"/><Relationship Id="rId64" Type="http://schemas.openxmlformats.org/officeDocument/2006/relationships/hyperlink" Target="https://xbrl.efrag.org/eng/interactive/vsme/vsme-guidance-annex-ii/2025-07-30-ec-rec/150-151" TargetMode="External"/><Relationship Id="rId69" Type="http://schemas.openxmlformats.org/officeDocument/2006/relationships/hyperlink" Target="https://xbrl.efrag.org/eng/interactive/vsme/vsme-guidance-annex-ii/2025-07-30-ec-rec/74-76" TargetMode="External"/><Relationship Id="rId77"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3" TargetMode="External"/><Relationship Id="rId72" Type="http://schemas.openxmlformats.org/officeDocument/2006/relationships/hyperlink" Target="https://xbrl.efrag.org/eng/interactive/vsme/vsme-guidance-annex-ii/2025-07-30-ec-rec/94" TargetMode="External"/><Relationship Id="rId80" Type="http://schemas.openxmlformats.org/officeDocument/2006/relationships/hyperlink" Target="https://xbrl.efrag.org/eng/interactive/vsme/vsme-guidance-annex-ii/2025-07-30-ec-rec/160-163" TargetMode="External"/><Relationship Id="rId85" Type="http://schemas.openxmlformats.org/officeDocument/2006/relationships/printerSettings" Target="../printerSettings/printerSettings3.bin"/><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0-53" TargetMode="External"/><Relationship Id="rId59" Type="http://schemas.openxmlformats.org/officeDocument/2006/relationships/hyperlink" Target="https://xbrl.efrag.org/eng/interactive/vsme/vsme-guidance-annex-ii/2025-07-30-ec-rec/18-25" TargetMode="External"/><Relationship Id="rId67" Type="http://schemas.openxmlformats.org/officeDocument/2006/relationships/hyperlink" Target="https://xbrl.efrag.org/eng/interactive/vsme/vsme-guidance-annex-ii/2025-07-30-ec-rec/46-69"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guidance-annex-ii/2025-07-30-ec-rec/160-163" TargetMode="External"/><Relationship Id="rId54" Type="http://schemas.openxmlformats.org/officeDocument/2006/relationships/hyperlink" Target="https://xbrl.efrag.org/eng/interactive/vsme/vsme-standard-annex-i/2025-07-30-ec-rec/37"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1-93" TargetMode="External"/><Relationship Id="rId75" Type="http://schemas.openxmlformats.org/officeDocument/2006/relationships/hyperlink" Target="https://xbrl.efrag.org/eng/interactive/vsme/vsme-standard-annex-i/2025-07-30-ec-rec/55" TargetMode="External"/><Relationship Id="rId83" Type="http://schemas.openxmlformats.org/officeDocument/2006/relationships/hyperlink" Target="https://xbrl.efrag.org/eng/interactive/vsme/vsme-guidance-annex-ii/2025-07-30-ec-rec/164-16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ng/interactive/vsme/vsme-standard-annex-i/2025-07-30-ec-rec/31" TargetMode="External"/><Relationship Id="rId57" Type="http://schemas.openxmlformats.org/officeDocument/2006/relationships/hyperlink" Target="https://xbrl.efrag.org/eng/interactive/vsme/vsme-standard-annex-i/2025-07-30-ec-rec/10"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30" TargetMode="External"/><Relationship Id="rId52" Type="http://schemas.openxmlformats.org/officeDocument/2006/relationships/hyperlink" Target="https://xbrl.efrag.org/eng/interactive/vsme/vsme-standard-annex-i/2025-07-30-ec-rec/34" TargetMode="External"/><Relationship Id="rId60" Type="http://schemas.openxmlformats.org/officeDocument/2006/relationships/hyperlink" Target="https://xbrl.efrag.org/eng/interactive/vsme/vsme-guidance-annex-ii/2025-07-30-ec-rec/26-45" TargetMode="External"/><Relationship Id="rId65" Type="http://schemas.openxmlformats.org/officeDocument/2006/relationships/hyperlink" Target="https://xbrl.efrag.org/eng/interactive/vsme/vsme-guidance-annex-ii/2025-07-30-ec-rec/159" TargetMode="External"/><Relationship Id="rId73" Type="http://schemas.openxmlformats.org/officeDocument/2006/relationships/hyperlink" Target="https://xbrl.efrag.org/eng/interactive/vsme/vsme-guidance-annex-ii/2025-07-30-ec-rec/95-107" TargetMode="External"/><Relationship Id="rId78" Type="http://schemas.openxmlformats.org/officeDocument/2006/relationships/hyperlink" Target="https://xbrl.efrag.org/eng/interactive/vsme/vsme-standard-annex-i/2025-07-30-ec-rec/29" TargetMode="External"/><Relationship Id="rId81" Type="http://schemas.openxmlformats.org/officeDocument/2006/relationships/hyperlink" Target="https://xbrl.efrag.org/eng/interactive/vsme/vsme-guidance-annex-ii/2025-07-30-ec-rec/160-163" TargetMode="External"/><Relationship Id="rId86" Type="http://schemas.openxmlformats.org/officeDocument/2006/relationships/drawing" Target="../drawings/drawing3.xm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2" TargetMode="External"/><Relationship Id="rId55" Type="http://schemas.openxmlformats.org/officeDocument/2006/relationships/hyperlink" Target="https://xbrl.efrag.org/eng/interactive/vsme/vsme-standard-annex-i/2025-07-30-ec-rec/38/a-b" TargetMode="External"/><Relationship Id="rId76" Type="http://schemas.openxmlformats.org/officeDocument/2006/relationships/hyperlink" Target="https://xbrl.efrag.org/eng/interactive/vsme/vsme-standard-annex-i/2025-07-30-ec-rec/55"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77-90"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standard-annex-i/2025-07-30-ec-rec/55" TargetMode="External"/><Relationship Id="rId45" Type="http://schemas.openxmlformats.org/officeDocument/2006/relationships/hyperlink" Target="https://xbrl.efrag.org/eng/interactive/vsme/vsme-standard-annex-i/2025-07-30-ec-rec/54/b" TargetMode="External"/><Relationship Id="rId66" Type="http://schemas.openxmlformats.org/officeDocument/2006/relationships/hyperlink" Target="https://knowledgehub.efrag.org/eng/interactive/vsme/vsme-guidance-annex-ii/2025-07-30-ec-rec/160-163"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DD848-FD0B-46F4-9916-5817A4E0AF86}">
  <dimension ref="B1:W32"/>
  <sheetViews>
    <sheetView zoomScaleNormal="100" workbookViewId="0"/>
  </sheetViews>
  <sheetFormatPr defaultColWidth="8.88671875" defaultRowHeight="14.4" x14ac:dyDescent="0.3"/>
  <cols>
    <col min="1" max="12" width="8.88671875" style="486"/>
    <col min="13" max="13" width="9.21875" style="486" customWidth="1"/>
    <col min="14" max="16384" width="8.88671875" style="486"/>
  </cols>
  <sheetData>
    <row r="1" spans="2:23" ht="15" thickBot="1" x14ac:dyDescent="0.35"/>
    <row r="2" spans="2:23" x14ac:dyDescent="0.3">
      <c r="B2" s="488" t="s">
        <v>7613</v>
      </c>
      <c r="C2" s="489"/>
      <c r="D2" s="489"/>
      <c r="E2" s="489"/>
      <c r="F2" s="489"/>
      <c r="G2" s="489"/>
      <c r="H2" s="489"/>
      <c r="I2" s="489"/>
      <c r="J2" s="489"/>
      <c r="K2" s="489"/>
      <c r="L2" s="489"/>
      <c r="M2" s="489"/>
      <c r="N2" s="489"/>
      <c r="O2" s="489"/>
      <c r="P2" s="489"/>
      <c r="Q2" s="489"/>
      <c r="R2" s="489"/>
      <c r="S2" s="489"/>
      <c r="T2" s="489"/>
      <c r="U2" s="489"/>
      <c r="V2" s="489"/>
      <c r="W2" s="490"/>
    </row>
    <row r="3" spans="2:23" x14ac:dyDescent="0.3">
      <c r="B3" s="491"/>
      <c r="C3" s="492"/>
      <c r="D3" s="492"/>
      <c r="E3" s="492"/>
      <c r="F3" s="492"/>
      <c r="G3" s="492"/>
      <c r="H3" s="492"/>
      <c r="I3" s="492"/>
      <c r="J3" s="492"/>
      <c r="K3" s="492"/>
      <c r="L3" s="492"/>
      <c r="M3" s="492"/>
      <c r="N3" s="492"/>
      <c r="O3" s="492"/>
      <c r="P3" s="492"/>
      <c r="Q3" s="492"/>
      <c r="R3" s="492"/>
      <c r="S3" s="492"/>
      <c r="T3" s="492"/>
      <c r="U3" s="492"/>
      <c r="V3" s="492"/>
      <c r="W3" s="493"/>
    </row>
    <row r="4" spans="2:23" x14ac:dyDescent="0.3">
      <c r="B4" s="491"/>
      <c r="C4" s="492"/>
      <c r="D4" s="492"/>
      <c r="E4" s="492"/>
      <c r="F4" s="492"/>
      <c r="G4" s="492"/>
      <c r="H4" s="492"/>
      <c r="I4" s="492"/>
      <c r="J4" s="492"/>
      <c r="K4" s="492"/>
      <c r="L4" s="492"/>
      <c r="M4" s="492"/>
      <c r="N4" s="492"/>
      <c r="O4" s="492"/>
      <c r="P4" s="492"/>
      <c r="Q4" s="492"/>
      <c r="R4" s="492"/>
      <c r="S4" s="492"/>
      <c r="T4" s="492"/>
      <c r="U4" s="492"/>
      <c r="V4" s="492"/>
      <c r="W4" s="493"/>
    </row>
    <row r="5" spans="2:23" x14ac:dyDescent="0.3">
      <c r="B5" s="491"/>
      <c r="C5" s="492"/>
      <c r="D5" s="492"/>
      <c r="E5" s="492"/>
      <c r="F5" s="492"/>
      <c r="G5" s="492"/>
      <c r="H5" s="492"/>
      <c r="I5" s="492"/>
      <c r="J5" s="492"/>
      <c r="K5" s="492"/>
      <c r="L5" s="492"/>
      <c r="M5" s="492"/>
      <c r="N5" s="492"/>
      <c r="O5" s="492"/>
      <c r="P5" s="492"/>
      <c r="Q5" s="492"/>
      <c r="R5" s="492"/>
      <c r="S5" s="492"/>
      <c r="T5" s="492"/>
      <c r="U5" s="492"/>
      <c r="V5" s="492"/>
      <c r="W5" s="493"/>
    </row>
    <row r="6" spans="2:23" x14ac:dyDescent="0.3">
      <c r="B6" s="491"/>
      <c r="C6" s="492"/>
      <c r="D6" s="492"/>
      <c r="E6" s="492"/>
      <c r="F6" s="492"/>
      <c r="G6" s="492"/>
      <c r="H6" s="492"/>
      <c r="I6" s="492"/>
      <c r="J6" s="492"/>
      <c r="K6" s="492"/>
      <c r="L6" s="492"/>
      <c r="M6" s="492"/>
      <c r="N6" s="492"/>
      <c r="O6" s="492"/>
      <c r="P6" s="492"/>
      <c r="Q6" s="492"/>
      <c r="R6" s="492"/>
      <c r="S6" s="492"/>
      <c r="T6" s="492"/>
      <c r="U6" s="492"/>
      <c r="V6" s="492"/>
      <c r="W6" s="493"/>
    </row>
    <row r="7" spans="2:23" x14ac:dyDescent="0.3">
      <c r="B7" s="491"/>
      <c r="C7" s="492"/>
      <c r="D7" s="492"/>
      <c r="E7" s="492"/>
      <c r="F7" s="492"/>
      <c r="G7" s="492"/>
      <c r="H7" s="492"/>
      <c r="I7" s="492"/>
      <c r="J7" s="492"/>
      <c r="K7" s="492"/>
      <c r="L7" s="492"/>
      <c r="M7" s="492"/>
      <c r="N7" s="492"/>
      <c r="O7" s="492"/>
      <c r="P7" s="492"/>
      <c r="Q7" s="492"/>
      <c r="R7" s="492"/>
      <c r="S7" s="492"/>
      <c r="T7" s="492"/>
      <c r="U7" s="492"/>
      <c r="V7" s="492"/>
      <c r="W7" s="493"/>
    </row>
    <row r="8" spans="2:23" x14ac:dyDescent="0.3">
      <c r="B8" s="491"/>
      <c r="C8" s="492"/>
      <c r="D8" s="492"/>
      <c r="E8" s="492"/>
      <c r="F8" s="492"/>
      <c r="G8" s="492"/>
      <c r="H8" s="492"/>
      <c r="I8" s="492"/>
      <c r="J8" s="492"/>
      <c r="K8" s="492"/>
      <c r="L8" s="492"/>
      <c r="M8" s="492"/>
      <c r="N8" s="492"/>
      <c r="O8" s="492"/>
      <c r="P8" s="492"/>
      <c r="Q8" s="492"/>
      <c r="R8" s="492"/>
      <c r="S8" s="492"/>
      <c r="T8" s="492"/>
      <c r="U8" s="492"/>
      <c r="V8" s="492"/>
      <c r="W8" s="493"/>
    </row>
    <row r="9" spans="2:23" x14ac:dyDescent="0.3">
      <c r="B9" s="491"/>
      <c r="C9" s="492"/>
      <c r="D9" s="492"/>
      <c r="E9" s="492"/>
      <c r="F9" s="492"/>
      <c r="G9" s="492"/>
      <c r="H9" s="492"/>
      <c r="I9" s="492"/>
      <c r="J9" s="492"/>
      <c r="K9" s="492"/>
      <c r="L9" s="492"/>
      <c r="M9" s="492"/>
      <c r="N9" s="492"/>
      <c r="O9" s="492"/>
      <c r="P9" s="492"/>
      <c r="Q9" s="492"/>
      <c r="R9" s="492"/>
      <c r="S9" s="492"/>
      <c r="T9" s="492"/>
      <c r="U9" s="492"/>
      <c r="V9" s="492"/>
      <c r="W9" s="493"/>
    </row>
    <row r="10" spans="2:23" x14ac:dyDescent="0.3">
      <c r="B10" s="491"/>
      <c r="C10" s="492"/>
      <c r="D10" s="492"/>
      <c r="E10" s="492"/>
      <c r="F10" s="492"/>
      <c r="G10" s="492"/>
      <c r="H10" s="492"/>
      <c r="I10" s="492"/>
      <c r="J10" s="492"/>
      <c r="K10" s="492"/>
      <c r="L10" s="492"/>
      <c r="M10" s="492"/>
      <c r="N10" s="492"/>
      <c r="O10" s="492"/>
      <c r="P10" s="492"/>
      <c r="Q10" s="492"/>
      <c r="R10" s="492"/>
      <c r="S10" s="492"/>
      <c r="T10" s="492"/>
      <c r="U10" s="492"/>
      <c r="V10" s="492"/>
      <c r="W10" s="493"/>
    </row>
    <row r="11" spans="2:23" x14ac:dyDescent="0.3">
      <c r="B11" s="491"/>
      <c r="C11" s="492"/>
      <c r="D11" s="492"/>
      <c r="E11" s="492"/>
      <c r="F11" s="492"/>
      <c r="G11" s="492"/>
      <c r="H11" s="492"/>
      <c r="I11" s="492"/>
      <c r="J11" s="492"/>
      <c r="K11" s="492"/>
      <c r="L11" s="492"/>
      <c r="M11" s="492"/>
      <c r="N11" s="492"/>
      <c r="O11" s="492"/>
      <c r="P11" s="492"/>
      <c r="Q11" s="492"/>
      <c r="R11" s="492"/>
      <c r="S11" s="492"/>
      <c r="T11" s="492"/>
      <c r="U11" s="492"/>
      <c r="V11" s="492"/>
      <c r="W11" s="493"/>
    </row>
    <row r="12" spans="2:23" x14ac:dyDescent="0.3">
      <c r="B12" s="491"/>
      <c r="C12" s="492"/>
      <c r="D12" s="492"/>
      <c r="E12" s="492"/>
      <c r="F12" s="492"/>
      <c r="G12" s="492"/>
      <c r="H12" s="492"/>
      <c r="I12" s="492"/>
      <c r="J12" s="492"/>
      <c r="K12" s="492"/>
      <c r="L12" s="492"/>
      <c r="M12" s="492"/>
      <c r="N12" s="492"/>
      <c r="O12" s="492"/>
      <c r="P12" s="492"/>
      <c r="Q12" s="492"/>
      <c r="R12" s="492"/>
      <c r="S12" s="492"/>
      <c r="T12" s="492"/>
      <c r="U12" s="492"/>
      <c r="V12" s="492"/>
      <c r="W12" s="493"/>
    </row>
    <row r="13" spans="2:23" x14ac:dyDescent="0.3">
      <c r="B13" s="491"/>
      <c r="C13" s="492"/>
      <c r="D13" s="492"/>
      <c r="E13" s="492"/>
      <c r="F13" s="492"/>
      <c r="G13" s="492"/>
      <c r="H13" s="492"/>
      <c r="I13" s="492"/>
      <c r="J13" s="492"/>
      <c r="K13" s="492"/>
      <c r="L13" s="492"/>
      <c r="M13" s="492"/>
      <c r="N13" s="492"/>
      <c r="O13" s="492"/>
      <c r="P13" s="492"/>
      <c r="Q13" s="492"/>
      <c r="R13" s="492"/>
      <c r="S13" s="492"/>
      <c r="T13" s="492"/>
      <c r="U13" s="492"/>
      <c r="V13" s="492"/>
      <c r="W13" s="493"/>
    </row>
    <row r="14" spans="2:23" x14ac:dyDescent="0.3">
      <c r="B14" s="491"/>
      <c r="C14" s="492"/>
      <c r="D14" s="492"/>
      <c r="E14" s="492"/>
      <c r="F14" s="492"/>
      <c r="G14" s="492"/>
      <c r="H14" s="492"/>
      <c r="I14" s="492"/>
      <c r="J14" s="492"/>
      <c r="K14" s="492"/>
      <c r="L14" s="492"/>
      <c r="M14" s="492"/>
      <c r="N14" s="492"/>
      <c r="O14" s="492"/>
      <c r="P14" s="492"/>
      <c r="Q14" s="492"/>
      <c r="R14" s="492"/>
      <c r="S14" s="492"/>
      <c r="T14" s="492"/>
      <c r="U14" s="492"/>
      <c r="V14" s="492"/>
      <c r="W14" s="493"/>
    </row>
    <row r="15" spans="2:23" x14ac:dyDescent="0.3">
      <c r="B15" s="491"/>
      <c r="C15" s="492"/>
      <c r="D15" s="492"/>
      <c r="E15" s="492"/>
      <c r="F15" s="492"/>
      <c r="G15" s="492"/>
      <c r="H15" s="492"/>
      <c r="I15" s="492"/>
      <c r="J15" s="492"/>
      <c r="K15" s="492"/>
      <c r="L15" s="492"/>
      <c r="M15" s="492"/>
      <c r="N15" s="492"/>
      <c r="O15" s="492"/>
      <c r="P15" s="492"/>
      <c r="Q15" s="492"/>
      <c r="R15" s="492"/>
      <c r="S15" s="492"/>
      <c r="T15" s="492"/>
      <c r="U15" s="492"/>
      <c r="V15" s="492"/>
      <c r="W15" s="493"/>
    </row>
    <row r="16" spans="2:23" x14ac:dyDescent="0.3">
      <c r="B16" s="491"/>
      <c r="C16" s="492"/>
      <c r="D16" s="492"/>
      <c r="E16" s="492"/>
      <c r="F16" s="492"/>
      <c r="G16" s="492"/>
      <c r="H16" s="492"/>
      <c r="I16" s="492"/>
      <c r="J16" s="492"/>
      <c r="K16" s="492"/>
      <c r="L16" s="492"/>
      <c r="M16" s="492"/>
      <c r="N16" s="492"/>
      <c r="O16" s="492"/>
      <c r="P16" s="492"/>
      <c r="Q16" s="492"/>
      <c r="R16" s="492"/>
      <c r="S16" s="492"/>
      <c r="T16" s="492"/>
      <c r="U16" s="492"/>
      <c r="V16" s="492"/>
      <c r="W16" s="493"/>
    </row>
    <row r="17" spans="2:23" x14ac:dyDescent="0.3">
      <c r="B17" s="491"/>
      <c r="C17" s="492"/>
      <c r="D17" s="492"/>
      <c r="E17" s="492"/>
      <c r="F17" s="492"/>
      <c r="G17" s="492"/>
      <c r="H17" s="492"/>
      <c r="I17" s="492"/>
      <c r="J17" s="492"/>
      <c r="K17" s="492"/>
      <c r="L17" s="492"/>
      <c r="M17" s="492"/>
      <c r="N17" s="492"/>
      <c r="O17" s="492"/>
      <c r="P17" s="492"/>
      <c r="Q17" s="492"/>
      <c r="R17" s="492"/>
      <c r="S17" s="492"/>
      <c r="T17" s="492"/>
      <c r="U17" s="492"/>
      <c r="V17" s="492"/>
      <c r="W17" s="493"/>
    </row>
    <row r="18" spans="2:23" x14ac:dyDescent="0.3">
      <c r="B18" s="491"/>
      <c r="C18" s="492"/>
      <c r="D18" s="492"/>
      <c r="E18" s="492"/>
      <c r="F18" s="492"/>
      <c r="G18" s="492"/>
      <c r="H18" s="492"/>
      <c r="I18" s="492"/>
      <c r="J18" s="492"/>
      <c r="K18" s="492"/>
      <c r="L18" s="492"/>
      <c r="M18" s="492"/>
      <c r="N18" s="492"/>
      <c r="O18" s="492"/>
      <c r="P18" s="492"/>
      <c r="Q18" s="492"/>
      <c r="R18" s="492"/>
      <c r="S18" s="492"/>
      <c r="T18" s="492"/>
      <c r="U18" s="492"/>
      <c r="V18" s="492"/>
      <c r="W18" s="493"/>
    </row>
    <row r="19" spans="2:23" x14ac:dyDescent="0.3">
      <c r="B19" s="491"/>
      <c r="C19" s="492"/>
      <c r="D19" s="492"/>
      <c r="E19" s="492"/>
      <c r="F19" s="492"/>
      <c r="G19" s="492"/>
      <c r="H19" s="492"/>
      <c r="I19" s="492"/>
      <c r="J19" s="492"/>
      <c r="K19" s="492"/>
      <c r="L19" s="492"/>
      <c r="M19" s="492"/>
      <c r="N19" s="492"/>
      <c r="O19" s="492"/>
      <c r="P19" s="492"/>
      <c r="Q19" s="492"/>
      <c r="R19" s="492"/>
      <c r="S19" s="492"/>
      <c r="T19" s="492"/>
      <c r="U19" s="492"/>
      <c r="V19" s="492"/>
      <c r="W19" s="493"/>
    </row>
    <row r="20" spans="2:23" x14ac:dyDescent="0.3">
      <c r="B20" s="491"/>
      <c r="C20" s="492"/>
      <c r="D20" s="492"/>
      <c r="E20" s="492"/>
      <c r="F20" s="492"/>
      <c r="G20" s="492"/>
      <c r="H20" s="492"/>
      <c r="I20" s="492"/>
      <c r="J20" s="492"/>
      <c r="K20" s="492"/>
      <c r="L20" s="492"/>
      <c r="M20" s="492"/>
      <c r="N20" s="492"/>
      <c r="O20" s="492"/>
      <c r="P20" s="492"/>
      <c r="Q20" s="492"/>
      <c r="R20" s="492"/>
      <c r="S20" s="492"/>
      <c r="T20" s="492"/>
      <c r="U20" s="492"/>
      <c r="V20" s="492"/>
      <c r="W20" s="493"/>
    </row>
    <row r="21" spans="2:23" x14ac:dyDescent="0.3">
      <c r="B21" s="491"/>
      <c r="C21" s="492"/>
      <c r="D21" s="492"/>
      <c r="E21" s="492"/>
      <c r="F21" s="492"/>
      <c r="G21" s="492"/>
      <c r="H21" s="492"/>
      <c r="I21" s="492"/>
      <c r="J21" s="492"/>
      <c r="K21" s="492"/>
      <c r="L21" s="492"/>
      <c r="M21" s="492"/>
      <c r="N21" s="492"/>
      <c r="O21" s="492"/>
      <c r="P21" s="492"/>
      <c r="Q21" s="492"/>
      <c r="R21" s="492"/>
      <c r="S21" s="492"/>
      <c r="T21" s="492"/>
      <c r="U21" s="492"/>
      <c r="V21" s="492"/>
      <c r="W21" s="493"/>
    </row>
    <row r="22" spans="2:23" ht="15" thickBot="1" x14ac:dyDescent="0.35">
      <c r="B22" s="494"/>
      <c r="C22" s="495"/>
      <c r="D22" s="495"/>
      <c r="E22" s="495"/>
      <c r="F22" s="495"/>
      <c r="G22" s="495"/>
      <c r="H22" s="495"/>
      <c r="I22" s="495"/>
      <c r="J22" s="495"/>
      <c r="K22" s="495"/>
      <c r="L22" s="495"/>
      <c r="M22" s="495"/>
      <c r="N22" s="495"/>
      <c r="O22" s="495"/>
      <c r="P22" s="495"/>
      <c r="Q22" s="495"/>
      <c r="R22" s="495"/>
      <c r="S22" s="495"/>
      <c r="T22" s="495"/>
      <c r="U22" s="495"/>
      <c r="V22" s="495"/>
      <c r="W22" s="496"/>
    </row>
    <row r="23" spans="2:23" ht="15" thickBot="1" x14ac:dyDescent="0.35"/>
    <row r="24" spans="2:23" x14ac:dyDescent="0.3">
      <c r="B24" s="497" t="s">
        <v>7614</v>
      </c>
      <c r="C24" s="498"/>
      <c r="D24" s="498"/>
      <c r="E24" s="498"/>
      <c r="F24" s="498"/>
      <c r="G24" s="498"/>
      <c r="H24" s="498"/>
      <c r="I24" s="498"/>
      <c r="J24" s="498"/>
      <c r="K24" s="498"/>
      <c r="L24" s="498"/>
      <c r="M24" s="498"/>
      <c r="N24" s="498"/>
      <c r="O24" s="498"/>
      <c r="P24" s="498"/>
      <c r="Q24" s="498"/>
      <c r="R24" s="498"/>
      <c r="S24" s="498"/>
      <c r="T24" s="498"/>
      <c r="U24" s="498"/>
      <c r="V24" s="498"/>
      <c r="W24" s="499"/>
    </row>
    <row r="25" spans="2:23" ht="14.4" customHeight="1" x14ac:dyDescent="0.3">
      <c r="B25" s="500"/>
      <c r="C25" s="501"/>
      <c r="D25" s="501"/>
      <c r="E25" s="501"/>
      <c r="F25" s="501"/>
      <c r="G25" s="501"/>
      <c r="H25" s="501"/>
      <c r="I25" s="501"/>
      <c r="J25" s="501"/>
      <c r="K25" s="501"/>
      <c r="L25" s="501"/>
      <c r="M25" s="501"/>
      <c r="N25" s="501"/>
      <c r="O25" s="501"/>
      <c r="P25" s="501"/>
      <c r="Q25" s="501"/>
      <c r="R25" s="501"/>
      <c r="S25" s="501"/>
      <c r="T25" s="501"/>
      <c r="U25" s="501"/>
      <c r="V25" s="501"/>
      <c r="W25" s="502"/>
    </row>
    <row r="26" spans="2:23" ht="14.4" customHeight="1" x14ac:dyDescent="0.3">
      <c r="B26" s="500"/>
      <c r="C26" s="501"/>
      <c r="D26" s="501"/>
      <c r="E26" s="501"/>
      <c r="F26" s="501"/>
      <c r="G26" s="501"/>
      <c r="H26" s="501"/>
      <c r="I26" s="501"/>
      <c r="J26" s="501"/>
      <c r="K26" s="501"/>
      <c r="L26" s="501"/>
      <c r="M26" s="501"/>
      <c r="N26" s="501"/>
      <c r="O26" s="501"/>
      <c r="P26" s="501"/>
      <c r="Q26" s="501"/>
      <c r="R26" s="501"/>
      <c r="S26" s="501"/>
      <c r="T26" s="501"/>
      <c r="U26" s="501"/>
      <c r="V26" s="501"/>
      <c r="W26" s="502"/>
    </row>
    <row r="27" spans="2:23" ht="14.4" customHeight="1" x14ac:dyDescent="0.3">
      <c r="B27" s="500"/>
      <c r="C27" s="501"/>
      <c r="D27" s="501"/>
      <c r="E27" s="501"/>
      <c r="F27" s="501"/>
      <c r="G27" s="501"/>
      <c r="H27" s="501"/>
      <c r="I27" s="501"/>
      <c r="J27" s="501"/>
      <c r="K27" s="501"/>
      <c r="L27" s="501"/>
      <c r="M27" s="501"/>
      <c r="N27" s="501"/>
      <c r="O27" s="501"/>
      <c r="P27" s="501"/>
      <c r="Q27" s="501"/>
      <c r="R27" s="501"/>
      <c r="S27" s="501"/>
      <c r="T27" s="501"/>
      <c r="U27" s="501"/>
      <c r="V27" s="501"/>
      <c r="W27" s="502"/>
    </row>
    <row r="28" spans="2:23" ht="14.4" customHeight="1" x14ac:dyDescent="0.3">
      <c r="B28" s="500"/>
      <c r="C28" s="501"/>
      <c r="D28" s="501"/>
      <c r="E28" s="501"/>
      <c r="F28" s="501"/>
      <c r="G28" s="501"/>
      <c r="H28" s="501"/>
      <c r="I28" s="501"/>
      <c r="J28" s="501"/>
      <c r="K28" s="501"/>
      <c r="L28" s="501"/>
      <c r="M28" s="501"/>
      <c r="N28" s="501"/>
      <c r="O28" s="501"/>
      <c r="P28" s="501"/>
      <c r="Q28" s="501"/>
      <c r="R28" s="501"/>
      <c r="S28" s="501"/>
      <c r="T28" s="501"/>
      <c r="U28" s="501"/>
      <c r="V28" s="501"/>
      <c r="W28" s="502"/>
    </row>
    <row r="29" spans="2:23" ht="10.8" customHeight="1" x14ac:dyDescent="0.3">
      <c r="B29" s="500"/>
      <c r="C29" s="501"/>
      <c r="D29" s="501"/>
      <c r="E29" s="501"/>
      <c r="F29" s="501"/>
      <c r="G29" s="501"/>
      <c r="H29" s="501"/>
      <c r="I29" s="501"/>
      <c r="J29" s="501"/>
      <c r="K29" s="501"/>
      <c r="L29" s="501"/>
      <c r="M29" s="501"/>
      <c r="N29" s="501"/>
      <c r="O29" s="501"/>
      <c r="P29" s="501"/>
      <c r="Q29" s="501"/>
      <c r="R29" s="501"/>
      <c r="S29" s="501"/>
      <c r="T29" s="501"/>
      <c r="U29" s="501"/>
      <c r="V29" s="501"/>
      <c r="W29" s="502"/>
    </row>
    <row r="30" spans="2:23" ht="14.4" hidden="1" customHeight="1" x14ac:dyDescent="0.3">
      <c r="B30" s="500"/>
      <c r="C30" s="501"/>
      <c r="D30" s="501"/>
      <c r="E30" s="501"/>
      <c r="F30" s="501"/>
      <c r="G30" s="501"/>
      <c r="H30" s="501"/>
      <c r="I30" s="501"/>
      <c r="J30" s="501"/>
      <c r="K30" s="501"/>
      <c r="L30" s="501"/>
      <c r="M30" s="501"/>
      <c r="N30" s="501"/>
      <c r="O30" s="501"/>
      <c r="P30" s="501"/>
      <c r="Q30" s="501"/>
      <c r="R30" s="501"/>
      <c r="S30" s="501"/>
      <c r="T30" s="501"/>
      <c r="U30" s="501"/>
      <c r="V30" s="501"/>
      <c r="W30" s="502"/>
    </row>
    <row r="31" spans="2:23" ht="15" hidden="1" customHeight="1" x14ac:dyDescent="0.3">
      <c r="B31" s="500"/>
      <c r="C31" s="501"/>
      <c r="D31" s="501"/>
      <c r="E31" s="501"/>
      <c r="F31" s="501"/>
      <c r="G31" s="501"/>
      <c r="H31" s="501"/>
      <c r="I31" s="501"/>
      <c r="J31" s="501"/>
      <c r="K31" s="501"/>
      <c r="L31" s="501"/>
      <c r="M31" s="501"/>
      <c r="N31" s="501"/>
      <c r="O31" s="501"/>
      <c r="P31" s="501"/>
      <c r="Q31" s="501"/>
      <c r="R31" s="501"/>
      <c r="S31" s="501"/>
      <c r="T31" s="501"/>
      <c r="U31" s="501"/>
      <c r="V31" s="501"/>
      <c r="W31" s="502"/>
    </row>
    <row r="32" spans="2:23" ht="15" thickBot="1" x14ac:dyDescent="0.35">
      <c r="B32" s="503"/>
      <c r="C32" s="504"/>
      <c r="D32" s="504"/>
      <c r="E32" s="504"/>
      <c r="F32" s="504"/>
      <c r="G32" s="504"/>
      <c r="H32" s="504"/>
      <c r="I32" s="504"/>
      <c r="J32" s="504"/>
      <c r="K32" s="504"/>
      <c r="L32" s="504"/>
      <c r="M32" s="504"/>
      <c r="N32" s="504"/>
      <c r="O32" s="504"/>
      <c r="P32" s="504"/>
      <c r="Q32" s="504"/>
      <c r="R32" s="504"/>
      <c r="S32" s="504"/>
      <c r="T32" s="504"/>
      <c r="U32" s="504"/>
      <c r="V32" s="504"/>
      <c r="W32" s="505"/>
    </row>
  </sheetData>
  <sheetProtection algorithmName="SHA-512" hashValue="S0Qj7pu9tMfGH38Cj4HRzOZTU/03nID1Nfabpy7Be1g516uY7rYDXNbqcQCFbCmfM6Tj3JXUD2hSBG6HayNC1g==" saltValue="dABNOTy/dWm1rMGWM5Dk5Q=="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9" t="str">
        <f>template_label_version</f>
        <v>Version:</v>
      </c>
      <c r="C1" s="329" t="s">
        <v>4632</v>
      </c>
      <c r="D1" s="329"/>
    </row>
    <row r="2" spans="2:18" x14ac:dyDescent="0.3">
      <c r="B2" s="329" t="str">
        <f>template_label_publication_date</f>
        <v>Publication date:</v>
      </c>
      <c r="C2" s="330">
        <v>45933</v>
      </c>
      <c r="D2" s="329"/>
    </row>
    <row r="3" spans="2:18" ht="33.450000000000003" customHeight="1" x14ac:dyDescent="0.3">
      <c r="B3" s="506" t="str" cm="1">
        <f t="array" aca="1" ref="B3" ca="1">IF(ISERROR(CELL("filename",A1)),"Warning: The Digital Template was developed and tested using Microsoft Excel 365. Functionality may be limited or incorrect when using other spreadsheet applications or older versions of Excel.","")</f>
        <v/>
      </c>
      <c r="C3" s="506"/>
      <c r="D3" s="329"/>
    </row>
    <row r="5" spans="2:18" x14ac:dyDescent="0.3">
      <c r="B5" s="331"/>
    </row>
    <row r="6" spans="2:18" x14ac:dyDescent="0.3">
      <c r="B6" s="331"/>
    </row>
    <row r="7" spans="2:18" x14ac:dyDescent="0.3">
      <c r="B7" s="331"/>
    </row>
    <row r="8" spans="2:18" x14ac:dyDescent="0.3">
      <c r="B8" s="331"/>
    </row>
    <row r="9" spans="2:18" x14ac:dyDescent="0.3">
      <c r="B9" s="331"/>
    </row>
    <row r="10" spans="2:18" x14ac:dyDescent="0.3">
      <c r="B10" s="90" t="str">
        <f>template_label_taxonomy_entry_point</f>
        <v>Taxonomy entry point:</v>
      </c>
      <c r="C10" s="332" t="s">
        <v>5688</v>
      </c>
    </row>
    <row r="11" spans="2:18" x14ac:dyDescent="0.3">
      <c r="B11" s="90" t="str">
        <f>template_label_select_template_display_language</f>
        <v>Select Template Display Language:</v>
      </c>
      <c r="C11" s="487" t="s">
        <v>5691</v>
      </c>
    </row>
    <row r="12" spans="2:18" x14ac:dyDescent="0.3">
      <c r="B12" s="90" t="str">
        <f>template_label_title_of_report</f>
        <v>Main title of the report</v>
      </c>
      <c r="C12" t="str">
        <f>template_label_main_title_of_report_text</f>
        <v xml:space="preserve">Sustainability Report </v>
      </c>
    </row>
    <row r="13" spans="2:18" x14ac:dyDescent="0.3">
      <c r="B13" s="90"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4" customFormat="1" ht="63" x14ac:dyDescent="1.2">
      <c r="B14" s="333" t="str">
        <f>template_label_vsme_digital_template</f>
        <v>VSME Digital Template</v>
      </c>
    </row>
    <row r="15" spans="2:18" ht="354.6" customHeight="1" x14ac:dyDescent="0.3">
      <c r="B15" s="507"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08"/>
      <c r="D15" s="508"/>
      <c r="E15" s="509"/>
      <c r="F15" s="335"/>
      <c r="G15" s="335"/>
      <c r="H15" s="335"/>
      <c r="I15" s="335"/>
      <c r="J15" s="335"/>
      <c r="K15" s="335"/>
      <c r="L15" s="335"/>
      <c r="M15" s="335"/>
      <c r="N15" s="335"/>
      <c r="O15" s="335"/>
      <c r="P15" s="335"/>
      <c r="Q15" s="335"/>
      <c r="R15" s="335"/>
    </row>
    <row r="16" spans="2:18" ht="19.95" customHeight="1" x14ac:dyDescent="0.3">
      <c r="B16" s="336"/>
      <c r="C16" s="336"/>
      <c r="D16" s="336"/>
      <c r="E16" s="336"/>
      <c r="F16" s="335"/>
      <c r="G16" s="335"/>
      <c r="H16" s="335"/>
      <c r="I16" s="335"/>
      <c r="J16" s="335"/>
      <c r="K16" s="335"/>
      <c r="L16" s="335"/>
      <c r="M16" s="335"/>
      <c r="N16" s="335"/>
      <c r="O16" s="335"/>
      <c r="P16" s="335"/>
      <c r="Q16" s="335"/>
      <c r="R16" s="335"/>
    </row>
    <row r="17" spans="1:18" x14ac:dyDescent="0.3">
      <c r="B17" s="331"/>
    </row>
    <row r="18" spans="1:18" ht="26.7" customHeight="1" x14ac:dyDescent="0.4">
      <c r="B18" s="337" t="str">
        <f>template_label_how_to_use_it</f>
        <v>How to use it:</v>
      </c>
      <c r="C18" s="338"/>
      <c r="D18" s="338"/>
      <c r="E18" s="339"/>
      <c r="F18" s="340"/>
      <c r="G18" s="340"/>
      <c r="H18" s="340"/>
      <c r="I18" s="340"/>
      <c r="J18" s="340"/>
      <c r="K18" s="340"/>
      <c r="L18" s="340"/>
      <c r="M18" s="340"/>
      <c r="N18" s="340"/>
      <c r="O18" s="340"/>
      <c r="P18" s="340"/>
      <c r="Q18" s="340"/>
      <c r="R18" s="340"/>
    </row>
    <row r="19" spans="1:18" ht="18" x14ac:dyDescent="0.3">
      <c r="B19" s="510" t="str">
        <f>template_label_0_provide_information_that_is_mandatory_in_order_to_generate_the_vsme_and_xbrl_report</f>
        <v>0. Provide information that is mandatory in order to generate the VSME and XBRL Report.</v>
      </c>
      <c r="C19" s="511"/>
      <c r="D19" s="511"/>
      <c r="E19" s="512"/>
      <c r="F19" s="341"/>
      <c r="G19" s="341"/>
      <c r="H19" s="341"/>
      <c r="I19" s="341"/>
      <c r="J19" s="341"/>
      <c r="K19" s="341"/>
      <c r="L19" s="341"/>
      <c r="M19" s="341"/>
      <c r="N19" s="341"/>
      <c r="O19" s="341"/>
      <c r="P19" s="341"/>
      <c r="Q19" s="341"/>
      <c r="R19" s="341"/>
    </row>
    <row r="20" spans="1:18" ht="59.4" customHeight="1" x14ac:dyDescent="0.3">
      <c r="B20" s="510"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11"/>
      <c r="D20" s="511"/>
      <c r="E20" s="512"/>
      <c r="F20" s="341"/>
      <c r="G20" s="341"/>
      <c r="H20" s="341"/>
      <c r="I20" s="341"/>
      <c r="J20" s="341"/>
      <c r="K20" s="341"/>
      <c r="L20" s="341"/>
      <c r="M20" s="341"/>
      <c r="N20" s="341"/>
      <c r="O20" s="341"/>
      <c r="P20" s="341"/>
      <c r="Q20" s="341"/>
      <c r="R20" s="341"/>
    </row>
    <row r="21" spans="1:18" ht="39.6" customHeight="1" x14ac:dyDescent="0.3">
      <c r="B21" s="531"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32"/>
      <c r="D21" s="532"/>
      <c r="E21" s="533"/>
      <c r="F21" s="342"/>
      <c r="G21" s="342"/>
      <c r="H21" s="342"/>
      <c r="I21" s="342"/>
      <c r="J21" s="342"/>
      <c r="K21" s="342"/>
      <c r="L21" s="342"/>
      <c r="M21" s="342"/>
      <c r="N21" s="342"/>
      <c r="O21" s="342"/>
      <c r="P21" s="342"/>
      <c r="Q21" s="342"/>
      <c r="R21" s="342"/>
    </row>
    <row r="22" spans="1:18" ht="36" customHeight="1" x14ac:dyDescent="0.3">
      <c r="B22" s="510"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11"/>
      <c r="D22" s="511"/>
      <c r="E22" s="512"/>
      <c r="F22" s="342"/>
      <c r="G22" s="342"/>
      <c r="H22" s="342"/>
      <c r="I22" s="342"/>
      <c r="J22" s="342"/>
      <c r="K22" s="342"/>
      <c r="L22" s="342"/>
      <c r="M22" s="342"/>
      <c r="N22" s="342"/>
      <c r="O22" s="342"/>
      <c r="P22" s="342"/>
      <c r="Q22" s="342"/>
      <c r="R22" s="342"/>
    </row>
    <row r="23" spans="1:18" s="343" customFormat="1" ht="18" x14ac:dyDescent="0.3">
      <c r="B23" s="531" t="str">
        <f>template_label_4_validate_the_data_entered_by_checking_the_validation_status</f>
        <v>4. Validate the data entered by checking the validation status. The report is considered incomplete or erroneous if the validation fails, which might result in an invalid XBRL report.</v>
      </c>
      <c r="C23" s="532"/>
      <c r="D23" s="532"/>
      <c r="E23" s="533"/>
      <c r="F23" s="342"/>
      <c r="G23" s="342"/>
      <c r="H23" s="342"/>
      <c r="I23" s="342"/>
      <c r="J23" s="342"/>
      <c r="K23" s="342"/>
      <c r="L23" s="342"/>
      <c r="M23" s="342"/>
      <c r="N23" s="342"/>
      <c r="O23" s="342"/>
      <c r="P23" s="342"/>
      <c r="Q23" s="342"/>
      <c r="R23" s="342"/>
    </row>
    <row r="24" spans="1:18" ht="18" x14ac:dyDescent="0.3">
      <c r="B24" s="531" t="str">
        <f>template_label_5_convert_this_template_to_an_inline_xbrl_report</f>
        <v>5. Convert this template to an Inline XBRL report (or XBRL-JSON, XBRL-CSV), using the online converter. Pay attention to the XBRL validation performed by the validator.</v>
      </c>
      <c r="C24" s="532"/>
      <c r="D24" s="532"/>
      <c r="E24" s="533"/>
      <c r="F24" s="342"/>
      <c r="G24" s="342"/>
      <c r="H24" s="342"/>
      <c r="I24" s="342"/>
      <c r="J24" s="342"/>
      <c r="K24" s="342"/>
      <c r="L24" s="342"/>
      <c r="M24" s="342"/>
      <c r="N24" s="342"/>
      <c r="O24" s="342"/>
      <c r="P24" s="342"/>
      <c r="Q24" s="342"/>
      <c r="R24" s="342"/>
    </row>
    <row r="25" spans="1:18" ht="24.6" customHeight="1" x14ac:dyDescent="0.3">
      <c r="B25" s="519" t="str">
        <f>template_label_6_the_undertaking_may_also_upload_the_report_to_public_repositories_or_a_webpage</f>
        <v>6. The undertaking may also upload the report to public repositories or a webpage.</v>
      </c>
      <c r="C25" s="520"/>
      <c r="D25" s="520"/>
      <c r="E25" s="521"/>
      <c r="F25" s="342"/>
      <c r="G25" s="342"/>
      <c r="H25" s="342"/>
      <c r="I25" s="342"/>
      <c r="J25" s="342"/>
      <c r="K25" s="342"/>
      <c r="L25" s="342"/>
      <c r="M25" s="342"/>
      <c r="N25" s="342"/>
      <c r="O25" s="342"/>
      <c r="P25" s="342"/>
      <c r="Q25" s="342"/>
      <c r="R25" s="342"/>
    </row>
    <row r="26" spans="1:18" ht="18" x14ac:dyDescent="0.35">
      <c r="B26" s="340"/>
      <c r="C26" s="340"/>
      <c r="D26" s="340"/>
      <c r="E26" s="340"/>
      <c r="F26" s="340"/>
      <c r="G26" s="340"/>
      <c r="H26" s="340"/>
      <c r="I26" s="340"/>
      <c r="J26" s="340"/>
      <c r="K26" s="340"/>
      <c r="L26" s="340"/>
      <c r="M26" s="340"/>
      <c r="N26" s="340"/>
      <c r="O26" s="340"/>
      <c r="P26" s="340"/>
      <c r="Q26" s="340"/>
      <c r="R26" s="340"/>
    </row>
    <row r="27" spans="1:18" ht="36" customHeight="1" x14ac:dyDescent="0.35">
      <c r="B27" s="344" t="str">
        <f>template_label_cell_background_color_index</f>
        <v>Cell background color index:</v>
      </c>
      <c r="C27" s="340"/>
      <c r="D27" s="340"/>
      <c r="E27" s="340"/>
      <c r="F27" s="340"/>
      <c r="G27" s="340"/>
      <c r="H27" s="340"/>
      <c r="I27" s="340"/>
      <c r="J27" s="340"/>
      <c r="K27" s="340"/>
      <c r="L27" s="340"/>
      <c r="M27" s="340"/>
      <c r="N27" s="340"/>
      <c r="O27" s="340"/>
      <c r="P27" s="340"/>
      <c r="Q27" s="340"/>
      <c r="R27" s="340"/>
    </row>
    <row r="28" spans="1:18" ht="32.1" customHeight="1" x14ac:dyDescent="0.35">
      <c r="B28" s="345" t="str">
        <f>template_label_general_principles</f>
        <v>General Principles</v>
      </c>
      <c r="C28" s="516" t="str">
        <f>template_label_indicates_that_the_disclosure_is_from_the_general_principles_of_the_vsme</f>
        <v>Indicates that the disclosure is from the general principles of the VSME.</v>
      </c>
      <c r="D28" s="517"/>
      <c r="E28" s="518"/>
      <c r="F28" s="340"/>
      <c r="G28" s="340"/>
      <c r="H28" s="340"/>
      <c r="I28" s="340"/>
      <c r="J28" s="340"/>
      <c r="K28" s="340"/>
      <c r="L28" s="340"/>
      <c r="M28" s="340"/>
      <c r="N28" s="340"/>
      <c r="O28" s="340"/>
      <c r="P28" s="340"/>
      <c r="Q28" s="340"/>
      <c r="R28" s="340"/>
    </row>
    <row r="29" spans="1:18" ht="34.5" customHeight="1" x14ac:dyDescent="0.35">
      <c r="A29" s="346"/>
      <c r="B29" s="347" t="str">
        <f>template_label_basic_module</f>
        <v>Basic Module</v>
      </c>
      <c r="C29" s="516" t="str">
        <f>template_label_indicates_that_the_disclosure_is_from_the_vsme_basic_module</f>
        <v>Indicates that the disclosure is from the VSME Basic Module.</v>
      </c>
      <c r="D29" s="517"/>
      <c r="E29" s="518"/>
      <c r="F29" s="340"/>
      <c r="G29" s="348"/>
      <c r="H29" s="348"/>
      <c r="I29" s="348"/>
      <c r="J29" s="348"/>
      <c r="K29" s="348"/>
      <c r="L29" s="348"/>
      <c r="M29" s="348"/>
      <c r="N29" s="348"/>
      <c r="O29" s="348"/>
      <c r="P29" s="348"/>
      <c r="Q29" s="348"/>
      <c r="R29" s="348"/>
    </row>
    <row r="30" spans="1:18" ht="35.700000000000003" customHeight="1" x14ac:dyDescent="0.35">
      <c r="A30" s="346"/>
      <c r="B30" s="349" t="str">
        <f>template_label_comprehensive_module</f>
        <v>Comprehensive Module</v>
      </c>
      <c r="C30" s="516" t="str">
        <f>template_label_indicates_that_the_disclosure_is_from_the_vsme_comprehensive_module</f>
        <v>Indicates that the disclosure is from the VSME Comprehensive Module.</v>
      </c>
      <c r="D30" s="517"/>
      <c r="E30" s="518"/>
      <c r="F30" s="340"/>
      <c r="G30" s="348"/>
      <c r="H30" s="348"/>
      <c r="I30" s="348"/>
      <c r="J30" s="348"/>
      <c r="K30" s="348"/>
      <c r="L30" s="348"/>
      <c r="M30" s="348"/>
      <c r="N30" s="348"/>
      <c r="O30" s="348"/>
      <c r="P30" s="348"/>
      <c r="Q30" s="348"/>
      <c r="R30" s="348"/>
    </row>
    <row r="31" spans="1:18" ht="35.85" customHeight="1" x14ac:dyDescent="0.35">
      <c r="A31" s="346"/>
      <c r="B31" s="350"/>
      <c r="C31" s="513" t="str">
        <f>template_label_indicates_that_the_cell_is_automatically_calculated_and_that_no_data_entry_is_required</f>
        <v>Indicates that the cell is automatically calculated and that no data entry is required.</v>
      </c>
      <c r="D31" s="514"/>
      <c r="E31" s="515"/>
      <c r="F31" s="340"/>
      <c r="G31" s="351"/>
      <c r="H31" s="351"/>
      <c r="I31" s="351"/>
      <c r="J31" s="351"/>
      <c r="K31" s="351"/>
      <c r="L31" s="351"/>
      <c r="M31" s="351"/>
      <c r="N31" s="351"/>
      <c r="O31" s="351"/>
      <c r="P31" s="351"/>
      <c r="Q31" s="351"/>
      <c r="R31" s="351"/>
    </row>
    <row r="32" spans="1:18" ht="63" customHeight="1" x14ac:dyDescent="0.35">
      <c r="A32" s="346"/>
      <c r="B32" s="352"/>
      <c r="C32" s="513"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14"/>
      <c r="E32" s="515"/>
      <c r="F32" s="340"/>
      <c r="G32" s="351"/>
      <c r="H32" s="351"/>
      <c r="I32" s="351"/>
      <c r="J32" s="351"/>
      <c r="K32" s="351"/>
      <c r="L32" s="351"/>
      <c r="M32" s="351"/>
      <c r="N32" s="351"/>
      <c r="O32" s="351"/>
      <c r="P32" s="351"/>
      <c r="Q32" s="351"/>
      <c r="R32" s="351"/>
    </row>
    <row r="33" spans="1:18" ht="35.85" customHeight="1" x14ac:dyDescent="0.35">
      <c r="A33" s="346"/>
      <c r="B33" s="353"/>
      <c r="C33" s="513"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14"/>
      <c r="E33" s="515"/>
      <c r="F33" s="340"/>
      <c r="G33" s="351"/>
      <c r="H33" s="351"/>
      <c r="I33" s="351"/>
      <c r="J33" s="351"/>
      <c r="K33" s="351"/>
      <c r="L33" s="351"/>
      <c r="M33" s="351"/>
      <c r="N33" s="351"/>
      <c r="O33" s="351"/>
      <c r="P33" s="351"/>
      <c r="Q33" s="351"/>
      <c r="R33" s="351"/>
    </row>
    <row r="34" spans="1:18" ht="42" x14ac:dyDescent="0.35">
      <c r="B34" s="354" t="str">
        <f>template_label_validation_missing_value_error_velue_inconsistency_invalid_url</f>
        <v>Validation MISSING VALUE/ERROR/VALUE INCONSISTENCY/INVALID URL</v>
      </c>
      <c r="C34" s="516"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17"/>
      <c r="E34" s="518"/>
      <c r="F34" s="340"/>
      <c r="G34" s="348"/>
      <c r="H34" s="348"/>
      <c r="I34" s="348"/>
      <c r="J34" s="348"/>
      <c r="K34" s="348"/>
      <c r="L34" s="348"/>
      <c r="M34" s="348"/>
      <c r="N34" s="348"/>
      <c r="O34" s="348"/>
      <c r="P34" s="348"/>
      <c r="Q34" s="348"/>
      <c r="R34" s="348"/>
    </row>
    <row r="35" spans="1:18" ht="22.35" customHeight="1" x14ac:dyDescent="0.35">
      <c r="B35" s="355" t="s">
        <v>2886</v>
      </c>
      <c r="C35" s="516" t="str">
        <f>template_label_indicates_that_data_entry_is_ok_and_the_undertaking_can_proceed_to_the_next_disclosure</f>
        <v>Indicates that data entry is OK and the undertaking can proceed to the next disclosure.</v>
      </c>
      <c r="D35" s="517"/>
      <c r="E35" s="518"/>
      <c r="F35" s="340"/>
      <c r="G35" s="348"/>
      <c r="H35" s="348"/>
      <c r="I35" s="348"/>
      <c r="J35" s="348"/>
      <c r="K35" s="348"/>
      <c r="L35" s="348"/>
      <c r="M35" s="348"/>
      <c r="N35" s="348"/>
      <c r="O35" s="348"/>
      <c r="P35" s="348"/>
      <c r="Q35" s="348"/>
      <c r="R35" s="348"/>
    </row>
    <row r="36" spans="1:18" ht="22.35" customHeight="1" x14ac:dyDescent="0.35">
      <c r="B36" s="356"/>
      <c r="C36" s="516" t="str">
        <f>template_label_no_value_can_be_entered_in_the_cell</f>
        <v>No value can be entered in the cell.</v>
      </c>
      <c r="D36" s="517"/>
      <c r="E36" s="518"/>
      <c r="F36" s="340"/>
      <c r="G36" s="348"/>
      <c r="H36" s="348"/>
      <c r="I36" s="348"/>
      <c r="J36" s="348"/>
      <c r="K36" s="348"/>
      <c r="L36" s="348"/>
      <c r="M36" s="348"/>
      <c r="N36" s="348"/>
      <c r="O36" s="348"/>
      <c r="P36" s="348"/>
      <c r="Q36" s="348"/>
      <c r="R36" s="348"/>
    </row>
    <row r="37" spans="1:18" ht="45.75" customHeight="1" x14ac:dyDescent="0.35">
      <c r="A37" s="346"/>
      <c r="B37" s="357" t="s">
        <v>2880</v>
      </c>
      <c r="C37" s="513" t="str">
        <f>template_label_lists_can_be_expanded_using_the_plus_button_on_the_left</f>
        <v>Lists can be expanded using the plus [+] button on the left. If the number of rows is not sufficient, additional rows can be added by right clicking the second row and selecting "Insert row".</v>
      </c>
      <c r="D37" s="514"/>
      <c r="E37" s="515"/>
      <c r="F37" s="340"/>
      <c r="G37" s="358"/>
      <c r="H37" s="358"/>
      <c r="I37" s="358"/>
      <c r="J37" s="358"/>
      <c r="K37" s="358"/>
      <c r="L37" s="358"/>
      <c r="M37" s="358"/>
      <c r="N37" s="358"/>
      <c r="O37" s="358"/>
      <c r="P37" s="358"/>
      <c r="Q37" s="358"/>
      <c r="R37" s="358"/>
    </row>
    <row r="42" spans="1:18" x14ac:dyDescent="0.3">
      <c r="B42" s="528"/>
      <c r="C42" s="529"/>
      <c r="D42" s="529"/>
      <c r="E42" s="530"/>
    </row>
    <row r="43" spans="1:18" ht="97.2" customHeight="1" x14ac:dyDescent="0.4">
      <c r="B43" s="522"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23"/>
      <c r="D43" s="523"/>
      <c r="E43" s="524"/>
    </row>
    <row r="44" spans="1:18" ht="21" x14ac:dyDescent="0.4">
      <c r="B44" s="525" t="str">
        <f>template_label_reproduction_and_use_rights_are_strictly_limited</f>
        <v>Reproduction and use rights are strictly limited. For further details please contact efragsecretariat@efrag.org</v>
      </c>
      <c r="C44" s="526"/>
      <c r="D44" s="526"/>
      <c r="E44" s="527"/>
    </row>
  </sheetData>
  <sheetProtection algorithmName="SHA-512" hashValue="B9wR+dIm55ZhAjwmBXcJrQcsOFCOo8fwclAYTOXBXXUf5DUUzYcHvOhnwzQafMPJ3InMMhx96JJsne4+CC4joA==" saltValue="m5nrJOQ/M6t5hzNa4bFgBw=="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9"/>
      <c r="C2" s="360" t="str">
        <f>template_label_overall_validation_status_validation</f>
        <v>Overall Validation Status</v>
      </c>
    </row>
    <row r="3" spans="2:3" ht="31.2" x14ac:dyDescent="0.6">
      <c r="B3" s="447" t="str">
        <f>template_label_table_of_contents_validation</f>
        <v>Table of Contents</v>
      </c>
      <c r="C3" s="361" t="str" cm="1">
        <f t="array" ref="C3">IF(SUMPRODUCT(--((C5:C68&lt;&gt;template_label_ok)*(C5:C68&lt;&gt;"-")*(C5:C68&lt;&gt;""))) &gt; 0, template_label_incomplete, template_label_complete)</f>
        <v>COMPLETE</v>
      </c>
    </row>
    <row r="4" spans="2:3" ht="18" x14ac:dyDescent="0.3">
      <c r="B4" s="362" t="str">
        <f>template_label_contents_grouping_follows_templates_framework</f>
        <v>Contents grouping follows template's framework</v>
      </c>
      <c r="C4" s="363" t="str">
        <f>template_label_specific_content_validation_status_validation</f>
        <v>Specific Content Validation Status</v>
      </c>
    </row>
    <row r="5" spans="2:3" x14ac:dyDescent="0.3">
      <c r="B5" s="364" t="str">
        <f>template_label_general_information_validation</f>
        <v>General Information</v>
      </c>
      <c r="C5" s="365"/>
    </row>
    <row r="6" spans="2:3" x14ac:dyDescent="0.3">
      <c r="B6" s="366" t="str">
        <f>template_label_information_on_the_report_necessary_for_xbrl_validation</f>
        <v>· Information on the report necessary for  XBRL</v>
      </c>
      <c r="C6" s="367"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8" t="str">
        <f>template_label_information_on_previous_reporting_period_validation</f>
        <v>· Information on previous reporting period</v>
      </c>
      <c r="C7" s="367" t="str">
        <f>IF(COUNTIF('General Information'!F18:F29, template_label_missing_value) &gt; 0, template_label_missing_value,
IF(COUNTIF('General Information'!F18:F29, template_label_invalid_url
 ) &gt; 0, template_label_invalid_url,
IF(COUNTIF('General Information'!F18:F29, template_label_ok) &gt; 0, template_label_ok, "-")))</f>
        <v>OK</v>
      </c>
    </row>
    <row r="8" spans="2:3" ht="18" x14ac:dyDescent="0.35">
      <c r="B8" s="448" t="str">
        <f>template_label_basic_module_validation</f>
        <v>Basic Module</v>
      </c>
      <c r="C8" s="369"/>
    </row>
    <row r="9" spans="2:3" x14ac:dyDescent="0.3">
      <c r="B9" s="364" t="str">
        <f>template_label_general_information_validation</f>
        <v>General Information</v>
      </c>
      <c r="C9" s="365"/>
    </row>
    <row r="10" spans="2:3" x14ac:dyDescent="0.3">
      <c r="B10" s="370" t="str">
        <f>template_label_b1_basis_for_preparation_validation</f>
        <v>· B1 - Basis for Preparation</v>
      </c>
      <c r="C10" s="367"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46" t="str">
        <f>template_label_basis_for_preparation_and_other_undertakings_general_information_validation</f>
        <v>Basis for Preparation and other undertaking's general information</v>
      </c>
      <c r="C11" s="367" t="str">
        <f>IF(
    AND(
        COUNTIF('General Information'!F32:F65, template_label_missing_value) &gt; 0,
        COUNTIF('General Information'!F32:F65, template_label_value_inconsistency) = 0
    ),
    template_label_missing_value,
    IF(
        AND(
            COUNTIF('General Information'!F32:F65, template_label_value_inconsistency) &gt; 0,
            COUNTIF('General Information'!F32:F65, template_label_missing_value) = 0
        ),
        template_label_value_inconsistency,
        IF(
            AND(
                COUNTIF('General Information'!F32:F65, template_label_value_inconsistency) &gt; 0,
                COUNTIF('General Information'!F32:F65, template_label_missing_value) &gt; 0
            ),
            template_label_error_plus_value_inconsistency,
            template_label_ok
        )
    )
)</f>
        <v>OK</v>
      </c>
    </row>
    <row r="12" spans="2:3" x14ac:dyDescent="0.3">
      <c r="B12" s="446" t="str">
        <f>template_label_list_of_subsidiaries_validation</f>
        <v>List of subsidiaries</v>
      </c>
      <c r="C12" s="367" t="str">
        <f>IF(
    COUNTIF('General Information'!F70:F94, template_label_missing_value) &gt; 0,
    template_label_missing_value,
    IF(
        COUNTIF('General Information'!F70:F94, template_label_ok) &gt; 0,
        template_label_ok,
        "-"
    )
)</f>
        <v>OK</v>
      </c>
    </row>
    <row r="13" spans="2:3" x14ac:dyDescent="0.3">
      <c r="B13" s="446" t="str">
        <f>template_label_disclosure_of_sustainability_related_certifications_or_labels_validation</f>
        <v>Disclosure of sustainability-related certification(s) or label(s)</v>
      </c>
      <c r="C13" s="367" t="str">
        <f>IF(
    COUNTIF('General Information'!I100, template_label_missing_value) &gt; 0,
    template_label_missing_value,
    IF(
        COUNTIF('General Information'!I100, template_label_ok) &gt; 0,
        template_label_ok,
        "-"
    )
)</f>
        <v>OK</v>
      </c>
    </row>
    <row r="14" spans="2:3" x14ac:dyDescent="0.3">
      <c r="B14" s="446" t="str">
        <f>template_label_list_of_sites_validation</f>
        <v>List of site(s)</v>
      </c>
      <c r="C14" s="367" t="str">
        <f>IF(
    COUNTIF('General Information'!I109:I133, template_label_missing_value) &gt; 0,
    template_label_missing_value,
    IF(
        COUNTIF('General Information'!I109:I133, template_label_ok) &gt; 0,
        template_label_ok,
        "-"
    )
)</f>
        <v>OK</v>
      </c>
    </row>
    <row r="15" spans="2:3" x14ac:dyDescent="0.3">
      <c r="B15" s="449" t="str">
        <f>template_label_b2_practices_policies_and_future_initiatives_for_transitioning_towards_a_more_sustainable_economy_validation</f>
        <v>· B2 - Practices, policies and future initiatives for transitioning towards a more sustainable economy</v>
      </c>
      <c r="C15" s="367"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OK</v>
      </c>
    </row>
    <row r="16" spans="2:3" x14ac:dyDescent="0.3">
      <c r="B16" s="446" t="str">
        <f>template_label_practices_policies_and_future_initiatives_for_transitioning_towards_a_more_sustainable_economy_validation</f>
        <v>Practices, policies and future initiatives for transitioning towards a more sustainable economy</v>
      </c>
      <c r="C16" s="367" t="str">
        <f>IF(
    COUNTIF('General Information'!P140, template_label_missing_value) &gt; 0,
    template_label_missing_value,
    IF(
        COUNTIF('General Information'!P140, template_label_ok) &gt; 0,
        template_label_ok,
        "-"
    )
)</f>
        <v>OK</v>
      </c>
    </row>
    <row r="17" spans="2:3" x14ac:dyDescent="0.3">
      <c r="B17" s="446" t="str">
        <f>template_label_cooperative_specific_disclosures_validation</f>
        <v>Cooperative specific disclosures</v>
      </c>
      <c r="C17" s="367" t="str" cm="1">
        <f t="array" ref="C17">IF(OR('General Information'!E144:E146=template_label_ok),template_label_ok,"-")</f>
        <v>-</v>
      </c>
    </row>
    <row r="18" spans="2:3" x14ac:dyDescent="0.3">
      <c r="B18" s="371" t="str">
        <f>template_label_environmental_disclosures_validation</f>
        <v>Environmental Disclosures</v>
      </c>
      <c r="C18" s="365"/>
    </row>
    <row r="19" spans="2:3" x14ac:dyDescent="0.3">
      <c r="B19" s="451" t="str">
        <f>template_label_b3_energy_and_greenhouse_gas_emissions_validation</f>
        <v>· B3 - Energy and greenhouse gas emissions</v>
      </c>
      <c r="C19" s="367"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x14ac:dyDescent="0.3">
      <c r="B20" s="450" t="str">
        <f>template_label_total_energy_consumption_in_mwh_validation</f>
        <v>Total Energy Consumption (in MWh)</v>
      </c>
      <c r="C20" s="367" t="str">
        <f>IF(COUNTIF('Environmental Disclosures'!L5,template_label_missing_value)&gt;0,template_label_missing_value,
IF(COUNTIF('Environmental Disclosures'!L5,template_label_ok)&gt;0,template_label_ok,"-"))</f>
        <v>OK</v>
      </c>
    </row>
    <row r="21" spans="2:3" x14ac:dyDescent="0.3">
      <c r="B21" s="450" t="str">
        <f>template_label_breakdown_of_energy_consumption_in_mwh_validation</f>
        <v>Breakdown of energy consumption (in MWh)</v>
      </c>
      <c r="C21" s="372"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50" t="str">
        <f>template_label_estimated_greenhouse_gas_emissions_considering_the_ghg_protocol_version_2004_in_tco2e_validation</f>
        <v>Estimated Greenhouse Gas Emissions considering the GHG Protocol Version 2004 (in tCO2e)</v>
      </c>
      <c r="C22" s="367" t="str">
        <f>IF(COUNTIF('Environmental Disclosures'!L21:L44,template_label_missing_value)&gt;0,template_label_missing_value,
IF(COUNTIF('Environmental Disclosures'!L21:L44,template_label_ok)&gt;0,template_label_ok,"-"))</f>
        <v>OK</v>
      </c>
    </row>
    <row r="23" spans="2:3" x14ac:dyDescent="0.3">
      <c r="B23" s="450" t="str">
        <f>template_label_greenhouse_gas_emission_intensity_per_turnover_validation</f>
        <v>Greenhouse gas emission intensity per turnover</v>
      </c>
      <c r="C23" s="372" t="str">
        <f>IF(C22=template_label_ok,template_label_ok,"-")</f>
        <v>OK</v>
      </c>
    </row>
    <row r="24" spans="2:3" x14ac:dyDescent="0.3">
      <c r="B24" s="366" t="str">
        <f>template_label_b4_pollution_of_air_water_and_soil_validation</f>
        <v>· B4 - Pollution of air, water and soil</v>
      </c>
      <c r="C24" s="367" t="str">
        <f>IF(COUNTIF('Environmental Disclosures'!L75:L119,template_label_invalid_url)&gt;0,
   template_label_invalid_url,
IF(AND(COUNTIF('Environmental Disclosures'!L75:L119,template_label_missing_value)&gt;0,
       COUNTIF('Environmental Disclosures'!L75:L119,template_label_value_inconsistency)&gt;0),
   template_label_missing_value_plus_value_inconsistency,
IF(COUNTIF('Environmental Disclosures'!L75:L119,template_label_missing_value)&gt;0,
   template_label_missing_value,
IF(COUNTIF('Environmental Disclosures'!L75:L119,template_label_value_inconsistency)&gt;0,
   template_label_value_inconsistency,
IF(COUNTIF('Environmental Disclosures'!L75:L119,template_label_ok)&gt;0,
   template_label_ok,
"-")))))</f>
        <v>OK</v>
      </c>
    </row>
    <row r="25" spans="2:3" x14ac:dyDescent="0.3">
      <c r="B25" s="366" t="str">
        <f>template_label_b5_biodiversity_validation</f>
        <v>· B5 - Biodiversity</v>
      </c>
      <c r="C25" s="367"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OK</v>
      </c>
    </row>
    <row r="26" spans="2:3" x14ac:dyDescent="0.3">
      <c r="B26" s="450" t="str">
        <f>template_label_sites_in_biodiversity_sensitive_areas_validation</f>
        <v>Sites in biodiversity sensitive areas</v>
      </c>
      <c r="C26" s="367" t="str">
        <f>IF(AND(
        COUNTIF('Environmental Disclosures'!D128:D153,template_label_ok) + COUNTIF('Environmental Disclosures'!L126:L153,template_label_ok) &gt; 0,
        COUNTIF('Environmental Disclosures'!D128:D153,template_label_missing_value) + COUNTIF('Environmental Disclosures'!L126:L153,template_label_missing_value) = 0,
        COUNTIF('Environmental Disclosures'!D128:D153,template_label_value_inconsistency) + COUNTIF('Environmental Disclosures'!L126:L153,template_label_value_inconsistency) = 0),
    template_label_ok,
    IF(AND(
           COUNTIF('Environmental Disclosures'!D128:D153,template_label_missing_value) + COUNTIF('Environmental Disclosures'!L126:L153,template_label_missing_value) &gt; 0,
           COUNTIF('Environmental Disclosures'!D128:D153,template_label_value_inconsistency) + COUNTIF('Environmental Disclosures'!L126:L153,template_label_value_inconsistency) = 0),
        template_label_missing_value,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 0),
            template_label_value_inconsistency,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&gt; 0),
                template_label_missing_value_plus_value_inconsistency,
                "-"
            )
        )
    )
)</f>
        <v>OK</v>
      </c>
    </row>
    <row r="27" spans="2:3" x14ac:dyDescent="0.3">
      <c r="B27" s="450" t="str">
        <f>template_label_biodiversity_land_use_validation</f>
        <v>Biodiversity - Land-use</v>
      </c>
      <c r="C27" s="367" t="str">
        <f>IF(
AND(
COUNTIF('Environmental Disclosures'!G159:G164,template_label_missing_value)&gt;0,
COUNTIF('Environmental Disclosures'!G159:G164,template_label_value_inconsistency)=0,
COUNTIF('Environmental Disclosures'!G159:G164,template_label_ok)&gt;=0
),
template_label_missing_value,
IF(
AND(
COUNTIF('Environmental Disclosures'!G159:G164,template_label_value_inconsistency)&gt;0,
COUNTIF('Environmental Disclosures'!G159:G164,template_label_missing_value)=0,
COUNTIF('Environmental Disclosures'!G159:G164,template_label_ok)&gt;=0
),
template_label_value_inconsistency,
IF(
AND(
COUNTIF('Environmental Disclosures'!G159:G164,template_label_value_inconsistency)&gt;0,
COUNTIF('Environmental Disclosures'!G159:G164,template_label_missing_value)&gt;0,
COUNTIF('Environmental Disclosures'!G159:G164,template_label_ok)&gt;=0
),
template_label_missing_value_plus_value_inconsistency,
IF(
AND(
COUNTIF('Environmental Disclosures'!G159:G164,template_label_value_inconsistency)=0,
COUNTIF('Environmental Disclosures'!G159:G164,template_label_missing_value)=0,
COUNTIF('Environmental Disclosures'!G159:G164,template_label_ok)&gt;0
),
template_label_ok,
"-"
)
)
))</f>
        <v>-</v>
      </c>
    </row>
    <row r="28" spans="2:3" x14ac:dyDescent="0.3">
      <c r="B28" s="366" t="str">
        <f>template_label_b6_water_validation</f>
        <v>· B6 - Water</v>
      </c>
      <c r="C28" s="367"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50" t="str">
        <f>template_label_water_withdrawal_validation</f>
        <v>Water Withdrawal</v>
      </c>
      <c r="C29" s="367" t="str">
        <f>IF(COUNTIF('Environmental Disclosures'!E169:F170, template_label_missing_value) &gt; 0,
    template_label_missing_value,
    IF(COUNTIF('Environmental Disclosures'!E169:F170, template_label_ok) &gt; 0,
        template_label_ok,
        "-"))</f>
        <v>OK</v>
      </c>
    </row>
    <row r="30" spans="2:3" x14ac:dyDescent="0.3">
      <c r="B30" s="450" t="str">
        <f>template_label_water_consumption_validation</f>
        <v>Water Consumption</v>
      </c>
      <c r="C30" s="367" t="str">
        <f>IF(COUNTIF('Environmental Disclosures'!E176:F176, template_label_missing_value) &gt; 0,
    template_label_missing_value,
    IF(COUNTIF('Environmental Disclosures'!E176:F176, template_label_ok) &gt; 0,
        template_label_ok,
        "-"))</f>
        <v>OK</v>
      </c>
    </row>
    <row r="31" spans="2:3" x14ac:dyDescent="0.3">
      <c r="B31" s="366" t="str">
        <f>template_label_b7_resource_use_circular_economy_and_waste_management_validation</f>
        <v>· B7 - Resource use, circular economy and waste management</v>
      </c>
      <c r="C31" s="367"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x14ac:dyDescent="0.3">
      <c r="B32" s="450" t="str">
        <f>template_label_description_of_circular_economy_principles_validation</f>
        <v>Description of circular economy principles</v>
      </c>
      <c r="C32" s="367" t="str">
        <f>IF(
AND(
COUNTIF('Environmental Disclosures'!H182:I183, template_label_missing_value) &gt; 0,
COUNTIF('Environmental Disclosures'!H182:I183, template_label_value_inconsistency) = 0,
COUNTIF('Environmental Disclosures'!H182:I183, template_label_ok) &gt;= 0
),
template_label_missing_value,
IF(
AND(
COUNTIF('Environmental Disclosures'!H182:I183, template_label_value_inconsistency) &gt; 0,
COUNTIF('Environmental Disclosures'!H182:I183, template_label_missing_value) = 0,
COUNTIF('Environmental Disclosures'!H182:I183, template_label_ok) &gt;= 0
),
template_label_value_inconsistency,
IF(
AND(
COUNTIF('Environmental Disclosures'!H182:I183, template_label_value_inconsistency) &gt; 0,
COUNTIF('Environmental Disclosures'!H182:I183, template_label_missing_value) &gt; 0,
COUNTIF('Environmental Disclosures'!H182:I183, template_label_ok) &gt;= 0
),
template_label_missing_value_plus_value_inconsistency,
IF(
AND(
COUNTIF('Environmental Disclosures'!H182:I183, template_label_value_inconsistency) = 0,
COUNTIF('Environmental Disclosures'!H182:I183, template_label_missing_value) = 0,
COUNTIF('Environmental Disclosures'!H182:I183, template_label_ok) &gt; 0
),
template_label_ok,
"-"
)
)
))</f>
        <v>OK</v>
      </c>
    </row>
    <row r="33" spans="2:3" x14ac:dyDescent="0.3">
      <c r="B33" s="450" t="str">
        <f>template_label_waste_generated_validation</f>
        <v>Waste generated</v>
      </c>
      <c r="C33" s="367" t="str">
        <f>IF(
    AND(
        COUNTIF('Environmental Disclosures'!M189:M204, template_label_error) &gt; 0,
        COUNTIF('Environmental Disclosures'!M189:M204, template_label_missing_value) &gt; 0,
        COUNTIF('Environmental Disclosures'!M189:M204, template_label_value_inconsistency) &gt; 0
    ),
    template_label_error_plus_missing_value_plus_value_inconsistency,
IF(
    AND(
        COUNTIF('Environmental Disclosures'!M189:M204, template_label_error) &gt; 0,
        COUNTIF('Environmental Disclosures'!M189:M204, template_label_value_inconsistency) &gt; 0,
        COUNTIF('Environmental Disclosures'!M189:M204, template_label_missing_value) = 0
    ),
    template_label_error_plus_value_inconsistency,
IF(
    AND(
        COUNTIF('Environmental Disclosures'!M189:M204, template_label_error) &gt; 0,
        COUNTIF('Environmental Disclosures'!M189:M204, template_label_missing_value) &gt; 0,
        COUNTIF('Environmental Disclosures'!M189:M204, template_label_value_inconsistency) = 0
    ),
    template_label_error_plus_missing_value,
IF(
    AND(
        COUNTIF('Environmental Disclosures'!M189:M204, template_label_missing_value) &gt; 0,
        COUNTIF('Environmental Disclosures'!M189:M204, template_label_value_inconsistency) &gt; 0,
        COUNTIF('Environmental Disclosures'!M189:M204, template_label_error) = 0
    ),
    template_label_missing_value_plus_value_inconsistency,
IF(
    AND(
        COUNTIF('Environmental Disclosures'!M189:M204, template_label_error) &gt; 0,
        COUNTIF('Environmental Disclosures'!M189:M204, template_label_missing_value) = 0,
        COUNTIF('Environmental Disclosures'!M189:M204, template_label_value_inconsistency) = 0
    ),
    template_label_error,
IF(
    AND(
        COUNTIF('Environmental Disclosures'!M189:M204, template_label_missing_value) &gt; 0,
        COUNTIF('Environmental Disclosures'!M189:M204, template_label_error) = 0,
        COUNTIF('Environmental Disclosures'!M189:M204, template_label_value_inconsistency) = 0
    ),
    template_label_missing_value,
IF(
    AND(
        COUNTIF('Environmental Disclosures'!M189:M204, template_label_value_inconsistency) &gt; 0,
        COUNTIF('Environmental Disclosures'!M189:M204, template_label_error) = 0,
        COUNTIF('Environmental Disclosures'!M189:M204, template_label_missing_value) = 0
    ),
    template_label_value_inconsistency,
IF(
    AND(
        COUNTIF('Environmental Disclosures'!M189:M204, template_label_error) = 0,
        COUNTIF('Environmental Disclosures'!M189:M204, template_label_missing_value) = 0,
        COUNTIF('Environmental Disclosures'!M189:M204, template_label_value_inconsistency) = 0,
        COUNTIF('Environmental Disclosures'!M189:M204, template_label_ok) &gt; 0
    ),
    template_label_ok,
"-"
))))))))</f>
        <v>OK</v>
      </c>
    </row>
    <row r="34" spans="2:3" x14ac:dyDescent="0.3">
      <c r="B34" s="450" t="str">
        <f>template_label_annual_mass_flow_of_relevant_materials_used_validation</f>
        <v>Annual mass-flow of relevant materials used</v>
      </c>
      <c r="C34" s="367" t="str">
        <f>IF(COUNTIF('Environmental Disclosures'!K216:K230, template_label_missing_value) &gt; 0,
    template_label_missing_value,
    IF(COUNTIF('Environmental Disclosures'!K216:K230, template_label_ok) &gt; 0,
        template_label_ok,
        "-"))</f>
        <v>OK</v>
      </c>
    </row>
    <row r="35" spans="2:3" x14ac:dyDescent="0.3">
      <c r="B35" s="371" t="str">
        <f>template_label_social_disclosures_validation</f>
        <v>Social Disclosures</v>
      </c>
      <c r="C35" s="365"/>
    </row>
    <row r="36" spans="2:3" x14ac:dyDescent="0.3">
      <c r="B36" s="451" t="str">
        <f>template_label_b8_workforce_general_characteristics_validation</f>
        <v>· B8 - Workforce - General characteristics</v>
      </c>
      <c r="C36" s="367"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x14ac:dyDescent="0.3">
      <c r="B37" s="450" t="str">
        <f>template_label_type_of_contract_validation</f>
        <v>Type of contract</v>
      </c>
      <c r="C37" s="367" t="str">
        <f>IF(COUNTIF('Social Disclosures'!H10, template_label_missing_value) &gt; 0,
    template_label_missing_value,
    IF(COUNTIF('Social Disclosures'!H10, template_label_ok) &gt; 0,
        template_label_ok,
        "-"))</f>
        <v>OK</v>
      </c>
    </row>
    <row r="38" spans="2:3" x14ac:dyDescent="0.3">
      <c r="B38" s="450" t="str">
        <f>template_label_gender_validation</f>
        <v>Gender</v>
      </c>
      <c r="C38" s="367" t="str">
        <f>IF(COUNTIF('Social Disclosures'!H18:H21, template_label_missing_value) &gt; 0,
    template_label_missing_value,
    IF(COUNTIF('Social Disclosures'!H18:H21, template_label_ok) &gt; 0,
        template_label_ok,
        "-"))</f>
        <v>OK</v>
      </c>
    </row>
    <row r="39" spans="2:3" x14ac:dyDescent="0.3">
      <c r="B39" s="450" t="str">
        <f>template_label_country_of_employment_validation</f>
        <v>Country of employment</v>
      </c>
      <c r="C39" s="367" t="str">
        <f>IF(COUNTIF('Social Disclosures'!I29:I38, template_label_missing_value) &gt; 0,
    template_label_missing_value,
    IF(COUNTIF('Social Disclosures'!I29:I38, template_label_ok) &gt; 0,
        template_label_ok,
        "-"))</f>
        <v>OK</v>
      </c>
    </row>
    <row r="40" spans="2:3" x14ac:dyDescent="0.3">
      <c r="B40" s="450" t="str">
        <f>template_label_turnover_rate_validation</f>
        <v>Turnover rate</v>
      </c>
      <c r="C40" s="367" t="str">
        <f>IF(COUNTIF('Social Disclosures'!I44:I46, template_label_missing_value) &gt; 0,
    template_label_missing_value,
    IF(COUNTIF('Social Disclosures'!I44:I46, template_label_ok) &gt; 0,
        template_label_ok,
        "-"))</f>
        <v>OK</v>
      </c>
    </row>
    <row r="41" spans="2:3" x14ac:dyDescent="0.3">
      <c r="B41" s="366" t="str">
        <f>template_label_b9_workforce_health_and_safety_validation</f>
        <v>· B9 - Workforce – Health and safety</v>
      </c>
      <c r="C41" s="367" t="str">
        <f>IF(COUNTIF('Social Disclosures'!I50:I54, template_label_missing_value) &gt; 0,
    template_label_missing_value,
    IF(COUNTIF('Social Disclosures'!I50:I54, template_label_ok) &gt; 0,
        template_label_ok,
        "-"))</f>
        <v>OK</v>
      </c>
    </row>
    <row r="42" spans="2:3" x14ac:dyDescent="0.3">
      <c r="B42" s="368" t="str">
        <f>template_label_b10_workforce_remuneration_collective_bargaining_and_training_validation</f>
        <v>· B10 - Workforce – Remuneration, collective bargaining and training</v>
      </c>
      <c r="C42" s="367" t="str">
        <f>IF(COUNTIF('Social Disclosures'!I67:I70, template_label_missing_value) &gt; 0,
    template_label_missing_value,
    IF(COUNTIF('Social Disclosures'!I67:I70, template_label_ok) &gt; 0,
        template_label_ok,
        "-"))</f>
        <v>OK</v>
      </c>
    </row>
    <row r="43" spans="2:3" x14ac:dyDescent="0.3">
      <c r="B43" s="371" t="str">
        <f>template_label_governance_disclosures_validation</f>
        <v>Governance Disclosures</v>
      </c>
      <c r="C43" s="365"/>
    </row>
    <row r="44" spans="2:3" x14ac:dyDescent="0.3">
      <c r="B44" s="368" t="str">
        <f>template_label_b11_convictions_and_fines_for_corruption_and_bribery_validation</f>
        <v>· B11 - Convictions and fines for corruption and bribery</v>
      </c>
      <c r="C44" s="367" t="str">
        <f>IF(COUNTIF('Governance Disclosures'!I6:I7, template_label_missing_value) &gt; 0,
    template_label_missing_value,
    IF(COUNTIF('Governance Disclosures'!I6:I7, template_label_ok) &gt; 0,
        template_label_ok,
        "-"))</f>
        <v>OK</v>
      </c>
    </row>
    <row r="45" spans="2:3" ht="18" x14ac:dyDescent="0.35">
      <c r="B45" s="448" t="str">
        <f>template_label_comprehensive_module_validation</f>
        <v>Comprehensive Module</v>
      </c>
      <c r="C45" s="369"/>
    </row>
    <row r="46" spans="2:3" x14ac:dyDescent="0.3">
      <c r="B46" s="364" t="str">
        <f>template_label_general_information_validation</f>
        <v>General Information</v>
      </c>
      <c r="C46" s="365"/>
    </row>
    <row r="47" spans="2:3" x14ac:dyDescent="0.3">
      <c r="B47" s="449" t="str">
        <f>template_label_c1_strategy_business_model_and_sustainability_related_initiatives_validation</f>
        <v>· C1 - Strategy: Business Model and Sustainability – Related Initiatives</v>
      </c>
      <c r="C47" s="367" t="str">
        <f>IF(COUNTIF('General Information'!H155:H161, template_label_missing_value) &gt; 0,
    template_label_missing_value,
    IF(COUNTIF('General Information'!H155:H161, template_label_ok) &gt; 0,
        template_label_ok,
        "-"))</f>
        <v>OK</v>
      </c>
    </row>
    <row r="48" spans="2:3" x14ac:dyDescent="0.3">
      <c r="B48" s="449" t="str">
        <f>template_label_c2_description_of_practices_policies_and_future_initiatives_for_transitioning_towards_a_more_sustainable_economy_validation</f>
        <v>· C2 - Description of practices, policies and future initiatives for transitioning towards a more sustainable economy</v>
      </c>
      <c r="C48" s="367" t="str">
        <f>IF(COUNTIF('General Information'!H149:H151, template_label_missing_value) &gt; 0,
    template_label_missing_value,
    IF(COUNTIF('General Information'!H149:H151, template_label_ok) &gt; 0,
        template_label_ok,
        "-"))</f>
        <v>OK</v>
      </c>
    </row>
    <row r="49" spans="2:3" x14ac:dyDescent="0.3">
      <c r="B49" s="371" t="str">
        <f>template_label_environmental_disclosures_validation</f>
        <v>Environmental Disclosures</v>
      </c>
      <c r="C49" s="365"/>
    </row>
    <row r="50" spans="2:3" x14ac:dyDescent="0.3">
      <c r="B50" s="451" t="str">
        <f>template_label_c3_ghg_reduction_targets_and_climate_transition_validation</f>
        <v>· C3 - GHG reduction targets and climate transition</v>
      </c>
      <c r="C50" s="367"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OK</v>
      </c>
    </row>
    <row r="51" spans="2:3" x14ac:dyDescent="0.3">
      <c r="B51" s="450" t="str">
        <f>template_label_ghg_reduction_targets_in_tc02e_validation</f>
        <v>GHG reduction targets (in tC02e)</v>
      </c>
      <c r="C51" s="367" t="str">
        <f>IF(AND('General Information'!E32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x14ac:dyDescent="0.3">
      <c r="B52" s="450" t="str">
        <f>template_label_disclosure_of_list_of_main_actions_the_entity_seeks_in_order_to_achieve_its_targets_validation</f>
        <v>Disclosure of list of main actions the entity seeks in order  to achieve its targets</v>
      </c>
      <c r="C52" s="367" t="str">
        <f>IF(COUNTIF('Environmental Disclosures'!L52, template_label_missing_value) &gt; 0,
    template_label_missing_value,
    IF(COUNTIF('Environmental Disclosures'!L52, template_label_ok) &gt; 0,
        template_label_ok,
        "-"))</f>
        <v>OK</v>
      </c>
    </row>
    <row r="53" spans="2:3" x14ac:dyDescent="0.3">
      <c r="B53" s="450" t="str">
        <f>template_label_transition_plan_for_undertakings_operating_in_high_climate_impact_sectors_validation</f>
        <v>Transition plan for undertakings operating in high climate impact sectors</v>
      </c>
      <c r="C53" s="367"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OK</v>
      </c>
    </row>
    <row r="54" spans="2:3" x14ac:dyDescent="0.3">
      <c r="B54" s="366" t="str">
        <f>template_label_c4_climate_risks_validation</f>
        <v>· C4 - Climate risks</v>
      </c>
      <c r="C54" s="367" t="str">
        <f>IF(COUNTIF('Environmental Disclosures'!L236:L240, template_label_missing_value) &gt; 0,
    template_label_missing_value,
    IF(COUNTIF('Environmental Disclosures'!L236:L240, template_label_ok) &gt; 0,
        template_label_ok,
        "-"))</f>
        <v>OK</v>
      </c>
    </row>
    <row r="55" spans="2:3" x14ac:dyDescent="0.3">
      <c r="B55" s="371" t="str">
        <f>template_label_social_disclosures_validation</f>
        <v>Social Disclosures</v>
      </c>
      <c r="C55" s="365"/>
    </row>
    <row r="56" spans="2:3" x14ac:dyDescent="0.3">
      <c r="B56" s="366" t="str">
        <f>template_label_c5_additional_general_workforce_characteristics_validation</f>
        <v>· C5 - Additional (general) workforce characteristics</v>
      </c>
      <c r="C56" s="367" t="str">
        <f>IF(COUNTIF('Social Disclosures'!I75:I79, template_label_ok) &gt; 0,
    template_label_ok,
    "-")</f>
        <v>OK</v>
      </c>
    </row>
    <row r="57" spans="2:3" x14ac:dyDescent="0.3">
      <c r="B57" s="366" t="str">
        <f>template_label_c6_additional_own_workforce_information_human_rights_policies_and_processes_validation</f>
        <v>· C6 - Additional own workforce information - Human rights policies and processes</v>
      </c>
      <c r="C57" s="367" t="str">
        <f>IF(
AND(
COUNTIF('Social Disclosures'!I82:I91, template_label_missing_value) &gt; 0,
COUNTIF('Social Disclosures'!I82:I91, template_label_value_inconsistency) = 0,
COUNTIF('Social Disclosures'!I82:I91, template_label_ok) &gt;= 0
),
template_label_missing_value,
IF(
AND(
COUNTIF('Social Disclosures'!I82:I91, template_label_value_inconsistency) &gt; 0,
COUNTIF('Social Disclosures'!I82:I91, template_label_missing_value) = 0,
COUNTIF('Social Disclosures'!I82:I91, template_label_ok) &gt;= 0
),
template_label_value_inconsistency,
IF(
AND(
COUNTIF('Social Disclosures'!I82:I91, template_label_value_inconsistency) &gt; 0,
COUNTIF('Social Disclosures'!I82:I91, template_label_missing_value) &gt; 0,
COUNTIF('Social Disclosures'!I82:I91, template_label_ok) &gt;= 0
),
template_label_missing_value_plus_value_inconsistency,
IF(
AND(
COUNTIF('Social Disclosures'!I82:I91, template_label_value_inconsistency) = 0,
COUNTIF('Social Disclosures'!I82:I91, template_label_missing_value) = 0,
COUNTIF('Social Disclosures'!I82:I91, template_label_ok) &gt; 0
),
template_label_ok,
"-"
)
)
))</f>
        <v>OK</v>
      </c>
    </row>
    <row r="58" spans="2:3" x14ac:dyDescent="0.3">
      <c r="B58" s="368" t="str">
        <f>template_label_c7_severe_negative_human_rights_incidents_validation</f>
        <v>· C7 - Severe negative human rights incidents</v>
      </c>
      <c r="C58" s="373" t="str">
        <f>IF(
AND(
COUNTIF('Social Disclosures'!I94:I104, template_label_missing_value) &gt; 0,
COUNTIF('Social Disclosures'!I94:I104, template_label_value_inconsistency) = 0,
COUNTIF('Social Disclosures'!I94:I104, template_label_ok) &gt;= 0
),
template_label_missing_value,
IF(
AND(
COUNTIF('Social Disclosures'!I94:I104, template_label_value_inconsistency) &gt; 0,
COUNTIF('Social Disclosures'!I94:I104, template_label_missing_value) = 0,
COUNTIF('Social Disclosures'!I94:I104, template_label_ok) &gt;= 0
),
template_label_value_inconsistency,
IF(
AND(
COUNTIF('Social Disclosures'!I94:I104, template_label_value_inconsistency) &gt; 0,
COUNTIF('Social Disclosures'!I94:I104, template_label_missing_value) &gt; 0,
COUNTIF('Social Disclosures'!I94:I104, template_label_ok) &gt;= 0
),
template_label_missing_value_plus_value_inconsistency,
IF(
AND(
COUNTIF('Social Disclosures'!I94:I104, template_label_value_inconsistency) = 0,
COUNTIF('Social Disclosures'!I94:I104, template_label_missing_value) = 0,
COUNTIF('Social Disclosures'!I94:I104, template_label_ok) &gt; 0
),
template_label_ok,
"-"
)
)
))</f>
        <v>OK</v>
      </c>
    </row>
    <row r="59" spans="2:3" x14ac:dyDescent="0.3">
      <c r="B59" s="374" t="str">
        <f>template_label_governance_disclosures_validation</f>
        <v>Governance Disclosures</v>
      </c>
      <c r="C59" s="369"/>
    </row>
    <row r="60" spans="2:3" x14ac:dyDescent="0.3">
      <c r="B60" s="370" t="str">
        <f>template_label_c8_revenues_from_certain_sectors_and_exclusion_from_eu_reference_benchmarks_validation</f>
        <v>· C8 - Revenues from certain activities and exclusion from EU reference benchmarks</v>
      </c>
      <c r="C60" s="367"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OK</v>
      </c>
    </row>
    <row r="61" spans="2:3" x14ac:dyDescent="0.3">
      <c r="B61" s="446" t="str">
        <f>template_label_revenues_from_certain_sectors_validation</f>
        <v>Revenues from certain activities</v>
      </c>
      <c r="C61" s="367" t="str">
        <f>IF(COUNTIF('Governance Disclosures'!I12:I18, template_label_value_inconsistency) &gt; 0,
    template_label_value_inconsistency,
    IF(COUNTIF('Governance Disclosures'!I12:I18, template_label_ok) &gt; 0,
        template_label_ok,
        "-"))</f>
        <v>-</v>
      </c>
    </row>
    <row r="62" spans="2:3" x14ac:dyDescent="0.3">
      <c r="B62" s="446" t="str">
        <f>template_label_exclusion_from_eu_reference_benchmarks_validation</f>
        <v>Exclusion from EU reference benchmarks</v>
      </c>
      <c r="C62" s="367" t="str">
        <f>IF(COUNTIF('Governance Disclosures'!I22:I26, template_label_missing_value) &gt; 0,
    template_label_missing_value,
    IF(COUNTIF('Governance Disclosures'!I22:I26, template_label_ok) &gt; 0,
        template_label_ok,
        "-"))</f>
        <v>OK</v>
      </c>
    </row>
    <row r="63" spans="2:3" x14ac:dyDescent="0.3">
      <c r="B63" s="452" t="str">
        <f>template_label_c9_gender_diversity_ratio_in_the_governance_body_validation</f>
        <v>· C9 - Gender diversity ratio in the governance body</v>
      </c>
      <c r="C63" s="373" t="str">
        <f>IF(COUNTIF('Governance Disclosures'!I31:I32, template_label_missing_value) &gt; 0,
    template_label_missing_value,
    IF(COUNTIF('Governance Disclosures'!I31:I32, template_label_ok) &gt; 0,
        template_label_ok,
        "-"))</f>
        <v>OK</v>
      </c>
    </row>
    <row r="64" spans="2:3" x14ac:dyDescent="0.3">
      <c r="B64" s="375" t="str">
        <f>template_label_additional_disclosures_validation</f>
        <v>Additional Disclosures</v>
      </c>
      <c r="C64" s="369"/>
    </row>
    <row r="65" spans="2:3" x14ac:dyDescent="0.3">
      <c r="B65" s="449" t="str">
        <f>template_label_disclosure_of_any_other_general_and_or_entity_specific_information_on_the_reporting_period_validation</f>
        <v>· Disclosure of any other general and/or entity specific information on the reporting period</v>
      </c>
      <c r="C65" s="373" t="str">
        <f>IF('General Information'!I165 = template_label_ok, template_label_ok, "")</f>
        <v/>
      </c>
    </row>
    <row r="66" spans="2:3" x14ac:dyDescent="0.3">
      <c r="B66" s="368" t="str">
        <f>template_label_disclosure_of_any_other_environmental_and_or_entity_specific_environmental_disclosures_validation</f>
        <v>· Disclosure of any other environmental and/or entity specific environmental disclosures</v>
      </c>
      <c r="C66" s="373" t="str">
        <f>IF('Environmental Disclosures'!M244 = template_label_ok, template_label_ok, "")</f>
        <v/>
      </c>
    </row>
    <row r="67" spans="2:3" x14ac:dyDescent="0.3">
      <c r="B67" s="368" t="str">
        <f>template_label_disclosure_of_any_other_social_and_or_entity_specific_social_disclosures_validation</f>
        <v>· Disclosure of any other social and/or entity specific social disclosures</v>
      </c>
      <c r="C67" s="373" t="str">
        <f>IF('Social Disclosures'!I110 = template_label_ok, template_label_ok, "")</f>
        <v/>
      </c>
    </row>
    <row r="68" spans="2:3" ht="15" thickBot="1" x14ac:dyDescent="0.35">
      <c r="B68" s="453" t="str">
        <f>template_label_disclosure_of_any_other_governance_and_or_entity_specific_governance_disclosures_validation</f>
        <v>· Disclosure of any other governance and/or entity specific governance disclosures</v>
      </c>
      <c r="C68" s="376" t="str">
        <f>IF('Governance Disclosures'!I38 = template_label_ok, template_label_ok, "")</f>
        <v/>
      </c>
    </row>
  </sheetData>
  <sheetProtection algorithmName="SHA-512" hashValue="o/9QIeZYbIuIGq+TckooUW17EjWb+vvsqxDssQxn7WuJWVW0Ty2sng66iPac18dv9ByVHXKhEFHs+wLu6H8kQg==" saltValue="vtvMwGffqTCmdyd+DVEuIg==" spinCount="100000" sheet="1" formatColumns="0" formatRows="0"/>
  <conditionalFormatting sqref="B3">
    <cfRule type="expression" dxfId="340" priority="371">
      <formula>B$44="INCOMPLETE"</formula>
    </cfRule>
    <cfRule type="expression" dxfId="339" priority="372">
      <formula>B$44="COMPLETE"</formula>
    </cfRule>
  </conditionalFormatting>
  <conditionalFormatting sqref="C2">
    <cfRule type="expression" dxfId="338" priority="12">
      <formula>C$58="INCOMPLETE"</formula>
    </cfRule>
    <cfRule type="expression" dxfId="337" priority="13">
      <formula>C$58="COMPLETE"</formula>
    </cfRule>
  </conditionalFormatting>
  <conditionalFormatting sqref="C3">
    <cfRule type="expression" dxfId="336" priority="10">
      <formula>$C$3=template_label_incomplete</formula>
    </cfRule>
    <cfRule type="expression" dxfId="335" priority="11">
      <formula>$C$3=template_label_complete</formula>
    </cfRule>
  </conditionalFormatting>
  <conditionalFormatting sqref="C6:C8 C10:C45 C47:C68">
    <cfRule type="expression" dxfId="334" priority="1">
      <formula>$C6=template_label_value_inconsistency</formula>
    </cfRule>
    <cfRule type="expression" dxfId="333" priority="2">
      <formula>$C6=template_label_invalid_url</formula>
    </cfRule>
    <cfRule type="expression" dxfId="332" priority="3">
      <formula>$C6=template_label_error_plus_missing_value_plus_value_inconsistency</formula>
    </cfRule>
    <cfRule type="expression" dxfId="331" priority="4">
      <formula>$C6=template_label_error_plus_value_inconsistency</formula>
    </cfRule>
    <cfRule type="expression" dxfId="330" priority="5">
      <formula>$C6=template_label_error_plus_missing_value</formula>
    </cfRule>
    <cfRule type="expression" dxfId="329" priority="6">
      <formula>$C6=template_label_missing_value_plus_value_inconsistency</formula>
    </cfRule>
    <cfRule type="expression" dxfId="328" priority="7">
      <formula>$C6=template_label_missing_value</formula>
    </cfRule>
    <cfRule type="expression" dxfId="327" priority="8">
      <formula>$C6=template_label_error</formula>
    </cfRule>
    <cfRule type="expression" dxfId="326"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5"/>
  <sheetViews>
    <sheetView showGridLines="0"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8" t="str">
        <f>template_label_paragraph_reference</f>
        <v>Paragraph Reference</v>
      </c>
      <c r="B1" s="388" t="str">
        <f>template_label_paragraph_guidance_reference</f>
        <v>Paragraph Guidance Reference</v>
      </c>
    </row>
    <row r="2" spans="1:11" ht="14.4" customHeight="1" x14ac:dyDescent="0.3">
      <c r="A2" s="89"/>
      <c r="B2" s="89"/>
      <c r="C2" s="616" t="str">
        <f>template_label_information_on_the_report_necessary_for_xbrl &amp; " " &amp; template_label_always_to_be_reported</f>
        <v>Information on the report necessary for  XBRL [Always to be reported]</v>
      </c>
      <c r="D2" s="617"/>
      <c r="E2" s="618"/>
    </row>
    <row r="3" spans="1:11" ht="14.4" customHeight="1" x14ac:dyDescent="0.3">
      <c r="A3" s="89"/>
      <c r="B3" s="89"/>
      <c r="C3" s="125" t="str">
        <f>template_label_name_of_the_reporting_entity</f>
        <v>Name of the reporting entity</v>
      </c>
      <c r="D3" s="635" t="s">
        <v>7615</v>
      </c>
      <c r="E3" s="636"/>
      <c r="F3" s="11" t="str">
        <f>IF(D3 = "", template_label_missing_value, template_label_ok)</f>
        <v>OK</v>
      </c>
    </row>
    <row r="4" spans="1:11" ht="14.4" customHeight="1" x14ac:dyDescent="0.3">
      <c r="A4" s="89"/>
      <c r="B4" s="89"/>
      <c r="C4" s="125" t="str">
        <f>template_label_identifier_of_the_reporting_entity</f>
        <v>Identifier of the reporting entity (select and specify on the right)</v>
      </c>
      <c r="D4" s="387" t="s">
        <v>3681</v>
      </c>
      <c r="E4" s="56" t="s">
        <v>7616</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37" t="s">
        <v>3826</v>
      </c>
      <c r="E5" s="638"/>
      <c r="F5" s="11" t="str">
        <f>IF(D5 = "", template_label_missing_value, template_label_ok)</f>
        <v>OK</v>
      </c>
      <c r="H5" s="52"/>
    </row>
    <row r="6" spans="1:11" ht="14.4" customHeight="1" x14ac:dyDescent="0.3">
      <c r="C6" s="246" t="str">
        <f>template_label_starting_year</f>
        <v>Starting year</v>
      </c>
      <c r="D6" s="602">
        <v>2024</v>
      </c>
      <c r="E6" s="603"/>
      <c r="F6" s="550"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534" t="str">
        <f>template_label_date_warning</f>
        <v>ℹ️ If VALUE INCONSISTENCY message appears on the right, please ensure that the reporting period end date is greater than the reporting period start date.</v>
      </c>
      <c r="H6" s="534"/>
      <c r="I6" s="534"/>
      <c r="J6" s="534"/>
      <c r="K6" s="534"/>
    </row>
    <row r="7" spans="1:11" ht="14.4" customHeight="1" x14ac:dyDescent="0.3">
      <c r="C7" s="141" t="str">
        <f>template_label_starting_month</f>
        <v>Starting month</v>
      </c>
      <c r="D7" s="639">
        <v>1</v>
      </c>
      <c r="E7" s="640"/>
      <c r="F7" s="550"/>
      <c r="G7" s="534"/>
      <c r="H7" s="534"/>
      <c r="I7" s="534"/>
      <c r="J7" s="534"/>
      <c r="K7" s="534"/>
    </row>
    <row r="8" spans="1:11" ht="14.4" customHeight="1" x14ac:dyDescent="0.3">
      <c r="C8" s="141" t="str">
        <f>template_label_starting_day</f>
        <v>Starting day</v>
      </c>
      <c r="D8" s="551">
        <v>1</v>
      </c>
      <c r="E8" s="552"/>
      <c r="F8" s="550"/>
      <c r="G8" s="534"/>
      <c r="H8" s="534"/>
      <c r="I8" s="534"/>
      <c r="J8" s="534"/>
      <c r="K8" s="534"/>
    </row>
    <row r="9" spans="1:11" ht="14.4" customHeight="1" thickBot="1" x14ac:dyDescent="0.35">
      <c r="C9" s="122" t="str">
        <f>template_label_reporting_period_start_date</f>
        <v>Reporting period start date (yyyy-mm-dd)</v>
      </c>
      <c r="D9" s="600" t="str">
        <f>IF(OR(ISBLANK(D6), ISBLANK(D7), ISBLANK(D8)), "-", D6 &amp; "-" &amp; TEXT(D7, "00") &amp; "-" &amp; TEXT(D8, "00"))</f>
        <v>2024-01-01</v>
      </c>
      <c r="E9" s="601"/>
      <c r="F9"/>
      <c r="H9" s="52"/>
    </row>
    <row r="10" spans="1:11" ht="14.4" customHeight="1" x14ac:dyDescent="0.3">
      <c r="C10" s="246" t="str">
        <f>template_label_ending_year</f>
        <v>Ending year</v>
      </c>
      <c r="D10" s="602">
        <v>2024</v>
      </c>
      <c r="E10" s="603"/>
      <c r="F10" s="550"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534" t="str">
        <f>template_label_date_warning</f>
        <v>ℹ️ If VALUE INCONSISTENCY message appears on the right, please ensure that the reporting period end date is greater than the reporting period start date.</v>
      </c>
      <c r="H10" s="534"/>
      <c r="I10" s="534"/>
      <c r="J10" s="534"/>
      <c r="K10" s="534"/>
    </row>
    <row r="11" spans="1:11" ht="14.4" customHeight="1" x14ac:dyDescent="0.3">
      <c r="C11" s="141" t="str">
        <f>template_label_ending_month</f>
        <v>Ending month</v>
      </c>
      <c r="D11" s="604">
        <v>12</v>
      </c>
      <c r="E11" s="605"/>
      <c r="F11" s="550"/>
      <c r="G11" s="534"/>
      <c r="H11" s="534"/>
      <c r="I11" s="534"/>
      <c r="J11" s="534"/>
      <c r="K11" s="534"/>
    </row>
    <row r="12" spans="1:11" ht="14.4" customHeight="1" x14ac:dyDescent="0.3">
      <c r="C12" s="141" t="s">
        <v>3060</v>
      </c>
      <c r="D12" s="606">
        <v>31</v>
      </c>
      <c r="E12" s="607"/>
      <c r="F12" s="550"/>
      <c r="G12" s="534"/>
      <c r="H12" s="534"/>
      <c r="I12" s="534"/>
      <c r="J12" s="534"/>
      <c r="K12" s="534"/>
    </row>
    <row r="13" spans="1:11" ht="14.4" customHeight="1" thickBot="1" x14ac:dyDescent="0.35">
      <c r="A13" s="89"/>
      <c r="B13" s="89"/>
      <c r="C13" s="122" t="str">
        <f>template_label_reporting_period_end_date</f>
        <v>Reporting period end date  (yyyy-mm-dd)</v>
      </c>
      <c r="D13" s="600" t="str">
        <f>IF(OR(ISBLANK(D10), ISBLANK(D11), ISBLANK(D12)), "-", D10 &amp; "-" &amp; TEXT(D11, "00") &amp; "-" &amp; TEXT(D12, "00"))</f>
        <v>2024-12-31</v>
      </c>
      <c r="E13" s="601"/>
      <c r="F13" s="11"/>
    </row>
    <row r="14" spans="1:11" x14ac:dyDescent="0.3">
      <c r="A14" s="89"/>
      <c r="B14" s="89"/>
      <c r="C14" s="90"/>
      <c r="D14" s="90"/>
      <c r="E14" s="91"/>
      <c r="F14" s="11"/>
    </row>
    <row r="15" spans="1:11" ht="15" customHeight="1" thickBot="1" x14ac:dyDescent="0.35">
      <c r="A15" s="89"/>
      <c r="B15" s="89"/>
      <c r="E15" s="12"/>
    </row>
    <row r="16" spans="1:11" x14ac:dyDescent="0.3">
      <c r="A16" s="92"/>
      <c r="B16" s="89"/>
      <c r="C16" s="621" t="str">
        <f>template_label_information_on_previous_reporting_period</f>
        <v>Information on previous reporting period</v>
      </c>
      <c r="D16" s="622"/>
      <c r="E16" s="623"/>
    </row>
    <row r="17" spans="1:7" x14ac:dyDescent="0.3">
      <c r="A17" s="92"/>
      <c r="B17" s="89"/>
      <c r="C17" s="626">
        <v>16</v>
      </c>
      <c r="D17" s="627"/>
      <c r="E17" s="628"/>
      <c r="F17" s="247"/>
    </row>
    <row r="18" spans="1:7" ht="14.4" customHeight="1" x14ac:dyDescent="0.3">
      <c r="C18" s="624" t="str">
        <f>template_label_disclosures_from_the_previous_reporting_period_that_remain_unchanged</f>
        <v>This report contains disclosures from the previous reporting period that remain unchanged</v>
      </c>
      <c r="D18" s="625"/>
      <c r="E18" s="57" t="b">
        <v>1</v>
      </c>
      <c r="F18" s="11" t="str">
        <f>IF(E18 = FALSE, "", template_label_ok)</f>
        <v>OK</v>
      </c>
    </row>
    <row r="19" spans="1:7" ht="14.4" customHeight="1" x14ac:dyDescent="0.3">
      <c r="C19" s="629" t="str">
        <f>template_label_disclosures_for_which_no_changes_are_reported_compared_to_the_previous_period_reporting</f>
        <v>List of disclosures for which no changes are reported compared to the previous period reporting</v>
      </c>
      <c r="D19" s="630"/>
      <c r="E19" s="58" t="s">
        <v>6495</v>
      </c>
      <c r="F19" s="11" t="str">
        <f>IF(AND(E18 = FALSE, E19 = ""), "",
IF(AND(E18 = FALSE, E19 &lt;&gt; ""), "",
IF(AND(E18 = TRUE, E19 = ""), template_label_missing_value,
IF(AND(E18 = TRUE, E19 &lt;&gt; "", COUNTIF(E19:E28, E19) = COUNTA(E19:E28), COUNTA(E19:E28) &gt; 1), template_label_value_inconsistency,
template_label_ok))))</f>
        <v>OK</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outlineLevel="2" x14ac:dyDescent="0.3">
      <c r="C20" s="631"/>
      <c r="D20" s="632"/>
      <c r="E20" s="59" t="s">
        <v>6496</v>
      </c>
      <c r="F20" s="11" t="str">
        <f t="shared" ref="F20:F28" si="0">IF($E$18 = FALSE, "",
IF(E20 = "", "",
IF(COUNTIF($E$19:$E$28, E20) &gt; 1, template_label_value_inconsistency, template_label_ok)))</f>
        <v>OK</v>
      </c>
    </row>
    <row r="21" spans="1:7" ht="14.4" customHeight="1" outlineLevel="2" x14ac:dyDescent="0.3">
      <c r="C21" s="631"/>
      <c r="D21" s="632"/>
      <c r="E21" s="59"/>
      <c r="F21" s="11" t="str">
        <f t="shared" si="0"/>
        <v/>
      </c>
    </row>
    <row r="22" spans="1:7" ht="14.4" customHeight="1" outlineLevel="2" x14ac:dyDescent="0.3">
      <c r="C22" s="631"/>
      <c r="D22" s="632"/>
      <c r="E22" s="59"/>
      <c r="F22" s="11" t="str">
        <f t="shared" si="0"/>
        <v/>
      </c>
    </row>
    <row r="23" spans="1:7" ht="14.4" customHeight="1" outlineLevel="2" x14ac:dyDescent="0.3">
      <c r="C23" s="631"/>
      <c r="D23" s="632"/>
      <c r="E23" s="59"/>
      <c r="F23" s="11" t="str">
        <f t="shared" si="0"/>
        <v/>
      </c>
    </row>
    <row r="24" spans="1:7" ht="14.4" customHeight="1" outlineLevel="2" x14ac:dyDescent="0.3">
      <c r="C24" s="631"/>
      <c r="D24" s="632"/>
      <c r="E24" s="59"/>
      <c r="F24" s="11" t="str">
        <f t="shared" si="0"/>
        <v/>
      </c>
    </row>
    <row r="25" spans="1:7" ht="14.4" customHeight="1" outlineLevel="2" x14ac:dyDescent="0.3">
      <c r="C25" s="631"/>
      <c r="D25" s="632"/>
      <c r="E25" s="59"/>
      <c r="F25" s="11" t="str">
        <f t="shared" si="0"/>
        <v/>
      </c>
    </row>
    <row r="26" spans="1:7" ht="14.4" customHeight="1" outlineLevel="2" x14ac:dyDescent="0.3">
      <c r="C26" s="631"/>
      <c r="D26" s="632"/>
      <c r="E26" s="59"/>
      <c r="F26" s="11" t="str">
        <f t="shared" si="0"/>
        <v/>
      </c>
    </row>
    <row r="27" spans="1:7" ht="14.4" customHeight="1" outlineLevel="2" x14ac:dyDescent="0.3">
      <c r="C27" s="631"/>
      <c r="D27" s="632"/>
      <c r="E27" s="59"/>
      <c r="F27" s="11" t="str">
        <f t="shared" si="0"/>
        <v/>
      </c>
    </row>
    <row r="28" spans="1:7" ht="14.4" customHeight="1" outlineLevel="2" x14ac:dyDescent="0.3">
      <c r="C28" s="633"/>
      <c r="D28" s="634"/>
      <c r="E28" s="59"/>
      <c r="F28" s="11" t="str">
        <f t="shared" si="0"/>
        <v/>
      </c>
    </row>
    <row r="29" spans="1:7" ht="14.4" customHeight="1" thickBot="1" x14ac:dyDescent="0.35">
      <c r="A29" s="93"/>
      <c r="B29" s="93"/>
      <c r="C29" s="555" t="str">
        <f>template_label_link_to_previous_report_containing_disclosures_that_remain_unchanged</f>
        <v>Link to previous report containing disclosures that remain unchanged</v>
      </c>
      <c r="D29" s="556"/>
      <c r="E29" s="229" t="s">
        <v>7617</v>
      </c>
      <c r="F29" s="11" t="str">
        <f>IF(AND(E18 = FALSE, E29 = ""), "",
IF(AND(E18 = TRUE, E29 = ""), template_label_missing_value,
IF(AND(E18 = FALSE, E29 &lt;&gt; ""), "",
IF(AND(E18 = TRUE, E29 &lt;&gt; "", OR(LEFT(E29, 7) = "http://", LEFT(E29, 8) = "https://", LEFT(E29, 4) = "www.")), template_label_ok,
IF(E18 = TRUE, template_label_invalid_url, template_label_missing_value)))))</f>
        <v>OK</v>
      </c>
    </row>
    <row r="30" spans="1:7" ht="15" thickBot="1" x14ac:dyDescent="0.35">
      <c r="A30" s="94"/>
      <c r="B30" s="94"/>
    </row>
    <row r="31" spans="1:7" ht="17.7" customHeight="1" x14ac:dyDescent="0.3">
      <c r="C31" s="608"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2024-01-01 to 2024-12-31 [Always to be reported]</v>
      </c>
      <c r="D31" s="609"/>
      <c r="E31" s="610"/>
      <c r="F31"/>
    </row>
    <row r="32" spans="1:7" ht="28.8" x14ac:dyDescent="0.3">
      <c r="A32" s="462" t="s">
        <v>3731</v>
      </c>
      <c r="B32" s="250" t="s">
        <v>1</v>
      </c>
      <c r="C32" s="589" t="str">
        <f>template_label_basis_for_preparation</f>
        <v>Basis for preparation (Basic Module Only or Basic &amp; Comprehensive Module)</v>
      </c>
      <c r="D32" s="590"/>
      <c r="E32" s="60" t="s">
        <v>7618</v>
      </c>
      <c r="F32" s="11" t="str">
        <f>IF(E32 = "", template_label_missing_value, template_label_ok)</f>
        <v>OK</v>
      </c>
    </row>
    <row r="33" spans="1:7" x14ac:dyDescent="0.3">
      <c r="A33" s="462" t="s">
        <v>3732</v>
      </c>
      <c r="B33" s="250" t="s">
        <v>1</v>
      </c>
      <c r="C33" s="611" t="str">
        <f>template_label_list_of_omitted_disclosures_deemed_to_be_classified_or_sensitive_information</f>
        <v>List of omitted disclosures deemed to be classified or sensitive information</v>
      </c>
      <c r="D33" s="612"/>
      <c r="E33" s="60" t="s">
        <v>2656</v>
      </c>
      <c r="F33" s="11" t="str">
        <f>IF(E32 = "", "",
IF(AND(OR(E32 = "Option A (Basic Module only)", E32 = "Option B (Basic Module and Comprehensive Module)"), E33 = ""), template_label_missing_value,
IF(COUNTIF(E33:E42, E33) &gt; 1, template_label_value_inconsistency, template_label_ok)))</f>
        <v>OK</v>
      </c>
    </row>
    <row r="34" spans="1:7" ht="14.4" hidden="1" customHeight="1" outlineLevel="2" x14ac:dyDescent="0.3">
      <c r="C34" s="611"/>
      <c r="D34" s="612"/>
      <c r="E34" s="61"/>
      <c r="F34" s="11" t="str">
        <f t="shared" ref="F34:F41" si="1">IF(AND($E$33 = "None", E34 &lt;&gt; ""), template_label_value_inconsistency,
IF(E34 = "", "",
IF(COUNTIF($E$33:$E$41, E34) &gt; 1,
   template_label_value_inconsistency,
   template_label_ok)))</f>
        <v/>
      </c>
    </row>
    <row r="35" spans="1:7" ht="14.4" hidden="1" customHeight="1" outlineLevel="2" x14ac:dyDescent="0.3">
      <c r="C35" s="611"/>
      <c r="D35" s="612"/>
      <c r="E35" s="61"/>
      <c r="F35" s="11" t="str">
        <f t="shared" si="1"/>
        <v/>
      </c>
    </row>
    <row r="36" spans="1:7" ht="14.4" hidden="1" customHeight="1" outlineLevel="2" x14ac:dyDescent="0.3">
      <c r="C36" s="611"/>
      <c r="D36" s="612"/>
      <c r="E36" s="61"/>
      <c r="F36" s="11" t="str">
        <f t="shared" si="1"/>
        <v/>
      </c>
    </row>
    <row r="37" spans="1:7" ht="14.4" hidden="1" customHeight="1" outlineLevel="2" x14ac:dyDescent="0.3">
      <c r="C37" s="611"/>
      <c r="D37" s="612"/>
      <c r="E37" s="61"/>
      <c r="F37" s="11" t="str">
        <f t="shared" si="1"/>
        <v/>
      </c>
    </row>
    <row r="38" spans="1:7" ht="14.4" hidden="1" customHeight="1" outlineLevel="2" x14ac:dyDescent="0.3">
      <c r="C38" s="611"/>
      <c r="D38" s="612"/>
      <c r="E38" s="61"/>
      <c r="F38" s="11" t="str">
        <f t="shared" si="1"/>
        <v/>
      </c>
    </row>
    <row r="39" spans="1:7" ht="14.4" hidden="1" customHeight="1" outlineLevel="2" x14ac:dyDescent="0.3">
      <c r="C39" s="611"/>
      <c r="D39" s="612"/>
      <c r="E39" s="61"/>
      <c r="F39" s="11" t="str">
        <f t="shared" si="1"/>
        <v/>
      </c>
    </row>
    <row r="40" spans="1:7" ht="14.4" hidden="1" customHeight="1" outlineLevel="2" x14ac:dyDescent="0.3">
      <c r="C40" s="611"/>
      <c r="D40" s="612"/>
      <c r="E40" s="61"/>
      <c r="F40" s="11" t="str">
        <f t="shared" si="1"/>
        <v/>
      </c>
    </row>
    <row r="41" spans="1:7" ht="14.4" hidden="1" customHeight="1" outlineLevel="2" x14ac:dyDescent="0.3">
      <c r="C41" s="611"/>
      <c r="D41" s="612"/>
      <c r="E41" s="61"/>
      <c r="F41" s="11" t="str">
        <f t="shared" si="1"/>
        <v/>
      </c>
    </row>
    <row r="42" spans="1:7" ht="28.8" collapsed="1" x14ac:dyDescent="0.3">
      <c r="A42" s="462" t="s">
        <v>3733</v>
      </c>
      <c r="B42" s="250" t="s">
        <v>1</v>
      </c>
      <c r="C42" s="589" t="str">
        <f>template_label_basis_for_reporting</f>
        <v>Basis for reporting (consolidated or individual basis)</v>
      </c>
      <c r="D42" s="590"/>
      <c r="E42" s="60" t="s">
        <v>7619</v>
      </c>
      <c r="F42" s="11" t="str">
        <f>IF(AND(OR(E32 = "Option A (Basic Module only)", E32 = "Option B (Basic Module and Comprehensive Module)"), E42 = ""),
    template_label_missing_value,
    IF(E32 = "", "", template_label_ok))</f>
        <v>OK</v>
      </c>
    </row>
    <row r="43" spans="1:7" x14ac:dyDescent="0.3">
      <c r="A43" s="595" t="s">
        <v>3948</v>
      </c>
      <c r="B43" s="597">
        <v>4</v>
      </c>
      <c r="C43" s="589" t="str">
        <f>template_label_undertakings_legal_form</f>
        <v>Undertakings legal form</v>
      </c>
      <c r="D43" s="590"/>
      <c r="E43" s="60" t="s">
        <v>2751</v>
      </c>
      <c r="F43" s="11" t="str">
        <f>IF(AND(OR(E32 = "Option A (Basic Module only)", E32 = "Option B (Basic Module and Comprehensive Module)"), E43 = ""),
    template_label_missing_value,
    IF(E32 = "", "", template_label_ok))</f>
        <v>OK</v>
      </c>
      <c r="G43" t="str">
        <f>template_label_other_warning</f>
        <v>ℹ️ When "other" is chosen as undertaking legal form please fill the row below</v>
      </c>
    </row>
    <row r="44" spans="1:7" x14ac:dyDescent="0.3">
      <c r="A44" s="596"/>
      <c r="B44" s="597"/>
      <c r="C44" s="598" t="str">
        <f>template_label_other_undertakings_legal_form_specification</f>
        <v>Other undertaking's legal form specification</v>
      </c>
      <c r="D44" s="599"/>
      <c r="E44" s="62"/>
      <c r="F44" s="11" t="str">
        <f>IF(AND(E43 = "other (please specify the legal form in the row below)", E44 &lt;&gt; ""),
    template_label_ok,
IF(AND(E43 = "other (please specify the legal form in the row below)", E44 = ""),
    template_label_missing_value,
IF(AND(E43 = "", E44 = ""),
    "",
IF(AND(E43 &lt;&gt; "other (please specify the legal form in the row below)", E44 = ""),
    "",
""))))</f>
        <v/>
      </c>
    </row>
    <row r="45" spans="1:7" ht="14.4" customHeight="1" x14ac:dyDescent="0.3">
      <c r="A45" s="585" t="s">
        <v>3734</v>
      </c>
      <c r="B45" s="587" t="s">
        <v>5641</v>
      </c>
      <c r="C45" s="589" t="str">
        <f>template_label_nace_sector_classification_code</f>
        <v>NACE sector classification code(s)</v>
      </c>
      <c r="D45" s="590"/>
      <c r="E45" s="60" t="s">
        <v>7620</v>
      </c>
      <c r="F45" s="11" t="str">
        <f>IF(OR(E32 = "Option A (Basic Module only)", E32 = "Option B (Basic Module and Comprehensive Module)"),
    IF(COUNTIF(enum_ListNACECategories, E45) &gt; 0, template_label_error,
        IF(E45 = "", template_label_missing_value,
            IF(COUNTIF(E45:E59, E45) &gt; 1, template_label_value_inconsistency, template_label_ok)
        )
    ),
    ""
)</f>
        <v>OK</v>
      </c>
      <c r="G45" t="str">
        <f>template_label_NACE_warning</f>
        <v>ℹ️  Please select a NACE code rather than a category else an ERROR message will appear.</v>
      </c>
    </row>
    <row r="46" spans="1:7" ht="14.4" customHeight="1" outlineLevel="1" x14ac:dyDescent="0.3">
      <c r="A46" s="586"/>
      <c r="B46" s="588"/>
      <c r="C46" s="589"/>
      <c r="D46" s="590"/>
      <c r="E46" s="60" t="s">
        <v>7621</v>
      </c>
      <c r="F46" s="11" t="str">
        <f t="shared" ref="F46:F59" si="2">IF(COUNTIF(enum_ListNACECategories, E46) &gt; 0, template_label_error,
IF(E46 = "", "",
IF(COUNTIF(E45:E59, E46) &gt; 1, template_label_value_inconsistency, template_label_ok)))</f>
        <v>OK</v>
      </c>
    </row>
    <row r="47" spans="1:7" ht="14.4" customHeight="1" outlineLevel="1" x14ac:dyDescent="0.3">
      <c r="A47" s="586"/>
      <c r="B47" s="588"/>
      <c r="C47" s="589"/>
      <c r="D47" s="590"/>
      <c r="E47" s="60"/>
      <c r="F47" s="11" t="str">
        <f t="shared" si="2"/>
        <v/>
      </c>
    </row>
    <row r="48" spans="1:7" ht="14.4" customHeight="1" outlineLevel="1" x14ac:dyDescent="0.3">
      <c r="A48" s="586"/>
      <c r="B48" s="588"/>
      <c r="C48" s="589"/>
      <c r="D48" s="590"/>
      <c r="E48" s="60"/>
      <c r="F48" s="11" t="str">
        <f t="shared" si="2"/>
        <v/>
      </c>
    </row>
    <row r="49" spans="1:6" ht="14.4" customHeight="1" outlineLevel="1" x14ac:dyDescent="0.3">
      <c r="A49" s="586"/>
      <c r="B49" s="588"/>
      <c r="C49" s="589"/>
      <c r="D49" s="590"/>
      <c r="E49" s="60"/>
      <c r="F49" s="11" t="str">
        <f t="shared" si="2"/>
        <v/>
      </c>
    </row>
    <row r="50" spans="1:6" ht="14.4" customHeight="1" outlineLevel="1" x14ac:dyDescent="0.3">
      <c r="A50" s="586"/>
      <c r="B50" s="588"/>
      <c r="C50" s="589"/>
      <c r="D50" s="590"/>
      <c r="E50" s="60"/>
      <c r="F50" s="11" t="str">
        <f t="shared" si="2"/>
        <v/>
      </c>
    </row>
    <row r="51" spans="1:6" ht="14.4" customHeight="1" outlineLevel="1" x14ac:dyDescent="0.3">
      <c r="A51" s="586"/>
      <c r="B51" s="588"/>
      <c r="C51" s="589"/>
      <c r="D51" s="590"/>
      <c r="E51" s="60"/>
      <c r="F51" s="11" t="str">
        <f t="shared" si="2"/>
        <v/>
      </c>
    </row>
    <row r="52" spans="1:6" ht="14.4" customHeight="1" outlineLevel="1" x14ac:dyDescent="0.3">
      <c r="A52" s="586"/>
      <c r="B52" s="588"/>
      <c r="C52" s="589"/>
      <c r="D52" s="590"/>
      <c r="E52" s="60"/>
      <c r="F52" s="11" t="str">
        <f t="shared" si="2"/>
        <v/>
      </c>
    </row>
    <row r="53" spans="1:6" ht="14.4" customHeight="1" outlineLevel="1" x14ac:dyDescent="0.3">
      <c r="A53" s="586"/>
      <c r="B53" s="588"/>
      <c r="C53" s="589"/>
      <c r="D53" s="590"/>
      <c r="E53" s="60"/>
      <c r="F53" s="11" t="str">
        <f t="shared" si="2"/>
        <v/>
      </c>
    </row>
    <row r="54" spans="1:6" ht="14.4" customHeight="1" outlineLevel="1" x14ac:dyDescent="0.3">
      <c r="A54" s="586"/>
      <c r="B54" s="588"/>
      <c r="C54" s="589"/>
      <c r="D54" s="590"/>
      <c r="E54" s="60"/>
      <c r="F54" s="11" t="str">
        <f t="shared" si="2"/>
        <v/>
      </c>
    </row>
    <row r="55" spans="1:6" ht="14.4" customHeight="1" outlineLevel="1" x14ac:dyDescent="0.3">
      <c r="A55" s="586"/>
      <c r="B55" s="588"/>
      <c r="C55" s="589"/>
      <c r="D55" s="590"/>
      <c r="E55" s="60"/>
      <c r="F55" s="11" t="str">
        <f t="shared" si="2"/>
        <v/>
      </c>
    </row>
    <row r="56" spans="1:6" ht="14.4" customHeight="1" outlineLevel="1" x14ac:dyDescent="0.3">
      <c r="A56" s="586"/>
      <c r="B56" s="588"/>
      <c r="C56" s="589"/>
      <c r="D56" s="590"/>
      <c r="E56" s="60"/>
      <c r="F56" s="11" t="str">
        <f t="shared" si="2"/>
        <v/>
      </c>
    </row>
    <row r="57" spans="1:6" ht="14.4" customHeight="1" outlineLevel="1" x14ac:dyDescent="0.3">
      <c r="A57" s="586"/>
      <c r="B57" s="588"/>
      <c r="C57" s="589"/>
      <c r="D57" s="590"/>
      <c r="E57" s="60"/>
      <c r="F57" s="11" t="str">
        <f t="shared" si="2"/>
        <v/>
      </c>
    </row>
    <row r="58" spans="1:6" ht="14.4" customHeight="1" outlineLevel="1" x14ac:dyDescent="0.3">
      <c r="A58" s="586"/>
      <c r="B58" s="588"/>
      <c r="C58" s="589"/>
      <c r="D58" s="590"/>
      <c r="E58" s="60"/>
      <c r="F58" s="11" t="str">
        <f t="shared" si="2"/>
        <v/>
      </c>
    </row>
    <row r="59" spans="1:6" ht="14.4" customHeight="1" outlineLevel="1" x14ac:dyDescent="0.3">
      <c r="A59" s="586"/>
      <c r="B59" s="588"/>
      <c r="C59" s="589"/>
      <c r="D59" s="590"/>
      <c r="E59" s="60"/>
      <c r="F59" s="11" t="str">
        <f t="shared" si="2"/>
        <v/>
      </c>
    </row>
    <row r="60" spans="1:6" ht="14.4" customHeight="1" x14ac:dyDescent="0.3">
      <c r="A60" s="462" t="s">
        <v>3735</v>
      </c>
      <c r="B60" s="250" t="s">
        <v>1</v>
      </c>
      <c r="C60" s="589" t="str">
        <f>template_label_size_of_balance_sheet_in &amp; " " &amp; template_currency</f>
        <v>Size of balance sheet (total assets) in EUR</v>
      </c>
      <c r="D60" s="590"/>
      <c r="E60" s="63">
        <v>600000</v>
      </c>
      <c r="F60" s="11" t="str">
        <f>IF(AND(OR(E32 = "Option A (Basic Module only)", E32 = "Option B (Basic Module and Comprehensive Module)"), E60 = ""),
    template_label_missing_value,
    IF(E32 = "", "", template_label_ok))</f>
        <v>OK</v>
      </c>
    </row>
    <row r="61" spans="1:6" ht="14.4" customHeight="1" x14ac:dyDescent="0.3">
      <c r="A61" s="462" t="s">
        <v>3736</v>
      </c>
      <c r="B61" s="250" t="s">
        <v>1</v>
      </c>
      <c r="C61" s="589" t="str">
        <f>template_label_turnover_in &amp; " " &amp; template_currency</f>
        <v>Turnover in EUR</v>
      </c>
      <c r="D61" s="590"/>
      <c r="E61" s="63">
        <v>235000</v>
      </c>
      <c r="F61" s="11" t="str">
        <f>IF(AND(OR(E32 = "Option A (Basic Module only)", E32 = "Option B (Basic Module and Comprehensive Module)"), E61 = ""),
    template_label_missing_value,
    IF(E32 = "", "", template_label_ok))</f>
        <v>OK</v>
      </c>
    </row>
    <row r="62" spans="1:6" ht="14.4" customHeight="1" x14ac:dyDescent="0.3">
      <c r="A62" s="462" t="s">
        <v>3726</v>
      </c>
      <c r="B62" s="466" t="s">
        <v>5642</v>
      </c>
      <c r="C62" s="589" t="str">
        <f>+template_label_number_of_employees</f>
        <v>Number of employees</v>
      </c>
      <c r="D62" s="590"/>
      <c r="E62" s="64">
        <v>151</v>
      </c>
      <c r="F62" s="11" t="str">
        <f>IF(AND(OR(E32 = "Option A (Basic Module only)", E32 = "Option B (Basic Module and Comprehensive Module)"), E62 = ""),
    template_label_missing_value,
    IF(E32 = "", "", template_label_ok))</f>
        <v>OK</v>
      </c>
    </row>
    <row r="63" spans="1:6" ht="14.4" customHeight="1" x14ac:dyDescent="0.3">
      <c r="A63" s="462" t="s">
        <v>3726</v>
      </c>
      <c r="B63" s="466" t="s">
        <v>5642</v>
      </c>
      <c r="C63" s="593" t="str">
        <f>template_label_employee_counting_methodology_end_of_reporting_period_or_average_during_the_reporting_period</f>
        <v>Employee counting methodology (At the end of reporting period or as an average during the reporting period)</v>
      </c>
      <c r="D63" s="594"/>
      <c r="E63" s="64" t="s">
        <v>3101</v>
      </c>
      <c r="F63" s="11" t="str">
        <f>IF(AND(OR(E32 = "Option A (Basic Module only)", E32 = "Option B (Basic Module and Comprehensive Module)"), E63 = ""),
    template_label_missing_value,
    IF(E32 = "", "", template_label_ok))</f>
        <v>OK</v>
      </c>
    </row>
    <row r="64" spans="1:6" ht="14.4" customHeight="1" x14ac:dyDescent="0.3">
      <c r="A64" s="462" t="s">
        <v>3726</v>
      </c>
      <c r="B64" s="466" t="s">
        <v>5642</v>
      </c>
      <c r="C64" s="589" t="str">
        <f>template_label_employee_counting_methodology_headcount_or_fulltime_equivalent</f>
        <v>Employee counting methodology (Headcount or Full-time equivalent)</v>
      </c>
      <c r="D64" s="590"/>
      <c r="E64" s="61" t="s">
        <v>7622</v>
      </c>
      <c r="F64" s="11" t="str">
        <f>IF(AND(OR(E32 = "Option A (Basic Module only)", E32 = "Option B (Basic Module and Comprehensive Module)"), E64 = ""),
    template_label_missing_value,
    IF(E32 = "", "", template_label_ok))</f>
        <v>OK</v>
      </c>
    </row>
    <row r="65" spans="1:7" ht="14.4" customHeight="1" thickBot="1" x14ac:dyDescent="0.35">
      <c r="A65" s="462" t="s">
        <v>3737</v>
      </c>
      <c r="B65" s="484" t="s">
        <v>5643</v>
      </c>
      <c r="C65" s="591" t="str">
        <f>template_label_country_of_primary_operations_and_location_of_significant_asset</f>
        <v>Country of primary operations and location of significant asset(s)</v>
      </c>
      <c r="D65" s="592"/>
      <c r="E65" s="65" t="s">
        <v>492</v>
      </c>
      <c r="F65" s="11" t="str">
        <f>IF(AND(OR(E32 = "Option A (Basic Module only)", E32 = "Option B (Basic Module and Comprehensive Module)"), E65 = ""),
    template_label_missing_value,
    IF(E32 = "", "", template_label_ok))</f>
        <v>OK</v>
      </c>
    </row>
    <row r="66" spans="1:7" ht="15" thickBot="1" x14ac:dyDescent="0.35">
      <c r="A66" s="248"/>
      <c r="B66" s="485"/>
    </row>
    <row r="67" spans="1:7" ht="14.4" customHeight="1" x14ac:dyDescent="0.3">
      <c r="A67" s="89"/>
      <c r="B67" s="89"/>
      <c r="C67" s="608" t="str">
        <f xml:space="preserve"> template_label_b1_list_of_subsidiaries &amp; " " &amp; template_label_from &amp; " " &amp; template_starting_date_display &amp; " " &amp; template_label_to &amp; " " &amp; template_ending_date_display &amp; " " &amp; template_label_if_applicable</f>
        <v>B1 - List of subsidiaries from 2024-01-01 to 2024-12-31 [If applicable]</v>
      </c>
      <c r="D67" s="609"/>
      <c r="E67" s="610"/>
    </row>
    <row r="68" spans="1:7" ht="14.4" customHeight="1" x14ac:dyDescent="0.3">
      <c r="A68" s="89"/>
      <c r="B68" s="89"/>
      <c r="C68" s="535" t="s">
        <v>3738</v>
      </c>
      <c r="D68" s="536"/>
      <c r="E68" s="537"/>
      <c r="F68" s="95"/>
    </row>
    <row r="69" spans="1:7" ht="14.4" customHeight="1" x14ac:dyDescent="0.3">
      <c r="A69" s="89"/>
      <c r="B69" s="89"/>
      <c r="C69" s="4" t="str">
        <f>template_label_id</f>
        <v>ID</v>
      </c>
      <c r="D69" t="str">
        <f>template_label_name</f>
        <v>Name</v>
      </c>
      <c r="E69" s="438" t="str">
        <f>template_label_registered_address</f>
        <v>Registered Address</v>
      </c>
    </row>
    <row r="70" spans="1:7" ht="14.4" customHeight="1" thickBot="1" x14ac:dyDescent="0.35">
      <c r="A70" s="89"/>
      <c r="B70" s="89"/>
      <c r="C70" s="234">
        <v>1</v>
      </c>
      <c r="D70" s="66" t="s">
        <v>7623</v>
      </c>
      <c r="E70" s="67" t="s">
        <v>7624</v>
      </c>
      <c r="F70" s="11" t="str">
        <f>IF(AND(BasisForReporting="Sustainability report prepared on a consolidated basis", D70&lt;&gt;"", E70=""), template_label_missing_value,
IF(AND(BasisForReporting="Sustainability report prepared on a consolidated basis", D70&lt;&gt;"", E70&lt;&gt;""), template_label_ok,
IF(AND(BasisForReporting="Sustainability report prepared on a consolidated basis", D70="", E70=""), template_label_missing_value, "")))</f>
        <v>OK</v>
      </c>
      <c r="G70" t="str">
        <f>template_label_additional_rows_warning</f>
        <v>ℹ️  Lists can be expanded using the little [+] button on the left.  If the number of rows is not sufficient, those can be added by right clicking the second row and selecting "Insert row".</v>
      </c>
    </row>
    <row r="71" spans="1:7" ht="14.4" hidden="1" customHeight="1" outlineLevel="1" x14ac:dyDescent="0.3">
      <c r="A71" s="89"/>
      <c r="B71" s="89"/>
      <c r="C71" s="383">
        <v>2</v>
      </c>
      <c r="D71" s="68"/>
      <c r="E71" s="69"/>
      <c r="F71" s="87" t="str">
        <f t="shared" ref="F71:F94" si="3">IF(AND(D71&lt;&gt;"",E71=""), template_label_missing_value,
IF(AND(D71&lt;&gt;"",E71&lt;&gt;""), template_label_ok,
IF(AND(D71="",E71=""), "", template_label_missing_value)))</f>
        <v/>
      </c>
    </row>
    <row r="72" spans="1:7" ht="14.4" hidden="1" customHeight="1" outlineLevel="1" x14ac:dyDescent="0.3">
      <c r="C72" s="232">
        <v>3</v>
      </c>
      <c r="D72" s="70"/>
      <c r="E72" s="71"/>
      <c r="F72" s="87" t="str">
        <f t="shared" si="3"/>
        <v/>
      </c>
    </row>
    <row r="73" spans="1:7" ht="14.4" hidden="1" customHeight="1" outlineLevel="1" x14ac:dyDescent="0.3">
      <c r="C73" s="232">
        <v>4</v>
      </c>
      <c r="D73" s="70"/>
      <c r="E73" s="71"/>
      <c r="F73" s="87" t="str">
        <f t="shared" si="3"/>
        <v/>
      </c>
    </row>
    <row r="74" spans="1:7" ht="14.4" hidden="1" customHeight="1" outlineLevel="1" x14ac:dyDescent="0.3">
      <c r="C74" s="233">
        <v>5</v>
      </c>
      <c r="D74" s="70"/>
      <c r="E74" s="71"/>
      <c r="F74" s="87" t="str">
        <f t="shared" si="3"/>
        <v/>
      </c>
    </row>
    <row r="75" spans="1:7" ht="14.4" hidden="1" customHeight="1" outlineLevel="1" x14ac:dyDescent="0.3">
      <c r="C75" s="232">
        <v>6</v>
      </c>
      <c r="D75" s="70"/>
      <c r="E75" s="71"/>
      <c r="F75" s="87" t="str">
        <f t="shared" si="3"/>
        <v/>
      </c>
    </row>
    <row r="76" spans="1:7" ht="14.4" hidden="1" customHeight="1" outlineLevel="1" x14ac:dyDescent="0.3">
      <c r="C76" s="232">
        <v>7</v>
      </c>
      <c r="D76" s="70"/>
      <c r="E76" s="71"/>
      <c r="F76" s="87" t="str">
        <f t="shared" si="3"/>
        <v/>
      </c>
    </row>
    <row r="77" spans="1:7" ht="14.4" hidden="1" customHeight="1" outlineLevel="1" x14ac:dyDescent="0.3">
      <c r="C77" s="233">
        <v>8</v>
      </c>
      <c r="D77" s="70"/>
      <c r="E77" s="71"/>
      <c r="F77" s="87" t="str">
        <f t="shared" si="3"/>
        <v/>
      </c>
    </row>
    <row r="78" spans="1:7" ht="14.4" hidden="1" customHeight="1" outlineLevel="1" x14ac:dyDescent="0.3">
      <c r="C78" s="232">
        <v>9</v>
      </c>
      <c r="D78" s="70"/>
      <c r="E78" s="71"/>
      <c r="F78" s="87" t="str">
        <f t="shared" si="3"/>
        <v/>
      </c>
    </row>
    <row r="79" spans="1:7" ht="14.4" hidden="1" customHeight="1" outlineLevel="1" x14ac:dyDescent="0.3">
      <c r="C79" s="232">
        <v>10</v>
      </c>
      <c r="D79" s="70"/>
      <c r="E79" s="71"/>
      <c r="F79" s="87" t="str">
        <f t="shared" si="3"/>
        <v/>
      </c>
    </row>
    <row r="80" spans="1:7" ht="14.4" hidden="1" customHeight="1" outlineLevel="1" x14ac:dyDescent="0.3">
      <c r="C80" s="233">
        <v>11</v>
      </c>
      <c r="D80" s="70"/>
      <c r="E80" s="71"/>
      <c r="F80" s="87" t="str">
        <f t="shared" si="3"/>
        <v/>
      </c>
    </row>
    <row r="81" spans="3:8" ht="14.4" hidden="1" customHeight="1" outlineLevel="1" x14ac:dyDescent="0.3">
      <c r="C81" s="232">
        <v>12</v>
      </c>
      <c r="D81" s="70"/>
      <c r="E81" s="71"/>
      <c r="F81" s="87" t="str">
        <f t="shared" si="3"/>
        <v/>
      </c>
    </row>
    <row r="82" spans="3:8" ht="14.4" hidden="1" customHeight="1" outlineLevel="1" x14ac:dyDescent="0.3">
      <c r="C82" s="232">
        <v>13</v>
      </c>
      <c r="D82" s="70"/>
      <c r="E82" s="71"/>
      <c r="F82" s="87" t="str">
        <f t="shared" si="3"/>
        <v/>
      </c>
    </row>
    <row r="83" spans="3:8" ht="14.4" hidden="1" customHeight="1" outlineLevel="1" x14ac:dyDescent="0.3">
      <c r="C83" s="233">
        <v>14</v>
      </c>
      <c r="D83" s="70"/>
      <c r="E83" s="71"/>
      <c r="F83" s="87" t="str">
        <f t="shared" si="3"/>
        <v/>
      </c>
    </row>
    <row r="84" spans="3:8" ht="14.4" hidden="1" customHeight="1" outlineLevel="1" x14ac:dyDescent="0.3">
      <c r="C84" s="232">
        <v>15</v>
      </c>
      <c r="D84" s="70"/>
      <c r="E84" s="71"/>
      <c r="F84" s="87" t="str">
        <f t="shared" si="3"/>
        <v/>
      </c>
    </row>
    <row r="85" spans="3:8" ht="14.4" hidden="1" customHeight="1" outlineLevel="1" x14ac:dyDescent="0.3">
      <c r="C85" s="232">
        <v>16</v>
      </c>
      <c r="D85" s="70"/>
      <c r="E85" s="71"/>
      <c r="F85" s="87" t="str">
        <f t="shared" si="3"/>
        <v/>
      </c>
    </row>
    <row r="86" spans="3:8" ht="14.4" hidden="1" customHeight="1" outlineLevel="1" x14ac:dyDescent="0.3">
      <c r="C86" s="233">
        <v>17</v>
      </c>
      <c r="D86" s="70"/>
      <c r="E86" s="71"/>
      <c r="F86" s="87" t="str">
        <f t="shared" si="3"/>
        <v/>
      </c>
    </row>
    <row r="87" spans="3:8" ht="14.4" hidden="1" customHeight="1" outlineLevel="1" x14ac:dyDescent="0.3">
      <c r="C87" s="232">
        <v>18</v>
      </c>
      <c r="D87" s="70"/>
      <c r="E87" s="71"/>
      <c r="F87" s="87" t="str">
        <f t="shared" si="3"/>
        <v/>
      </c>
    </row>
    <row r="88" spans="3:8" ht="14.4" hidden="1" customHeight="1" outlineLevel="1" x14ac:dyDescent="0.3">
      <c r="C88" s="232">
        <v>19</v>
      </c>
      <c r="D88" s="70"/>
      <c r="E88" s="71"/>
      <c r="F88" s="87" t="str">
        <f t="shared" si="3"/>
        <v/>
      </c>
    </row>
    <row r="89" spans="3:8" ht="14.4" hidden="1" customHeight="1" outlineLevel="1" x14ac:dyDescent="0.3">
      <c r="C89" s="233">
        <v>20</v>
      </c>
      <c r="D89" s="70"/>
      <c r="E89" s="71"/>
      <c r="F89" s="87" t="str">
        <f t="shared" si="3"/>
        <v/>
      </c>
    </row>
    <row r="90" spans="3:8" ht="14.4" hidden="1" customHeight="1" outlineLevel="1" x14ac:dyDescent="0.3">
      <c r="C90" s="232">
        <v>21</v>
      </c>
      <c r="D90" s="70"/>
      <c r="E90" s="71"/>
      <c r="F90" s="87" t="str">
        <f t="shared" si="3"/>
        <v/>
      </c>
    </row>
    <row r="91" spans="3:8" ht="14.4" hidden="1" customHeight="1" outlineLevel="1" x14ac:dyDescent="0.3">
      <c r="C91" s="232">
        <v>22</v>
      </c>
      <c r="D91" s="70"/>
      <c r="E91" s="71"/>
      <c r="F91" s="87" t="str">
        <f t="shared" si="3"/>
        <v/>
      </c>
    </row>
    <row r="92" spans="3:8" ht="14.4" hidden="1" customHeight="1" outlineLevel="1" x14ac:dyDescent="0.3">
      <c r="C92" s="233">
        <v>23</v>
      </c>
      <c r="D92" s="70"/>
      <c r="E92" s="71"/>
      <c r="F92" s="87" t="str">
        <f t="shared" si="3"/>
        <v/>
      </c>
    </row>
    <row r="93" spans="3:8" ht="14.4" hidden="1" customHeight="1" outlineLevel="1" x14ac:dyDescent="0.3">
      <c r="C93" s="232">
        <v>24</v>
      </c>
      <c r="D93" s="70"/>
      <c r="E93" s="71"/>
      <c r="F93" s="87" t="str">
        <f t="shared" si="3"/>
        <v/>
      </c>
    </row>
    <row r="94" spans="3:8" ht="14.4" hidden="1" customHeight="1" outlineLevel="1" thickBot="1" x14ac:dyDescent="0.35">
      <c r="C94" s="234">
        <v>25</v>
      </c>
      <c r="D94" s="72"/>
      <c r="E94" s="67"/>
      <c r="F94" s="87" t="str">
        <f t="shared" si="3"/>
        <v/>
      </c>
    </row>
    <row r="95" spans="3:8" ht="15" collapsed="1" thickBot="1" x14ac:dyDescent="0.35"/>
    <row r="96" spans="3:8" ht="14.4" customHeight="1" x14ac:dyDescent="0.3">
      <c r="C96" s="643"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2024-01-01 to 2024-12-31 [If applicable]</v>
      </c>
      <c r="D96" s="644"/>
      <c r="E96" s="644"/>
      <c r="F96" s="644"/>
      <c r="G96" s="644"/>
      <c r="H96" s="645"/>
    </row>
    <row r="97" spans="3:13" ht="14.4" customHeight="1" x14ac:dyDescent="0.3">
      <c r="C97" s="535">
        <v>25</v>
      </c>
      <c r="D97" s="536"/>
      <c r="E97" s="536"/>
      <c r="F97" s="536"/>
      <c r="G97" s="536"/>
      <c r="H97" s="537"/>
    </row>
    <row r="98" spans="3:13" ht="14.4" customHeight="1" x14ac:dyDescent="0.3">
      <c r="C98" s="646">
        <v>13</v>
      </c>
      <c r="D98" s="647"/>
      <c r="E98" s="647"/>
      <c r="F98" s="647"/>
      <c r="G98" s="647"/>
      <c r="H98" s="648"/>
    </row>
    <row r="99" spans="3:13" ht="14.4" customHeight="1" x14ac:dyDescent="0.3">
      <c r="C99" s="656" t="str">
        <f>template_label_has_the_undertaking_put_in_place_specific_practices_policies_and_or_future</f>
        <v>Has the undertaking put in place specific practices policies and or future initiatives for transitioning towards a more sustainable economy?</v>
      </c>
      <c r="D99" s="657"/>
      <c r="E99" s="658" t="b">
        <v>1</v>
      </c>
      <c r="F99" s="659"/>
      <c r="G99" s="659"/>
      <c r="H99" s="660"/>
    </row>
    <row r="100" spans="3:13" ht="30" customHeight="1" thickBot="1" x14ac:dyDescent="0.35">
      <c r="C100" s="619" t="str">
        <f>template_label_description_of_sustainability_related_certification_or_label</f>
        <v>Description of sustainability-related certification(s) or label(s) including where relevant the issuers of the certification or label date and rating score</v>
      </c>
      <c r="D100" s="620"/>
      <c r="E100" s="579" t="s">
        <v>7625</v>
      </c>
      <c r="F100" s="580"/>
      <c r="G100" s="580"/>
      <c r="H100" s="581"/>
      <c r="I100" s="16" t="str">
        <f>IF(AND(E99=TRUE,E100=""), template_label_missing_value,
IF(AND(E99=TRUE,E100&lt;&gt;""), template_label_ok, ""))</f>
        <v>OK</v>
      </c>
    </row>
    <row r="101" spans="3:13" ht="15" thickBot="1" x14ac:dyDescent="0.35"/>
    <row r="102" spans="3:13" x14ac:dyDescent="0.3">
      <c r="C102" s="608" t="str">
        <f>template_label_b1_list_of_site&amp; " " &amp; template_label_from &amp; " " &amp; template_starting_date_display &amp; " " &amp; template_label_to &amp; " " &amp; template_ending_date_display &amp; " " &amp; template_label_always_to_be_reported</f>
        <v>B1 - List of site(s) from 2024-01-01 to 2024-12-31 [Always to be reported]</v>
      </c>
      <c r="D102" s="609"/>
      <c r="E102" s="609"/>
      <c r="F102" s="609"/>
      <c r="G102" s="609"/>
      <c r="H102" s="610"/>
    </row>
    <row r="103" spans="3:13" x14ac:dyDescent="0.3">
      <c r="C103" s="535" t="s">
        <v>3739</v>
      </c>
      <c r="D103" s="536"/>
      <c r="E103" s="536"/>
      <c r="F103" s="536"/>
      <c r="G103" s="536"/>
      <c r="H103" s="537"/>
    </row>
    <row r="104" spans="3:13" x14ac:dyDescent="0.3">
      <c r="C104" s="661" t="s">
        <v>5644</v>
      </c>
      <c r="D104" s="662"/>
      <c r="E104" s="662"/>
      <c r="F104" s="662"/>
      <c r="G104" s="662"/>
      <c r="H104" s="663"/>
    </row>
    <row r="105" spans="3:13" x14ac:dyDescent="0.3">
      <c r="C105" s="543" t="str">
        <f>template_label_id</f>
        <v>ID</v>
      </c>
      <c r="D105" s="546" t="str">
        <f>template_label_address</f>
        <v>Address</v>
      </c>
      <c r="E105" s="546" t="str">
        <f>template_label_postal_code</f>
        <v>Postal code</v>
      </c>
      <c r="F105" s="539" t="str">
        <f>template_label_city</f>
        <v>City</v>
      </c>
      <c r="G105" s="546" t="str">
        <f>template_label_country</f>
        <v>Country</v>
      </c>
      <c r="H105" s="217" t="str">
        <f>template_label_gps_coordinates</f>
        <v>GPS Coordinates (geolocation)</v>
      </c>
      <c r="I105" s="96"/>
    </row>
    <row r="106" spans="3:13" ht="78" customHeight="1" x14ac:dyDescent="0.3">
      <c r="C106" s="544"/>
      <c r="D106" s="547"/>
      <c r="E106" s="547"/>
      <c r="F106" s="549"/>
      <c r="G106" s="547"/>
      <c r="H106" s="441"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106" s="96"/>
      <c r="J106" s="2"/>
    </row>
    <row r="107" spans="3:13" ht="53.4" customHeight="1" x14ac:dyDescent="0.3">
      <c r="C107" s="544"/>
      <c r="D107" s="547"/>
      <c r="E107" s="547"/>
      <c r="F107" s="549"/>
      <c r="G107" s="547"/>
      <c r="H107" s="440" t="s">
        <v>4364</v>
      </c>
      <c r="I107" s="439"/>
      <c r="J107" s="2"/>
    </row>
    <row r="108" spans="3:13" x14ac:dyDescent="0.3">
      <c r="C108" s="545"/>
      <c r="D108" s="548"/>
      <c r="E108" s="548"/>
      <c r="F108" s="540"/>
      <c r="G108" s="548"/>
      <c r="H108" s="381" t="b">
        <v>1</v>
      </c>
      <c r="I108" s="96"/>
      <c r="J108" s="343"/>
    </row>
    <row r="109" spans="3:13" x14ac:dyDescent="0.3">
      <c r="C109" s="232">
        <v>1</v>
      </c>
      <c r="D109" s="73" t="s">
        <v>7626</v>
      </c>
      <c r="E109" s="74" t="s">
        <v>7627</v>
      </c>
      <c r="F109" s="75" t="s">
        <v>7628</v>
      </c>
      <c r="G109" s="73" t="s">
        <v>492</v>
      </c>
      <c r="H109" s="208" t="str">
        <f>IF(COUNTA(D109:G109)=COLUMNS(D109:G109), IFERROR('Technical Sheet'!G2, "-"), "-")</f>
        <v>45.4639102,9.1906426</v>
      </c>
      <c r="I109" s="17" t="str">
        <f>IF(OR(E32="Option A (Basic Module only)", E32="Option B (Basic Module and Comprehensive Module)"),
    IF(AND(D109&lt;&gt;"", E109&lt;&gt;"", F109&lt;&gt;"", G109&lt;&gt;"", H109&lt;&gt;""),
        template_label_ok,
        template_label_missing_value
    ),
    ""
)</f>
        <v>OK</v>
      </c>
      <c r="J109" s="216" t="str">
        <f>IF(AND(D109&lt;&gt;"", E109&lt;&gt;"", F109&lt;&gt;"", G109&lt;&gt;""),
    IFERROR(HYPERLINK("https://www.openstreetmap.org/search?lat=" &amp; 'Technical Sheet'!E2 &amp; "&amp;lon=" &amp; 'Technical Sheet'!F2, "OpenStreetMap Link"),
    ""),
"")</f>
        <v>OpenStreetMap Link</v>
      </c>
      <c r="K109" s="97" t="str">
        <f t="shared" ref="K109:K133" si="4">LOWER(SUBSTITUTE(D109," ","+" )) &amp; "+" &amp; LOWER(SUBSTITUTE(E109," ","+" )) &amp; "+" &amp; LOWER(SUBSTITUTE(F109," ","+" )) &amp; "+" &amp; LOWER(SUBSTITUTE(G109," ","+" )) &amp; "+"</f>
        <v>duomo+square+20122+milan+italy+</v>
      </c>
      <c r="L109" t="str">
        <f>template_label_geolocalisation_warning</f>
        <v>ℹ️  Please be careful to separate each street number and house number using the slash symbol "/" and not the comma ","</v>
      </c>
      <c r="M109" s="90"/>
    </row>
    <row r="110" spans="3:13" x14ac:dyDescent="0.3">
      <c r="C110" s="233">
        <v>2</v>
      </c>
      <c r="D110" s="76"/>
      <c r="E110" s="77"/>
      <c r="F110" s="78"/>
      <c r="G110" s="73"/>
      <c r="H110" s="208" t="str">
        <f>IF(COUNTA(D110:G110)=COLUMNS(D110:G110), IFERROR('Technical Sheet'!G3, "-"), "-")</f>
        <v>-</v>
      </c>
      <c r="I110" s="17" t="str">
        <f t="shared" ref="I110:I133" si="5">IF(AND(D110&lt;&gt;"", E110&lt;&gt;"", F110&lt;&gt;"", G110&lt;&gt;"", H110&lt;&gt;""), template_label_ok,
    IF(AND(D110="", E110="", F110="", G110="", H110="-"), "",
        template_label_missing_value
    )
)</f>
        <v/>
      </c>
      <c r="J110" s="216" t="str">
        <f>IF(AND(D110&lt;&gt;"", E110&lt;&gt;"", F110&lt;&gt;"", G110&lt;&gt;""),
    IFERROR(HYPERLINK("https://www.openstreetmap.org/search?lat=" &amp; 'Technical Sheet'!E3 &amp; "&amp;lon=" &amp; 'Technical Sheet'!F3, "OpenStreetMap Link"),
    ""),
"")</f>
        <v/>
      </c>
      <c r="K110" s="97" t="str">
        <f>LOWER(SUBSTITUTE(D110," ","+" )) &amp; "+" &amp; LOWER(SUBSTITUTE(E110," ","+" )) &amp; "+" &amp; LOWER(SUBSTITUTE(F110," ","+" )) &amp; "+" &amp; LOWER(SUBSTITUTE(G110," ","+" )) &amp; "+"</f>
        <v>++++</v>
      </c>
    </row>
    <row r="111" spans="3:13" ht="15" thickBot="1" x14ac:dyDescent="0.35">
      <c r="C111" s="234">
        <v>3</v>
      </c>
      <c r="D111" s="79"/>
      <c r="E111" s="80"/>
      <c r="F111" s="81"/>
      <c r="G111" s="79"/>
      <c r="H111" s="209" t="str">
        <f>IF(COUNTA(D111:G111)=COLUMNS(D111:G111), IFERROR('Technical Sheet'!G4, "-"), "-")</f>
        <v>-</v>
      </c>
      <c r="I111" s="17" t="str">
        <f t="shared" si="5"/>
        <v/>
      </c>
      <c r="J111" s="216" t="str">
        <f>IF(AND(D111&lt;&gt;"", E111&lt;&gt;"", F111&lt;&gt;"", G111&lt;&gt;""),
    IFERROR(HYPERLINK("https://www.openstreetmap.org/search?lat=" &amp; 'Technical Sheet'!E4 &amp; "&amp;lon=" &amp; 'Technical Sheet'!F4, "OpenStreetMap Link"),
    ""),
"")</f>
        <v/>
      </c>
      <c r="K111" s="97" t="str">
        <f>LOWER(SUBSTITUTE(D111," ","+" )) &amp; "+" &amp; LOWER(SUBSTITUTE(E111," ","+" )) &amp; "+" &amp; LOWER(SUBSTITUTE(F111," ","+" )) &amp; "+" &amp; LOWER(SUBSTITUTE(G111," ","+" )) &amp; "+"</f>
        <v>++++</v>
      </c>
      <c r="L111" t="str">
        <f>template_label_additional_rows_warning</f>
        <v>ℹ️  Lists can be expanded using the little [+] button on the left.  If the number of rows is not sufficient, those can be added by right clicking the second row and selecting "Insert row".</v>
      </c>
    </row>
    <row r="112" spans="3:13" hidden="1" outlineLevel="1" x14ac:dyDescent="0.3">
      <c r="C112" s="233">
        <v>4</v>
      </c>
      <c r="D112" s="76"/>
      <c r="E112" s="77"/>
      <c r="F112" s="78"/>
      <c r="G112" s="76"/>
      <c r="H112" s="210" t="str">
        <f>IF(COUNTA(D112:G112)=COLUMNS(D112:G112), IFERROR('Technical Sheet'!G5, "-"), "-")</f>
        <v>-</v>
      </c>
      <c r="I112" s="17" t="str">
        <f t="shared" si="5"/>
        <v/>
      </c>
      <c r="J112" s="216" t="str">
        <f>IF(AND(D112&lt;&gt;"", E112&lt;&gt;"", F112&lt;&gt;"", G112&lt;&gt;""),
    IFERROR(HYPERLINK("https://www.openstreetmap.org/search?lat=" &amp; 'Technical Sheet'!E5 &amp; "&amp;lon=" &amp; 'Technical Sheet'!F5, "OpenStreetMap Link"),
    ""),
"")</f>
        <v/>
      </c>
      <c r="K112" s="97" t="str">
        <f t="shared" si="4"/>
        <v>++++</v>
      </c>
    </row>
    <row r="113" spans="3:11" hidden="1" outlineLevel="1" x14ac:dyDescent="0.3">
      <c r="C113" s="233">
        <v>5</v>
      </c>
      <c r="D113" s="73"/>
      <c r="E113" s="74"/>
      <c r="F113" s="75"/>
      <c r="G113" s="73"/>
      <c r="H113" s="208" t="str">
        <f>IF(COUNTA(D113:G113)=COLUMNS(D113:G113), IFERROR('Technical Sheet'!G6, "-"), "-")</f>
        <v>-</v>
      </c>
      <c r="I113" s="17" t="str">
        <f t="shared" si="5"/>
        <v/>
      </c>
      <c r="J113" s="216" t="str">
        <f>IF(AND(D113&lt;&gt;"", E113&lt;&gt;"", F113&lt;&gt;"", G113&lt;&gt;""),
    IFERROR(HYPERLINK("https://www.openstreetmap.org/search?lat=" &amp; 'Technical Sheet'!E6 &amp; "&amp;lon=" &amp; 'Technical Sheet'!F6, "OpenStreetMap Link"),
    ""),
"")</f>
        <v/>
      </c>
      <c r="K113" s="97" t="str">
        <f t="shared" si="4"/>
        <v>++++</v>
      </c>
    </row>
    <row r="114" spans="3:11" hidden="1" outlineLevel="1" x14ac:dyDescent="0.3">
      <c r="C114" s="232">
        <v>6</v>
      </c>
      <c r="D114" s="73"/>
      <c r="E114" s="74"/>
      <c r="F114" s="75"/>
      <c r="G114" s="73"/>
      <c r="H114" s="208" t="str">
        <f>IF(COUNTA(D114:G114)=COLUMNS(D114:G114), IFERROR('Technical Sheet'!G7, "-"), "-")</f>
        <v>-</v>
      </c>
      <c r="I114" s="17" t="str">
        <f t="shared" si="5"/>
        <v/>
      </c>
      <c r="J114" s="216" t="str">
        <f>IF(AND(D114&lt;&gt;"", E114&lt;&gt;"", F114&lt;&gt;"", G114&lt;&gt;""),
    IFERROR(HYPERLINK("https://www.openstreetmap.org/search?lat=" &amp; 'Technical Sheet'!E7 &amp; "&amp;lon=" &amp; 'Technical Sheet'!F7, "OpenStreetMap Link"),
    ""),
"")</f>
        <v/>
      </c>
      <c r="K114" s="97" t="str">
        <f t="shared" si="4"/>
        <v>++++</v>
      </c>
    </row>
    <row r="115" spans="3:11" hidden="1" outlineLevel="1" x14ac:dyDescent="0.3">
      <c r="C115" s="232">
        <v>7</v>
      </c>
      <c r="D115" s="73"/>
      <c r="E115" s="74"/>
      <c r="F115" s="75"/>
      <c r="G115" s="73"/>
      <c r="H115" s="208" t="str">
        <f>IF(COUNTA(D115:G115)=COLUMNS(D115:G115), IFERROR('Technical Sheet'!G8, "-"), "-")</f>
        <v>-</v>
      </c>
      <c r="I115" s="17" t="str">
        <f t="shared" si="5"/>
        <v/>
      </c>
      <c r="J115" s="216" t="str">
        <f>IF(AND(D115&lt;&gt;"", E115&lt;&gt;"", F115&lt;&gt;"", G115&lt;&gt;""),
    IFERROR(HYPERLINK("https://www.openstreetmap.org/search?lat=" &amp; 'Technical Sheet'!E8 &amp; "&amp;lon=" &amp; 'Technical Sheet'!F8, "OpenStreetMap Link"),
    ""),
"")</f>
        <v/>
      </c>
      <c r="K115" s="97" t="str">
        <f t="shared" si="4"/>
        <v>++++</v>
      </c>
    </row>
    <row r="116" spans="3:11" hidden="1" outlineLevel="1" x14ac:dyDescent="0.3">
      <c r="C116" s="233">
        <v>8</v>
      </c>
      <c r="D116" s="73"/>
      <c r="E116" s="74"/>
      <c r="F116" s="75"/>
      <c r="G116" s="73"/>
      <c r="H116" s="208" t="str">
        <f>IF(COUNTA(D116:G116)=COLUMNS(D116:G116), IFERROR('Technical Sheet'!G9, "-"), "-")</f>
        <v>-</v>
      </c>
      <c r="I116" s="17" t="str">
        <f t="shared" si="5"/>
        <v/>
      </c>
      <c r="J116" s="216" t="str">
        <f>IF(AND(D116&lt;&gt;"", E116&lt;&gt;"", F116&lt;&gt;"", G116&lt;&gt;""),
    IFERROR(HYPERLINK("https://www.openstreetmap.org/search?lat=" &amp; 'Technical Sheet'!E9 &amp; "&amp;lon=" &amp; 'Technical Sheet'!F9, "OpenStreetMap Link"),
    ""),
"")</f>
        <v/>
      </c>
      <c r="K116" s="97" t="str">
        <f t="shared" si="4"/>
        <v>++++</v>
      </c>
    </row>
    <row r="117" spans="3:11" hidden="1" outlineLevel="1" x14ac:dyDescent="0.3">
      <c r="C117" s="232">
        <v>9</v>
      </c>
      <c r="D117" s="73"/>
      <c r="E117" s="74"/>
      <c r="F117" s="75"/>
      <c r="G117" s="73"/>
      <c r="H117" s="208" t="str">
        <f>IF(COUNTA(D117:G117)=COLUMNS(D117:G117), IFERROR('Technical Sheet'!G10, "-"), "-")</f>
        <v>-</v>
      </c>
      <c r="I117" s="17" t="str">
        <f t="shared" si="5"/>
        <v/>
      </c>
      <c r="J117" s="216" t="str">
        <f>IF(AND(D117&lt;&gt;"", E117&lt;&gt;"", F117&lt;&gt;"", G117&lt;&gt;""),
    IFERROR(HYPERLINK("https://www.openstreetmap.org/search?lat=" &amp; 'Technical Sheet'!E10 &amp; "&amp;lon=" &amp; 'Technical Sheet'!F10, "OpenStreetMap Link"),
    ""),
"")</f>
        <v/>
      </c>
      <c r="K117" s="97" t="str">
        <f t="shared" si="4"/>
        <v>++++</v>
      </c>
    </row>
    <row r="118" spans="3:11" hidden="1" outlineLevel="1" x14ac:dyDescent="0.3">
      <c r="C118" s="232">
        <v>10</v>
      </c>
      <c r="D118" s="73"/>
      <c r="E118" s="74"/>
      <c r="F118" s="75"/>
      <c r="G118" s="73"/>
      <c r="H118" s="208" t="str">
        <f>IF(COUNTA(D118:G118)=COLUMNS(D118:G118), IFERROR('Technical Sheet'!G11, "-"), "-")</f>
        <v>-</v>
      </c>
      <c r="I118" s="17" t="str">
        <f t="shared" si="5"/>
        <v/>
      </c>
      <c r="J118" s="216" t="str">
        <f>IF(AND(D118&lt;&gt;"", E118&lt;&gt;"", F118&lt;&gt;"", G118&lt;&gt;""),
    IFERROR(HYPERLINK("https://www.openstreetmap.org/search?lat=" &amp; 'Technical Sheet'!E11 &amp; "&amp;lon=" &amp; 'Technical Sheet'!F11, "OpenStreetMap Link"),
    ""),
"")</f>
        <v/>
      </c>
      <c r="K118" s="97" t="str">
        <f t="shared" si="4"/>
        <v>++++</v>
      </c>
    </row>
    <row r="119" spans="3:11" hidden="1" outlineLevel="1" x14ac:dyDescent="0.3">
      <c r="C119" s="233">
        <v>11</v>
      </c>
      <c r="D119" s="73"/>
      <c r="E119" s="74"/>
      <c r="F119" s="75"/>
      <c r="G119" s="73"/>
      <c r="H119" s="208" t="str">
        <f>IF(COUNTA(D119:G119)=COLUMNS(D119:G119), IFERROR('Technical Sheet'!G12, "-"), "-")</f>
        <v>-</v>
      </c>
      <c r="I119" s="17" t="str">
        <f t="shared" si="5"/>
        <v/>
      </c>
      <c r="J119" s="216" t="str">
        <f>IF(AND(D119&lt;&gt;"", E119&lt;&gt;"", F119&lt;&gt;"", G119&lt;&gt;""),
    IFERROR(HYPERLINK("https://www.openstreetmap.org/search?lat=" &amp; 'Technical Sheet'!E12 &amp; "&amp;lon=" &amp; 'Technical Sheet'!F12, "OpenStreetMap Link"),
    ""),
"")</f>
        <v/>
      </c>
      <c r="K119" s="97" t="str">
        <f t="shared" si="4"/>
        <v>++++</v>
      </c>
    </row>
    <row r="120" spans="3:11" hidden="1" outlineLevel="1" x14ac:dyDescent="0.3">
      <c r="C120" s="232">
        <v>12</v>
      </c>
      <c r="D120" s="73"/>
      <c r="E120" s="74"/>
      <c r="F120" s="75"/>
      <c r="G120" s="73"/>
      <c r="H120" s="208" t="str">
        <f>IF(COUNTA(D120:G120)=COLUMNS(D120:G120), IFERROR('Technical Sheet'!G13, "-"), "-")</f>
        <v>-</v>
      </c>
      <c r="I120" s="17" t="str">
        <f t="shared" si="5"/>
        <v/>
      </c>
      <c r="J120" s="216" t="str">
        <f>IF(AND(D120&lt;&gt;"", E120&lt;&gt;"", F120&lt;&gt;"", G120&lt;&gt;""),
    IFERROR(HYPERLINK("https://www.openstreetmap.org/search?lat=" &amp; 'Technical Sheet'!E13 &amp; "&amp;lon=" &amp; 'Technical Sheet'!F13, "OpenStreetMap Link"),
    ""),
"")</f>
        <v/>
      </c>
      <c r="K120" s="97" t="str">
        <f t="shared" si="4"/>
        <v>++++</v>
      </c>
    </row>
    <row r="121" spans="3:11" hidden="1" outlineLevel="1" x14ac:dyDescent="0.3">
      <c r="C121" s="232">
        <v>13</v>
      </c>
      <c r="D121" s="73"/>
      <c r="E121" s="74"/>
      <c r="F121" s="75"/>
      <c r="G121" s="73"/>
      <c r="H121" s="208" t="str">
        <f>IF(COUNTA(D121:G121)=COLUMNS(D121:G121), IFERROR('Technical Sheet'!G14, "-"), "-")</f>
        <v>-</v>
      </c>
      <c r="I121" s="17" t="str">
        <f t="shared" si="5"/>
        <v/>
      </c>
      <c r="J121" s="216" t="str">
        <f>IF(AND(D121&lt;&gt;"", E121&lt;&gt;"", F121&lt;&gt;"", G121&lt;&gt;""),
    IFERROR(HYPERLINK("https://www.openstreetmap.org/search?lat=" &amp; 'Technical Sheet'!E14 &amp; "&amp;lon=" &amp; 'Technical Sheet'!F14, "OpenStreetMap Link"),
    ""),
"")</f>
        <v/>
      </c>
      <c r="K121" s="97" t="str">
        <f t="shared" si="4"/>
        <v>++++</v>
      </c>
    </row>
    <row r="122" spans="3:11" hidden="1" outlineLevel="1" x14ac:dyDescent="0.3">
      <c r="C122" s="233">
        <v>14</v>
      </c>
      <c r="D122" s="73"/>
      <c r="E122" s="74"/>
      <c r="F122" s="75"/>
      <c r="G122" s="73"/>
      <c r="H122" s="208" t="str">
        <f>IF(COUNTA(D122:G122)=COLUMNS(D122:G122), IFERROR('Technical Sheet'!G15, "-"), "-")</f>
        <v>-</v>
      </c>
      <c r="I122" s="17" t="str">
        <f t="shared" si="5"/>
        <v/>
      </c>
      <c r="J122" s="216" t="str">
        <f>IF(AND(D122&lt;&gt;"", E122&lt;&gt;"", F122&lt;&gt;"", G122&lt;&gt;""),
    IFERROR(HYPERLINK("https://www.openstreetmap.org/search?lat=" &amp; 'Technical Sheet'!E15 &amp; "&amp;lon=" &amp; 'Technical Sheet'!F15, "OpenStreetMap Link"),
    ""),
"")</f>
        <v/>
      </c>
      <c r="K122" s="97" t="str">
        <f t="shared" si="4"/>
        <v>++++</v>
      </c>
    </row>
    <row r="123" spans="3:11" hidden="1" outlineLevel="1" x14ac:dyDescent="0.3">
      <c r="C123" s="232">
        <v>15</v>
      </c>
      <c r="D123" s="73"/>
      <c r="E123" s="74"/>
      <c r="F123" s="75"/>
      <c r="G123" s="73"/>
      <c r="H123" s="208" t="str">
        <f>IF(COUNTA(D123:G123)=COLUMNS(D123:G123), IFERROR('Technical Sheet'!G16, "-"), "-")</f>
        <v>-</v>
      </c>
      <c r="I123" s="17" t="str">
        <f t="shared" si="5"/>
        <v/>
      </c>
      <c r="J123" s="216" t="str">
        <f>IF(AND(D123&lt;&gt;"", E123&lt;&gt;"", F123&lt;&gt;"", G123&lt;&gt;""),
    IFERROR(HYPERLINK("https://www.openstreetmap.org/search?lat=" &amp; 'Technical Sheet'!E16 &amp; "&amp;lon=" &amp; 'Technical Sheet'!F16, "OpenStreetMap Link"),
    ""),
"")</f>
        <v/>
      </c>
      <c r="K123" s="97" t="str">
        <f t="shared" si="4"/>
        <v>++++</v>
      </c>
    </row>
    <row r="124" spans="3:11" hidden="1" outlineLevel="1" x14ac:dyDescent="0.3">
      <c r="C124" s="232">
        <v>16</v>
      </c>
      <c r="D124" s="73"/>
      <c r="E124" s="74"/>
      <c r="F124" s="75"/>
      <c r="G124" s="73"/>
      <c r="H124" s="208" t="str">
        <f>IF(COUNTA(D124:G124)=COLUMNS(D124:G124), IFERROR('Technical Sheet'!G17, "-"), "-")</f>
        <v>-</v>
      </c>
      <c r="I124" s="17" t="str">
        <f t="shared" si="5"/>
        <v/>
      </c>
      <c r="J124" s="216" t="str">
        <f>IF(AND(D124&lt;&gt;"", E124&lt;&gt;"", F124&lt;&gt;"", G124&lt;&gt;""),
    IFERROR(HYPERLINK("https://www.openstreetmap.org/search?lat=" &amp; 'Technical Sheet'!E17 &amp; "&amp;lon=" &amp; 'Technical Sheet'!F17, "OpenStreetMap Link"),
    ""),
"")</f>
        <v/>
      </c>
      <c r="K124" s="97" t="str">
        <f t="shared" si="4"/>
        <v>++++</v>
      </c>
    </row>
    <row r="125" spans="3:11" hidden="1" outlineLevel="1" x14ac:dyDescent="0.3">
      <c r="C125" s="233">
        <v>17</v>
      </c>
      <c r="D125" s="73"/>
      <c r="E125" s="74"/>
      <c r="F125" s="75"/>
      <c r="G125" s="73"/>
      <c r="H125" s="208" t="str">
        <f>IF(COUNTA(D125:G125)=COLUMNS(D125:G125), IFERROR('Technical Sheet'!G18, "-"), "-")</f>
        <v>-</v>
      </c>
      <c r="I125" s="17" t="str">
        <f t="shared" si="5"/>
        <v/>
      </c>
      <c r="J125" s="216" t="str">
        <f>IF(AND(D125&lt;&gt;"", E125&lt;&gt;"", F125&lt;&gt;"", G125&lt;&gt;""),
    IFERROR(HYPERLINK("https://www.openstreetmap.org/search?lat=" &amp; 'Technical Sheet'!E18 &amp; "&amp;lon=" &amp; 'Technical Sheet'!F18, "OpenStreetMap Link"),
    ""),
"")</f>
        <v/>
      </c>
      <c r="K125" s="97" t="str">
        <f t="shared" si="4"/>
        <v>++++</v>
      </c>
    </row>
    <row r="126" spans="3:11" hidden="1" outlineLevel="1" x14ac:dyDescent="0.3">
      <c r="C126" s="232">
        <v>18</v>
      </c>
      <c r="D126" s="73"/>
      <c r="E126" s="74"/>
      <c r="F126" s="75"/>
      <c r="G126" s="73"/>
      <c r="H126" s="208" t="str">
        <f>IF(COUNTA(D126:G126)=COLUMNS(D126:G126), IFERROR('Technical Sheet'!G19, "-"), "-")</f>
        <v>-</v>
      </c>
      <c r="I126" s="17" t="str">
        <f t="shared" si="5"/>
        <v/>
      </c>
      <c r="J126" s="216" t="str">
        <f>IF(AND(D126&lt;&gt;"", E126&lt;&gt;"", F126&lt;&gt;"", G126&lt;&gt;""),
    IFERROR(HYPERLINK("https://www.openstreetmap.org/search?lat=" &amp; 'Technical Sheet'!E19 &amp; "&amp;lon=" &amp; 'Technical Sheet'!F19, "OpenStreetMap Link"),
    ""),
"")</f>
        <v/>
      </c>
      <c r="K126" s="97" t="str">
        <f t="shared" si="4"/>
        <v>++++</v>
      </c>
    </row>
    <row r="127" spans="3:11" hidden="1" outlineLevel="1" x14ac:dyDescent="0.3">
      <c r="C127" s="232">
        <v>19</v>
      </c>
      <c r="D127" s="73"/>
      <c r="E127" s="74"/>
      <c r="F127" s="75"/>
      <c r="G127" s="73"/>
      <c r="H127" s="208" t="str">
        <f>IF(COUNTA(D127:G127)=COLUMNS(D127:G127), IFERROR('Technical Sheet'!G20, "-"), "-")</f>
        <v>-</v>
      </c>
      <c r="I127" s="17" t="str">
        <f t="shared" si="5"/>
        <v/>
      </c>
      <c r="J127" s="216" t="str">
        <f>IF(AND(D127&lt;&gt;"", E127&lt;&gt;"", F127&lt;&gt;"", G127&lt;&gt;""),
    IFERROR(HYPERLINK("https://www.openstreetmap.org/search?lat=" &amp; 'Technical Sheet'!E20 &amp; "&amp;lon=" &amp; 'Technical Sheet'!F20, "OpenStreetMap Link"),
    ""),
"")</f>
        <v/>
      </c>
      <c r="K127" s="97" t="str">
        <f t="shared" si="4"/>
        <v>++++</v>
      </c>
    </row>
    <row r="128" spans="3:11" hidden="1" outlineLevel="1" x14ac:dyDescent="0.3">
      <c r="C128" s="233">
        <v>20</v>
      </c>
      <c r="D128" s="73"/>
      <c r="E128" s="74"/>
      <c r="F128" s="75"/>
      <c r="G128" s="73"/>
      <c r="H128" s="208" t="str">
        <f>IF(COUNTA(D128:G128)=COLUMNS(D128:G128), IFERROR('Technical Sheet'!G21, "-"), "-")</f>
        <v>-</v>
      </c>
      <c r="I128" s="17" t="str">
        <f t="shared" si="5"/>
        <v/>
      </c>
      <c r="J128" s="216" t="str">
        <f>IF(AND(D128&lt;&gt;"", E128&lt;&gt;"", F128&lt;&gt;"", G128&lt;&gt;""),
    IFERROR(HYPERLINK("https://www.openstreetmap.org/search?lat=" &amp; 'Technical Sheet'!E21 &amp; "&amp;lon=" &amp; 'Technical Sheet'!F21, "OpenStreetMap Link"),
    ""),
"")</f>
        <v/>
      </c>
      <c r="K128" s="97" t="str">
        <f t="shared" si="4"/>
        <v>++++</v>
      </c>
    </row>
    <row r="129" spans="2:17" hidden="1" outlineLevel="1" x14ac:dyDescent="0.3">
      <c r="C129" s="232">
        <v>21</v>
      </c>
      <c r="D129" s="73"/>
      <c r="E129" s="74"/>
      <c r="F129" s="75"/>
      <c r="G129" s="73"/>
      <c r="H129" s="208" t="str">
        <f>IF(COUNTA(D129:G129)=COLUMNS(D129:G129), IFERROR('Technical Sheet'!G22, "-"), "-")</f>
        <v>-</v>
      </c>
      <c r="I129" s="17" t="str">
        <f t="shared" si="5"/>
        <v/>
      </c>
      <c r="J129" s="216" t="str">
        <f>IF(AND(D129&lt;&gt;"", E129&lt;&gt;"", F129&lt;&gt;"", G129&lt;&gt;""),
    IFERROR(HYPERLINK("https://www.openstreetmap.org/search?lat=" &amp; 'Technical Sheet'!E22 &amp; "&amp;lon=" &amp; 'Technical Sheet'!F22, "OpenStreetMap Link"),
    ""),
"")</f>
        <v/>
      </c>
      <c r="K129" s="97" t="str">
        <f t="shared" si="4"/>
        <v>++++</v>
      </c>
    </row>
    <row r="130" spans="2:17" hidden="1" outlineLevel="1" x14ac:dyDescent="0.3">
      <c r="C130" s="232">
        <v>22</v>
      </c>
      <c r="D130" s="73"/>
      <c r="E130" s="74"/>
      <c r="F130" s="75"/>
      <c r="G130" s="73"/>
      <c r="H130" s="208" t="str">
        <f>IF(COUNTA(D130:G130)=COLUMNS(D130:G130), IFERROR('Technical Sheet'!G23, "-"), "-")</f>
        <v>-</v>
      </c>
      <c r="I130" s="17" t="str">
        <f t="shared" si="5"/>
        <v/>
      </c>
      <c r="J130" s="216" t="str">
        <f>IF(AND(D130&lt;&gt;"", E130&lt;&gt;"", F130&lt;&gt;"", G130&lt;&gt;""),
    IFERROR(HYPERLINK("https://www.openstreetmap.org/search?lat=" &amp; 'Technical Sheet'!E23 &amp; "&amp;lon=" &amp; 'Technical Sheet'!F23, "OpenStreetMap Link"),
    ""),
"")</f>
        <v/>
      </c>
      <c r="K130" s="97" t="str">
        <f t="shared" si="4"/>
        <v>++++</v>
      </c>
    </row>
    <row r="131" spans="2:17" hidden="1" outlineLevel="1" x14ac:dyDescent="0.3">
      <c r="C131" s="233">
        <v>23</v>
      </c>
      <c r="D131" s="73"/>
      <c r="E131" s="74"/>
      <c r="F131" s="75"/>
      <c r="G131" s="73"/>
      <c r="H131" s="208" t="str">
        <f>IF(COUNTA(D131:G131)=COLUMNS(D131:G131), IFERROR('Technical Sheet'!G24, "-"), "-")</f>
        <v>-</v>
      </c>
      <c r="I131" s="17" t="str">
        <f t="shared" si="5"/>
        <v/>
      </c>
      <c r="J131" s="216" t="str">
        <f>IF(AND(D131&lt;&gt;"", E131&lt;&gt;"", F131&lt;&gt;"", G131&lt;&gt;""),
    IFERROR(HYPERLINK("https://www.openstreetmap.org/search?lat=" &amp; 'Technical Sheet'!E24 &amp; "&amp;lon=" &amp; 'Technical Sheet'!F24, "OpenStreetMap Link"),
    ""),
"")</f>
        <v/>
      </c>
      <c r="K131" s="97" t="str">
        <f t="shared" si="4"/>
        <v>++++</v>
      </c>
    </row>
    <row r="132" spans="2:17" hidden="1" outlineLevel="1" x14ac:dyDescent="0.3">
      <c r="C132" s="384">
        <v>24</v>
      </c>
      <c r="D132" s="82"/>
      <c r="E132" s="83"/>
      <c r="F132" s="84"/>
      <c r="G132" s="82"/>
      <c r="H132" s="208" t="str">
        <f>IF(COUNTA(D132:G132)=COLUMNS(D132:G132), IFERROR('Technical Sheet'!G25, "-"), "-")</f>
        <v>-</v>
      </c>
      <c r="I132" s="17" t="str">
        <f t="shared" si="5"/>
        <v/>
      </c>
      <c r="J132" s="216" t="str">
        <f>IF(AND(D132&lt;&gt;"", E132&lt;&gt;"", F132&lt;&gt;"", G132&lt;&gt;""),
    IFERROR(HYPERLINK("https://www.openstreetmap.org/search?lat=" &amp; 'Technical Sheet'!E25 &amp; "&amp;lon=" &amp; 'Technical Sheet'!F25, "OpenStreetMap Link"),
    ""),
"")</f>
        <v/>
      </c>
      <c r="K132" s="97" t="str">
        <f t="shared" si="4"/>
        <v>++++</v>
      </c>
    </row>
    <row r="133" spans="2:17" ht="15" hidden="1" outlineLevel="1" thickBot="1" x14ac:dyDescent="0.35">
      <c r="C133" s="234">
        <v>25</v>
      </c>
      <c r="D133" s="79"/>
      <c r="E133" s="80"/>
      <c r="F133" s="81"/>
      <c r="G133" s="79"/>
      <c r="H133" s="209" t="str">
        <f>IF(COUNTA(D133:G133)=COLUMNS(D133:G133), IFERROR('Technical Sheet'!G26, "-"), "-")</f>
        <v>-</v>
      </c>
      <c r="I133" s="17" t="str">
        <f t="shared" si="5"/>
        <v/>
      </c>
      <c r="J133" s="216" t="str">
        <f>IF(AND(D133&lt;&gt;"", E133&lt;&gt;"", F133&lt;&gt;"", G133&lt;&gt;""),
    IFERROR(HYPERLINK("https://www.openstreetmap.org/search?lat=" &amp; 'Technical Sheet'!E26 &amp; "&amp;lon=" &amp; 'Technical Sheet'!F26, "OpenStreetMap Link"),
    ""),
"")</f>
        <v/>
      </c>
      <c r="K133" s="97" t="str">
        <f t="shared" si="4"/>
        <v>++++</v>
      </c>
    </row>
    <row r="134" spans="2:17" ht="15" customHeight="1" collapsed="1" thickBot="1" x14ac:dyDescent="0.35"/>
    <row r="135" spans="2:17" ht="38.1" customHeight="1" x14ac:dyDescent="0.3">
      <c r="C135" s="582"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2024-01-01 to 2024-12-31 [If applicable]</v>
      </c>
      <c r="D135" s="583"/>
      <c r="E135" s="583"/>
      <c r="F135" s="583"/>
      <c r="G135" s="583"/>
      <c r="H135" s="583"/>
      <c r="I135" s="583"/>
      <c r="J135" s="583"/>
      <c r="K135" s="583"/>
      <c r="L135" s="583"/>
      <c r="M135" s="583"/>
      <c r="N135" s="583"/>
      <c r="O135" s="584"/>
    </row>
    <row r="136" spans="2:17" s="10" customFormat="1" x14ac:dyDescent="0.3">
      <c r="C136" s="535" t="s">
        <v>3740</v>
      </c>
      <c r="D136" s="536"/>
      <c r="E136" s="536"/>
      <c r="F136" s="536"/>
      <c r="G136" s="536"/>
      <c r="H136" s="536"/>
      <c r="I136" s="536"/>
      <c r="J136" s="536"/>
      <c r="K136" s="536"/>
      <c r="L136" s="536"/>
      <c r="M136" s="536"/>
      <c r="N136" s="536"/>
      <c r="O136" s="537"/>
      <c r="P136"/>
      <c r="Q136"/>
    </row>
    <row r="137" spans="2:17" x14ac:dyDescent="0.3">
      <c r="C137" s="649" t="s">
        <v>5645</v>
      </c>
      <c r="D137" s="650"/>
      <c r="E137" s="650"/>
      <c r="F137" s="650"/>
      <c r="G137" s="650"/>
      <c r="H137" s="650"/>
      <c r="I137" s="650"/>
      <c r="J137" s="650"/>
      <c r="K137" s="650"/>
      <c r="L137" s="650"/>
      <c r="M137" s="650"/>
      <c r="N137" s="650"/>
      <c r="O137" s="651"/>
    </row>
    <row r="138" spans="2:17" x14ac:dyDescent="0.3">
      <c r="C138" s="654" t="str">
        <f>template_label_has_the_undertaking_put_in_place_specific_practices_policies_and_or_future</f>
        <v>Has the undertaking put in place specific practices policies and or future initiatives for transitioning towards a more sustainable economy?</v>
      </c>
      <c r="D138" s="538" t="str">
        <f>template_label_sustainability_issues_addressed_by_a_practice_policy_and_or_future_initiatives_put_in_place</f>
        <v>Sustainability issues addressed by a practice policy and or future initiatives that the undertaking has put in place</v>
      </c>
      <c r="E138" s="538"/>
      <c r="F138" s="538"/>
      <c r="G138" s="538"/>
      <c r="H138" s="538"/>
      <c r="I138" s="538"/>
      <c r="J138" s="538"/>
      <c r="K138" s="538"/>
      <c r="L138" s="538"/>
      <c r="M138" s="538"/>
      <c r="N138" s="539" t="str">
        <f>template_label_undertaking_has_a_practice_policy_and_or_future_initiative_that_is_publicly_available</f>
        <v>Undertaking has a practice policy and or future initiative that is publicly available</v>
      </c>
      <c r="O138" s="541" t="str">
        <f>template_label_undertaking_has_set_a_target_which_is_related_to_a_policy</f>
        <v>Undertaking has set a target which is related to a policy</v>
      </c>
    </row>
    <row r="139" spans="2:17" ht="41.4" customHeight="1" x14ac:dyDescent="0.3">
      <c r="C139" s="655"/>
      <c r="D139" s="86" t="str">
        <f>template_label_climate_change</f>
        <v>Climate change</v>
      </c>
      <c r="E139" s="86" t="str">
        <f>template_label_pollution</f>
        <v>Pollution</v>
      </c>
      <c r="F139" s="86" t="str">
        <f>template_label_water_and_marine_resources</f>
        <v>Water and marine resources</v>
      </c>
      <c r="G139" s="86" t="str">
        <f>template_label_biodiversity_and_ecosystems</f>
        <v>Biodiversity and ecosystems</v>
      </c>
      <c r="H139" s="86" t="str">
        <f>template_label_circular_economy</f>
        <v>Circular economy</v>
      </c>
      <c r="I139" s="86" t="str">
        <f>template_label_own_workforce</f>
        <v>Own workforce</v>
      </c>
      <c r="J139" s="86" t="str">
        <f>template_label_workers_in_the_value_chain</f>
        <v>Workers in the value chain</v>
      </c>
      <c r="K139" s="86" t="str">
        <f>template_label_affected_communities</f>
        <v>Affected communities</v>
      </c>
      <c r="L139" s="86" t="str">
        <f>template_label_consumers_and_endusers_validation</f>
        <v>Consumers and end-users</v>
      </c>
      <c r="M139" s="86" t="str">
        <f>template_label_business_conduct</f>
        <v>Business conduct</v>
      </c>
      <c r="N139" s="540"/>
      <c r="O139" s="542"/>
    </row>
    <row r="140" spans="2:17" ht="15" thickBot="1" x14ac:dyDescent="0.35">
      <c r="C140" s="207" t="b">
        <v>1</v>
      </c>
      <c r="D140" s="206" t="b">
        <v>1</v>
      </c>
      <c r="E140" s="204" t="b">
        <v>0</v>
      </c>
      <c r="F140" s="204" t="b">
        <v>1</v>
      </c>
      <c r="G140" s="204" t="b">
        <v>0</v>
      </c>
      <c r="H140" s="204" t="b">
        <v>1</v>
      </c>
      <c r="I140" s="204" t="b">
        <v>0</v>
      </c>
      <c r="J140" s="204" t="b">
        <v>1</v>
      </c>
      <c r="K140" s="204" t="b">
        <v>0</v>
      </c>
      <c r="L140" s="204" t="b">
        <v>1</v>
      </c>
      <c r="M140" s="204" t="b">
        <v>0</v>
      </c>
      <c r="N140" s="204" t="b">
        <v>1</v>
      </c>
      <c r="O140" s="205" t="b">
        <v>0</v>
      </c>
      <c r="P140" s="16" t="str">
        <f>IF(C140=TRUE, IF(COUNTIF(D140:M140, TRUE)&gt;0, template_label_ok, template_label_missing_value), "")</f>
        <v>OK</v>
      </c>
    </row>
    <row r="141" spans="2:17" ht="57.45" customHeight="1" thickBot="1" x14ac:dyDescent="0.35">
      <c r="F141"/>
    </row>
    <row r="142" spans="2:17" x14ac:dyDescent="0.3">
      <c r="C142" s="641"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2024-01-01 to 2024-12-31 [If applicable]</v>
      </c>
      <c r="D142" s="642"/>
      <c r="F142"/>
    </row>
    <row r="143" spans="2:17" x14ac:dyDescent="0.3">
      <c r="C143" s="652">
        <v>15</v>
      </c>
      <c r="D143" s="653"/>
      <c r="F143"/>
    </row>
    <row r="144" spans="2:17" ht="30.6" customHeight="1" x14ac:dyDescent="0.3">
      <c r="B144" s="252"/>
      <c r="C144" s="2" t="str">
        <f>template_label_effective_participation_of_workers_users_or_other_interested_parties_or_communities_in_governance</f>
        <v>Effective participation of workers users or other interested parties or communities in governance</v>
      </c>
      <c r="D144" s="295"/>
      <c r="E144" s="16" t="str">
        <f>IF(AND(D144&lt;&gt;"", UndertakingsLegalForm="cooperative"), template_label_ok, "")</f>
        <v/>
      </c>
      <c r="F144"/>
    </row>
    <row r="145" spans="1:8" ht="57" customHeight="1" x14ac:dyDescent="0.3">
      <c r="B145" s="252"/>
      <c r="C145" s="442" t="str">
        <f>template_label_financial_investment_in_the_capital_or_assets_of_social_economy_entities</f>
        <v>Financial investment in the capital or assets of social economy entities referred to in the Council Recommendation of 29 September 2023 (excluding donations and contributions)</v>
      </c>
      <c r="D145" s="296"/>
      <c r="E145" s="16" t="str">
        <f>IF(AND(D145&lt;&gt;"", UndertakingsLegalForm="cooperative"), template_label_ok, "")</f>
        <v/>
      </c>
      <c r="F145"/>
    </row>
    <row r="146" spans="1:8" ht="47.4" customHeight="1" thickBot="1" x14ac:dyDescent="0.35">
      <c r="B146" s="252"/>
      <c r="C146" s="114" t="str">
        <f>template_label_limits_to_the_distribution_of_profits</f>
        <v>Any limits to the distribution of profits connected to the mutualistic nature or to the nature of the activities consisting in services of general economic interest (SGEI)</v>
      </c>
      <c r="D146" s="297"/>
      <c r="E146" s="16" t="str">
        <f>IF(AND(D146&lt;&gt;"", UndertakingsLegalForm="cooperative"), template_label_ok, "")</f>
        <v/>
      </c>
      <c r="F146"/>
    </row>
    <row r="147" spans="1:8" ht="49.95" customHeight="1" thickBot="1" x14ac:dyDescent="0.35">
      <c r="C147" s="120"/>
      <c r="F147"/>
    </row>
    <row r="148" spans="1:8" x14ac:dyDescent="0.3">
      <c r="C148" s="613"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2024-01-01 to 2024-12-31 [If applicable linked with B2]</v>
      </c>
      <c r="D148" s="614"/>
      <c r="E148" s="614"/>
      <c r="F148" s="614"/>
      <c r="G148" s="615"/>
    </row>
    <row r="149" spans="1:8" ht="37.950000000000003" customHeight="1" x14ac:dyDescent="0.3">
      <c r="A149" s="464">
        <v>48</v>
      </c>
      <c r="B149" s="467">
        <v>149</v>
      </c>
      <c r="C149" s="624"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149" s="625"/>
      <c r="E149" s="668" t="s">
        <v>7629</v>
      </c>
      <c r="F149" s="669"/>
      <c r="G149" s="670"/>
      <c r="H149" s="16" t="str">
        <f>IF(AND(BasisForPreparation="Option B (Basic Module and Comprehensive Module)", C140=TRUE, DescriptionOfPracticesPoliciesAndOrFutureInitiatives=""), template_label_missing_value,
IF(AND(BasisForPreparation="Option B (Basic Module and Comprehensive Module)", C140=TRUE, DescriptionOfPracticesPoliciesAndOrFutureInitiatives&lt;&gt;""), template_label_ok,
IF(AND(BasisForPreparation="Option A (Basic Module only)", E149&lt;&gt;""), template_label_ok, "")))</f>
        <v>OK</v>
      </c>
    </row>
    <row r="150" spans="1:8" x14ac:dyDescent="0.3">
      <c r="A150" s="251" t="s">
        <v>1</v>
      </c>
      <c r="B150" s="467">
        <v>149</v>
      </c>
      <c r="C150" s="593" t="str">
        <f>template_label_description_of_target_related_to_a_policy</f>
        <v>Description of target related to a policy</v>
      </c>
      <c r="D150" s="594"/>
      <c r="E150" s="668"/>
      <c r="F150" s="669"/>
      <c r="G150" s="670"/>
      <c r="H150" s="16" t="str">
        <f>IF(AND(BasisForPreparation="Option B (Basic Module and Comprehensive Module)", C140=TRUE, O140=TRUE, E150=""), template_label_missing_value,
IF(AND(BasisForPreparation="Option B (Basic Module and Comprehensive Module)", C140=TRUE, O140=TRUE, E150&lt;&gt;""), template_label_ok,
IF(AND(BasisForPreparation="Option A (Basic Module only)", E150&lt;&gt;""), template_label_ok, "")))</f>
        <v/>
      </c>
    </row>
    <row r="151" spans="1:8" ht="15" thickBot="1" x14ac:dyDescent="0.35">
      <c r="A151" s="464">
        <v>49</v>
      </c>
      <c r="B151" s="467">
        <v>149</v>
      </c>
      <c r="C151" s="571" t="str">
        <f>template_label_most_senior_level_accountable_for_implementing_practices_policies_and_or_future_initiatives</f>
        <v>Most senior level within its employees that is accountable for implementing the policies when this has been determined by the undertaking</v>
      </c>
      <c r="D151" s="572"/>
      <c r="E151" s="671" t="s">
        <v>7629</v>
      </c>
      <c r="F151" s="672"/>
      <c r="G151" s="673"/>
      <c r="H151" s="16" t="str">
        <f>IF(AND(BasisForPreparation="Option B (Basic Module and Comprehensive Module)", C140=TRUE, MostSeniorLevelAccountableForImplementationOfPolicies=""), template_label_missing_value,
IF(AND(BasisForPreparation="Option B (Basic Module and Comprehensive Module)", C140=TRUE, MostSeniorLevelAccountableForImplementationOfPolicies&lt;&gt;""), template_label_ok,
IF(AND(BasisForPreparation="Option A (Basic Module only)", E151&lt;&gt;""), template_label_ok, "")))</f>
        <v>OK</v>
      </c>
    </row>
    <row r="152" spans="1:8" ht="14.7" customHeight="1" x14ac:dyDescent="0.3">
      <c r="F152"/>
    </row>
    <row r="153" spans="1:8" ht="14.7" customHeight="1" thickBot="1" x14ac:dyDescent="0.35">
      <c r="F153"/>
    </row>
    <row r="154" spans="1:8" ht="14.85" customHeight="1" x14ac:dyDescent="0.3">
      <c r="C154" s="613"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2024-01-01 to 2024-12-31 [Always to be reported]</v>
      </c>
      <c r="D154" s="614"/>
      <c r="E154" s="614"/>
      <c r="F154" s="614"/>
      <c r="G154" s="615"/>
    </row>
    <row r="155" spans="1:8" x14ac:dyDescent="0.3">
      <c r="A155" s="462" t="s">
        <v>3741</v>
      </c>
      <c r="B155" s="250" t="s">
        <v>1</v>
      </c>
      <c r="C155" s="575" t="str">
        <f>template_label_description_of_significant_groups_of_products_and_or_services_offered</f>
        <v>Description of significant groups of products and or services offered</v>
      </c>
      <c r="D155" s="576"/>
      <c r="E155" s="562" t="s">
        <v>7629</v>
      </c>
      <c r="F155" s="563"/>
      <c r="G155" s="564"/>
      <c r="H155" s="16" t="str">
        <f>IF(AND($E$32="Option B (Basic Module and Comprehensive Module)", E155=""), template_label_missing_value,
   IF(AND($E$32="Option A (Basic Module only)", E155&lt;&gt;""), template_label_ok,
   IF(AND($E$32="Option B (Basic Module and Comprehensive Module)", E155&lt;&gt;""), template_label_ok, "")))</f>
        <v>OK</v>
      </c>
    </row>
    <row r="156" spans="1:8" x14ac:dyDescent="0.3">
      <c r="A156" s="462" t="s">
        <v>3742</v>
      </c>
      <c r="B156" s="250" t="s">
        <v>1</v>
      </c>
      <c r="C156" s="577" t="str">
        <f>template_label_description_of_significant_market_the_undertaking_operates_in</f>
        <v>Description of significant market(s) the undertaking operates in (e.g. B2B, wholesale, retail, countries)</v>
      </c>
      <c r="D156" s="578"/>
      <c r="E156" s="565" t="s">
        <v>7629</v>
      </c>
      <c r="F156" s="565"/>
      <c r="G156" s="566"/>
      <c r="H156" s="16" t="str">
        <f>IF(AND($E$32="Option B (Basic Module and Comprehensive Module)", E156=""), template_label_missing_value,
   IF(AND($E$32="Option A (Basic Module only)", E156&lt;&gt;""), template_label_ok,
   IF(AND($E$32="Option B (Basic Module and Comprehensive Module)", E156&lt;&gt;""), template_label_ok, "")))</f>
        <v>OK</v>
      </c>
    </row>
    <row r="157" spans="1:8" ht="15" thickBot="1" x14ac:dyDescent="0.35">
      <c r="A157" s="462" t="s">
        <v>3743</v>
      </c>
      <c r="B157" s="465">
        <v>148</v>
      </c>
      <c r="C157" s="573" t="str">
        <f>template_label_description_of_main_business_relationships</f>
        <v>Description of main business relationships (such as key suppliers, customers, distribution channels)</v>
      </c>
      <c r="D157" s="574"/>
      <c r="E157" s="567" t="s">
        <v>7629</v>
      </c>
      <c r="F157" s="567"/>
      <c r="G157" s="568"/>
      <c r="H157" s="16" t="str">
        <f>IF(AND($E$32="Option B (Basic Module and Comprehensive Module)", E157=""), template_label_missing_value,
   IF(AND($E$32="Option A (Basic Module only)", E157&lt;&gt;""), template_label_ok,
   IF(AND($E$32="Option B (Basic Module and Comprehensive Module)", E157&lt;&gt;""), template_label_ok, "")))</f>
        <v>OK</v>
      </c>
    </row>
    <row r="158" spans="1:8" ht="27" customHeight="1" thickBot="1" x14ac:dyDescent="0.35">
      <c r="F158"/>
    </row>
    <row r="159" spans="1:8" ht="14.4" customHeight="1" x14ac:dyDescent="0.3">
      <c r="C159" s="613"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2024-01-01 to 2024-12-31 [If applicable]</v>
      </c>
      <c r="D159" s="614"/>
      <c r="E159" s="614"/>
      <c r="F159" s="614"/>
      <c r="G159" s="615"/>
    </row>
    <row r="160" spans="1:8" x14ac:dyDescent="0.3">
      <c r="C160" s="664" t="str">
        <f>template_label_has_the_strategy_key_elements_that_relate_to_or_affect_sustainability_issues</f>
        <v>Has the strategy key elements that relate to or affect sustainability issues?</v>
      </c>
      <c r="D160" s="665"/>
      <c r="E160" s="666" t="b">
        <v>1</v>
      </c>
      <c r="F160" s="666"/>
      <c r="G160" s="667"/>
    </row>
    <row r="161" spans="1:15" ht="15" thickBot="1" x14ac:dyDescent="0.35">
      <c r="A161" s="462" t="s">
        <v>3744</v>
      </c>
      <c r="B161" s="250" t="s">
        <v>1</v>
      </c>
      <c r="C161" s="571" t="str">
        <f>template_label_description_of_those_key_elements_in_the_strategy_that_relate_or_affect_sustainability_issues</f>
        <v>Description of those key elements in the strategy that relate or affect sustainability issues</v>
      </c>
      <c r="D161" s="572"/>
      <c r="E161" s="569" t="s">
        <v>7629</v>
      </c>
      <c r="F161" s="569"/>
      <c r="G161" s="570"/>
      <c r="H161" s="16" t="str">
        <f>IF(AND($E$32="Option B (Basic Module and Comprehensive Module)", E161="", E160=TRUE), template_label_missing_value,
   IF(AND($E$32="Option A (Basic Module only)", E161&lt;&gt;"", E160=TRUE), template_label_ok,
   IF(AND($E$32="Option B (Basic Module and Comprehensive Module)", E161&lt;&gt;"", E160=TRUE), template_label_ok, "")))</f>
        <v>OK</v>
      </c>
    </row>
    <row r="162" spans="1:15" ht="15" thickBot="1" x14ac:dyDescent="0.35"/>
    <row r="163" spans="1:15" ht="14.85" customHeight="1" x14ac:dyDescent="0.3">
      <c r="C163" s="559"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2024-01-01 to 2024-12-31 [May (optional)]</v>
      </c>
      <c r="D163" s="560"/>
      <c r="E163" s="560"/>
      <c r="F163" s="560"/>
      <c r="G163" s="560"/>
      <c r="H163" s="561"/>
      <c r="I163" s="10"/>
      <c r="J163" s="10"/>
      <c r="K163" s="10"/>
      <c r="L163" s="10"/>
      <c r="M163" s="10"/>
      <c r="N163" s="10"/>
      <c r="O163" s="10"/>
    </row>
    <row r="164" spans="1:15" ht="14.85" customHeight="1" x14ac:dyDescent="0.3">
      <c r="B164" s="252"/>
      <c r="C164" s="557">
        <v>10</v>
      </c>
      <c r="D164" s="557"/>
      <c r="E164" s="557"/>
      <c r="F164" s="557"/>
      <c r="G164" s="557"/>
      <c r="H164" s="558"/>
      <c r="I164" s="10"/>
      <c r="J164" s="10"/>
      <c r="K164" s="10"/>
      <c r="L164" s="10"/>
      <c r="M164" s="10"/>
      <c r="N164" s="10"/>
      <c r="O164" s="10"/>
    </row>
    <row r="165" spans="1:15" ht="15" thickBot="1" x14ac:dyDescent="0.35">
      <c r="C165" s="553"/>
      <c r="D165" s="554"/>
      <c r="E165" s="554"/>
      <c r="F165" s="554"/>
      <c r="G165" s="554"/>
      <c r="H165" s="554"/>
      <c r="I165" s="88" t="str">
        <f>IF(C165&lt;&gt;"", template_label_ok, "")</f>
        <v/>
      </c>
    </row>
  </sheetData>
  <sheetProtection algorithmName="SHA-512" hashValue="4Fv9iLcj2ptffmCCS+10P+1R2+Txe2eBl1iidXNOn9JkAjlDMTaMyOsaZNofAClXM1SmctE6HD49Eu+UaYlUvQ==" saltValue="sRCGaOnxCbnuYfFmKt23SQ==" spinCount="100000" sheet="1" formatColumns="0" formatRows="0" insertRows="0"/>
  <mergeCells count="85">
    <mergeCell ref="C160:D160"/>
    <mergeCell ref="E160:G160"/>
    <mergeCell ref="C159:G159"/>
    <mergeCell ref="C151:D151"/>
    <mergeCell ref="E149:G149"/>
    <mergeCell ref="E151:G151"/>
    <mergeCell ref="E150:G150"/>
    <mergeCell ref="C149:D149"/>
    <mergeCell ref="C150:D150"/>
    <mergeCell ref="C154:G154"/>
    <mergeCell ref="C142:D142"/>
    <mergeCell ref="C96:H96"/>
    <mergeCell ref="C98:H98"/>
    <mergeCell ref="C137:O137"/>
    <mergeCell ref="C143:D143"/>
    <mergeCell ref="C138:C139"/>
    <mergeCell ref="C99:D99"/>
    <mergeCell ref="E99:H99"/>
    <mergeCell ref="C104:H104"/>
    <mergeCell ref="C103:H103"/>
    <mergeCell ref="C102:H102"/>
    <mergeCell ref="C148:G148"/>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A43:A44"/>
    <mergeCell ref="B43:B44"/>
    <mergeCell ref="C44:D44"/>
    <mergeCell ref="C43:D43"/>
    <mergeCell ref="D9:E9"/>
    <mergeCell ref="D10:E10"/>
    <mergeCell ref="D11:E11"/>
    <mergeCell ref="D12:E12"/>
    <mergeCell ref="D13:E13"/>
    <mergeCell ref="C31:E31"/>
    <mergeCell ref="C33:D41"/>
    <mergeCell ref="A45:A59"/>
    <mergeCell ref="B45:B59"/>
    <mergeCell ref="C45:D59"/>
    <mergeCell ref="C64:D64"/>
    <mergeCell ref="C65:D65"/>
    <mergeCell ref="C60:D60"/>
    <mergeCell ref="C63:D63"/>
    <mergeCell ref="C165:H165"/>
    <mergeCell ref="C29:D29"/>
    <mergeCell ref="C164:H164"/>
    <mergeCell ref="C163:H163"/>
    <mergeCell ref="E155:G155"/>
    <mergeCell ref="E156:G156"/>
    <mergeCell ref="E157:G157"/>
    <mergeCell ref="E161:G161"/>
    <mergeCell ref="C161:D161"/>
    <mergeCell ref="C157:D157"/>
    <mergeCell ref="C155:D155"/>
    <mergeCell ref="C156:D156"/>
    <mergeCell ref="C97:H97"/>
    <mergeCell ref="C68:E68"/>
    <mergeCell ref="E100:H100"/>
    <mergeCell ref="C135:O135"/>
    <mergeCell ref="G6:K8"/>
    <mergeCell ref="G10:K12"/>
    <mergeCell ref="C136:O136"/>
    <mergeCell ref="D138:M138"/>
    <mergeCell ref="N138:N139"/>
    <mergeCell ref="O138:O139"/>
    <mergeCell ref="C105:C108"/>
    <mergeCell ref="G105:G108"/>
    <mergeCell ref="F105:F108"/>
    <mergeCell ref="E105:E108"/>
    <mergeCell ref="D105:D108"/>
    <mergeCell ref="F6:F8"/>
    <mergeCell ref="F10:F12"/>
    <mergeCell ref="D8:E8"/>
  </mergeCells>
  <phoneticPr fontId="3" type="noConversion"/>
  <conditionalFormatting sqref="C19 C29:D29">
    <cfRule type="expression" dxfId="325" priority="87">
      <formula>$E$18=TRUE</formula>
    </cfRule>
  </conditionalFormatting>
  <conditionalFormatting sqref="C44">
    <cfRule type="expression" dxfId="324" priority="103">
      <formula>$E$43="other (please specify the legal form in the row below)"</formula>
    </cfRule>
  </conditionalFormatting>
  <conditionalFormatting sqref="D144:D146">
    <cfRule type="expression" dxfId="323" priority="8">
      <formula>$E$43="cooperative"</formula>
    </cfRule>
  </conditionalFormatting>
  <conditionalFormatting sqref="D70:E94">
    <cfRule type="expression" dxfId="322" priority="55">
      <formula>$E$42="Sustainability report prepared on a consolidated basis"</formula>
    </cfRule>
  </conditionalFormatting>
  <conditionalFormatting sqref="D140:O140 E149 E151">
    <cfRule type="expression" dxfId="321" priority="17">
      <formula>$C$140=TRUE</formula>
    </cfRule>
  </conditionalFormatting>
  <conditionalFormatting sqref="D140:O140">
    <cfRule type="expression" dxfId="320" priority="27">
      <formula>$C$140=TRUE</formula>
    </cfRule>
  </conditionalFormatting>
  <conditionalFormatting sqref="E19:E28">
    <cfRule type="expression" dxfId="319" priority="141">
      <formula>AND(ISBLANK(#REF!), $E$18=TRUE)</formula>
    </cfRule>
  </conditionalFormatting>
  <conditionalFormatting sqref="E19:E29">
    <cfRule type="expression" dxfId="318" priority="1">
      <formula>$E$18=TRUE</formula>
    </cfRule>
  </conditionalFormatting>
  <conditionalFormatting sqref="E34:E41">
    <cfRule type="expression" dxfId="317" priority="76">
      <formula>AND(ISBLANK(#REF!), $E$18=TRUE)</formula>
    </cfRule>
    <cfRule type="expression" dxfId="316" priority="75">
      <formula>$E$18=TRUE</formula>
    </cfRule>
  </conditionalFormatting>
  <conditionalFormatting sqref="E44">
    <cfRule type="expression" dxfId="315" priority="102">
      <formula>$E$43="other (please specify the legal form in the row below)"</formula>
    </cfRule>
  </conditionalFormatting>
  <conditionalFormatting sqref="E99">
    <cfRule type="expression" dxfId="314" priority="53">
      <formula>$D$81="YES"</formula>
    </cfRule>
  </conditionalFormatting>
  <conditionalFormatting sqref="E144:E146">
    <cfRule type="expression" dxfId="313" priority="11">
      <formula>$E144=template_label_ok</formula>
    </cfRule>
  </conditionalFormatting>
  <conditionalFormatting sqref="E150:G150">
    <cfRule type="expression" dxfId="312" priority="371">
      <formula>AND($C$140=TRUE,$O$140=TRUE)</formula>
    </cfRule>
  </conditionalFormatting>
  <conditionalFormatting sqref="E161:G161">
    <cfRule type="expression" dxfId="311" priority="44">
      <formula>$E$160=TRUE</formula>
    </cfRule>
  </conditionalFormatting>
  <conditionalFormatting sqref="E100:H100">
    <cfRule type="expression" dxfId="310" priority="52">
      <formula>$E$99=TRUE</formula>
    </cfRule>
  </conditionalFormatting>
  <conditionalFormatting sqref="F3:F5 F70:F94">
    <cfRule type="expression" dxfId="309" priority="146">
      <formula>$F3=template_label_ok</formula>
    </cfRule>
    <cfRule type="expression" dxfId="308" priority="147">
      <formula>$F3=template_label_missing_value</formula>
    </cfRule>
  </conditionalFormatting>
  <conditionalFormatting sqref="F6:F8">
    <cfRule type="expression" dxfId="307" priority="2">
      <formula>$F$6=template_label_error</formula>
    </cfRule>
    <cfRule type="expression" dxfId="306" priority="57">
      <formula>$F$6=template_label_value_inconsistency</formula>
    </cfRule>
    <cfRule type="expression" dxfId="305" priority="59">
      <formula>$F$6=template_label_ok</formula>
    </cfRule>
    <cfRule type="expression" dxfId="304" priority="60">
      <formula>$F$6=template_label_missing_value</formula>
    </cfRule>
  </conditionalFormatting>
  <conditionalFormatting sqref="F10">
    <cfRule type="expression" dxfId="303" priority="63">
      <formula>$F$10=template_label_ok</formula>
    </cfRule>
    <cfRule type="expression" dxfId="302" priority="56">
      <formula>$F$10=template_label_error</formula>
    </cfRule>
    <cfRule type="expression" dxfId="301" priority="61">
      <formula>$F$10=template_label_missing_value</formula>
    </cfRule>
    <cfRule type="expression" dxfId="300" priority="62">
      <formula>$F$10=template_label_value_inconsistency</formula>
    </cfRule>
  </conditionalFormatting>
  <conditionalFormatting sqref="F13:F14">
    <cfRule type="expression" dxfId="299" priority="64">
      <formula>$F13="MISSING VALUE"</formula>
    </cfRule>
    <cfRule type="expression" dxfId="298" priority="65">
      <formula>$F13="OK"</formula>
    </cfRule>
  </conditionalFormatting>
  <conditionalFormatting sqref="F18">
    <cfRule type="expression" dxfId="297" priority="88">
      <formula>$F$18=template_label_ok</formula>
    </cfRule>
  </conditionalFormatting>
  <conditionalFormatting sqref="F19:F29">
    <cfRule type="expression" dxfId="296" priority="85">
      <formula>$F19=template_label_missing_value</formula>
    </cfRule>
    <cfRule type="expression" dxfId="295" priority="7">
      <formula>$F19=template_label_value_inconsistency</formula>
    </cfRule>
    <cfRule type="expression" dxfId="294" priority="86">
      <formula>$F19=template_label_ok</formula>
    </cfRule>
  </conditionalFormatting>
  <conditionalFormatting sqref="F29">
    <cfRule type="expression" dxfId="293" priority="12">
      <formula>$F$29=template_label_invalid_url</formula>
    </cfRule>
  </conditionalFormatting>
  <conditionalFormatting sqref="F32">
    <cfRule type="expression" dxfId="292" priority="68">
      <formula>$F32=template_label_missing_value</formula>
    </cfRule>
    <cfRule type="expression" dxfId="291" priority="69">
      <formula>$F32=template_label_ok</formula>
    </cfRule>
  </conditionalFormatting>
  <conditionalFormatting sqref="F33">
    <cfRule type="expression" dxfId="290" priority="5">
      <formula>$F$33=template_label_value_inconsistency</formula>
    </cfRule>
    <cfRule type="expression" dxfId="289" priority="119">
      <formula>$F$33=template_label_ok</formula>
    </cfRule>
    <cfRule type="expression" dxfId="288" priority="118">
      <formula>$F$33=template_label_missing_value</formula>
    </cfRule>
  </conditionalFormatting>
  <conditionalFormatting sqref="F34:F41">
    <cfRule type="expression" dxfId="287" priority="6">
      <formula>$F34="VALUE INCONSISTENCY"</formula>
    </cfRule>
    <cfRule type="expression" dxfId="286" priority="73">
      <formula>$F34="MISSING VALUE"</formula>
    </cfRule>
    <cfRule type="expression" dxfId="285" priority="74">
      <formula>$F34="OK"</formula>
    </cfRule>
  </conditionalFormatting>
  <conditionalFormatting sqref="F42">
    <cfRule type="expression" dxfId="284" priority="151">
      <formula>$F$42=template_label_missing_value</formula>
    </cfRule>
    <cfRule type="expression" dxfId="283" priority="128">
      <formula>$F$42=template_label_ok</formula>
    </cfRule>
  </conditionalFormatting>
  <conditionalFormatting sqref="F43">
    <cfRule type="expression" dxfId="282" priority="126">
      <formula>$F$43=template_label_missing_value</formula>
    </cfRule>
    <cfRule type="expression" dxfId="281" priority="127">
      <formula>$F$43=template_label_ok</formula>
    </cfRule>
  </conditionalFormatting>
  <conditionalFormatting sqref="F44">
    <cfRule type="expression" dxfId="280" priority="89">
      <formula>$F$44=template_label_missing_value</formula>
    </cfRule>
    <cfRule type="expression" dxfId="279" priority="90">
      <formula>$F$44=template_label_ok</formula>
    </cfRule>
  </conditionalFormatting>
  <conditionalFormatting sqref="F45">
    <cfRule type="expression" dxfId="278" priority="4">
      <formula>$F$45=template_label_value_inconsistency</formula>
    </cfRule>
    <cfRule type="expression" dxfId="277" priority="149">
      <formula>$F$45=template_label_missing_value</formula>
    </cfRule>
    <cfRule type="expression" dxfId="276" priority="148">
      <formula>$F$45=template_label_ok</formula>
    </cfRule>
    <cfRule type="expression" dxfId="275" priority="41">
      <formula>$F$45=template_label_error</formula>
    </cfRule>
  </conditionalFormatting>
  <conditionalFormatting sqref="F46:F59">
    <cfRule type="expression" dxfId="274" priority="38">
      <formula>$F46=template_label_missing_value</formula>
    </cfRule>
    <cfRule type="expression" dxfId="273" priority="40">
      <formula>$F46=template_label_error</formula>
    </cfRule>
    <cfRule type="expression" dxfId="272" priority="39">
      <formula>$F46=template_label_ok</formula>
    </cfRule>
    <cfRule type="expression" dxfId="271" priority="3">
      <formula>$F46=template_label_value_inconsistency</formula>
    </cfRule>
  </conditionalFormatting>
  <conditionalFormatting sqref="F60">
    <cfRule type="expression" dxfId="270" priority="135">
      <formula>$F$60=template_label_ok</formula>
    </cfRule>
    <cfRule type="expression" dxfId="269" priority="136">
      <formula>$F$60=template_label_missing_value</formula>
    </cfRule>
  </conditionalFormatting>
  <conditionalFormatting sqref="F61:F65">
    <cfRule type="expression" dxfId="268" priority="133">
      <formula>$F61=template_label_ok</formula>
    </cfRule>
    <cfRule type="expression" dxfId="267" priority="134">
      <formula>$F61=template_label_missing_value</formula>
    </cfRule>
  </conditionalFormatting>
  <conditionalFormatting sqref="F93">
    <cfRule type="expression" dxfId="266" priority="270">
      <formula>#REF!="MISSING VALUE"</formula>
    </cfRule>
    <cfRule type="expression" dxfId="265" priority="271">
      <formula>#REF!="OK"</formula>
    </cfRule>
  </conditionalFormatting>
  <conditionalFormatting sqref="F94">
    <cfRule type="expression" dxfId="264" priority="272">
      <formula>$F105="MISSING VALUE"</formula>
    </cfRule>
    <cfRule type="expression" dxfId="263" priority="273">
      <formula>$F105="OK"</formula>
    </cfRule>
  </conditionalFormatting>
  <conditionalFormatting sqref="G43">
    <cfRule type="expression" dxfId="262" priority="132">
      <formula>$G$43="Please specify the legal form in the row below"</formula>
    </cfRule>
  </conditionalFormatting>
  <conditionalFormatting sqref="H109:H133">
    <cfRule type="expression" dxfId="261" priority="13">
      <formula>$H$108=FALSE</formula>
    </cfRule>
  </conditionalFormatting>
  <conditionalFormatting sqref="H149:H151">
    <cfRule type="expression" dxfId="260" priority="14">
      <formula>$H149=template_label_missing_value</formula>
    </cfRule>
    <cfRule type="expression" dxfId="259" priority="15">
      <formula>$H149=template_label_ok</formula>
    </cfRule>
  </conditionalFormatting>
  <conditionalFormatting sqref="H155:H157 H161">
    <cfRule type="expression" dxfId="258" priority="100">
      <formula>$H155=template_label_ok</formula>
    </cfRule>
    <cfRule type="expression" dxfId="257" priority="101">
      <formula>$H155=template_label_missing_value</formula>
    </cfRule>
  </conditionalFormatting>
  <conditionalFormatting sqref="I100">
    <cfRule type="expression" dxfId="256" priority="43">
      <formula>$I$100=template_label_missing_value</formula>
    </cfRule>
    <cfRule type="expression" dxfId="255" priority="84">
      <formula>$I$100=template_label_ok</formula>
    </cfRule>
  </conditionalFormatting>
  <conditionalFormatting sqref="I109:I133">
    <cfRule type="expression" dxfId="254" priority="92">
      <formula>$I109=template_label_missing_value</formula>
    </cfRule>
    <cfRule type="expression" dxfId="253" priority="91">
      <formula>$I109=template_label_ok</formula>
    </cfRule>
  </conditionalFormatting>
  <conditionalFormatting sqref="I165">
    <cfRule type="expression" dxfId="252" priority="83">
      <formula>$I$165=template_label_ok</formula>
    </cfRule>
  </conditionalFormatting>
  <conditionalFormatting sqref="P140">
    <cfRule type="expression" dxfId="251" priority="24">
      <formula>$P$140=template_label_ok</formula>
    </cfRule>
    <cfRule type="expression" dxfId="250" priority="23">
      <formula>$P$140=template_label_missing_value</formula>
    </cfRule>
  </conditionalFormatting>
  <dataValidations xWindow="549" yWindow="696" count="20">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type="list" allowBlank="1" showInputMessage="1" showErrorMessage="1" sqref="G109:G133" xr:uid="{BE8F6A12-5C78-4D48-9F63-01FCA7AABD87}">
      <formula1>enum_ListCountriesName</formula1>
    </dataValidation>
    <dataValidation type="list" allowBlank="1" showInputMessage="1" showErrorMessage="1" sqref="E19:E28 E34:E41"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sqref="D145 E60:E62" xr:uid="{546D8560-FA10-4E3C-8848-2A7A25B13150}">
      <formula1>D60</formula1>
    </dataValidation>
    <dataValidation type="custom" showInputMessage="1" showErrorMessage="1" sqref="E160 I147:O153 E99 I99 C152:H153 C147:H147 C140:O141 E18 H108"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9"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sqref="E33" xr:uid="{AC769C83-4CF3-4F4D-8304-CCD442331E8E}">
      <formula1>enum_ListOmittedDisclosuresWithNone</formula1>
    </dataValidation>
    <dataValidation type="custom" showInputMessage="1" showErrorMessage="1" sqref="K109:K133" xr:uid="{87B45667-2565-4DEE-8FB7-7B0AF6539C1C}">
      <formula1>LOWER(SUBSTITUTE(D109," ","+" )) &amp; "+" &amp; LOWER(SUBSTITUTE(E109," ","+" )) &amp; "+" &amp; LOWER(SUBSTITUTE(F109," ","+" )) &amp; "+" &amp; LOWER(SUBSTITUTE(G109,"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45:E59" xr:uid="{EDCACB96-AA7D-42B4-A79D-8DE45409D62B}">
      <formula1>enum_ListNACETechnicalName</formula1>
    </dataValidation>
  </dataValidations>
  <hyperlinks>
    <hyperlink ref="B43" r:id="rId1" location="id-160" display="https://xbrl.efrag.org/e-esrs/2024-12-17-efrag-vsme.xhtml - id-160" xr:uid="{6E35ED44-D9B7-4052-8FB7-A15755AA2F9A}"/>
    <hyperlink ref="B45" r:id="rId2" location="id-166" display="69 - 70" xr:uid="{FA270BAD-2BBA-4F19-A5BF-CB6660F0026F}"/>
    <hyperlink ref="B62" r:id="rId3" xr:uid="{D4D508FB-87F9-401E-995D-187EDEBAA1BE}"/>
    <hyperlink ref="A32" r:id="rId4" xr:uid="{C2B9CAC6-77B0-4EAC-8669-72761233B94E}"/>
    <hyperlink ref="A33" r:id="rId5" xr:uid="{550B4979-0FEB-4358-9C47-F633B3AD029B}"/>
    <hyperlink ref="A42" r:id="rId6" xr:uid="{F8EF2A00-D01F-454A-B219-4512593E4195}"/>
    <hyperlink ref="A45" r:id="rId7" location="id-55" xr:uid="{34C299B3-3BF1-4370-BBCB-6C0B88190DAA}"/>
    <hyperlink ref="A61" r:id="rId8" xr:uid="{720E8189-B604-4A6E-B087-2B36F1DBDA4C}"/>
    <hyperlink ref="A62" r:id="rId9" xr:uid="{D8858E63-1190-459F-86C5-E2BF02C1FB92}"/>
    <hyperlink ref="A65" r:id="rId10" xr:uid="{91A049C2-07F3-45F0-A7D7-EE0EA55C5BC7}"/>
    <hyperlink ref="C97" r:id="rId11" location="id-61" display="https://xbrl.efrag.org/e-esrs/2024-12-17-efrag-vsme.xhtml - id-61" xr:uid="{DFAA86FF-296C-45FD-AFBE-90C8E90045EB}"/>
    <hyperlink ref="C104" r:id="rId12" location="id-170" display="73 -77" xr:uid="{8ABC957E-1EBE-4A8D-863F-E7583DD2AC76}"/>
    <hyperlink ref="C17" r:id="rId13" location="id-36" display="https://xbrl.efrag.org/e-esrs/2024-12-17-efrag-vsme.xhtml - id-36" xr:uid="{19CB59E3-AADC-498C-AF52-20D4994CF242}"/>
    <hyperlink ref="C98" r:id="rId14" location="id-174" display="https://xbrl.efrag.org/e-esrs/2024-12-17-efrag-vsme.xhtml - id-174" xr:uid="{C5A15A7C-043F-4781-AFDF-10B6996439A7}"/>
    <hyperlink ref="C164" r:id="rId15" location="id-30" display="https://xbrl.efrag.org/e-esrs/2024-12-17-efrag-vsme.xhtml - id-30" xr:uid="{76D42933-A7B6-4201-BBAA-C4F0D44A8C21}"/>
    <hyperlink ref="A161" r:id="rId16" xr:uid="{E97D4368-4682-47AC-B32E-7B38F4BB397A}"/>
    <hyperlink ref="C103" r:id="rId17" location="id-60" xr:uid="{A4AF9C3B-B0B9-4070-AABC-C04C5FA2EE60}"/>
    <hyperlink ref="B157" r:id="rId18" display="https://xbrl.efrag.org/eng/interactive/vsme/vsme-guidance-annex-ii/2025-07-30-ec-rec/148" xr:uid="{5CB57F72-A4D3-4052-85C2-F2ACBE8A0625}"/>
    <hyperlink ref="A157" r:id="rId19" xr:uid="{BC12DD63-6EEA-4437-B6AB-A88936D421E8}"/>
    <hyperlink ref="A155" r:id="rId20" xr:uid="{20731D9F-75F2-48D9-BBE1-5734A2AEF5B8}"/>
    <hyperlink ref="C68:E68" r:id="rId21" display="24(d)" xr:uid="{FE76555F-2718-48D9-B35B-738DCDA0476C}"/>
    <hyperlink ref="A60" r:id="rId22" xr:uid="{785C6C18-5546-41D1-A9CA-4896BC8E24DF}"/>
    <hyperlink ref="A156" r:id="rId23" xr:uid="{671D2E36-4142-4CDA-8EBC-2663BBA303BE}"/>
    <hyperlink ref="C136" r:id="rId24" location="id-62" display="Paragraph 26" xr:uid="{1422AC39-BA25-4CD7-940C-725F3655BB72}"/>
    <hyperlink ref="C137" r:id="rId25" location="id-175" display="78-80" xr:uid="{29217F16-5FD6-42B1-908F-0D6E08E76BBB}"/>
    <hyperlink ref="A149:B149" r:id="rId26" location="id-110" display="https://xbrl.efrag.org/e-esrs/2024-12-17-efrag-vsme.xhtml - id-110" xr:uid="{4CDC38AF-269F-44A9-8E58-C12060FF2342}"/>
    <hyperlink ref="A151" r:id="rId27" display="https://xbrl.efrag.org/eng/interactive/vsme/vsme-standard-annex-i/2025-07-30-ec-rec/49" xr:uid="{D30D55EA-0736-4AA0-9B56-68C3D904FFDE}"/>
    <hyperlink ref="C143:D143" r:id="rId28" display="https://xbrl.efrag.org/eng/interactive/vsme/vsme-guidance-annex-ii/2025-07-30-ec-rec/15" xr:uid="{57C93BA6-29CE-468C-8E78-67130131E33C}"/>
    <hyperlink ref="A43" r:id="rId29" location="id-54" xr:uid="{4D61DA22-7170-4B6E-B717-DB0522673FDD}"/>
    <hyperlink ref="A43:A44" r:id="rId30" display="24(e)(i)" xr:uid="{72955AD9-15B0-4E93-A887-B2AE5AE34125}"/>
    <hyperlink ref="A45:A59" r:id="rId31" display="24(e)(ii)" xr:uid="{63CDEE42-35EF-4F82-9479-44131CA090AD}"/>
    <hyperlink ref="C97:H97" r:id="rId32" display="https://xbrl.efrag.org/eng/interactive/vsme/vsme-standard-annex-i/2025-07-30-ec-rec/25" xr:uid="{8EB8478F-6CBB-42E3-B5BB-21A4D0415C38}"/>
    <hyperlink ref="C103:H103" r:id="rId33" display="24(e)(vii)" xr:uid="{C6042EE5-CA3B-4737-B838-E6FF23A0BB7E}"/>
    <hyperlink ref="C136:O136" r:id="rId34" display="26-28" xr:uid="{21BF77BD-962D-4692-8F8C-8E643BF2A2FA}"/>
    <hyperlink ref="A149"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43:B44" r:id="rId37" display="https://xbrl.efrag.org/eng/interactive/vsme/vsme-guidance-annex-ii/2025-07-30-ec-rec/4" xr:uid="{821F1107-DFCF-4075-8811-6950EDDD41AC}"/>
    <hyperlink ref="B45:B59" r:id="rId38" display="5-6" xr:uid="{820D3D54-AE35-4C9F-9F05-D9C65601D449}"/>
    <hyperlink ref="C98:H98" r:id="rId39" display="https://xbrl.efrag.org/eng/interactive/vsme/vsme-guidance-annex-ii/2025-07-30-ec-rec/13" xr:uid="{34CC0771-7A7A-4256-8604-3C6AC612CB8F}"/>
    <hyperlink ref="C104:H104" r:id="rId40" display=" 9-12" xr:uid="{8CFBD353-B0BE-4B92-B429-4A0F2EEADF94}"/>
    <hyperlink ref="C137:O137" r:id="rId41" display="14-16" xr:uid="{CF2D0EF1-31E3-4957-95F3-15807A0951DF}"/>
    <hyperlink ref="B149" r:id="rId42" display="https://xbrl.efrag.org/eng/interactive/vsme/vsme-guidance-annex-ii/2025-07-30-ec-rec/149" xr:uid="{3F21BED7-A3D8-4283-A715-0AF86BBD95CA}"/>
    <hyperlink ref="C164:H164" r:id="rId43" display="https://xbrl.efrag.org/eng/interactive/vsme/vsme-standard-annex-i/2025-07-30-ec-rec/10" xr:uid="{819CBA6C-8654-4D09-AB1C-01A45B1548B4}"/>
    <hyperlink ref="A63" r:id="rId44" xr:uid="{1CA670AC-AE61-4EBA-A48F-DD1755DDE711}"/>
    <hyperlink ref="A64" r:id="rId45" xr:uid="{38AD638B-9309-43D3-9974-DDAD89DD3A81}"/>
    <hyperlink ref="B150" r:id="rId46" location="id-110" display="https://xbrl.efrag.org/e-esrs/2024-12-17-efrag-vsme.xhtml - id-110" xr:uid="{768AD984-0FDA-4B83-81D3-76F2D106DD02}"/>
    <hyperlink ref="B151" r:id="rId47" location="id-110" display="https://xbrl.efrag.org/e-esrs/2024-12-17-efrag-vsme.xhtml - id-110" xr:uid="{35D0CFFA-65BC-428F-A344-02A0AEC99B37}"/>
    <hyperlink ref="B63" r:id="rId48" xr:uid="{574F6B8E-0C3C-4751-88CB-1E069AEA907A}"/>
    <hyperlink ref="B64" r:id="rId49" xr:uid="{9B3A4583-A796-4E9D-B618-7D963786DEA3}"/>
    <hyperlink ref="B65" r:id="rId50" xr:uid="{6B6EB5AC-63E2-4174-8796-708D6B7A70BA}"/>
    <hyperlink ref="E29" r:id="rId51" xr:uid="{A8251CDF-63A1-4272-8F5B-53E9706BB8D5}"/>
  </hyperlinks>
  <pageMargins left="0.7" right="0.7" top="0.75" bottom="0.75" header="0.3" footer="0.3"/>
  <pageSetup paperSize="9" orientation="portrait" horizontalDpi="4294967293" verticalDpi="4294967293" r:id="rId52"/>
  <drawing r:id="rId53"/>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244"/>
  <sheetViews>
    <sheetView showGridLines="0" tabSelected="1" topLeftCell="A175" zoomScaleNormal="100" workbookViewId="0">
      <selection activeCell="D195" sqref="D189:F195"/>
    </sheetView>
  </sheetViews>
  <sheetFormatPr defaultColWidth="8.88671875" defaultRowHeight="14.4" outlineLevelRow="1"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8" t="str">
        <f>template_label_paragraph_reference</f>
        <v>Paragraph Reference</v>
      </c>
      <c r="B1" s="258" t="str">
        <f>template_label_paragraph_guidance_reference</f>
        <v>Paragraph Guidance Reference</v>
      </c>
    </row>
    <row r="2" spans="1:13" x14ac:dyDescent="0.3">
      <c r="C2" s="643" t="str">
        <f>template_label_b3_total_energy_consumption&amp;" "&amp;template_label_from&amp;" "&amp;template_starting_date_display&amp;" "&amp;template_label_to&amp;" "&amp;template_ending_date_display&amp;" "&amp;template_label_always_to_be_reported</f>
        <v>B3 - Total Energy Consumption (in MWh) from 2024-01-01 to 2024-12-31 [Always to be reported]</v>
      </c>
      <c r="D2" s="644"/>
      <c r="E2" s="644"/>
      <c r="F2" s="644"/>
      <c r="G2" s="644"/>
      <c r="H2" s="644"/>
      <c r="I2" s="644"/>
      <c r="J2" s="644"/>
      <c r="K2" s="645"/>
    </row>
    <row r="3" spans="1:13" x14ac:dyDescent="0.3">
      <c r="C3" s="535">
        <v>29</v>
      </c>
      <c r="D3" s="536"/>
      <c r="E3" s="536"/>
      <c r="F3" s="536"/>
      <c r="G3" s="536"/>
      <c r="H3" s="536"/>
      <c r="I3" s="536"/>
      <c r="J3" s="536"/>
      <c r="K3" s="537"/>
    </row>
    <row r="4" spans="1:13" x14ac:dyDescent="0.3">
      <c r="C4" s="720" t="s">
        <v>5646</v>
      </c>
      <c r="D4" s="721"/>
      <c r="E4" s="721"/>
      <c r="F4" s="721"/>
      <c r="G4" s="721"/>
      <c r="H4" s="721"/>
      <c r="I4" s="721"/>
      <c r="J4" s="721"/>
      <c r="K4" s="722"/>
    </row>
    <row r="5" spans="1:13" ht="15" thickBot="1" x14ac:dyDescent="0.35">
      <c r="C5" s="741" t="str">
        <f>template_label_total_energy_consumption</f>
        <v>Total Energy Consumption</v>
      </c>
      <c r="D5" s="742"/>
      <c r="E5" s="742"/>
      <c r="F5" s="743"/>
      <c r="G5" s="760">
        <v>250</v>
      </c>
      <c r="H5" s="761"/>
      <c r="I5" s="761"/>
      <c r="J5" s="761"/>
      <c r="K5" s="762"/>
      <c r="L5" s="16" t="str">
        <f>IF(AND(OR('General Information'!E32="Option A (Basic Module only)", 'General Information'!E32="Option B (Basic Module and Comprehensive Module)"), G5=""), template_label_missing_value, IF('General Information'!E32="", "", template_label_ok))</f>
        <v>OK</v>
      </c>
    </row>
    <row r="6" spans="1:13" ht="15" thickBot="1" x14ac:dyDescent="0.35"/>
    <row r="7" spans="1:13" x14ac:dyDescent="0.3">
      <c r="C7" s="643" t="str">
        <f>template_label_b3_breakdown_of_energy_consumption&amp;" "&amp;template_label_from&amp;" "&amp;template_starting_date_display&amp;" "&amp;template_label_to&amp;" "&amp;template_ending_date_display&amp;" "&amp;template_label_if_applicable</f>
        <v>B3 - Breakdown of energy consumption (in MWh) from 2024-01-01 to 2024-12-31 [If applicable]</v>
      </c>
      <c r="D7" s="644"/>
      <c r="E7" s="644"/>
      <c r="F7" s="644"/>
      <c r="G7" s="644"/>
      <c r="H7" s="644"/>
      <c r="I7" s="644"/>
      <c r="J7" s="644"/>
      <c r="K7" s="645"/>
    </row>
    <row r="8" spans="1:13" x14ac:dyDescent="0.3">
      <c r="C8" s="535">
        <v>29</v>
      </c>
      <c r="D8" s="536"/>
      <c r="E8" s="536"/>
      <c r="F8" s="536"/>
      <c r="G8" s="536"/>
      <c r="H8" s="536"/>
      <c r="I8" s="536"/>
      <c r="J8" s="536"/>
      <c r="K8" s="537"/>
    </row>
    <row r="9" spans="1:13" x14ac:dyDescent="0.3">
      <c r="C9" s="720" t="s">
        <v>5646</v>
      </c>
      <c r="D9" s="721"/>
      <c r="E9" s="721"/>
      <c r="F9" s="721"/>
      <c r="G9" s="721"/>
      <c r="H9" s="721"/>
      <c r="I9" s="721"/>
      <c r="J9" s="721"/>
      <c r="K9" s="722"/>
    </row>
    <row r="10" spans="1:13" x14ac:dyDescent="0.3">
      <c r="C10" s="699" t="str">
        <f>template_label_has_the_undertaking_obtained_the_necessary_information_to_provide_an_energy_consumption_breakdown</f>
        <v>Has the undertaking obtained the necessary information to provide an energy consumption breakdown?</v>
      </c>
      <c r="D10" s="700"/>
      <c r="E10" s="700"/>
      <c r="F10" s="700"/>
      <c r="G10" s="666" t="b">
        <v>1</v>
      </c>
      <c r="H10" s="666"/>
      <c r="I10" s="666"/>
      <c r="J10" s="666"/>
      <c r="K10" s="667"/>
    </row>
    <row r="11" spans="1:13" ht="38.700000000000003" customHeight="1" x14ac:dyDescent="0.3">
      <c r="C11" s="766"/>
      <c r="D11" s="767"/>
      <c r="E11" s="767"/>
      <c r="F11" s="767"/>
      <c r="G11" s="756" t="str">
        <f>template_label_renewable</f>
        <v>Renewable</v>
      </c>
      <c r="H11" s="757"/>
      <c r="I11" s="757"/>
      <c r="J11" s="103" t="str">
        <f>template_label_non_renewable</f>
        <v>Non-renewable</v>
      </c>
      <c r="K11" s="104" t="str">
        <f>template_label_total_renewable_and_nonrenewable</f>
        <v>Total renewable and non-renewable</v>
      </c>
      <c r="L11" s="16"/>
    </row>
    <row r="12" spans="1:13" x14ac:dyDescent="0.3">
      <c r="C12" s="744" t="str">
        <f>template_label_electricity</f>
        <v>Electricity (as reflected in utility billings)</v>
      </c>
      <c r="D12" s="745"/>
      <c r="E12" s="745"/>
      <c r="F12" s="746"/>
      <c r="G12" s="750">
        <v>10</v>
      </c>
      <c r="H12" s="751"/>
      <c r="I12" s="752"/>
      <c r="J12" s="261">
        <v>100</v>
      </c>
      <c r="K12" s="298">
        <f>IF(AND(G12="",J12=""),"-",SUM(G12:J12))</f>
        <v>110</v>
      </c>
      <c r="L12" s="677" t="str" cm="1">
        <f t="array" ref="L12">IF(G10=TRUE,
    IF(SUMPRODUCT(--(G12:J14&lt;&gt;"-"), --(G12:J14&lt;&gt;""))&gt;0,
        IF(SUM(G12:J14) &gt; TotalEnergyConsumption, template_label_value_inconsistency, template_label_ok),
        template_label_missing_value),
"")</f>
        <v>OK</v>
      </c>
    </row>
    <row r="13" spans="1:13" x14ac:dyDescent="0.3">
      <c r="C13" s="747" t="str">
        <f>template_label_selfgenerated_electricity</f>
        <v>Self-generated electricity</v>
      </c>
      <c r="D13" s="748"/>
      <c r="E13" s="748"/>
      <c r="F13" s="749"/>
      <c r="G13" s="750">
        <v>23</v>
      </c>
      <c r="H13" s="751"/>
      <c r="I13" s="752"/>
      <c r="J13" s="261">
        <v>20</v>
      </c>
      <c r="K13" s="298">
        <f>IF(AND(G13="",J13=""),"-",SUM(G13:J13))</f>
        <v>43</v>
      </c>
      <c r="L13" s="677"/>
    </row>
    <row r="14" spans="1:13" ht="15" thickBot="1" x14ac:dyDescent="0.35">
      <c r="C14" s="768" t="str">
        <f>template_label_fuels</f>
        <v>Fuels (see Fuel Converter on Fuels worksheet)</v>
      </c>
      <c r="D14" s="769"/>
      <c r="E14" s="769"/>
      <c r="F14" s="770"/>
      <c r="G14" s="753">
        <f>IF('Fuel Converter'!D23=TRUE, 'Fuel Converter'!A32, "-")</f>
        <v>76.500061200000005</v>
      </c>
      <c r="H14" s="754"/>
      <c r="I14" s="755"/>
      <c r="J14" s="262">
        <f>IF('Fuel Converter'!D23=TRUE, 'Fuel Converter'!B32, "-")</f>
        <v>2.1402794900000002E-4</v>
      </c>
      <c r="K14" s="299">
        <f>IF(AND(G14="-",J14="-"),"-",SUM(G14:J14))</f>
        <v>76.500275227949004</v>
      </c>
      <c r="L14" s="677"/>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30" t="str">
        <f>template_label_b3_estimated_greenhouse_gas_emissions&amp; " "&amp;template_label_always_to_be_reported</f>
        <v>B3 - Estimated Greenhouse Gas Emissions considering the GHG Protocol Version 2004 (in tCO2e) [Always to be reported]</v>
      </c>
      <c r="D16" s="731"/>
      <c r="E16" s="731"/>
      <c r="F16" s="732"/>
      <c r="G16" s="738" t="str">
        <f>template_label_c3_ghg_reduction_targets&amp;" "&amp;template_label_if_applicable</f>
        <v>C3 - GHG reduction targets (in tC02e) [If applicable]</v>
      </c>
      <c r="H16" s="739"/>
      <c r="I16" s="739"/>
      <c r="J16" s="739"/>
      <c r="K16" s="740"/>
    </row>
    <row r="17" spans="1:21" x14ac:dyDescent="0.3">
      <c r="C17" s="733">
        <v>30</v>
      </c>
      <c r="D17" s="734"/>
      <c r="E17" s="734"/>
      <c r="F17" s="735"/>
      <c r="G17" s="733" t="s">
        <v>3745</v>
      </c>
      <c r="H17" s="734"/>
      <c r="I17" s="734"/>
      <c r="J17" s="468" t="s">
        <v>3746</v>
      </c>
      <c r="K17" s="469" t="s">
        <v>3747</v>
      </c>
    </row>
    <row r="18" spans="1:21" ht="15" thickBot="1" x14ac:dyDescent="0.35">
      <c r="C18" s="253" t="s">
        <v>1</v>
      </c>
      <c r="D18" s="595" t="s">
        <v>5647</v>
      </c>
      <c r="E18" s="595"/>
      <c r="F18" s="681"/>
      <c r="G18" s="758" t="s">
        <v>5648</v>
      </c>
      <c r="H18" s="759"/>
      <c r="I18" s="759"/>
      <c r="J18" s="462" t="s">
        <v>5648</v>
      </c>
      <c r="K18" s="471" t="s">
        <v>5648</v>
      </c>
    </row>
    <row r="19" spans="1:21" ht="30" customHeight="1" x14ac:dyDescent="0.3">
      <c r="C19" s="771"/>
      <c r="D19" s="772"/>
      <c r="E19" s="772"/>
      <c r="F19" s="773"/>
      <c r="G19" s="698" t="str">
        <f>template_label_has_the_undertaking_has_established_ghg_emission_reduction_targets</f>
        <v>Has  the undertaking has established GHG emission reduction targets?</v>
      </c>
      <c r="H19" s="698"/>
      <c r="I19" s="698"/>
      <c r="J19" s="175" t="b">
        <v>1</v>
      </c>
      <c r="K19" s="106"/>
    </row>
    <row r="20" spans="1:21" ht="28.8" x14ac:dyDescent="0.3">
      <c r="C20" s="107"/>
      <c r="D20" s="777" t="str">
        <f>template_label_current_reporting_period</f>
        <v>Current Reporting Period</v>
      </c>
      <c r="E20" s="777"/>
      <c r="F20" s="778"/>
      <c r="G20" s="848" t="str">
        <f>template_label_base_year</f>
        <v>Base Year</v>
      </c>
      <c r="H20" s="777"/>
      <c r="I20" s="777"/>
      <c r="J20" s="6" t="str">
        <f>template_label_target_year</f>
        <v>Target Year</v>
      </c>
      <c r="K20" s="53" t="str">
        <f>template_label_percentage_reduction_from_base_year</f>
        <v>Percentage reduction from base year</v>
      </c>
    </row>
    <row r="21" spans="1:21" x14ac:dyDescent="0.3">
      <c r="A21" s="674" t="str">
        <f>template_label_GHG_calculator</f>
        <v>ℹ️ Check EFRAG website for a non-exhaustive list of GHG calculators.</v>
      </c>
      <c r="B21" s="675"/>
      <c r="C21" s="55" t="str">
        <f>template_label_year_date</f>
        <v>Year (date)</v>
      </c>
      <c r="D21" s="779" t="str">
        <f>IF('General Information'!$D$9="", "-", 'General Information'!$D$9) &amp; "  -  " &amp; IF('General Information'!$D$13="", "-", 'General Information'!$D$13)</f>
        <v>2024-01-01  -  2024-12-31</v>
      </c>
      <c r="E21" s="779"/>
      <c r="F21" s="780"/>
      <c r="G21" s="864">
        <v>2020</v>
      </c>
      <c r="H21" s="865"/>
      <c r="I21" s="865"/>
      <c r="J21" s="145">
        <v>2030</v>
      </c>
      <c r="K21" s="109"/>
      <c r="L21" s="16" t="str">
        <f>IF(AND(J19=TRUE, G21&lt;&gt;"", J21&lt;&gt;""), template_label_ok,
IF(AND(J19=TRUE, G21="", J21=""), template_label_missing_value,
IF(AND(J19=FALSE, G21="", J21=""), "",
IF(AND(J19=TRUE, OR(G21="", J21="")), template_label_missing_value, ""))))</f>
        <v>OK</v>
      </c>
    </row>
    <row r="22" spans="1:21" x14ac:dyDescent="0.3">
      <c r="A22" s="674"/>
      <c r="B22" s="675"/>
      <c r="C22" s="4" t="str">
        <f>template_label_gross_scope_1_ghg_emissions</f>
        <v>Gross Scope 1 GHG Emissions</v>
      </c>
      <c r="D22" s="736">
        <v>100</v>
      </c>
      <c r="E22" s="736"/>
      <c r="F22" s="737"/>
      <c r="G22" s="752">
        <v>150</v>
      </c>
      <c r="H22" s="866"/>
      <c r="I22" s="866"/>
      <c r="J22" s="261">
        <v>75</v>
      </c>
      <c r="K22" s="110">
        <f>IF(AND(G22="", J22=""), "-", IFERROR(-(1 - (J22 / G22)), "-"))</f>
        <v>-0.5</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3">
      <c r="A23" s="674"/>
      <c r="B23" s="675"/>
      <c r="C23" s="4" t="str">
        <f>template_label_gross_scope_2_location_based_ghg_emissions</f>
        <v>Gross Scope 2 location-based GHG Emissions</v>
      </c>
      <c r="D23" s="717">
        <v>50</v>
      </c>
      <c r="E23" s="718"/>
      <c r="F23" s="719"/>
      <c r="G23" s="752">
        <v>75</v>
      </c>
      <c r="H23" s="866"/>
      <c r="I23" s="866"/>
      <c r="J23" s="261">
        <v>15</v>
      </c>
      <c r="K23" s="110">
        <f t="shared" ref="K23:K26" si="0">IF(AND(G23="", J23=""), "-", IFERROR(-(1 - (J23 / G23)), "-"))</f>
        <v>-0.8</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3">
      <c r="A24" s="674"/>
      <c r="B24" s="675"/>
      <c r="C24" s="4" t="str">
        <f>template_label_gross_scope_2_market_based_ghg_emissions &amp; " - " &amp; template_label_may_not_headline</f>
        <v>Gross scope 2 market-based GHG Emissions - May (optional)</v>
      </c>
      <c r="D24" s="736"/>
      <c r="E24" s="736"/>
      <c r="F24" s="737"/>
      <c r="G24" s="752"/>
      <c r="H24" s="866"/>
      <c r="I24" s="866"/>
      <c r="J24" s="261"/>
      <c r="K24" s="110" t="str">
        <f t="shared" si="0"/>
        <v>-</v>
      </c>
      <c r="L24" s="16" t="str">
        <f>IF(D24&lt;&gt;"",
    IF(AND(G24="", J24=""), template_label_ok,
       IF(AND(G24&lt;&gt;"", J24=""), template_label_missing_value, template_label_ok)
    ),
"")</f>
        <v/>
      </c>
    </row>
    <row r="25" spans="1:21" x14ac:dyDescent="0.3">
      <c r="A25" s="674"/>
      <c r="B25" s="675"/>
      <c r="C25" s="13" t="str">
        <f>template_label_total_scope_1_and_scope_2_ghg_emissions_location_based</f>
        <v>Total Scope 1 and Scope 2 GHG Emissions (location-based)</v>
      </c>
      <c r="D25" s="851">
        <f>IF(AND(D22="",D23=""),"-",SUM(D22,D23))</f>
        <v>150</v>
      </c>
      <c r="E25" s="851"/>
      <c r="F25" s="852"/>
      <c r="G25" s="898">
        <f>IF(AND(G22="",G23=""),"-",SUM(G22,G23))</f>
        <v>225</v>
      </c>
      <c r="H25" s="851"/>
      <c r="I25" s="851"/>
      <c r="J25" s="264">
        <f>IF(AND(J22="",J23=""),"-",SUM(J22,J23))</f>
        <v>90</v>
      </c>
      <c r="K25" s="110">
        <f t="shared" si="0"/>
        <v>-0.6</v>
      </c>
    </row>
    <row r="26" spans="1:21" ht="15" thickBot="1" x14ac:dyDescent="0.35">
      <c r="A26" s="674"/>
      <c r="B26" s="675"/>
      <c r="C26" s="5" t="str">
        <f>template_label_total_scope_1_and_scope_2_ghg_emissions_market_based &amp; " - " &amp; template_label_may_not_headline</f>
        <v>Total Scope 1 and Scope 2 GHG emissions  (market-based) - May (optional)</v>
      </c>
      <c r="D26" s="870" t="str">
        <f>IF(OR(D22="",D24=""),"-",SUM(D22,D24))</f>
        <v>-</v>
      </c>
      <c r="E26" s="871"/>
      <c r="F26" s="872"/>
      <c r="G26" s="871" t="str">
        <f>IF(OR(G22="",G24=""),"-",SUM(G22,G24))</f>
        <v>-</v>
      </c>
      <c r="H26" s="871"/>
      <c r="I26" s="874"/>
      <c r="J26" s="265" t="str">
        <f>IF(OR(J22="",J24=""),"-",SUM(J22,J24))</f>
        <v>-</v>
      </c>
      <c r="K26" s="110" t="str">
        <f t="shared" si="0"/>
        <v>-</v>
      </c>
    </row>
    <row r="27" spans="1:21" x14ac:dyDescent="0.3">
      <c r="C27" s="882" t="s">
        <v>3748</v>
      </c>
      <c r="D27" s="868"/>
      <c r="E27" s="868"/>
      <c r="F27" s="868"/>
      <c r="G27" s="868">
        <v>54</v>
      </c>
      <c r="H27" s="868"/>
      <c r="I27" s="868"/>
      <c r="J27" s="868"/>
      <c r="K27" s="111"/>
    </row>
    <row r="28" spans="1:21" ht="15" thickBot="1" x14ac:dyDescent="0.35">
      <c r="C28" s="253" t="s">
        <v>1</v>
      </c>
      <c r="D28" s="595" t="s">
        <v>5649</v>
      </c>
      <c r="E28" s="595"/>
      <c r="F28" s="595"/>
      <c r="G28" s="883" t="s">
        <v>1</v>
      </c>
      <c r="H28" s="883"/>
      <c r="I28" s="883"/>
      <c r="J28" s="254" t="s">
        <v>1</v>
      </c>
      <c r="K28" s="112"/>
    </row>
    <row r="29" spans="1:21" ht="22.2" customHeight="1" x14ac:dyDescent="0.3">
      <c r="C29" s="774" t="str">
        <f>template_label_is_the_undertaking_disclosing_entity_specific_information_on_scope_3_emissions</f>
        <v>Is the undertaking disclosing entity-specific information on Scope 3 emissions (in tCO2e)?</v>
      </c>
      <c r="D29" s="775"/>
      <c r="E29" s="775"/>
      <c r="F29" s="776"/>
      <c r="G29" s="878" t="b">
        <v>1</v>
      </c>
      <c r="H29" s="879"/>
      <c r="I29" s="879"/>
      <c r="J29" s="879"/>
      <c r="K29" s="880"/>
    </row>
    <row r="30" spans="1:21" ht="14.55" customHeight="1" x14ac:dyDescent="0.3">
      <c r="C30" s="102" t="str">
        <f>template_label_1_purchased_goods_and_services</f>
        <v>1. Purchased Goods and Services</v>
      </c>
      <c r="D30" s="707">
        <v>200</v>
      </c>
      <c r="E30" s="708"/>
      <c r="F30" s="716"/>
      <c r="G30" s="693">
        <v>300</v>
      </c>
      <c r="H30" s="694"/>
      <c r="I30" s="694"/>
      <c r="J30" s="266">
        <v>100</v>
      </c>
      <c r="K30" s="293">
        <f>IF(OR(G30="", J30=""), "-", IFERROR(-(1 - (J30 / G30)), "-"))</f>
        <v>-0.66666666666666674</v>
      </c>
      <c r="L30" s="695" t="str" cm="1">
        <f t="array" ref="L30">IF(
   OR(
      SUMPRODUCT((G30:G44&lt;&gt;"")*(J30:J44="")) &gt; 0,
      SUMPRODUCT((J30:J44&lt;&gt;"")*(G30:G44="")) &gt; 0
   ),
   template_label_missing_value,
   IF(
      AND(G29=TRUE, COUNTA(D30:F44)=0),
      template_label_missing_value,
      IF(G29=FALSE, "", template_label_ok)
   )
)</f>
        <v>OK</v>
      </c>
      <c r="M30" s="676"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676"/>
      <c r="O30" s="676"/>
      <c r="P30" s="676"/>
      <c r="Q30" s="676"/>
      <c r="R30" s="676"/>
      <c r="S30" s="676"/>
      <c r="T30" s="676"/>
      <c r="U30" s="676"/>
    </row>
    <row r="31" spans="1:21" x14ac:dyDescent="0.3">
      <c r="C31" s="102" t="str">
        <f>template_label_2_capital_goods</f>
        <v>2. Capital Goods</v>
      </c>
      <c r="D31" s="707"/>
      <c r="E31" s="708"/>
      <c r="F31" s="716"/>
      <c r="G31" s="693"/>
      <c r="H31" s="694"/>
      <c r="I31" s="694"/>
      <c r="J31" s="266"/>
      <c r="K31" s="293" t="str">
        <f t="shared" ref="K31:K44" si="1">IF(OR(G31="", J31=""), "-", IFERROR(-(1 - (J31 / G31)), "-"))</f>
        <v>-</v>
      </c>
      <c r="L31" s="695"/>
      <c r="M31" s="676"/>
      <c r="N31" s="676"/>
      <c r="O31" s="676"/>
      <c r="P31" s="676"/>
      <c r="Q31" s="676"/>
      <c r="R31" s="676"/>
      <c r="S31" s="676"/>
      <c r="T31" s="676"/>
      <c r="U31" s="676"/>
    </row>
    <row r="32" spans="1:21" x14ac:dyDescent="0.3">
      <c r="C32" s="102" t="str">
        <f>template_label_3_fuel__and_energy_related_activities</f>
        <v>3. Fuel- and Energy-Related Activities (Not Included in Scope 1 or Scope 2)</v>
      </c>
      <c r="D32" s="707"/>
      <c r="E32" s="708"/>
      <c r="F32" s="716"/>
      <c r="G32" s="693"/>
      <c r="H32" s="694"/>
      <c r="I32" s="694"/>
      <c r="J32" s="266"/>
      <c r="K32" s="293" t="str">
        <f t="shared" si="1"/>
        <v>-</v>
      </c>
      <c r="L32" s="695"/>
      <c r="M32" s="676"/>
      <c r="N32" s="676"/>
      <c r="O32" s="676"/>
      <c r="P32" s="676"/>
      <c r="Q32" s="676"/>
      <c r="R32" s="676"/>
      <c r="S32" s="676"/>
      <c r="T32" s="676"/>
      <c r="U32" s="676"/>
    </row>
    <row r="33" spans="3:21" x14ac:dyDescent="0.3">
      <c r="C33" s="102" t="str">
        <f>template_label_4_upstream_transportation_and_distribution</f>
        <v>4. Upstream Transportation and Distribution</v>
      </c>
      <c r="D33" s="707"/>
      <c r="E33" s="708"/>
      <c r="F33" s="716"/>
      <c r="G33" s="693"/>
      <c r="H33" s="694"/>
      <c r="I33" s="694"/>
      <c r="J33" s="266"/>
      <c r="K33" s="293" t="str">
        <f t="shared" si="1"/>
        <v>-</v>
      </c>
      <c r="L33" s="695"/>
      <c r="M33" s="676"/>
      <c r="N33" s="676"/>
      <c r="O33" s="676"/>
      <c r="P33" s="676"/>
      <c r="Q33" s="676"/>
      <c r="R33" s="676"/>
      <c r="S33" s="676"/>
      <c r="T33" s="676"/>
      <c r="U33" s="676"/>
    </row>
    <row r="34" spans="3:21" x14ac:dyDescent="0.3">
      <c r="C34" s="102" t="str">
        <f>template_label_5_waste_generated_in_operations</f>
        <v>5. Waste Generated in Operations</v>
      </c>
      <c r="D34" s="707"/>
      <c r="E34" s="708"/>
      <c r="F34" s="716"/>
      <c r="G34" s="693"/>
      <c r="H34" s="694"/>
      <c r="I34" s="694"/>
      <c r="J34" s="266"/>
      <c r="K34" s="293" t="str">
        <f t="shared" si="1"/>
        <v>-</v>
      </c>
      <c r="L34" s="695"/>
      <c r="M34" s="676"/>
      <c r="N34" s="676"/>
      <c r="O34" s="676"/>
      <c r="P34" s="676"/>
      <c r="Q34" s="676"/>
      <c r="R34" s="676"/>
      <c r="S34" s="676"/>
      <c r="T34" s="676"/>
      <c r="U34" s="676"/>
    </row>
    <row r="35" spans="3:21" x14ac:dyDescent="0.3">
      <c r="C35" s="102" t="str">
        <f>template_label_6_business_travel</f>
        <v>6. Business Travel</v>
      </c>
      <c r="D35" s="707"/>
      <c r="E35" s="708"/>
      <c r="F35" s="716"/>
      <c r="G35" s="693"/>
      <c r="H35" s="694"/>
      <c r="I35" s="694"/>
      <c r="J35" s="266"/>
      <c r="K35" s="293" t="str">
        <f t="shared" si="1"/>
        <v>-</v>
      </c>
      <c r="L35" s="695"/>
      <c r="M35" s="676"/>
      <c r="N35" s="676"/>
      <c r="O35" s="676"/>
      <c r="P35" s="676"/>
      <c r="Q35" s="676"/>
      <c r="R35" s="676"/>
      <c r="S35" s="676"/>
      <c r="T35" s="676"/>
      <c r="U35" s="676"/>
    </row>
    <row r="36" spans="3:21" x14ac:dyDescent="0.3">
      <c r="C36" s="102" t="str">
        <f>template_label_7_employee_commuting</f>
        <v>7. Employee Commuting</v>
      </c>
      <c r="D36" s="707"/>
      <c r="E36" s="708"/>
      <c r="F36" s="716"/>
      <c r="G36" s="693"/>
      <c r="H36" s="694"/>
      <c r="I36" s="694"/>
      <c r="J36" s="266"/>
      <c r="K36" s="293" t="str">
        <f t="shared" si="1"/>
        <v>-</v>
      </c>
      <c r="L36" s="695"/>
      <c r="M36" s="676"/>
      <c r="N36" s="676"/>
      <c r="O36" s="676"/>
      <c r="P36" s="676"/>
      <c r="Q36" s="676"/>
      <c r="R36" s="676"/>
      <c r="S36" s="676"/>
      <c r="T36" s="676"/>
      <c r="U36" s="676"/>
    </row>
    <row r="37" spans="3:21" x14ac:dyDescent="0.3">
      <c r="C37" s="102" t="str">
        <f>template_label_8_upstream_leased_assets</f>
        <v>8. Upstream Leased Assets</v>
      </c>
      <c r="D37" s="707"/>
      <c r="E37" s="708"/>
      <c r="F37" s="716"/>
      <c r="G37" s="693"/>
      <c r="H37" s="694"/>
      <c r="I37" s="694"/>
      <c r="J37" s="266"/>
      <c r="K37" s="293" t="str">
        <f t="shared" si="1"/>
        <v>-</v>
      </c>
      <c r="L37" s="695"/>
      <c r="M37" s="676"/>
      <c r="N37" s="676"/>
      <c r="O37" s="676"/>
      <c r="P37" s="676"/>
      <c r="Q37" s="676"/>
      <c r="R37" s="676"/>
      <c r="S37" s="676"/>
      <c r="T37" s="676"/>
      <c r="U37" s="676"/>
    </row>
    <row r="38" spans="3:21" x14ac:dyDescent="0.3">
      <c r="C38" s="102" t="str">
        <f>template_label_9_downstream_transportation_and_distribution</f>
        <v>9. Downstream Transportation and Distribution</v>
      </c>
      <c r="D38" s="707">
        <v>500</v>
      </c>
      <c r="E38" s="708"/>
      <c r="F38" s="716"/>
      <c r="G38" s="693">
        <v>400</v>
      </c>
      <c r="H38" s="694"/>
      <c r="I38" s="694"/>
      <c r="J38" s="266">
        <v>200</v>
      </c>
      <c r="K38" s="293">
        <f t="shared" si="1"/>
        <v>-0.5</v>
      </c>
      <c r="L38" s="695"/>
      <c r="M38" s="676"/>
      <c r="N38" s="676"/>
      <c r="O38" s="676"/>
      <c r="P38" s="676"/>
      <c r="Q38" s="676"/>
      <c r="R38" s="676"/>
      <c r="S38" s="676"/>
      <c r="T38" s="676"/>
      <c r="U38" s="676"/>
    </row>
    <row r="39" spans="3:21" x14ac:dyDescent="0.3">
      <c r="C39" s="102" t="str">
        <f>template_label_10_processing_of_sold_products</f>
        <v>10. Processing of Sold Products</v>
      </c>
      <c r="D39" s="707"/>
      <c r="E39" s="708"/>
      <c r="F39" s="716"/>
      <c r="G39" s="693"/>
      <c r="H39" s="694"/>
      <c r="I39" s="694"/>
      <c r="J39" s="266"/>
      <c r="K39" s="293" t="str">
        <f t="shared" si="1"/>
        <v>-</v>
      </c>
      <c r="L39" s="695"/>
      <c r="M39" s="676"/>
      <c r="N39" s="676"/>
      <c r="O39" s="676"/>
      <c r="P39" s="676"/>
      <c r="Q39" s="676"/>
      <c r="R39" s="676"/>
      <c r="S39" s="676"/>
      <c r="T39" s="676"/>
      <c r="U39" s="676"/>
    </row>
    <row r="40" spans="3:21" x14ac:dyDescent="0.3">
      <c r="C40" s="102" t="str">
        <f>template_label_11_use_of_sold_products</f>
        <v>11. Use of Sold Products</v>
      </c>
      <c r="D40" s="707"/>
      <c r="E40" s="708"/>
      <c r="F40" s="716"/>
      <c r="G40" s="693"/>
      <c r="H40" s="694"/>
      <c r="I40" s="694"/>
      <c r="J40" s="266"/>
      <c r="K40" s="293" t="str">
        <f t="shared" si="1"/>
        <v>-</v>
      </c>
      <c r="L40" s="695"/>
      <c r="M40" s="676"/>
      <c r="N40" s="676"/>
      <c r="O40" s="676"/>
      <c r="P40" s="676"/>
      <c r="Q40" s="676"/>
      <c r="R40" s="676"/>
      <c r="S40" s="676"/>
      <c r="T40" s="676"/>
      <c r="U40" s="676"/>
    </row>
    <row r="41" spans="3:21" x14ac:dyDescent="0.3">
      <c r="C41" s="102" t="str">
        <f>template_label_12_end_of_life_treatment_of_sold_products</f>
        <v>12. End-of-Life Treatment of Sold Products</v>
      </c>
      <c r="D41" s="707"/>
      <c r="E41" s="708"/>
      <c r="F41" s="716"/>
      <c r="G41" s="693"/>
      <c r="H41" s="694"/>
      <c r="I41" s="694"/>
      <c r="J41" s="266"/>
      <c r="K41" s="293" t="str">
        <f t="shared" si="1"/>
        <v>-</v>
      </c>
      <c r="L41" s="695"/>
      <c r="M41" s="676"/>
      <c r="N41" s="676"/>
      <c r="O41" s="676"/>
      <c r="P41" s="676"/>
      <c r="Q41" s="676"/>
      <c r="R41" s="676"/>
      <c r="S41" s="676"/>
      <c r="T41" s="676"/>
      <c r="U41" s="676"/>
    </row>
    <row r="42" spans="3:21" x14ac:dyDescent="0.3">
      <c r="C42" s="102" t="str">
        <f>template_label_13_downstream_leased_assets</f>
        <v>13. Downstream Leased Assets</v>
      </c>
      <c r="D42" s="707"/>
      <c r="E42" s="708"/>
      <c r="F42" s="716"/>
      <c r="G42" s="693"/>
      <c r="H42" s="694"/>
      <c r="I42" s="694"/>
      <c r="J42" s="266"/>
      <c r="K42" s="293" t="str">
        <f t="shared" si="1"/>
        <v>-</v>
      </c>
      <c r="L42" s="695"/>
      <c r="M42" s="676"/>
      <c r="N42" s="676"/>
      <c r="O42" s="676"/>
      <c r="P42" s="676"/>
      <c r="Q42" s="676"/>
      <c r="R42" s="676"/>
      <c r="S42" s="676"/>
      <c r="T42" s="676"/>
      <c r="U42" s="676"/>
    </row>
    <row r="43" spans="3:21" x14ac:dyDescent="0.3">
      <c r="C43" s="102" t="str">
        <f>template_label_14_franchises</f>
        <v>14. Franchises</v>
      </c>
      <c r="D43" s="707"/>
      <c r="E43" s="708"/>
      <c r="F43" s="716"/>
      <c r="G43" s="693"/>
      <c r="H43" s="694"/>
      <c r="I43" s="694"/>
      <c r="J43" s="266"/>
      <c r="K43" s="293" t="str">
        <f t="shared" si="1"/>
        <v>-</v>
      </c>
      <c r="L43" s="695"/>
      <c r="M43" s="676"/>
      <c r="N43" s="676"/>
      <c r="O43" s="676"/>
      <c r="P43" s="676"/>
      <c r="Q43" s="676"/>
      <c r="R43" s="676"/>
      <c r="S43" s="676"/>
      <c r="T43" s="676"/>
      <c r="U43" s="676"/>
    </row>
    <row r="44" spans="3:21" x14ac:dyDescent="0.3">
      <c r="C44" s="102" t="str">
        <f>template_label_15_investments</f>
        <v>15. Investments</v>
      </c>
      <c r="D44" s="707"/>
      <c r="E44" s="708"/>
      <c r="F44" s="716"/>
      <c r="G44" s="693"/>
      <c r="H44" s="694"/>
      <c r="I44" s="694"/>
      <c r="J44" s="266"/>
      <c r="K44" s="293" t="str">
        <f t="shared" si="1"/>
        <v>-</v>
      </c>
      <c r="L44" s="695"/>
      <c r="M44" s="676"/>
      <c r="N44" s="676"/>
      <c r="O44" s="676"/>
      <c r="P44" s="676"/>
      <c r="Q44" s="676"/>
      <c r="R44" s="676"/>
      <c r="S44" s="676"/>
      <c r="T44" s="676"/>
      <c r="U44" s="676"/>
    </row>
    <row r="45" spans="3:21" ht="15" thickBot="1" x14ac:dyDescent="0.35">
      <c r="C45" s="113" t="str">
        <f>template_label_total_scope_3_ghg_emissions</f>
        <v>Total Scope 3 GHG  emissions</v>
      </c>
      <c r="D45" s="697">
        <f>IF(AND(G29=FALSE, COUNTA(D30:F44)=0), "-", IF(G29=TRUE, IF(SUM(D30:F44)=0, "-", SUM(D30:F44)), "-"))</f>
        <v>700</v>
      </c>
      <c r="E45" s="697"/>
      <c r="F45" s="881"/>
      <c r="G45" s="696">
        <f>IF(AND(G29=FALSE, COUNTA(G30:I44)=0), "-", IF(G29=TRUE, IF(SUM(G30:I44)=0, "-", SUM(G30:I44)), "-"))</f>
        <v>700</v>
      </c>
      <c r="H45" s="697"/>
      <c r="I45" s="697"/>
      <c r="J45" s="267">
        <f>IF(AND(G29=FALSE, COUNTA(J30:J44)=0), "-", IF(G29=TRUE, IF(SUM(J30:J44)=0, "-", SUM(J30:J44)), "-"))</f>
        <v>300</v>
      </c>
      <c r="K45" s="230">
        <f t="shared" ref="K45:K47" si="2">IF(AND(G45="", J45=""), "-", IFERROR(-(1 - (J45 / G45)), "-"))</f>
        <v>-0.5714285714285714</v>
      </c>
      <c r="L45" s="16"/>
      <c r="M45" s="676"/>
      <c r="N45" s="676"/>
      <c r="O45" s="676"/>
      <c r="P45" s="676"/>
      <c r="Q45" s="676"/>
      <c r="R45" s="676"/>
      <c r="S45" s="676"/>
      <c r="T45" s="676"/>
      <c r="U45" s="676"/>
    </row>
    <row r="46" spans="3:21" x14ac:dyDescent="0.3">
      <c r="C46" s="13" t="str">
        <f>template_label_total_scope_1_scope_2_and_scope_3_ghg_emissions_location_based</f>
        <v>Total Scope 1 Scope 2 and Scope 3 GHG Emissions (location-based)</v>
      </c>
      <c r="D46" s="851">
        <f>IF(G29=FALSE, "-", IF(AND(D22="", D23="", D45=""), "-", IF(SUM(D22, D23, D45)=0, "-", SUM(D22, D23, D45))))</f>
        <v>850</v>
      </c>
      <c r="E46" s="851"/>
      <c r="F46" s="852"/>
      <c r="G46" s="867">
        <f>IF(G29=FALSE, "-", IF(AND(G22="", G23="", G45=""), "-", IF(SUM(G22, G23, G45)=0, "-", SUM(G22, G23, G45))))</f>
        <v>925</v>
      </c>
      <c r="H46" s="851"/>
      <c r="I46" s="851"/>
      <c r="J46" s="263">
        <f>IF(G29=FALSE, "-", IF(AND(J22="", J23="", J45=""), "-", IF(SUM(J22, J23, J45)=0, "-", SUM(J22, J23, J45))))</f>
        <v>390</v>
      </c>
      <c r="K46" s="231">
        <f t="shared" si="2"/>
        <v>-0.57837837837837835</v>
      </c>
      <c r="M46" s="476"/>
      <c r="N46" s="476"/>
      <c r="O46" s="476"/>
      <c r="P46" s="476"/>
      <c r="Q46" s="476"/>
      <c r="R46" s="476"/>
      <c r="S46" s="476"/>
      <c r="T46" s="476"/>
    </row>
    <row r="47" spans="3:21" ht="15" thickBot="1" x14ac:dyDescent="0.35">
      <c r="C47" s="114" t="str">
        <f>template_label_total_scope_1_scope_2_and_scope_3_ghg_emissions_market_based &amp; " - " &amp; template_label_may_not_headline</f>
        <v>Total Scope 1 Scope 2 and Scope 3 GHG Emissions (market-based) - May (optional)</v>
      </c>
      <c r="D47" s="870" t="str">
        <f>IF(G29=FALSE,"-",IF(OR(D22="",D24="",D45=""),"-",SUM(D22,D24,D45)))</f>
        <v>-</v>
      </c>
      <c r="E47" s="871"/>
      <c r="F47" s="872"/>
      <c r="G47" s="873" t="str">
        <f>IF(G29=FALSE, "-", IF(OR(G22="", G24="", G45=""), "-", IF(SUM(G22, G24, G45)=0, "-", SUM(G22, G24, G45))))</f>
        <v>-</v>
      </c>
      <c r="H47" s="871"/>
      <c r="I47" s="874"/>
      <c r="J47" s="265" t="str">
        <f>IF(G29=FALSE, "-", IF(OR(J22="", J24="", J45=""), "-", IF(SUM(J22, J24, J45)=0, "-", SUM(J22, J24, J45))))</f>
        <v>-</v>
      </c>
      <c r="K47" s="230" t="str">
        <f t="shared" si="2"/>
        <v>-</v>
      </c>
      <c r="M47" s="476"/>
      <c r="N47" s="476"/>
      <c r="O47" s="476"/>
      <c r="P47" s="476"/>
      <c r="Q47" s="476"/>
      <c r="R47" s="476"/>
      <c r="S47" s="476"/>
      <c r="T47" s="476"/>
    </row>
    <row r="48" spans="3:21" ht="15" thickBot="1" x14ac:dyDescent="0.35">
      <c r="C48" s="115"/>
      <c r="D48" s="115"/>
      <c r="E48" s="115"/>
      <c r="F48" s="115"/>
      <c r="G48" s="115"/>
      <c r="H48" s="115"/>
      <c r="I48" s="115"/>
      <c r="J48" s="115"/>
      <c r="K48" s="115"/>
    </row>
    <row r="49" spans="1:12" x14ac:dyDescent="0.3">
      <c r="C49" s="728"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2024-01-01 to 2024-12-31 [If applicable]</v>
      </c>
      <c r="D49" s="728"/>
      <c r="E49" s="728"/>
      <c r="F49" s="728"/>
      <c r="G49" s="728"/>
      <c r="H49" s="728"/>
      <c r="I49" s="728"/>
      <c r="J49" s="728"/>
      <c r="K49" s="860"/>
      <c r="L49" s="8"/>
    </row>
    <row r="50" spans="1:12" x14ac:dyDescent="0.3">
      <c r="C50" s="535" t="s">
        <v>3749</v>
      </c>
      <c r="D50" s="535"/>
      <c r="E50" s="535"/>
      <c r="F50" s="535"/>
      <c r="G50" s="535"/>
      <c r="H50" s="535"/>
      <c r="I50" s="535"/>
      <c r="J50" s="535"/>
      <c r="K50" s="815"/>
    </row>
    <row r="51" spans="1:12" x14ac:dyDescent="0.3">
      <c r="C51" s="720">
        <v>159</v>
      </c>
      <c r="D51" s="720"/>
      <c r="E51" s="720"/>
      <c r="F51" s="720"/>
      <c r="G51" s="720"/>
      <c r="H51" s="720"/>
      <c r="I51" s="720"/>
      <c r="J51" s="720"/>
      <c r="K51" s="720"/>
      <c r="L51" s="8"/>
    </row>
    <row r="52" spans="1:12" ht="15" thickBot="1" x14ac:dyDescent="0.35">
      <c r="C52" s="858" t="s">
        <v>7629</v>
      </c>
      <c r="D52" s="858"/>
      <c r="E52" s="858"/>
      <c r="F52" s="858"/>
      <c r="G52" s="858"/>
      <c r="H52" s="858"/>
      <c r="I52" s="858"/>
      <c r="J52" s="858"/>
      <c r="K52" s="859"/>
      <c r="L52" s="105" t="str">
        <f>IF(AND(J19=TRUE, C52&lt;&gt;""), template_label_ok, IF(AND(J19=TRUE, C52=""), template_label_missing_value, ""))</f>
        <v>OK</v>
      </c>
    </row>
    <row r="54" spans="1:12" ht="15" thickBot="1" x14ac:dyDescent="0.35">
      <c r="C54" s="9"/>
      <c r="D54" s="9"/>
      <c r="E54" s="9"/>
      <c r="F54" s="9"/>
      <c r="G54" s="9"/>
      <c r="H54" s="9"/>
      <c r="I54" s="9"/>
      <c r="J54" s="9"/>
      <c r="K54" s="9"/>
    </row>
    <row r="55" spans="1:12" x14ac:dyDescent="0.3">
      <c r="C55" s="728"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2024-01-01 to 2024-12-31 [If applicable]</v>
      </c>
      <c r="D55" s="728"/>
      <c r="E55" s="728"/>
      <c r="F55" s="728"/>
      <c r="G55" s="728"/>
      <c r="H55" s="728"/>
      <c r="I55" s="728"/>
      <c r="J55" s="728"/>
      <c r="K55" s="729"/>
    </row>
    <row r="56" spans="1:12" ht="38.4" customHeight="1" x14ac:dyDescent="0.3">
      <c r="A56" s="462">
        <v>55</v>
      </c>
      <c r="B56" s="465" t="s">
        <v>5650</v>
      </c>
      <c r="C56" s="102" t="str">
        <f>template_label_is_the_undertaking_operating_in_high_impact_sectors</f>
        <v>Is the undertaking operating in high impact sectors?</v>
      </c>
      <c r="D56" s="842"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843"/>
      <c r="F56" s="843"/>
      <c r="G56" s="843"/>
      <c r="H56" s="843"/>
      <c r="I56" s="843"/>
      <c r="J56" s="843"/>
      <c r="K56" s="844"/>
      <c r="L56" s="16"/>
    </row>
    <row r="57" spans="1:12" x14ac:dyDescent="0.3">
      <c r="A57" s="462">
        <v>55</v>
      </c>
      <c r="B57" s="465" t="s">
        <v>5650</v>
      </c>
      <c r="C57" s="102" t="str">
        <f>template_label_status_of_implementation_of_a_transition_plan_in_relation_to_climate_change_mitigation</f>
        <v>Status of implementation of a transition plan in relation to climate change mitigation</v>
      </c>
      <c r="D57" s="853" t="s">
        <v>3576</v>
      </c>
      <c r="E57" s="854"/>
      <c r="F57" s="854"/>
      <c r="G57" s="854"/>
      <c r="H57" s="854"/>
      <c r="I57" s="854"/>
      <c r="J57" s="854"/>
      <c r="K57" s="855"/>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28.8" x14ac:dyDescent="0.3">
      <c r="A58" s="462">
        <v>55</v>
      </c>
      <c r="B58" s="465" t="s">
        <v>5650</v>
      </c>
      <c r="C58" s="116"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56"/>
      <c r="E58" s="856"/>
      <c r="F58" s="856"/>
      <c r="G58" s="856"/>
      <c r="H58" s="856"/>
      <c r="I58" s="856"/>
      <c r="J58" s="856"/>
      <c r="K58" s="857"/>
      <c r="L58" s="16" t="str">
        <f>IF(AND(D57="A transition plan has already been adopted", DescriptionOfATransitionPlanForClimateChangeMitigationIncludingAnExplanationOfHowItIsContributingToReduceGhgEmissions&lt;&gt;""), template_label_ok, "")</f>
        <v/>
      </c>
    </row>
    <row r="59" spans="1:12" x14ac:dyDescent="0.3">
      <c r="A59" s="678">
        <v>56</v>
      </c>
      <c r="B59" s="681" t="s">
        <v>5650</v>
      </c>
      <c r="C59" s="684" t="str">
        <f>template_label_date_of_foreseen_adoption_of_transition_plan_for_undertaking_not_having_adopted_transition_plan_yet</f>
        <v>Date of foreseen adoption of transition plan for undertaking not having adopted transition plan yet</v>
      </c>
      <c r="D59" s="687" t="str">
        <f>template_label_year</f>
        <v>Year</v>
      </c>
      <c r="E59" s="688"/>
      <c r="F59" s="688"/>
      <c r="G59" s="688"/>
      <c r="H59" s="689"/>
      <c r="I59" s="690">
        <v>2028</v>
      </c>
      <c r="J59" s="691"/>
      <c r="K59" s="692"/>
      <c r="L59" s="677"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679"/>
      <c r="B60" s="682"/>
      <c r="C60" s="685"/>
      <c r="D60" s="687" t="str">
        <f>template_label_month</f>
        <v>Month</v>
      </c>
      <c r="E60" s="688"/>
      <c r="F60" s="688"/>
      <c r="G60" s="688"/>
      <c r="H60" s="689"/>
      <c r="I60" s="690">
        <v>1</v>
      </c>
      <c r="J60" s="691"/>
      <c r="K60" s="692"/>
      <c r="L60" s="677"/>
    </row>
    <row r="61" spans="1:12" x14ac:dyDescent="0.3">
      <c r="A61" s="679"/>
      <c r="B61" s="682"/>
      <c r="C61" s="685"/>
      <c r="D61" s="687" t="str">
        <f>template_label_day</f>
        <v>Day</v>
      </c>
      <c r="E61" s="688"/>
      <c r="F61" s="688"/>
      <c r="G61" s="688"/>
      <c r="H61" s="689"/>
      <c r="I61" s="690">
        <v>1</v>
      </c>
      <c r="J61" s="691"/>
      <c r="K61" s="692"/>
      <c r="L61" s="677"/>
    </row>
    <row r="62" spans="1:12" ht="15" thickBot="1" x14ac:dyDescent="0.35">
      <c r="A62" s="680"/>
      <c r="B62" s="683"/>
      <c r="C62" s="686"/>
      <c r="D62" s="840" t="str">
        <f>IF(OR(ISBLANK(I59), ISBLANK(I60), ISBLANK(I61)), "-", I59 &amp; "-" &amp; TEXT(I60, "00") &amp; "-" &amp; TEXT(I61, "00"))</f>
        <v>2028-01-01</v>
      </c>
      <c r="E62" s="840"/>
      <c r="F62" s="840"/>
      <c r="G62" s="840"/>
      <c r="H62" s="840"/>
      <c r="I62" s="840"/>
      <c r="J62" s="840"/>
      <c r="K62" s="841"/>
      <c r="L62" s="382"/>
    </row>
    <row r="63" spans="1:12" ht="15" thickBot="1" x14ac:dyDescent="0.35"/>
    <row r="64" spans="1:12" ht="14.85" customHeight="1" x14ac:dyDescent="0.3">
      <c r="C64" s="608"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2024-01-01 to 2024-12-31 [Always to be reported]</v>
      </c>
      <c r="D64" s="608"/>
      <c r="E64" s="608"/>
      <c r="F64" s="608"/>
      <c r="G64" s="608"/>
      <c r="H64" s="608"/>
      <c r="I64" s="608"/>
      <c r="J64" s="608"/>
      <c r="K64" s="727"/>
    </row>
    <row r="65" spans="3:12" ht="14.85" customHeight="1" x14ac:dyDescent="0.3">
      <c r="C65" s="725">
        <v>31</v>
      </c>
      <c r="D65" s="725"/>
      <c r="E65" s="725"/>
      <c r="F65" s="725"/>
      <c r="G65" s="725"/>
      <c r="H65" s="725"/>
      <c r="I65" s="725"/>
      <c r="J65" s="725"/>
      <c r="K65" s="726"/>
    </row>
    <row r="66" spans="3:12" x14ac:dyDescent="0.3">
      <c r="C66" s="624" t="str">
        <f>template_label_scope_1_and_scope_2_ghg_emissions_intensity_location_based</f>
        <v>Scope 1 and Scope 2 GHG Emissions intensity (location-based)</v>
      </c>
      <c r="D66" s="625"/>
      <c r="E66" s="625"/>
      <c r="F66" s="625"/>
      <c r="G66" s="723" t="str">
        <f>IF(G29=TRUE,
   "-",
   IFERROR(
      IF(OR(D25="", Turnover=""), "-", D25/Turnover),
      "-"
   )
)</f>
        <v>-</v>
      </c>
      <c r="H66" s="723"/>
      <c r="I66" s="723"/>
      <c r="J66" s="723"/>
      <c r="K66" s="724"/>
    </row>
    <row r="67" spans="3:12" x14ac:dyDescent="0.3">
      <c r="C67" s="684" t="str">
        <f>template_label_scope_1_and_scope_2_ghg_emissions_intensity_market_based &amp; " - " &amp; template_label_may_not_headline</f>
        <v>Scope 1 and Scope 2 GHG Emissions intensity (market-based) - May (optional)</v>
      </c>
      <c r="D67" s="875"/>
      <c r="E67" s="875"/>
      <c r="F67" s="875"/>
      <c r="G67" s="876" t="str">
        <f>IF(G29=TRUE,
   "-",
   IFERROR(
      IF(OR(D26="", Turnover=""), "-", D26/Turnover),
      "-"
   )
)</f>
        <v>-</v>
      </c>
      <c r="H67" s="876"/>
      <c r="I67" s="876"/>
      <c r="J67" s="876"/>
      <c r="K67" s="877"/>
    </row>
    <row r="68" spans="3:12" x14ac:dyDescent="0.3">
      <c r="C68" s="624" t="str">
        <f>template_label_total_scope_1_scope_2_and_scope_3_ghg_emissions_intensity_location_based</f>
        <v>Total Scope 1 Scope 2 and Scope 3 GHG Emissions intensity (location-based)</v>
      </c>
      <c r="D68" s="625"/>
      <c r="E68" s="625"/>
      <c r="F68" s="781"/>
      <c r="G68" s="861">
        <f>IF(G29=FALSE,
   "-",
   IFERROR(
      IF(OR(D46="", Turnover=""), "-", D46/Turnover),
      "-"
   )
)</f>
        <v>3.6170212765957448E-3</v>
      </c>
      <c r="H68" s="862"/>
      <c r="I68" s="862"/>
      <c r="J68" s="862"/>
      <c r="K68" s="863"/>
    </row>
    <row r="69" spans="3:12" ht="15" thickBot="1" x14ac:dyDescent="0.35">
      <c r="C69" s="571" t="str">
        <f>template_label_total_scope_1_scope_2_and_scope_3_ghg_emissions_intensity_market_based &amp; " - " &amp; template_label_may_not_headline</f>
        <v>Total Scope 1 Scope 2 and Scope 3 GHG Emissions intensity (market-based) - May (optional)</v>
      </c>
      <c r="D69" s="572"/>
      <c r="E69" s="572"/>
      <c r="F69" s="782"/>
      <c r="G69" s="829" t="str">
        <f>IF(G29=FALSE,
   "-",
   IFERROR(
      IF(OR(D47="", Turnover=""), "-", D47/Turnover),
      "-"
   )
)</f>
        <v>-</v>
      </c>
      <c r="H69" s="830"/>
      <c r="I69" s="830"/>
      <c r="J69" s="830"/>
      <c r="K69" s="831"/>
      <c r="L69" s="8"/>
    </row>
    <row r="70" spans="3:12" ht="15" thickBot="1" x14ac:dyDescent="0.35"/>
    <row r="71" spans="3:12" x14ac:dyDescent="0.3">
      <c r="C71" s="730" t="str">
        <f>template_label_b4_pollution_of_air_water_and_soil&amp;" "&amp;template_label_from&amp;" "&amp;template_starting_date_display&amp;" "&amp;template_label_to&amp;" "&amp;template_ending_date_display&amp;" "&amp;template_label_if_applicable</f>
        <v>B4 – Pollution of air water and soil from 2024-01-01 to 2024-12-31 [If applicable]</v>
      </c>
      <c r="D71" s="731"/>
      <c r="E71" s="731"/>
      <c r="F71" s="731"/>
      <c r="G71" s="731"/>
      <c r="H71" s="731"/>
      <c r="I71" s="731"/>
      <c r="J71" s="731"/>
      <c r="K71" s="732"/>
    </row>
    <row r="72" spans="3:12" x14ac:dyDescent="0.3">
      <c r="C72" s="733">
        <v>32</v>
      </c>
      <c r="D72" s="734"/>
      <c r="E72" s="734"/>
      <c r="F72" s="734"/>
      <c r="G72" s="734"/>
      <c r="H72" s="734"/>
      <c r="I72" s="734"/>
      <c r="J72" s="734"/>
      <c r="K72" s="735"/>
    </row>
    <row r="73" spans="3:12" x14ac:dyDescent="0.3">
      <c r="C73" s="758" t="s">
        <v>5651</v>
      </c>
      <c r="D73" s="759"/>
      <c r="E73" s="759"/>
      <c r="F73" s="759"/>
      <c r="G73" s="759"/>
      <c r="H73" s="759"/>
      <c r="I73" s="759"/>
      <c r="J73" s="759"/>
      <c r="K73" s="869"/>
    </row>
    <row r="74" spans="3:12" ht="30" customHeight="1" x14ac:dyDescent="0.3">
      <c r="C74" s="656"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11"/>
      <c r="E74" s="811"/>
      <c r="F74" s="657"/>
      <c r="G74" s="845" t="b">
        <v>1</v>
      </c>
      <c r="H74" s="846"/>
      <c r="I74" s="846"/>
      <c r="J74" s="846"/>
      <c r="K74" s="847"/>
      <c r="L74" s="16"/>
    </row>
    <row r="75" spans="3:12" x14ac:dyDescent="0.3">
      <c r="C75" s="624" t="str">
        <f>template_label_is_this_disclosure_already_publicly_available</f>
        <v>Is this disclosure already publicly available?</v>
      </c>
      <c r="D75" s="625"/>
      <c r="E75" s="625"/>
      <c r="F75" s="625"/>
      <c r="G75" s="849" t="b">
        <v>0</v>
      </c>
      <c r="H75" s="849"/>
      <c r="I75" s="849"/>
      <c r="J75" s="849"/>
      <c r="K75" s="850"/>
      <c r="L75" s="16" t="str" cm="1">
        <f t="array" ref="L75">IF(AND(G75=TRUE, D80:K119=""),
    template_label_ok,
    IF(AND(OR(D80:K119&lt;&gt;""), G75=TRUE),
       template_label_value_inconsistency,
       ""
    )
)</f>
        <v/>
      </c>
    </row>
    <row r="76" spans="3:12" x14ac:dyDescent="0.3">
      <c r="C76" s="624" t="str">
        <f>template_label_please_provide_the_relevant_url_link_or_hyperlink_of_where_this_information_is_reported</f>
        <v>Please provide the relevant URL link or hyperlink of where this information is reported</v>
      </c>
      <c r="D76" s="625"/>
      <c r="E76" s="625"/>
      <c r="F76" s="625"/>
      <c r="G76" s="832"/>
      <c r="H76" s="714"/>
      <c r="I76" s="714"/>
      <c r="J76" s="714"/>
      <c r="K76" s="833"/>
      <c r="L76" s="16" t="str">
        <f>IF(G75=TRUE,
   IF(G76="",
      template_label_missing_value,
      IF(OR(LEFT(G76,7)="http://", LEFT(G76,8)="https://", LEFT(G76,4)="www."),
         template_label_ok,
         template_label_invalid_url
      )
   ),
"")</f>
        <v/>
      </c>
    </row>
    <row r="77" spans="3:12" x14ac:dyDescent="0.3">
      <c r="C77" s="834" t="str">
        <f>template_label_please_select_the_unit_used_for_reporting_the_amount</f>
        <v>Please select the unit used for reporting the amount (i.e. either kg or tonne)</v>
      </c>
      <c r="D77" s="835"/>
      <c r="E77" s="835"/>
      <c r="F77" s="835"/>
      <c r="G77" s="835"/>
      <c r="H77" s="835"/>
      <c r="I77" s="835"/>
      <c r="J77" s="835"/>
      <c r="K77" s="836"/>
    </row>
    <row r="78" spans="3:12" x14ac:dyDescent="0.3">
      <c r="C78" s="837" t="s">
        <v>2761</v>
      </c>
      <c r="D78" s="838"/>
      <c r="E78" s="838"/>
      <c r="F78" s="838"/>
      <c r="G78" s="838"/>
      <c r="H78" s="838"/>
      <c r="I78" s="838"/>
      <c r="J78" s="838"/>
      <c r="K78" s="839"/>
      <c r="L78" s="17" t="str" cm="1">
        <f t="array" ref="L78">IF(AND(OR(D80:F119&lt;&gt;"", G80:I119&lt;&gt;"", J80:J119&lt;&gt;"", G162&lt;&gt;"", K80:K119&lt;&gt;""), C78&lt;&gt;"", G74=TRUE, G75=FALSE),
    template_label_ok,
    IF(AND(OR(D80:F119&lt;&gt;"", G80:I119&lt;&gt;"", J80:J119&lt;&gt;"", G162&lt;&gt;"", K80:K119&lt;&gt;""), C78&lt;&gt;"", G74=TRUE, G75=TRUE),
        template_label_value_inconsistency,
        IF(AND(OR(D80:D119="", G80:G119="", J80:J119="", K80:K119=""), C78&lt;&gt;"", G74=TRUE, G75=FALSE),
            template_label_ok,
            IF(AND(OR(D80:D119="", G80:G119="", J80:J119="", K80:K119=""), C78&lt;&gt;"", G74=TRUE, G75=TRUE),
                template_label_value_inconsistency,
                IF(AND(OR(D80:F119&lt;&gt;"", G80:I119&lt;&gt;"", J80:J119&lt;&gt;"", G162&lt;&gt;"", K80:K119&lt;&gt;""), C78="", G74=TRUE, G75=FALSE),
                    template_label_missing_value,
                    ""
                )
            )
        )
    )
)</f>
        <v>OK</v>
      </c>
    </row>
    <row r="79" spans="3:12" x14ac:dyDescent="0.3">
      <c r="C79" s="118" t="str">
        <f>template_label_row_id</f>
        <v>Row ID</v>
      </c>
      <c r="D79" s="777" t="str">
        <f>template_label_pollutant</f>
        <v>Pollutant</v>
      </c>
      <c r="E79" s="777"/>
      <c r="F79" s="777"/>
      <c r="G79" s="777" t="str">
        <f>template_label_emission_to_air</f>
        <v>Emission to air</v>
      </c>
      <c r="H79" s="777"/>
      <c r="I79" s="777"/>
      <c r="J79" s="6" t="str">
        <f>template_label_emission_to_water</f>
        <v>Emission to water</v>
      </c>
      <c r="K79" s="108" t="str">
        <f>template_label_emission_to_soil</f>
        <v>Emission to soil</v>
      </c>
    </row>
    <row r="80" spans="3:12" x14ac:dyDescent="0.3">
      <c r="C80" s="232">
        <v>1</v>
      </c>
      <c r="D80" s="714" t="s">
        <v>2728</v>
      </c>
      <c r="E80" s="714"/>
      <c r="F80" s="714"/>
      <c r="G80" s="707">
        <v>567</v>
      </c>
      <c r="H80" s="708"/>
      <c r="I80" s="709"/>
      <c r="J80" s="266"/>
      <c r="K80" s="268"/>
      <c r="L80" s="16" t="str">
        <f>IF(AND($G$74=TRUE,$G$75=TRUE,OR(D80&lt;&gt;"",G80&lt;&gt;"",J80&lt;&gt;"",K80&lt;&gt;"")),
    template_label_value_inconsistency,
IF($G$74&lt;&gt;TRUE, "",
IF(AND(D80="", G80="", J80="", K80=""), "",
IF(AND(D80&lt;&gt;"", G80="", J80="", K80=""), template_label_missing_value,
IF(AND(D80&lt;&gt;"", OR(G80&lt;&gt;"", J80&lt;&gt;"", K80&lt;&gt;"")),
    IF(COUNTIF($D$80:$D$119, D80)&gt;1, template_label_value_inconsistency, template_label_ok),
template_label_missing_value)))))</f>
        <v>OK</v>
      </c>
    </row>
    <row r="81" spans="3:13" x14ac:dyDescent="0.3">
      <c r="C81" s="232">
        <v>2</v>
      </c>
      <c r="D81" s="714" t="s">
        <v>2725</v>
      </c>
      <c r="E81" s="714"/>
      <c r="F81" s="714"/>
      <c r="G81" s="707"/>
      <c r="H81" s="708"/>
      <c r="I81" s="709"/>
      <c r="J81" s="266"/>
      <c r="K81" s="268">
        <v>67</v>
      </c>
      <c r="L81" s="16" t="str">
        <f t="shared" ref="L81:L119" si="3">IF(AND($G$74=TRUE,$G$75=TRUE,OR(D81&lt;&gt;"",G81&lt;&gt;"",J81&lt;&gt;"",K81&lt;&gt;"")),
    template_label_value_inconsistency,
IF($G$74&lt;&gt;TRUE, "",
IF(AND(D81="", G81="", J81="", K81=""), "",
IF(AND(D81&lt;&gt;"", G81="", J81="", K81=""), template_label_missing_value,
IF(AND(D81&lt;&gt;"", OR(G81&lt;&gt;"", J81&lt;&gt;"", K81&lt;&gt;"")),
    IF(COUNTIF($D$80:$D$119, D81)&gt;1, template_label_value_inconsistency, template_label_ok),
template_label_missing_value)))))</f>
        <v>OK</v>
      </c>
    </row>
    <row r="82" spans="3:13" ht="15" thickBot="1" x14ac:dyDescent="0.35">
      <c r="C82" s="234">
        <v>3</v>
      </c>
      <c r="D82" s="715" t="s">
        <v>2719</v>
      </c>
      <c r="E82" s="715"/>
      <c r="F82" s="715"/>
      <c r="G82" s="710"/>
      <c r="H82" s="711"/>
      <c r="I82" s="712"/>
      <c r="J82" s="269">
        <v>567</v>
      </c>
      <c r="K82" s="270"/>
      <c r="L82" s="16" t="str">
        <f t="shared" si="3"/>
        <v>OK</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3">
        <v>4</v>
      </c>
      <c r="D83" s="828"/>
      <c r="E83" s="828"/>
      <c r="F83" s="828"/>
      <c r="G83" s="713"/>
      <c r="H83" s="713"/>
      <c r="I83" s="713"/>
      <c r="J83" s="271"/>
      <c r="K83" s="272"/>
      <c r="L83" s="16" t="str">
        <f t="shared" si="3"/>
        <v/>
      </c>
    </row>
    <row r="84" spans="3:13" hidden="1" outlineLevel="1" x14ac:dyDescent="0.3">
      <c r="C84" s="232">
        <v>5</v>
      </c>
      <c r="D84" s="714"/>
      <c r="E84" s="714"/>
      <c r="F84" s="714"/>
      <c r="G84" s="694"/>
      <c r="H84" s="694"/>
      <c r="I84" s="694"/>
      <c r="J84" s="266"/>
      <c r="K84" s="268"/>
      <c r="L84" s="16" t="str">
        <f t="shared" si="3"/>
        <v/>
      </c>
    </row>
    <row r="85" spans="3:13" hidden="1" outlineLevel="1" x14ac:dyDescent="0.3">
      <c r="C85" s="232">
        <v>6</v>
      </c>
      <c r="D85" s="714"/>
      <c r="E85" s="714"/>
      <c r="F85" s="714"/>
      <c r="G85" s="694"/>
      <c r="H85" s="694"/>
      <c r="I85" s="694"/>
      <c r="J85" s="266"/>
      <c r="K85" s="268"/>
      <c r="L85" s="16" t="str">
        <f t="shared" si="3"/>
        <v/>
      </c>
    </row>
    <row r="86" spans="3:13" hidden="1" outlineLevel="1" x14ac:dyDescent="0.3">
      <c r="C86" s="232">
        <v>7</v>
      </c>
      <c r="D86" s="714"/>
      <c r="E86" s="714"/>
      <c r="F86" s="714"/>
      <c r="G86" s="694"/>
      <c r="H86" s="694"/>
      <c r="I86" s="694"/>
      <c r="J86" s="266"/>
      <c r="K86" s="268"/>
      <c r="L86" s="16" t="str">
        <f t="shared" si="3"/>
        <v/>
      </c>
    </row>
    <row r="87" spans="3:13" hidden="1" outlineLevel="1" x14ac:dyDescent="0.3">
      <c r="C87" s="232">
        <v>8</v>
      </c>
      <c r="D87" s="714"/>
      <c r="E87" s="714"/>
      <c r="F87" s="714"/>
      <c r="G87" s="694"/>
      <c r="H87" s="694"/>
      <c r="I87" s="694"/>
      <c r="J87" s="266"/>
      <c r="K87" s="268"/>
      <c r="L87" s="16" t="str">
        <f t="shared" si="3"/>
        <v/>
      </c>
    </row>
    <row r="88" spans="3:13" hidden="1" outlineLevel="1" x14ac:dyDescent="0.3">
      <c r="C88" s="232">
        <v>9</v>
      </c>
      <c r="D88" s="714"/>
      <c r="E88" s="714"/>
      <c r="F88" s="714"/>
      <c r="G88" s="694"/>
      <c r="H88" s="694"/>
      <c r="I88" s="694"/>
      <c r="J88" s="266"/>
      <c r="K88" s="268"/>
      <c r="L88" s="16" t="str">
        <f t="shared" si="3"/>
        <v/>
      </c>
    </row>
    <row r="89" spans="3:13" hidden="1" outlineLevel="1" x14ac:dyDescent="0.3">
      <c r="C89" s="232">
        <v>10</v>
      </c>
      <c r="D89" s="714"/>
      <c r="E89" s="714"/>
      <c r="F89" s="714"/>
      <c r="G89" s="694"/>
      <c r="H89" s="694"/>
      <c r="I89" s="694"/>
      <c r="J89" s="266"/>
      <c r="K89" s="268"/>
      <c r="L89" s="16" t="str">
        <f t="shared" si="3"/>
        <v/>
      </c>
    </row>
    <row r="90" spans="3:13" hidden="1" outlineLevel="1" x14ac:dyDescent="0.3">
      <c r="C90" s="232">
        <v>11</v>
      </c>
      <c r="D90" s="714"/>
      <c r="E90" s="714"/>
      <c r="F90" s="714"/>
      <c r="G90" s="694"/>
      <c r="H90" s="694"/>
      <c r="I90" s="694"/>
      <c r="J90" s="266"/>
      <c r="K90" s="268"/>
      <c r="L90" s="16" t="str">
        <f t="shared" si="3"/>
        <v/>
      </c>
    </row>
    <row r="91" spans="3:13" hidden="1" outlineLevel="1" x14ac:dyDescent="0.3">
      <c r="C91" s="232">
        <v>12</v>
      </c>
      <c r="D91" s="714"/>
      <c r="E91" s="714"/>
      <c r="F91" s="714"/>
      <c r="G91" s="694"/>
      <c r="H91" s="694"/>
      <c r="I91" s="694"/>
      <c r="J91" s="266"/>
      <c r="K91" s="268"/>
      <c r="L91" s="16" t="str">
        <f t="shared" si="3"/>
        <v/>
      </c>
    </row>
    <row r="92" spans="3:13" hidden="1" outlineLevel="1" x14ac:dyDescent="0.3">
      <c r="C92" s="232">
        <v>13</v>
      </c>
      <c r="D92" s="714"/>
      <c r="E92" s="714"/>
      <c r="F92" s="714"/>
      <c r="G92" s="694"/>
      <c r="H92" s="694"/>
      <c r="I92" s="694"/>
      <c r="J92" s="266"/>
      <c r="K92" s="268"/>
      <c r="L92" s="16" t="str">
        <f t="shared" si="3"/>
        <v/>
      </c>
    </row>
    <row r="93" spans="3:13" hidden="1" outlineLevel="1" x14ac:dyDescent="0.3">
      <c r="C93" s="232">
        <v>14</v>
      </c>
      <c r="D93" s="714"/>
      <c r="E93" s="714"/>
      <c r="F93" s="714"/>
      <c r="G93" s="694"/>
      <c r="H93" s="694"/>
      <c r="I93" s="694"/>
      <c r="J93" s="266"/>
      <c r="K93" s="268"/>
      <c r="L93" s="16" t="str">
        <f t="shared" si="3"/>
        <v/>
      </c>
    </row>
    <row r="94" spans="3:13" hidden="1" outlineLevel="1" x14ac:dyDescent="0.3">
      <c r="C94" s="232">
        <v>15</v>
      </c>
      <c r="D94" s="714"/>
      <c r="E94" s="714"/>
      <c r="F94" s="714"/>
      <c r="G94" s="694"/>
      <c r="H94" s="694"/>
      <c r="I94" s="694"/>
      <c r="J94" s="266"/>
      <c r="K94" s="268"/>
      <c r="L94" s="16" t="str">
        <f t="shared" si="3"/>
        <v/>
      </c>
    </row>
    <row r="95" spans="3:13" hidden="1" outlineLevel="1" x14ac:dyDescent="0.3">
      <c r="C95" s="232">
        <v>16</v>
      </c>
      <c r="D95" s="714"/>
      <c r="E95" s="714"/>
      <c r="F95" s="714"/>
      <c r="G95" s="694"/>
      <c r="H95" s="694"/>
      <c r="I95" s="694"/>
      <c r="J95" s="266"/>
      <c r="K95" s="268"/>
      <c r="L95" s="16" t="str">
        <f t="shared" si="3"/>
        <v/>
      </c>
    </row>
    <row r="96" spans="3:13" hidden="1" outlineLevel="1" x14ac:dyDescent="0.3">
      <c r="C96" s="232">
        <v>17</v>
      </c>
      <c r="D96" s="714"/>
      <c r="E96" s="714"/>
      <c r="F96" s="714"/>
      <c r="G96" s="694"/>
      <c r="H96" s="694"/>
      <c r="I96" s="694"/>
      <c r="J96" s="266"/>
      <c r="K96" s="268"/>
      <c r="L96" s="16" t="str">
        <f t="shared" si="3"/>
        <v/>
      </c>
    </row>
    <row r="97" spans="3:13" hidden="1" outlineLevel="1" x14ac:dyDescent="0.3">
      <c r="C97" s="232">
        <v>18</v>
      </c>
      <c r="D97" s="714"/>
      <c r="E97" s="714"/>
      <c r="F97" s="714"/>
      <c r="G97" s="694"/>
      <c r="H97" s="694"/>
      <c r="I97" s="694"/>
      <c r="J97" s="266"/>
      <c r="K97" s="268"/>
      <c r="L97" s="16" t="str">
        <f t="shared" si="3"/>
        <v/>
      </c>
    </row>
    <row r="98" spans="3:13" hidden="1" outlineLevel="1" x14ac:dyDescent="0.3">
      <c r="C98" s="232">
        <v>19</v>
      </c>
      <c r="D98" s="714"/>
      <c r="E98" s="714"/>
      <c r="F98" s="714"/>
      <c r="G98" s="694"/>
      <c r="H98" s="694"/>
      <c r="I98" s="694"/>
      <c r="J98" s="266"/>
      <c r="K98" s="268"/>
      <c r="L98" s="16" t="str">
        <f t="shared" si="3"/>
        <v/>
      </c>
    </row>
    <row r="99" spans="3:13" hidden="1" outlineLevel="1" x14ac:dyDescent="0.3">
      <c r="C99" s="232">
        <v>20</v>
      </c>
      <c r="D99" s="714"/>
      <c r="E99" s="714"/>
      <c r="F99" s="714"/>
      <c r="G99" s="694"/>
      <c r="H99" s="694"/>
      <c r="I99" s="694"/>
      <c r="J99" s="266"/>
      <c r="K99" s="268"/>
      <c r="L99" s="16" t="str">
        <f t="shared" si="3"/>
        <v/>
      </c>
    </row>
    <row r="100" spans="3:13" hidden="1" outlineLevel="1" x14ac:dyDescent="0.3">
      <c r="C100" s="232">
        <v>21</v>
      </c>
      <c r="D100" s="714"/>
      <c r="E100" s="714"/>
      <c r="F100" s="714"/>
      <c r="G100" s="694"/>
      <c r="H100" s="694"/>
      <c r="I100" s="694"/>
      <c r="J100" s="266"/>
      <c r="K100" s="268"/>
      <c r="L100" s="16" t="str">
        <f t="shared" si="3"/>
        <v/>
      </c>
    </row>
    <row r="101" spans="3:13" hidden="1" outlineLevel="1" x14ac:dyDescent="0.3">
      <c r="C101" s="232">
        <v>22</v>
      </c>
      <c r="D101" s="714"/>
      <c r="E101" s="714"/>
      <c r="F101" s="714"/>
      <c r="G101" s="694"/>
      <c r="H101" s="694"/>
      <c r="I101" s="694"/>
      <c r="J101" s="266"/>
      <c r="K101" s="268"/>
      <c r="L101" s="16" t="str">
        <f t="shared" si="3"/>
        <v/>
      </c>
    </row>
    <row r="102" spans="3:13" hidden="1" outlineLevel="1" x14ac:dyDescent="0.3">
      <c r="C102" s="232">
        <v>23</v>
      </c>
      <c r="D102" s="714"/>
      <c r="E102" s="714"/>
      <c r="F102" s="714"/>
      <c r="G102" s="694"/>
      <c r="H102" s="694"/>
      <c r="I102" s="694"/>
      <c r="J102" s="266"/>
      <c r="K102" s="268"/>
      <c r="L102" s="16" t="str">
        <f t="shared" si="3"/>
        <v/>
      </c>
    </row>
    <row r="103" spans="3:13" hidden="1" outlineLevel="1" x14ac:dyDescent="0.3">
      <c r="C103" s="232">
        <v>24</v>
      </c>
      <c r="D103" s="714"/>
      <c r="E103" s="714"/>
      <c r="F103" s="714"/>
      <c r="G103" s="694"/>
      <c r="H103" s="694"/>
      <c r="I103" s="694"/>
      <c r="J103" s="266"/>
      <c r="K103" s="268"/>
      <c r="L103" s="16" t="str">
        <f t="shared" si="3"/>
        <v/>
      </c>
    </row>
    <row r="104" spans="3:13" hidden="1" outlineLevel="1" x14ac:dyDescent="0.3">
      <c r="C104" s="232">
        <v>25</v>
      </c>
      <c r="D104" s="714"/>
      <c r="E104" s="714"/>
      <c r="F104" s="714"/>
      <c r="G104" s="694"/>
      <c r="H104" s="694"/>
      <c r="I104" s="694"/>
      <c r="J104" s="266"/>
      <c r="K104" s="268"/>
      <c r="L104" s="16" t="str">
        <f t="shared" si="3"/>
        <v/>
      </c>
    </row>
    <row r="105" spans="3:13" hidden="1" outlineLevel="1" x14ac:dyDescent="0.3">
      <c r="C105" s="232">
        <v>26</v>
      </c>
      <c r="D105" s="714"/>
      <c r="E105" s="714"/>
      <c r="F105" s="714"/>
      <c r="G105" s="694"/>
      <c r="H105" s="694"/>
      <c r="I105" s="694"/>
      <c r="J105" s="266"/>
      <c r="K105" s="268"/>
      <c r="L105" s="16" t="str">
        <f t="shared" si="3"/>
        <v/>
      </c>
    </row>
    <row r="106" spans="3:13" hidden="1" outlineLevel="1" x14ac:dyDescent="0.3">
      <c r="C106" s="232">
        <v>27</v>
      </c>
      <c r="D106" s="714"/>
      <c r="E106" s="714"/>
      <c r="F106" s="714"/>
      <c r="G106" s="694"/>
      <c r="H106" s="694"/>
      <c r="I106" s="694"/>
      <c r="J106" s="266"/>
      <c r="K106" s="268"/>
      <c r="L106" s="16" t="str">
        <f t="shared" si="3"/>
        <v/>
      </c>
    </row>
    <row r="107" spans="3:13" hidden="1" outlineLevel="1" x14ac:dyDescent="0.3">
      <c r="C107" s="232">
        <v>28</v>
      </c>
      <c r="D107" s="714"/>
      <c r="E107" s="714"/>
      <c r="F107" s="714"/>
      <c r="G107" s="694"/>
      <c r="H107" s="694"/>
      <c r="I107" s="694"/>
      <c r="J107" s="266"/>
      <c r="K107" s="268"/>
      <c r="L107" s="16" t="str">
        <f t="shared" si="3"/>
        <v/>
      </c>
    </row>
    <row r="108" spans="3:13" hidden="1" outlineLevel="1" x14ac:dyDescent="0.3">
      <c r="C108" s="232">
        <v>29</v>
      </c>
      <c r="D108" s="714"/>
      <c r="E108" s="714"/>
      <c r="F108" s="714"/>
      <c r="G108" s="694"/>
      <c r="H108" s="694"/>
      <c r="I108" s="694"/>
      <c r="J108" s="266"/>
      <c r="K108" s="268"/>
      <c r="L108" s="16" t="str">
        <f t="shared" si="3"/>
        <v/>
      </c>
      <c r="M108" s="119"/>
    </row>
    <row r="109" spans="3:13" hidden="1" outlineLevel="1" x14ac:dyDescent="0.3">
      <c r="C109" s="232">
        <v>30</v>
      </c>
      <c r="D109" s="714"/>
      <c r="E109" s="714"/>
      <c r="F109" s="714"/>
      <c r="G109" s="694"/>
      <c r="H109" s="694"/>
      <c r="I109" s="694"/>
      <c r="J109" s="266"/>
      <c r="K109" s="268"/>
      <c r="L109" s="16" t="str">
        <f t="shared" si="3"/>
        <v/>
      </c>
    </row>
    <row r="110" spans="3:13" hidden="1" outlineLevel="1" x14ac:dyDescent="0.3">
      <c r="C110" s="232">
        <v>31</v>
      </c>
      <c r="D110" s="714"/>
      <c r="E110" s="714"/>
      <c r="F110" s="714"/>
      <c r="G110" s="694"/>
      <c r="H110" s="694"/>
      <c r="I110" s="694"/>
      <c r="J110" s="266"/>
      <c r="K110" s="268"/>
      <c r="L110" s="16" t="str">
        <f t="shared" si="3"/>
        <v/>
      </c>
    </row>
    <row r="111" spans="3:13" hidden="1" outlineLevel="1" x14ac:dyDescent="0.3">
      <c r="C111" s="232">
        <v>32</v>
      </c>
      <c r="D111" s="714"/>
      <c r="E111" s="714"/>
      <c r="F111" s="714"/>
      <c r="G111" s="694"/>
      <c r="H111" s="694"/>
      <c r="I111" s="694"/>
      <c r="J111" s="266"/>
      <c r="K111" s="268"/>
      <c r="L111" s="16" t="str">
        <f t="shared" si="3"/>
        <v/>
      </c>
    </row>
    <row r="112" spans="3:13" hidden="1" outlineLevel="1" x14ac:dyDescent="0.3">
      <c r="C112" s="232">
        <v>33</v>
      </c>
      <c r="D112" s="714"/>
      <c r="E112" s="714"/>
      <c r="F112" s="714"/>
      <c r="G112" s="694"/>
      <c r="H112" s="694"/>
      <c r="I112" s="694"/>
      <c r="J112" s="266"/>
      <c r="K112" s="268"/>
      <c r="L112" s="16" t="str">
        <f t="shared" si="3"/>
        <v/>
      </c>
    </row>
    <row r="113" spans="3:13" hidden="1" outlineLevel="1" x14ac:dyDescent="0.3">
      <c r="C113" s="232">
        <v>34</v>
      </c>
      <c r="D113" s="714"/>
      <c r="E113" s="714"/>
      <c r="F113" s="714"/>
      <c r="G113" s="694"/>
      <c r="H113" s="694"/>
      <c r="I113" s="694"/>
      <c r="J113" s="266"/>
      <c r="K113" s="268"/>
      <c r="L113" s="16" t="str">
        <f t="shared" si="3"/>
        <v/>
      </c>
    </row>
    <row r="114" spans="3:13" hidden="1" outlineLevel="1" x14ac:dyDescent="0.3">
      <c r="C114" s="232">
        <v>35</v>
      </c>
      <c r="D114" s="714"/>
      <c r="E114" s="714"/>
      <c r="F114" s="714"/>
      <c r="G114" s="694"/>
      <c r="H114" s="694"/>
      <c r="I114" s="694"/>
      <c r="J114" s="266"/>
      <c r="K114" s="268"/>
      <c r="L114" s="16" t="str">
        <f t="shared" si="3"/>
        <v/>
      </c>
    </row>
    <row r="115" spans="3:13" hidden="1" outlineLevel="1" x14ac:dyDescent="0.3">
      <c r="C115" s="232">
        <v>36</v>
      </c>
      <c r="D115" s="714"/>
      <c r="E115" s="714"/>
      <c r="F115" s="714"/>
      <c r="G115" s="694"/>
      <c r="H115" s="694"/>
      <c r="I115" s="694"/>
      <c r="J115" s="266"/>
      <c r="K115" s="268"/>
      <c r="L115" s="16" t="str">
        <f t="shared" si="3"/>
        <v/>
      </c>
    </row>
    <row r="116" spans="3:13" hidden="1" outlineLevel="1" x14ac:dyDescent="0.3">
      <c r="C116" s="232">
        <v>37</v>
      </c>
      <c r="D116" s="714"/>
      <c r="E116" s="714"/>
      <c r="F116" s="714"/>
      <c r="G116" s="694"/>
      <c r="H116" s="694"/>
      <c r="I116" s="694"/>
      <c r="J116" s="266"/>
      <c r="K116" s="268"/>
      <c r="L116" s="16" t="str">
        <f t="shared" si="3"/>
        <v/>
      </c>
    </row>
    <row r="117" spans="3:13" hidden="1" outlineLevel="1" x14ac:dyDescent="0.3">
      <c r="C117" s="232">
        <v>38</v>
      </c>
      <c r="D117" s="714"/>
      <c r="E117" s="714"/>
      <c r="F117" s="714"/>
      <c r="G117" s="694"/>
      <c r="H117" s="694"/>
      <c r="I117" s="694"/>
      <c r="J117" s="266"/>
      <c r="K117" s="268"/>
      <c r="L117" s="16" t="str">
        <f t="shared" si="3"/>
        <v/>
      </c>
    </row>
    <row r="118" spans="3:13" hidden="1" outlineLevel="1" x14ac:dyDescent="0.3">
      <c r="C118" s="232">
        <v>39</v>
      </c>
      <c r="D118" s="714"/>
      <c r="E118" s="714"/>
      <c r="F118" s="714"/>
      <c r="G118" s="694"/>
      <c r="H118" s="694"/>
      <c r="I118" s="694"/>
      <c r="J118" s="266"/>
      <c r="K118" s="268"/>
      <c r="L118" s="16" t="str">
        <f t="shared" si="3"/>
        <v/>
      </c>
    </row>
    <row r="119" spans="3:13" ht="15" hidden="1" outlineLevel="1" thickBot="1" x14ac:dyDescent="0.35">
      <c r="C119" s="232">
        <v>40</v>
      </c>
      <c r="D119" s="714"/>
      <c r="E119" s="714"/>
      <c r="F119" s="714"/>
      <c r="G119" s="899"/>
      <c r="H119" s="899"/>
      <c r="I119" s="899"/>
      <c r="J119" s="269"/>
      <c r="K119" s="273"/>
      <c r="L119" s="16" t="str">
        <f t="shared" si="3"/>
        <v/>
      </c>
    </row>
    <row r="120" spans="3:13" ht="15" collapsed="1" thickBot="1" x14ac:dyDescent="0.35">
      <c r="C120" s="120"/>
      <c r="D120" s="120"/>
      <c r="E120" s="14"/>
      <c r="F120" s="14"/>
      <c r="G120" s="14"/>
      <c r="H120" s="14"/>
      <c r="I120" s="14"/>
      <c r="J120" s="14"/>
      <c r="K120" s="14"/>
    </row>
    <row r="121" spans="3:13" x14ac:dyDescent="0.3">
      <c r="C121" s="819" t="str">
        <f>template_label_b5_sites_in_biodiversity_sensitive_areas&amp;" "&amp;template_label_from&amp;" "&amp;template_starting_date_display&amp;" "&amp;template_label_to&amp;" "&amp;template_ending_date_display&amp;" "&amp;template_label_if_applicable</f>
        <v>B5 - Sites in biodiversity sensitive areas from 2024-01-01 to 2024-12-31 [If applicable]</v>
      </c>
      <c r="D121" s="819"/>
      <c r="E121" s="819"/>
      <c r="F121" s="819"/>
      <c r="G121" s="819"/>
      <c r="H121" s="819"/>
      <c r="I121" s="819"/>
      <c r="J121" s="819"/>
      <c r="K121" s="820"/>
    </row>
    <row r="122" spans="3:13" x14ac:dyDescent="0.3">
      <c r="C122" s="535">
        <v>33</v>
      </c>
      <c r="D122" s="535"/>
      <c r="E122" s="535"/>
      <c r="F122" s="535"/>
      <c r="G122" s="535"/>
      <c r="H122" s="535"/>
      <c r="I122" s="535"/>
      <c r="J122" s="535"/>
      <c r="K122" s="815"/>
    </row>
    <row r="123" spans="3:13" x14ac:dyDescent="0.3">
      <c r="C123" s="649" t="s">
        <v>5652</v>
      </c>
      <c r="D123" s="649"/>
      <c r="E123" s="649"/>
      <c r="F123" s="649"/>
      <c r="G123" s="649"/>
      <c r="H123" s="649"/>
      <c r="I123" s="649"/>
      <c r="J123" s="649"/>
      <c r="K123" s="821"/>
    </row>
    <row r="124" spans="3:13" x14ac:dyDescent="0.3">
      <c r="C124" s="699" t="str">
        <f>template_label_does_the_undertaking_have_sites_that_are_located_in_or_near_biodiversity_sensitive_areas</f>
        <v>Does the undertaking have sites that are located in or near biodiversity sensitive areas?</v>
      </c>
      <c r="D124" s="700"/>
      <c r="E124" s="700"/>
      <c r="F124" s="700"/>
      <c r="G124" s="933" t="b">
        <v>1</v>
      </c>
      <c r="H124" s="934"/>
      <c r="I124" s="934"/>
      <c r="J124" s="934"/>
      <c r="K124" s="935"/>
    </row>
    <row r="125" spans="3:13" x14ac:dyDescent="0.3">
      <c r="C125" s="816" t="str">
        <f>template_label_please_select_the_unit_used_for_the_area</f>
        <v>Please select the unit used for the area (i.e. either hectares or m²):</v>
      </c>
      <c r="D125" s="817"/>
      <c r="E125" s="817"/>
      <c r="F125" s="817"/>
      <c r="G125" s="817"/>
      <c r="H125" s="817"/>
      <c r="I125" s="817"/>
      <c r="J125" s="817"/>
      <c r="K125" s="818"/>
    </row>
    <row r="126" spans="3:13" ht="15" thickBot="1" x14ac:dyDescent="0.35">
      <c r="C126" s="837" t="s">
        <v>7631</v>
      </c>
      <c r="D126" s="838"/>
      <c r="E126" s="838"/>
      <c r="F126" s="838"/>
      <c r="G126" s="838"/>
      <c r="H126" s="838"/>
      <c r="I126" s="838"/>
      <c r="J126" s="838"/>
      <c r="K126" s="839"/>
      <c r="L126" s="17" t="str">
        <f>IF(AND(G124=TRUE,C126=""), template_label_missing_value, IF(AND(G124=TRUE,C126&lt;&gt;""), template_label_ok, ""))</f>
        <v>OK</v>
      </c>
    </row>
    <row r="127" spans="3:13" ht="57.6" customHeight="1" x14ac:dyDescent="0.3">
      <c r="C127" s="121" t="str">
        <f>template_label_related_site_id</f>
        <v>Related Site ID (select an ID from a site location reported in B1)</v>
      </c>
      <c r="D127" s="822" t="str">
        <f>template_label_site_location_in_near_a_biodiversity_area</f>
        <v>Site Location in near a biodiversity area - auto filled from B1</v>
      </c>
      <c r="E127" s="823"/>
      <c r="F127" s="824"/>
      <c r="G127" s="822" t="str">
        <f>template_label_area_hectares_or_m2</f>
        <v>Area (hectares or m² based on the selection above)</v>
      </c>
      <c r="H127" s="823"/>
      <c r="I127" s="824"/>
      <c r="J127" s="236" t="str">
        <f>template_label_site_located_in_a_biodiversity_sensitive_area</f>
        <v>Site located in a biodiversity sensitive area</v>
      </c>
      <c r="K127" s="237" t="str">
        <f>template_label_site_located_near_a_biodiversity_sensitive_area</f>
        <v>Site located near a biodiversity sensitive area</v>
      </c>
    </row>
    <row r="128" spans="3:13" x14ac:dyDescent="0.3">
      <c r="C128" s="232">
        <v>1</v>
      </c>
      <c r="D128" s="793" t="str">
        <f>IF(C128 = "", "",
IF(AND(COUNTIF('General Information'!C109:C133, C128),
        INDEX('General Information'!D109:D133, MATCH(C128, 'General Information'!C109:C133, 0)) = ""),
   "VALUE INCONSISTENCY",
IFERROR(VLOOKUP(C128, ListOfSitesTable, 5, FALSE),"") &amp; " " &amp;
IFERROR(VLOOKUP(C128, ListOfSitesTable, 4, FALSE),"") &amp; " " &amp;
IFERROR(VLOOKUP(C128, ListOfSitesTable, 2, FALSE),"")))</f>
        <v>Italy Milan Duomo Square</v>
      </c>
      <c r="E128" s="794"/>
      <c r="F128" s="795"/>
      <c r="G128" s="763">
        <v>1200</v>
      </c>
      <c r="H128" s="764"/>
      <c r="I128" s="764"/>
      <c r="J128" s="241" t="b">
        <v>1</v>
      </c>
      <c r="K128" s="239" t="b">
        <v>0</v>
      </c>
      <c r="L128" s="17" t="str">
        <f t="shared" ref="L128:L153" si="4">IF($G$124=FALSE, "",
    IF(AND($G$124=TRUE, TRIM(D128)&lt;&gt;"", TRIM(G128)&lt;&gt;"", OR(J128=TRUE, K128=TRUE)), template_label_ok,
        IF(AND($G$124=TRUE, TRIM(D128)&lt;&gt;"", TRIM(G128)&lt;&gt;"", J128=FALSE, K128=FALSE), template_label_missing_value,
            IF(AND($G$124=TRUE, TRIM(D128)&lt;&gt;"", TRIM(G128)="", J128=FALSE, K128=FALSE), template_label_missing_value,
                IF(AND($G$124=TRUE, TRIM(D128)&lt;&gt;"", TRIM(G128)="", OR(J128=TRUE, K128=TRUE)), template_label_missing_value,
                    IF(AND($G$124=TRUE, TRIM(D128)="", TRIM(G128)&lt;&gt;"", J128=FALSE, K128=FALSE), template_label_missing_value,
                        IF(AND($G$124=TRUE, TRIM(D128)="", TRIM(G128)="", OR(J128=TRUE, K128=TRUE)), template_label_missing_value,
                            IF(AND($G$124=TRUE, TRIM(D128)="", TRIM(G128)&lt;&gt;"", OR(J128=TRUE, K128=TRUE)), template_label_missing_value,
                                ""
                            )
                        )
                    )
                )
            )
        )
    )
)</f>
        <v>OK</v>
      </c>
      <c r="M128" t="str">
        <f>template_label_site_ID_value_inconsistency_warning</f>
        <v>ℹ️  If a validation related to value inconsistency is displayed, please select a site ID that is different from one of those previously selected.</v>
      </c>
    </row>
    <row r="129" spans="3:17" x14ac:dyDescent="0.3">
      <c r="C129" s="232"/>
      <c r="D129" s="704" t="str">
        <f>IF(C129 = "", "",
IF(COUNTIF($C$128:C128, C129), "VALUE INCONSISTENCY",
IF(AND(COUNTIF('General Information'!$C$109:$C$133, C129),
       INDEX('General Information'!$D$109:$D$133, MATCH(C129, 'General Information'!$C$109:$C$133, 0)) = ""),
   "VALUE INCONSISTENCY",
IFERROR(VLOOKUP(C129, ListOfSitesTable, 5, FALSE), "") &amp; " " &amp;
IFERROR(VLOOKUP(C129, ListOfSitesTable, 4, FALSE), "") &amp; " " &amp;
IFERROR(VLOOKUP(C129, ListOfSitesTable, 2, FALSE), ""))))</f>
        <v/>
      </c>
      <c r="E129" s="705"/>
      <c r="F129" s="706"/>
      <c r="G129" s="763"/>
      <c r="H129" s="764"/>
      <c r="I129" s="764"/>
      <c r="J129" s="241" t="b">
        <v>0</v>
      </c>
      <c r="K129" s="239" t="b">
        <v>0</v>
      </c>
      <c r="L129" s="17" t="str">
        <f t="shared" si="4"/>
        <v/>
      </c>
    </row>
    <row r="130" spans="3:17" ht="15" thickBot="1" x14ac:dyDescent="0.35">
      <c r="C130" s="234"/>
      <c r="D130" s="783" t="str">
        <f>IF(C130 = "", "",
IF(COUNTIF($C$128:C129, C130), "VALUE INCONSISTENCY",
IF(AND(COUNTIF('General Information'!$C$109:$C$133, C130),
       INDEX('General Information'!$D$109:$D$133, MATCH(C130, 'General Information'!$C$109:$C$133, 0)) = ""),
   "VALUE INCONSISTENCY",
IFERROR(VLOOKUP(C130, ListOfSitesTable, 5, FALSE), "") &amp; " " &amp;
IFERROR(VLOOKUP(C130, ListOfSitesTable, 4, FALSE), "") &amp; " " &amp;
IFERROR(VLOOKUP(C130, ListOfSitesTable, 2, FALSE), ""))))</f>
        <v/>
      </c>
      <c r="E130" s="784"/>
      <c r="F130" s="785"/>
      <c r="G130" s="787"/>
      <c r="H130" s="787"/>
      <c r="I130" s="787"/>
      <c r="J130" s="242" t="b">
        <v>0</v>
      </c>
      <c r="K130" s="240" t="b">
        <v>0</v>
      </c>
      <c r="L130" s="17" t="str">
        <f t="shared" si="4"/>
        <v/>
      </c>
      <c r="M130" t="str">
        <f>template_label_additional_rows_warning</f>
        <v>ℹ️  Lists can be expanded using the little [+] button on the left.  If the number of rows is not sufficient, those can be added by right clicking the second row and selecting "Insert row".</v>
      </c>
    </row>
    <row r="131" spans="3:17" hidden="1" outlineLevel="1" x14ac:dyDescent="0.3">
      <c r="C131" s="233"/>
      <c r="D131" s="701" t="str">
        <f>IF(C131 = "", "",
IF(COUNTIF($C$128:C130, C131), "VALUE INCONSISTENCY",
IF(AND(COUNTIF('General Information'!$C$109:$C$133, C131),
       INDEX('General Information'!$D$109:$D$133, MATCH(C131, 'General Information'!$C$109:$C$133, 0)) = ""),
   "VALUE INCONSISTENCY",
IFERROR(VLOOKUP(C131, ListOfSitesTable, 5, FALSE), "") &amp; " " &amp;
IFERROR(VLOOKUP(C131, ListOfSitesTable, 4, FALSE), "") &amp; " " &amp;
IFERROR(VLOOKUP(C131, ListOfSitesTable, 2, FALSE), ""))))</f>
        <v/>
      </c>
      <c r="E131" s="702"/>
      <c r="F131" s="703"/>
      <c r="G131" s="825"/>
      <c r="H131" s="826"/>
      <c r="I131" s="827"/>
      <c r="J131" s="243" t="b">
        <v>0</v>
      </c>
      <c r="K131" s="238" t="b">
        <v>0</v>
      </c>
      <c r="L131" s="17" t="str">
        <f t="shared" si="4"/>
        <v/>
      </c>
      <c r="M131" s="10"/>
      <c r="N131" s="10"/>
      <c r="O131" s="10"/>
      <c r="P131" s="10"/>
      <c r="Q131" s="10"/>
    </row>
    <row r="132" spans="3:17" hidden="1" outlineLevel="1" x14ac:dyDescent="0.3">
      <c r="C132" s="233"/>
      <c r="D132" s="704" t="str">
        <f>IF(C132 = "", "",
IF(COUNTIF($C$128:C131, C132), "VALUE INCONSISTENCY",
IF(AND(COUNTIF('General Information'!$C$109:$C$133, C132),
       INDEX('General Information'!$D$109:$D$133, MATCH(C132, 'General Information'!$C$109:$C$133, 0)) = ""),
   "VALUE INCONSISTENCY",
IFERROR(VLOOKUP(C132, ListOfSitesTable, 5, FALSE), "") &amp; " " &amp;
IFERROR(VLOOKUP(C132, ListOfSitesTable, 4, FALSE), "") &amp; " " &amp;
IFERROR(VLOOKUP(C132, ListOfSitesTable, 2, FALSE), ""))))</f>
        <v/>
      </c>
      <c r="E132" s="705"/>
      <c r="F132" s="706"/>
      <c r="G132" s="763"/>
      <c r="H132" s="764"/>
      <c r="I132" s="765"/>
      <c r="J132" s="244" t="b">
        <v>0</v>
      </c>
      <c r="K132" s="239" t="b">
        <v>0</v>
      </c>
      <c r="L132" s="17" t="str">
        <f t="shared" si="4"/>
        <v/>
      </c>
      <c r="M132" s="10"/>
      <c r="N132" s="10"/>
      <c r="O132" s="10"/>
      <c r="P132" s="10"/>
      <c r="Q132" s="10"/>
    </row>
    <row r="133" spans="3:17" hidden="1" outlineLevel="1" x14ac:dyDescent="0.3">
      <c r="C133" s="232"/>
      <c r="D133" s="704" t="str">
        <f>IF(C133 = "", "",
IF(COUNTIF($C$128:C132, C133), "VALUE INCONSISTENCY",
IF(AND(COUNTIF('General Information'!$C$109:$C$133, C133),
       INDEX('General Information'!$D$109:$D$133, MATCH(C133, 'General Information'!$C$109:$C$133, 0)) = ""),
   "VALUE INCONSISTENCY",
IFERROR(VLOOKUP(C133, ListOfSitesTable, 5, FALSE), "") &amp; " " &amp;
IFERROR(VLOOKUP(C133, ListOfSitesTable, 4, FALSE), "") &amp; " " &amp;
IFERROR(VLOOKUP(C133, ListOfSitesTable, 2, FALSE), ""))))</f>
        <v/>
      </c>
      <c r="E133" s="705"/>
      <c r="F133" s="706"/>
      <c r="G133" s="763"/>
      <c r="H133" s="764"/>
      <c r="I133" s="765"/>
      <c r="J133" s="244" t="b">
        <v>0</v>
      </c>
      <c r="K133" s="239" t="b">
        <v>0</v>
      </c>
      <c r="L133" s="17" t="str">
        <f t="shared" si="4"/>
        <v/>
      </c>
      <c r="M133" s="10"/>
      <c r="N133" s="10"/>
      <c r="O133" s="10"/>
      <c r="P133" s="10"/>
      <c r="Q133" s="10"/>
    </row>
    <row r="134" spans="3:17" hidden="1" outlineLevel="1" x14ac:dyDescent="0.3">
      <c r="C134" s="232"/>
      <c r="D134" s="704" t="str">
        <f>IF(C134 = "", "",
IF(COUNTIF($C$128:C133, C134), "VALUE INCONSISTENCY",
IF(AND(COUNTIF('General Information'!$C$109:$C$133, C134),
       INDEX('General Information'!$D$109:$D$133, MATCH(C134, 'General Information'!$C$109:$C$133, 0)) = ""),
   "VALUE INCONSISTENCY",
IFERROR(VLOOKUP(C134, ListOfSitesTable, 5, FALSE), "") &amp; " " &amp;
IFERROR(VLOOKUP(C134, ListOfSitesTable, 4, FALSE), "") &amp; " " &amp;
IFERROR(VLOOKUP(C134, ListOfSitesTable, 2, FALSE), ""))))</f>
        <v/>
      </c>
      <c r="E134" s="705"/>
      <c r="F134" s="706"/>
      <c r="G134" s="763"/>
      <c r="H134" s="764"/>
      <c r="I134" s="765"/>
      <c r="J134" s="244" t="b">
        <v>0</v>
      </c>
      <c r="K134" s="239" t="b">
        <v>0</v>
      </c>
      <c r="L134" s="17" t="str">
        <f t="shared" si="4"/>
        <v/>
      </c>
      <c r="M134" s="10"/>
      <c r="N134" s="10"/>
      <c r="O134" s="10"/>
      <c r="P134" s="10"/>
      <c r="Q134" s="10"/>
    </row>
    <row r="135" spans="3:17" hidden="1" outlineLevel="1" x14ac:dyDescent="0.3">
      <c r="C135" s="232"/>
      <c r="D135" s="704" t="str">
        <f>IF(C135 = "", "",
IF(COUNTIF($C$128:C134, C135), "VALUE INCONSISTENCY",
IF(AND(COUNTIF('General Information'!$C$109:$C$133, C135),
       INDEX('General Information'!$D$109:$D$133, MATCH(C135, 'General Information'!$C$109:$C$133, 0)) = ""),
   "VALUE INCONSISTENCY",
IFERROR(VLOOKUP(C135, ListOfSitesTable, 5, FALSE), "") &amp; " " &amp;
IFERROR(VLOOKUP(C135, ListOfSitesTable, 4, FALSE), "") &amp; " " &amp;
IFERROR(VLOOKUP(C135, ListOfSitesTable, 2, FALSE), ""))))</f>
        <v/>
      </c>
      <c r="E135" s="705"/>
      <c r="F135" s="706"/>
      <c r="G135" s="763"/>
      <c r="H135" s="764"/>
      <c r="I135" s="765"/>
      <c r="J135" s="244" t="b">
        <v>0</v>
      </c>
      <c r="K135" s="239" t="b">
        <v>0</v>
      </c>
      <c r="L135" s="17" t="str">
        <f t="shared" si="4"/>
        <v/>
      </c>
      <c r="M135" s="10"/>
      <c r="N135" s="10"/>
      <c r="O135" s="10"/>
      <c r="P135" s="10"/>
      <c r="Q135" s="10"/>
    </row>
    <row r="136" spans="3:17" hidden="1" outlineLevel="1" x14ac:dyDescent="0.3">
      <c r="C136" s="232"/>
      <c r="D136" s="704" t="str">
        <f>IF(C136 = "", "",
IF(COUNTIF($C$128:C135, C136), "VALUE INCONSISTENCY",
IF(AND(COUNTIF('General Information'!$C$109:$C$133, C136),
       INDEX('General Information'!$D$109:$D$133, MATCH(C136, 'General Information'!$C$109:$C$133, 0)) = ""),
   "VALUE INCONSISTENCY",
IFERROR(VLOOKUP(C136, ListOfSitesTable, 5, FALSE), "") &amp; " " &amp;
IFERROR(VLOOKUP(C136, ListOfSitesTable, 4, FALSE), "") &amp; " " &amp;
IFERROR(VLOOKUP(C136, ListOfSitesTable, 2, FALSE), ""))))</f>
        <v/>
      </c>
      <c r="E136" s="705"/>
      <c r="F136" s="706"/>
      <c r="G136" s="763"/>
      <c r="H136" s="764"/>
      <c r="I136" s="765"/>
      <c r="J136" s="244" t="b">
        <v>0</v>
      </c>
      <c r="K136" s="239" t="b">
        <v>0</v>
      </c>
      <c r="L136" s="17" t="str">
        <f t="shared" si="4"/>
        <v/>
      </c>
      <c r="M136" s="10"/>
      <c r="N136" s="10"/>
      <c r="O136" s="10"/>
      <c r="P136" s="10"/>
      <c r="Q136" s="10"/>
    </row>
    <row r="137" spans="3:17" hidden="1" outlineLevel="1" x14ac:dyDescent="0.3">
      <c r="C137" s="232"/>
      <c r="D137" s="704" t="str">
        <f>IF(C137 = "", "",
IF(COUNTIF($C$128:C136, C137), "VALUE INCONSISTENCY",
IF(AND(COUNTIF('General Information'!$C$109:$C$133, C137),
       INDEX('General Information'!$D$109:$D$133, MATCH(C137, 'General Information'!$C$109:$C$133, 0)) = ""),
   "VALUE INCONSISTENCY",
IFERROR(VLOOKUP(C137, ListOfSitesTable, 5, FALSE), "") &amp; " " &amp;
IFERROR(VLOOKUP(C137, ListOfSitesTable, 4, FALSE), "") &amp; " " &amp;
IFERROR(VLOOKUP(C137, ListOfSitesTable, 2, FALSE), ""))))</f>
        <v/>
      </c>
      <c r="E137" s="705"/>
      <c r="F137" s="706"/>
      <c r="G137" s="763"/>
      <c r="H137" s="764"/>
      <c r="I137" s="765"/>
      <c r="J137" s="244" t="b">
        <v>0</v>
      </c>
      <c r="K137" s="239" t="b">
        <v>0</v>
      </c>
      <c r="L137" s="17" t="str">
        <f t="shared" si="4"/>
        <v/>
      </c>
      <c r="M137" s="10"/>
      <c r="N137" s="10"/>
      <c r="O137" s="10"/>
      <c r="P137" s="10"/>
      <c r="Q137" s="10"/>
    </row>
    <row r="138" spans="3:17" hidden="1" outlineLevel="1" x14ac:dyDescent="0.3">
      <c r="C138" s="232"/>
      <c r="D138" s="704" t="str">
        <f>IF(C138 = "", "",
IF(COUNTIF($C$128:C137, C138), "VALUE INCONSISTENCY",
IF(AND(COUNTIF('General Information'!$C$109:$C$133, C138),
       INDEX('General Information'!$D$109:$D$133, MATCH(C138, 'General Information'!$C$109:$C$133, 0)) = ""),
   "VALUE INCONSISTENCY",
IFERROR(VLOOKUP(C138, ListOfSitesTable, 5, FALSE), "") &amp; " " &amp;
IFERROR(VLOOKUP(C138, ListOfSitesTable, 4, FALSE), "") &amp; " " &amp;
IFERROR(VLOOKUP(C138, ListOfSitesTable, 2, FALSE), ""))))</f>
        <v/>
      </c>
      <c r="E138" s="705"/>
      <c r="F138" s="706"/>
      <c r="G138" s="763"/>
      <c r="H138" s="764"/>
      <c r="I138" s="765"/>
      <c r="J138" s="244" t="b">
        <v>0</v>
      </c>
      <c r="K138" s="239" t="b">
        <v>0</v>
      </c>
      <c r="L138" s="17" t="str">
        <f t="shared" si="4"/>
        <v/>
      </c>
      <c r="M138" s="10"/>
      <c r="N138" s="10"/>
      <c r="O138" s="10"/>
      <c r="P138" s="10"/>
      <c r="Q138" s="10"/>
    </row>
    <row r="139" spans="3:17" hidden="1" outlineLevel="1" x14ac:dyDescent="0.3">
      <c r="C139" s="232"/>
      <c r="D139" s="704" t="str">
        <f>IF(C139 = "", "",
IF(COUNTIF($C$128:C138, C139), "VALUE INCONSISTENCY",
IF(AND(COUNTIF('General Information'!$C$109:$C$133, C139),
       INDEX('General Information'!$D$109:$D$133, MATCH(C139, 'General Information'!$C$109:$C$133, 0)) = ""),
   "VALUE INCONSISTENCY",
IFERROR(VLOOKUP(C139, ListOfSitesTable, 5, FALSE), "") &amp; " " &amp;
IFERROR(VLOOKUP(C139, ListOfSitesTable, 4, FALSE), "") &amp; " " &amp;
IFERROR(VLOOKUP(C139, ListOfSitesTable, 2, FALSE), ""))))</f>
        <v/>
      </c>
      <c r="E139" s="705"/>
      <c r="F139" s="706"/>
      <c r="G139" s="763"/>
      <c r="H139" s="764"/>
      <c r="I139" s="765"/>
      <c r="J139" s="244" t="b">
        <v>0</v>
      </c>
      <c r="K139" s="239" t="b">
        <v>0</v>
      </c>
      <c r="L139" s="17" t="str">
        <f t="shared" si="4"/>
        <v/>
      </c>
      <c r="M139" s="10"/>
      <c r="N139" s="10"/>
      <c r="O139" s="10"/>
      <c r="P139" s="10"/>
      <c r="Q139" s="10"/>
    </row>
    <row r="140" spans="3:17" hidden="1" outlineLevel="1" x14ac:dyDescent="0.3">
      <c r="C140" s="232"/>
      <c r="D140" s="704" t="str">
        <f>IF(C140 = "", "",
IF(COUNTIF($C$128:C139, C140), "VALUE INCONSISTENCY",
IF(AND(COUNTIF('General Information'!$C$109:$C$133, C140),
       INDEX('General Information'!$D$109:$D$133, MATCH(C140, 'General Information'!$C$109:$C$133, 0)) = ""),
   "VALUE INCONSISTENCY",
IFERROR(VLOOKUP(C140, ListOfSitesTable, 5, FALSE), "") &amp; " " &amp;
IFERROR(VLOOKUP(C140, ListOfSitesTable, 4, FALSE), "") &amp; " " &amp;
IFERROR(VLOOKUP(C140, ListOfSitesTable, 2, FALSE), ""))))</f>
        <v/>
      </c>
      <c r="E140" s="705"/>
      <c r="F140" s="706"/>
      <c r="G140" s="763"/>
      <c r="H140" s="764"/>
      <c r="I140" s="765"/>
      <c r="J140" s="244" t="b">
        <v>0</v>
      </c>
      <c r="K140" s="239" t="b">
        <v>0</v>
      </c>
      <c r="L140" s="17" t="str">
        <f t="shared" si="4"/>
        <v/>
      </c>
      <c r="M140" s="10"/>
      <c r="N140" s="10"/>
      <c r="O140" s="10"/>
      <c r="P140" s="10"/>
      <c r="Q140" s="10"/>
    </row>
    <row r="141" spans="3:17" hidden="1" outlineLevel="1" x14ac:dyDescent="0.3">
      <c r="C141" s="232"/>
      <c r="D141" s="704" t="str">
        <f>IF(C141 = "", "",
IF(COUNTIF($C$128:C140, C141), "VALUE INCONSISTENCY",
IF(AND(COUNTIF('General Information'!$C$109:$C$133, C141),
       INDEX('General Information'!$D$109:$D$133, MATCH(C141, 'General Information'!$C$109:$C$133, 0)) = ""),
   "VALUE INCONSISTENCY",
IFERROR(VLOOKUP(C141, ListOfSitesTable, 5, FALSE), "") &amp; " " &amp;
IFERROR(VLOOKUP(C141, ListOfSitesTable, 4, FALSE), "") &amp; " " &amp;
IFERROR(VLOOKUP(C141, ListOfSitesTable, 2, FALSE), ""))))</f>
        <v/>
      </c>
      <c r="E141" s="705"/>
      <c r="F141" s="706"/>
      <c r="G141" s="763"/>
      <c r="H141" s="764"/>
      <c r="I141" s="765"/>
      <c r="J141" s="244" t="b">
        <v>0</v>
      </c>
      <c r="K141" s="239" t="b">
        <v>0</v>
      </c>
      <c r="L141" s="17" t="str">
        <f t="shared" si="4"/>
        <v/>
      </c>
      <c r="M141" s="10"/>
      <c r="N141" s="10"/>
      <c r="O141" s="10"/>
      <c r="P141" s="10"/>
      <c r="Q141" s="10"/>
    </row>
    <row r="142" spans="3:17" hidden="1" outlineLevel="1" x14ac:dyDescent="0.3">
      <c r="C142" s="232"/>
      <c r="D142" s="704" t="str">
        <f>IF(C142 = "", "",
IF(COUNTIF($C$128:C141, C142), "VALUE INCONSISTENCY",
IF(AND(COUNTIF('General Information'!$C$109:$C$133, C142),
       INDEX('General Information'!$D$109:$D$133, MATCH(C142, 'General Information'!$C$109:$C$133, 0)) = ""),
   "VALUE INCONSISTENCY",
IFERROR(VLOOKUP(C142, ListOfSitesTable, 5, FALSE), "") &amp; " " &amp;
IFERROR(VLOOKUP(C142, ListOfSitesTable, 4, FALSE), "") &amp; " " &amp;
IFERROR(VLOOKUP(C142, ListOfSitesTable, 2, FALSE), ""))))</f>
        <v/>
      </c>
      <c r="E142" s="705"/>
      <c r="F142" s="706"/>
      <c r="G142" s="763"/>
      <c r="H142" s="764"/>
      <c r="I142" s="765"/>
      <c r="J142" s="244" t="b">
        <v>0</v>
      </c>
      <c r="K142" s="239" t="b">
        <v>0</v>
      </c>
      <c r="L142" s="17" t="str">
        <f t="shared" si="4"/>
        <v/>
      </c>
      <c r="M142" s="10"/>
      <c r="N142" s="10"/>
      <c r="O142" s="10"/>
      <c r="P142" s="10"/>
      <c r="Q142" s="10"/>
    </row>
    <row r="143" spans="3:17" hidden="1" outlineLevel="1" x14ac:dyDescent="0.3">
      <c r="C143" s="232"/>
      <c r="D143" s="704" t="str">
        <f>IF(C143 = "", "",
IF(COUNTIF($C$128:C142, C143), "VALUE INCONSISTENCY",
IF(AND(COUNTIF('General Information'!$C$109:$C$133, C143),
       INDEX('General Information'!$D$109:$D$133, MATCH(C143, 'General Information'!$C$109:$C$133, 0)) = ""),
   "VALUE INCONSISTENCY",
IFERROR(VLOOKUP(C143, ListOfSitesTable, 5, FALSE), "") &amp; " " &amp;
IFERROR(VLOOKUP(C143, ListOfSitesTable, 4, FALSE), "") &amp; " " &amp;
IFERROR(VLOOKUP(C143, ListOfSitesTable, 2, FALSE), ""))))</f>
        <v/>
      </c>
      <c r="E143" s="705"/>
      <c r="F143" s="706"/>
      <c r="G143" s="763"/>
      <c r="H143" s="764"/>
      <c r="I143" s="765"/>
      <c r="J143" s="244" t="b">
        <v>0</v>
      </c>
      <c r="K143" s="239" t="b">
        <v>0</v>
      </c>
      <c r="L143" s="17" t="str">
        <f t="shared" si="4"/>
        <v/>
      </c>
      <c r="M143" s="10"/>
      <c r="N143" s="10"/>
      <c r="O143" s="10"/>
      <c r="P143" s="10"/>
      <c r="Q143" s="10"/>
    </row>
    <row r="144" spans="3:17" hidden="1" outlineLevel="1" x14ac:dyDescent="0.3">
      <c r="C144" s="232"/>
      <c r="D144" s="704" t="str">
        <f>IF(C144 = "", "",
IF(COUNTIF($C$128:C143, C144), "VALUE INCONSISTENCY",
IF(AND(COUNTIF('General Information'!$C$109:$C$133, C144),
       INDEX('General Information'!$D$109:$D$133, MATCH(C144, 'General Information'!$C$109:$C$133, 0)) = ""),
   "VALUE INCONSISTENCY",
IFERROR(VLOOKUP(C144, ListOfSitesTable, 5, FALSE), "") &amp; " " &amp;
IFERROR(VLOOKUP(C144, ListOfSitesTable, 4, FALSE), "") &amp; " " &amp;
IFERROR(VLOOKUP(C144, ListOfSitesTable, 2, FALSE), ""))))</f>
        <v/>
      </c>
      <c r="E144" s="705"/>
      <c r="F144" s="706"/>
      <c r="G144" s="763"/>
      <c r="H144" s="764"/>
      <c r="I144" s="765"/>
      <c r="J144" s="244" t="b">
        <v>0</v>
      </c>
      <c r="K144" s="239" t="b">
        <v>0</v>
      </c>
      <c r="L144" s="17" t="str">
        <f t="shared" si="4"/>
        <v/>
      </c>
      <c r="M144" s="10"/>
      <c r="N144" s="10"/>
      <c r="O144" s="10"/>
      <c r="P144" s="10"/>
      <c r="Q144" s="10"/>
    </row>
    <row r="145" spans="3:17" hidden="1" outlineLevel="1" x14ac:dyDescent="0.3">
      <c r="C145" s="232"/>
      <c r="D145" s="704" t="str">
        <f>IF(C145 = "", "",
IF(COUNTIF($C$128:C144, C145), "VALUE INCONSISTENCY",
IF(AND(COUNTIF('General Information'!$C$109:$C$133, C145),
       INDEX('General Information'!$D$109:$D$133, MATCH(C145, 'General Information'!$C$109:$C$133, 0)) = ""),
   "VALUE INCONSISTENCY",
IFERROR(VLOOKUP(C145, ListOfSitesTable, 5, FALSE), "") &amp; " " &amp;
IFERROR(VLOOKUP(C145, ListOfSitesTable, 4, FALSE), "") &amp; " " &amp;
IFERROR(VLOOKUP(C145, ListOfSitesTable, 2, FALSE), ""))))</f>
        <v/>
      </c>
      <c r="E145" s="705"/>
      <c r="F145" s="706"/>
      <c r="G145" s="763"/>
      <c r="H145" s="764"/>
      <c r="I145" s="765"/>
      <c r="J145" s="244" t="b">
        <v>0</v>
      </c>
      <c r="K145" s="239" t="b">
        <v>0</v>
      </c>
      <c r="L145" s="17" t="str">
        <f t="shared" si="4"/>
        <v/>
      </c>
      <c r="M145" s="10"/>
      <c r="N145" s="10"/>
      <c r="O145" s="10"/>
      <c r="P145" s="10"/>
      <c r="Q145" s="10"/>
    </row>
    <row r="146" spans="3:17" hidden="1" outlineLevel="1" x14ac:dyDescent="0.3">
      <c r="C146" s="232"/>
      <c r="D146" s="704" t="str">
        <f>IF(C146 = "", "",
IF(COUNTIF($C$128:C145, C146), "VALUE INCONSISTENCY",
IF(AND(COUNTIF('General Information'!$C$109:$C$133, C146),
       INDEX('General Information'!$D$109:$D$133, MATCH(C146, 'General Information'!$C$109:$C$133, 0)) = ""),
   "VALUE INCONSISTENCY",
IFERROR(VLOOKUP(C146, ListOfSitesTable, 5, FALSE), "") &amp; " " &amp;
IFERROR(VLOOKUP(C146, ListOfSitesTable, 4, FALSE), "") &amp; " " &amp;
IFERROR(VLOOKUP(C146, ListOfSitesTable, 2, FALSE), ""))))</f>
        <v/>
      </c>
      <c r="E146" s="705"/>
      <c r="F146" s="706"/>
      <c r="G146" s="763"/>
      <c r="H146" s="764"/>
      <c r="I146" s="765"/>
      <c r="J146" s="244" t="b">
        <v>0</v>
      </c>
      <c r="K146" s="239" t="b">
        <v>0</v>
      </c>
      <c r="L146" s="17" t="str">
        <f t="shared" si="4"/>
        <v/>
      </c>
      <c r="M146" s="10"/>
      <c r="N146" s="10"/>
      <c r="O146" s="10"/>
      <c r="P146" s="10"/>
      <c r="Q146" s="10"/>
    </row>
    <row r="147" spans="3:17" hidden="1" outlineLevel="1" x14ac:dyDescent="0.3">
      <c r="C147" s="232"/>
      <c r="D147" s="704" t="str">
        <f>IF(C147 = "", "",
IF(COUNTIF($C$128:C146, C147), "VALUE INCONSISTENCY",
IF(AND(COUNTIF('General Information'!$C$109:$C$133, C147),
       INDEX('General Information'!$D$109:$D$133, MATCH(C147, 'General Information'!$C$109:$C$133, 0)) = ""),
   "VALUE INCONSISTENCY",
IFERROR(VLOOKUP(C147, ListOfSitesTable, 5, FALSE), "") &amp; " " &amp;
IFERROR(VLOOKUP(C147, ListOfSitesTable, 4, FALSE), "") &amp; " " &amp;
IFERROR(VLOOKUP(C147, ListOfSitesTable, 2, FALSE), ""))))</f>
        <v/>
      </c>
      <c r="E147" s="705"/>
      <c r="F147" s="706"/>
      <c r="G147" s="763"/>
      <c r="H147" s="764"/>
      <c r="I147" s="765"/>
      <c r="J147" s="244" t="b">
        <v>0</v>
      </c>
      <c r="K147" s="239" t="b">
        <v>0</v>
      </c>
      <c r="L147" s="17" t="str">
        <f t="shared" si="4"/>
        <v/>
      </c>
      <c r="M147" s="10"/>
      <c r="N147" s="10"/>
      <c r="O147" s="10"/>
      <c r="P147" s="10"/>
      <c r="Q147" s="10"/>
    </row>
    <row r="148" spans="3:17" hidden="1" outlineLevel="1" x14ac:dyDescent="0.3">
      <c r="C148" s="232"/>
      <c r="D148" s="704" t="str">
        <f>IF(C148 = "", "",
IF(COUNTIF($C$128:C147, C148), "VALUE INCONSISTENCY",
IF(AND(COUNTIF('General Information'!$C$109:$C$133, C148),
       INDEX('General Information'!$D$109:$D$133, MATCH(C148, 'General Information'!$C$109:$C$133, 0)) = ""),
   "VALUE INCONSISTENCY",
IFERROR(VLOOKUP(C148, ListOfSitesTable, 5, FALSE), "") &amp; " " &amp;
IFERROR(VLOOKUP(C148, ListOfSitesTable, 4, FALSE), "") &amp; " " &amp;
IFERROR(VLOOKUP(C148, ListOfSitesTable, 2, FALSE), ""))))</f>
        <v/>
      </c>
      <c r="E148" s="705"/>
      <c r="F148" s="706"/>
      <c r="G148" s="763"/>
      <c r="H148" s="764"/>
      <c r="I148" s="765"/>
      <c r="J148" s="244" t="b">
        <v>0</v>
      </c>
      <c r="K148" s="239" t="b">
        <v>0</v>
      </c>
      <c r="L148" s="17" t="str">
        <f t="shared" si="4"/>
        <v/>
      </c>
      <c r="M148" s="10"/>
      <c r="N148" s="10"/>
      <c r="O148" s="10"/>
      <c r="P148" s="10"/>
      <c r="Q148" s="10"/>
    </row>
    <row r="149" spans="3:17" hidden="1" outlineLevel="1" x14ac:dyDescent="0.3">
      <c r="C149" s="232"/>
      <c r="D149" s="704" t="str">
        <f>IF(C149 = "", "",
IF(COUNTIF($C$128:C148, C149), "VALUE INCONSISTENCY",
IF(AND(COUNTIF('General Information'!$C$109:$C$133, C149),
       INDEX('General Information'!$D$109:$D$133, MATCH(C149, 'General Information'!$C$109:$C$133, 0)) = ""),
   "VALUE INCONSISTENCY",
IFERROR(VLOOKUP(C149, ListOfSitesTable, 5, FALSE), "") &amp; " " &amp;
IFERROR(VLOOKUP(C149, ListOfSitesTable, 4, FALSE), "") &amp; " " &amp;
IFERROR(VLOOKUP(C149, ListOfSitesTable, 2, FALSE), ""))))</f>
        <v/>
      </c>
      <c r="E149" s="705"/>
      <c r="F149" s="706"/>
      <c r="G149" s="763"/>
      <c r="H149" s="764"/>
      <c r="I149" s="765"/>
      <c r="J149" s="244" t="b">
        <v>0</v>
      </c>
      <c r="K149" s="239" t="b">
        <v>0</v>
      </c>
      <c r="L149" s="17" t="str">
        <f t="shared" si="4"/>
        <v/>
      </c>
      <c r="M149" s="10"/>
      <c r="N149" s="10"/>
      <c r="O149" s="10"/>
      <c r="P149" s="10"/>
      <c r="Q149" s="10"/>
    </row>
    <row r="150" spans="3:17" hidden="1" outlineLevel="1" x14ac:dyDescent="0.3">
      <c r="C150" s="232"/>
      <c r="D150" s="704" t="str">
        <f>IF(C150 = "", "",
IF(COUNTIF($C$128:C149, C150), "VALUE INCONSISTENCY",
IF(AND(COUNTIF('General Information'!$C$109:$C$133, C150),
       INDEX('General Information'!$D$109:$D$133, MATCH(C150, 'General Information'!$C$109:$C$133, 0)) = ""),
   "VALUE INCONSISTENCY",
IFERROR(VLOOKUP(C150, ListOfSitesTable, 5, FALSE), "") &amp; " " &amp;
IFERROR(VLOOKUP(C150, ListOfSitesTable, 4, FALSE), "") &amp; " " &amp;
IFERROR(VLOOKUP(C150, ListOfSitesTable, 2, FALSE), ""))))</f>
        <v/>
      </c>
      <c r="E150" s="705"/>
      <c r="F150" s="706"/>
      <c r="G150" s="763"/>
      <c r="H150" s="764"/>
      <c r="I150" s="765"/>
      <c r="J150" s="244" t="b">
        <v>0</v>
      </c>
      <c r="K150" s="239" t="b">
        <v>0</v>
      </c>
      <c r="L150" s="17" t="str">
        <f t="shared" si="4"/>
        <v/>
      </c>
      <c r="M150" s="10"/>
      <c r="N150" s="10"/>
      <c r="O150" s="10"/>
      <c r="P150" s="10"/>
      <c r="Q150" s="10"/>
    </row>
    <row r="151" spans="3:17" hidden="1" outlineLevel="1" x14ac:dyDescent="0.3">
      <c r="C151" s="232"/>
      <c r="D151" s="704" t="str">
        <f>IF(C151 = "", "",
IF(COUNTIF($C$128:C150, C151), "VALUE INCONSISTENCY",
IF(AND(COUNTIF('General Information'!$C$109:$C$133, C151),
       INDEX('General Information'!$D$109:$D$133, MATCH(C151, 'General Information'!$C$109:$C$133, 0)) = ""),
   "VALUE INCONSISTENCY",
IFERROR(VLOOKUP(C151, ListOfSitesTable, 5, FALSE), "") &amp; " " &amp;
IFERROR(VLOOKUP(C151, ListOfSitesTable, 4, FALSE), "") &amp; " " &amp;
IFERROR(VLOOKUP(C151, ListOfSitesTable, 2, FALSE), ""))))</f>
        <v/>
      </c>
      <c r="E151" s="705"/>
      <c r="F151" s="706"/>
      <c r="G151" s="763"/>
      <c r="H151" s="764"/>
      <c r="I151" s="765"/>
      <c r="J151" s="244" t="b">
        <v>0</v>
      </c>
      <c r="K151" s="239" t="b">
        <v>0</v>
      </c>
      <c r="L151" s="17" t="str">
        <f t="shared" si="4"/>
        <v/>
      </c>
      <c r="M151" s="10"/>
      <c r="N151" s="10"/>
      <c r="O151" s="10"/>
      <c r="P151" s="10"/>
      <c r="Q151" s="10"/>
    </row>
    <row r="152" spans="3:17" hidden="1" outlineLevel="1" x14ac:dyDescent="0.3">
      <c r="C152" s="232"/>
      <c r="D152" s="704" t="str">
        <f>IF(C152 = "", "",
IF(COUNTIF($C$128:C151, C152), "VALUE INCONSISTENCY",
IF(AND(COUNTIF('General Information'!$C$109:$C$133, C152),
       INDEX('General Information'!$D$109:$D$133, MATCH(C152, 'General Information'!$C$109:$C$133, 0)) = ""),
   "VALUE INCONSISTENCY",
IFERROR(VLOOKUP(C152, ListOfSitesTable, 5, FALSE), "") &amp; " " &amp;
IFERROR(VLOOKUP(C152, ListOfSitesTable, 4, FALSE), "") &amp; " " &amp;
IFERROR(VLOOKUP(C152, ListOfSitesTable, 2, FALSE), ""))))</f>
        <v/>
      </c>
      <c r="E152" s="705"/>
      <c r="F152" s="706"/>
      <c r="G152" s="905"/>
      <c r="H152" s="764"/>
      <c r="I152" s="765"/>
      <c r="J152" s="244" t="b">
        <v>0</v>
      </c>
      <c r="K152" s="239" t="b">
        <v>0</v>
      </c>
      <c r="L152" s="17" t="str">
        <f t="shared" si="4"/>
        <v/>
      </c>
      <c r="M152" s="10"/>
      <c r="N152" s="10"/>
      <c r="O152" s="10"/>
      <c r="P152" s="10"/>
      <c r="Q152" s="10"/>
    </row>
    <row r="153" spans="3:17" ht="15" hidden="1" outlineLevel="1" thickBot="1" x14ac:dyDescent="0.35">
      <c r="C153" s="235"/>
      <c r="D153" s="704" t="str">
        <f>IF(C153 = "", "",
IF(COUNTIF($C$128:C152, C153), "VALUE INCONSISTENCY",
IF(AND(COUNTIF('General Information'!$C$109:$C$133, C153),
       INDEX('General Information'!$D$109:$D$133, MATCH(C153, 'General Information'!$C$109:$C$133, 0)) = ""),
   "VALUE INCONSISTENCY",
IFERROR(VLOOKUP(C153, ListOfSitesTable, 5, FALSE), "") &amp; " " &amp;
IFERROR(VLOOKUP(C153, ListOfSitesTable, 4, FALSE), "") &amp; " " &amp;
IFERROR(VLOOKUP(C153, ListOfSitesTable, 2, FALSE), ""))))</f>
        <v/>
      </c>
      <c r="E153" s="705"/>
      <c r="F153" s="706"/>
      <c r="G153" s="786"/>
      <c r="H153" s="787"/>
      <c r="I153" s="788"/>
      <c r="J153" s="245" t="b">
        <v>0</v>
      </c>
      <c r="K153" s="240" t="b">
        <v>0</v>
      </c>
      <c r="L153" s="17" t="str">
        <f t="shared" si="4"/>
        <v/>
      </c>
      <c r="M153" s="10"/>
      <c r="N153" s="10"/>
      <c r="O153" s="10"/>
      <c r="P153" s="10"/>
      <c r="Q153" s="10"/>
    </row>
    <row r="154" spans="3:17" ht="15" collapsed="1" thickBot="1" x14ac:dyDescent="0.35">
      <c r="D154" s="14"/>
      <c r="E154" s="14"/>
      <c r="F154" s="14"/>
      <c r="H154" s="14"/>
      <c r="I154" s="14"/>
      <c r="J154" s="14"/>
    </row>
    <row r="155" spans="3:17" x14ac:dyDescent="0.3">
      <c r="C155" s="730" t="str">
        <f>template_label_b5_biodiversity_land_use&amp;" "&amp;template_label_from&amp;" "&amp;template_starting_date_display&amp;" "&amp;template_label_to&amp;" "&amp;template_ending_date_display&amp;" " &amp; template_label_may</f>
        <v>B5 - Biodiversity - Land-use from 2024-01-01 to 2024-12-31 [May (optional)]</v>
      </c>
      <c r="D155" s="731"/>
      <c r="E155" s="731"/>
      <c r="F155" s="732"/>
    </row>
    <row r="156" spans="3:17" x14ac:dyDescent="0.3">
      <c r="C156" s="733">
        <v>34</v>
      </c>
      <c r="D156" s="734"/>
      <c r="E156" s="734"/>
      <c r="F156" s="735"/>
    </row>
    <row r="157" spans="3:17" x14ac:dyDescent="0.3">
      <c r="C157" s="758" t="s">
        <v>5653</v>
      </c>
      <c r="D157" s="759"/>
      <c r="E157" s="759"/>
      <c r="F157" s="869"/>
    </row>
    <row r="158" spans="3:17" ht="16.95" customHeight="1" x14ac:dyDescent="0.3">
      <c r="C158" s="789" t="str">
        <f>template_label_please_select_the_unit_used_for_the_area</f>
        <v>Please select the unit used for the area (i.e. either hectares or m²):</v>
      </c>
      <c r="D158" s="790"/>
      <c r="E158" s="790"/>
      <c r="F158" s="791"/>
    </row>
    <row r="159" spans="3:17" x14ac:dyDescent="0.3">
      <c r="C159" s="792"/>
      <c r="D159" s="635"/>
      <c r="E159" s="635"/>
      <c r="F159" s="636"/>
      <c r="G159" s="16" t="str">
        <f>IF(C159&lt;&gt;"", template_label_ok, IF(AND(OR(D161&lt;&gt;"", D162&lt;&gt;"", D163&lt;&gt;"", D164&lt;&gt;""), C159=""), template_label_missing_value, ""))</f>
        <v/>
      </c>
      <c r="H159" s="123"/>
      <c r="K159" s="16"/>
    </row>
    <row r="160" spans="3:17" x14ac:dyDescent="0.3">
      <c r="C160" s="124" t="str">
        <f>template_label_land_use_type</f>
        <v>Land-use type</v>
      </c>
      <c r="D160" s="790" t="str">
        <f>template_label_area</f>
        <v>Area</v>
      </c>
      <c r="E160" s="790"/>
      <c r="F160" s="791"/>
      <c r="G160" s="16"/>
      <c r="H160" s="123"/>
      <c r="K160" s="16"/>
    </row>
    <row r="161" spans="3:12" x14ac:dyDescent="0.3">
      <c r="C161" s="127" t="str">
        <f>template_label_total_sealed_area</f>
        <v>Total sealed area</v>
      </c>
      <c r="D161" s="912"/>
      <c r="E161" s="912"/>
      <c r="F161" s="913"/>
      <c r="G161" s="695" t="str">
        <f>IF(AND(G159=template_label_ok, COUNTIF(D161:F164,"&lt;&gt;")&gt;0),
    template_label_ok,
    IF(AND(G159=template_label_ok, COUNTA(D161:F164)=0),
        template_label_missing_value,
        IF(AND(G159=template_label_missing_value, COUNTIF(D161:F164,"&lt;&gt;")&gt;0),
            template_label_value_inconsistency,
            ""
        )
    )
)</f>
        <v/>
      </c>
      <c r="H161" s="126"/>
      <c r="K161" s="16"/>
    </row>
    <row r="162" spans="3:12" x14ac:dyDescent="0.3">
      <c r="C162" s="127" t="str">
        <f>template_label_total_nature_oriented_area_on_site</f>
        <v>Total nature-oriented area on-site</v>
      </c>
      <c r="D162" s="912"/>
      <c r="E162" s="912"/>
      <c r="F162" s="913"/>
      <c r="G162" s="695"/>
      <c r="H162" s="126"/>
      <c r="K162" s="16"/>
    </row>
    <row r="163" spans="3:12" x14ac:dyDescent="0.3">
      <c r="C163" s="127" t="str">
        <f>template_label_total_nature_oriented_area_off_site</f>
        <v>Total nature-oriented area off-site</v>
      </c>
      <c r="D163" s="912"/>
      <c r="E163" s="912"/>
      <c r="F163" s="913"/>
      <c r="G163" s="695"/>
      <c r="H163" s="126"/>
      <c r="K163" s="16"/>
    </row>
    <row r="164" spans="3:12" ht="15" thickBot="1" x14ac:dyDescent="0.35">
      <c r="C164" s="114" t="str">
        <f>template_label_total_use_of_land</f>
        <v>Total use of land</v>
      </c>
      <c r="D164" s="930"/>
      <c r="E164" s="930"/>
      <c r="F164" s="931"/>
      <c r="G164" s="695"/>
      <c r="H164" s="126"/>
      <c r="K164" s="16"/>
    </row>
    <row r="165" spans="3:12" ht="15" thickBot="1" x14ac:dyDescent="0.35"/>
    <row r="166" spans="3:12" x14ac:dyDescent="0.3">
      <c r="C166" s="582" t="str">
        <f>template_label_b6_water_withdrawal&amp;" "&amp;template_label_from&amp;" "&amp;template_starting_date_display&amp;" "&amp;template_label_to&amp;" "&amp;template_ending_date_display&amp;" "&amp;template_label_always_to_be_reported</f>
        <v>B6 - Water Withdrawal from 2024-01-01 to 2024-12-31 [Always to be reported]</v>
      </c>
      <c r="D166" s="900"/>
      <c r="E166" s="15"/>
      <c r="F166" s="15"/>
      <c r="G166" s="16"/>
      <c r="H166" s="16"/>
      <c r="I166" s="16"/>
      <c r="K166" s="16"/>
    </row>
    <row r="167" spans="3:12" x14ac:dyDescent="0.3">
      <c r="C167" s="535">
        <v>35</v>
      </c>
      <c r="D167" s="815"/>
      <c r="E167" s="128"/>
      <c r="F167" s="128"/>
      <c r="G167" s="16"/>
      <c r="H167" s="16"/>
      <c r="I167" s="16"/>
    </row>
    <row r="168" spans="3:12" x14ac:dyDescent="0.3">
      <c r="C168" s="649" t="s">
        <v>5654</v>
      </c>
      <c r="D168" s="821"/>
      <c r="E168" s="129"/>
      <c r="F168" s="129"/>
      <c r="G168" s="16"/>
      <c r="H168" s="16"/>
      <c r="I168" s="16"/>
      <c r="K168" s="52"/>
      <c r="L168" s="52"/>
    </row>
    <row r="169" spans="3:12" x14ac:dyDescent="0.3">
      <c r="C169" s="100" t="str">
        <f>template_label_total_amount_of_water_withdrawn_from_all_sites</f>
        <v>Total amount of water withdrawn from all sites (cubic meters m³)</v>
      </c>
      <c r="D169" s="274">
        <v>742.5</v>
      </c>
      <c r="E169" s="902" t="str">
        <f>IF(
    AND(
        OR(
            'General Information'!E32="Option A (Basic Module only)",
            'General Information'!E32="Option B (Basic Module and Comprehensive Module)"
        ),
        TotalAmountOfWaterWithdrawnFromAllSites=""
    ),
    template_label_missing_value,
    IF('General Information'!E32="", "", template_label_ok)
)</f>
        <v>OK</v>
      </c>
      <c r="F169" s="903"/>
      <c r="G169" s="16"/>
      <c r="H169" s="16"/>
      <c r="I169" s="16"/>
    </row>
    <row r="170" spans="3:12" ht="15" thickBot="1" x14ac:dyDescent="0.35">
      <c r="C170" s="130" t="str">
        <f>template_label_amount_of_water_withdrawn_at_sites_located_in_areas_of_high_water_stress</f>
        <v>Amount of water withdrawn at sites located in areas of high water-stress (cubic meters m³)</v>
      </c>
      <c r="D170" s="275">
        <v>150</v>
      </c>
      <c r="E170" s="932" t="str">
        <f>IF(
    AND(
        OR(
            'General Information'!E32="Option A (Basic Module only)",
            'General Information'!E32="Option B (Basic Module and Comprehensive Module)"
        ),
        AmountOfWaterWithdrawnAtSitesLocatedInAreasOfHighWaterStress=""
    ),
    template_label_missing_value,
    IF('General Information'!E32="", "", template_label_ok)
)</f>
        <v>OK</v>
      </c>
      <c r="F170" s="901"/>
      <c r="G170" s="16"/>
      <c r="H170" s="16"/>
      <c r="I170" s="16"/>
    </row>
    <row r="171" spans="3:12" ht="15" thickBot="1" x14ac:dyDescent="0.35">
      <c r="K171" s="38"/>
    </row>
    <row r="172" spans="3:12" x14ac:dyDescent="0.3">
      <c r="C172" s="582" t="str">
        <f>template_label_b6_water_consumption&amp;" "&amp;template_label_from&amp;" "&amp;template_starting_date_display&amp;" "&amp;template_label_to&amp;" "&amp;template_ending_date_display&amp;" "&amp;template_label_if_applicable</f>
        <v>B6 - Water Consumption from 2024-01-01 to 2024-12-31 [If applicable]</v>
      </c>
      <c r="D172" s="900"/>
      <c r="E172" s="15"/>
      <c r="F172" s="15"/>
    </row>
    <row r="173" spans="3:12" x14ac:dyDescent="0.3">
      <c r="C173" s="733">
        <v>36</v>
      </c>
      <c r="D173" s="735"/>
      <c r="E173" s="128"/>
      <c r="F173" s="128"/>
    </row>
    <row r="174" spans="3:12" x14ac:dyDescent="0.3">
      <c r="C174" s="649" t="s">
        <v>5655</v>
      </c>
      <c r="D174" s="651"/>
      <c r="E174" s="129"/>
      <c r="F174" s="129"/>
    </row>
    <row r="175" spans="3:12" ht="50.7" customHeight="1" x14ac:dyDescent="0.3">
      <c r="C175" s="132"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175" s="147" t="b">
        <v>1</v>
      </c>
      <c r="E175" s="131"/>
      <c r="F175" s="131"/>
      <c r="G175" s="16"/>
      <c r="H175" s="16"/>
      <c r="I175" s="16"/>
    </row>
    <row r="176" spans="3:12" ht="15" thickBot="1" x14ac:dyDescent="0.35">
      <c r="C176" s="130" t="str">
        <f>template_label_water_discharge_from_undertaking_production_processes</f>
        <v>Water discharge from undertaking production processes (m³)</v>
      </c>
      <c r="D176" s="291">
        <v>100</v>
      </c>
      <c r="E176" s="901" t="str">
        <f>IF(
    AND(D175=TRUE, D176=""),
    template_label_missing_value,
    IF(AND(D175=TRUE, D176&lt;&gt;""),
        template_label_ok,
        ""
    )
)</f>
        <v>OK</v>
      </c>
      <c r="F176" s="901"/>
      <c r="G176" s="16"/>
      <c r="H176" s="16"/>
      <c r="I176" s="16"/>
    </row>
    <row r="177" spans="3:14" ht="21" customHeight="1" thickBot="1" x14ac:dyDescent="0.35">
      <c r="C177" s="133" t="str">
        <f>template_label_total_water_consumption</f>
        <v>Total water consumption (m³)</v>
      </c>
      <c r="D177" s="292">
        <f>IF(D176&lt;&gt;"",$D$169-$D$176,"-")</f>
        <v>642.5</v>
      </c>
      <c r="E177" s="134"/>
      <c r="F177" s="134"/>
    </row>
    <row r="178" spans="3:14" ht="15" thickBot="1" x14ac:dyDescent="0.35"/>
    <row r="179" spans="3:14" x14ac:dyDescent="0.3">
      <c r="C179" s="730"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2024-01-01 to 2024-12-31 [Always to be reported]</v>
      </c>
      <c r="D179" s="731"/>
      <c r="E179" s="907"/>
      <c r="F179" s="907"/>
      <c r="G179" s="732"/>
      <c r="H179" s="16"/>
      <c r="I179" s="16"/>
    </row>
    <row r="180" spans="3:14" x14ac:dyDescent="0.3">
      <c r="C180" s="733">
        <v>37</v>
      </c>
      <c r="D180" s="734"/>
      <c r="E180" s="908"/>
      <c r="F180" s="908"/>
      <c r="G180" s="735"/>
      <c r="H180" s="135"/>
      <c r="I180" s="135"/>
    </row>
    <row r="181" spans="3:14" x14ac:dyDescent="0.3">
      <c r="C181" s="758">
        <v>94</v>
      </c>
      <c r="D181" s="759"/>
      <c r="E181" s="597"/>
      <c r="F181" s="597"/>
      <c r="G181" s="869"/>
      <c r="H181" s="136"/>
      <c r="I181" s="136"/>
    </row>
    <row r="182" spans="3:14" x14ac:dyDescent="0.3">
      <c r="C182" s="98" t="str">
        <f>template_label_undertaking_applies_circular_economy_principles</f>
        <v>Undertaking applies circular economy principles</v>
      </c>
      <c r="D182" s="909" t="s">
        <v>2907</v>
      </c>
      <c r="E182" s="910"/>
      <c r="F182" s="910"/>
      <c r="G182" s="911"/>
      <c r="H182" s="904" t="str">
        <f>IF(
    AND(
        OR(
            'General Information'!E32="Option A (Basic Module only)",
            'General Information'!E32="Option B (Basic Module and Comprehensive Module)"
        ),
        UndertakingAppliesCircularEconomyPrinciples=""
    ),
    template_label_missing_value,
    IF('General Information'!E32="", "", template_label_ok)
)</f>
        <v>OK</v>
      </c>
      <c r="I182" s="550"/>
      <c r="J182" s="16"/>
    </row>
    <row r="183" spans="3:14" ht="15" thickBot="1" x14ac:dyDescent="0.35">
      <c r="C183" s="117" t="str">
        <f>template_label_description_of_how_it_applies_these_principles</f>
        <v>Description of how it applies these principles</v>
      </c>
      <c r="D183" s="569"/>
      <c r="E183" s="579"/>
      <c r="F183" s="579"/>
      <c r="G183" s="570"/>
      <c r="H183" s="904" t="str">
        <f>IF(
    AND(D182="YES", D183=""),
    template_label_missing_value,
    IF(
        AND(D182="YES", D183&lt;&gt;""),
        template_label_ok,
        IF(
            AND(D182="NO", D183&lt;&gt;""),
            template_label_value_inconsistency,
            ""
        )
    )
)</f>
        <v/>
      </c>
      <c r="I183" s="550"/>
      <c r="J183" s="16"/>
    </row>
    <row r="184" spans="3:14" ht="15" thickBot="1" x14ac:dyDescent="0.35"/>
    <row r="185" spans="3:14" x14ac:dyDescent="0.3">
      <c r="C185" s="730" t="str">
        <f>template_label_b7_waste_generated&amp;" "&amp;template_label_from&amp;" "&amp;template_starting_date_display&amp;" "&amp;template_label_to&amp;" "&amp;template_ending_date_display&amp;" "&amp;template_label_always_to_be_reported</f>
        <v>B7 - Waste generated from 2024-01-01 to 2024-12-31 [Always to be reported]</v>
      </c>
      <c r="D185" s="731"/>
      <c r="E185" s="731"/>
      <c r="F185" s="731"/>
      <c r="G185" s="731"/>
      <c r="H185" s="731"/>
      <c r="I185" s="731"/>
      <c r="J185" s="731"/>
      <c r="K185" s="731"/>
      <c r="L185" s="732"/>
    </row>
    <row r="186" spans="3:14" x14ac:dyDescent="0.3">
      <c r="C186" s="733" t="s">
        <v>3727</v>
      </c>
      <c r="D186" s="734"/>
      <c r="E186" s="734"/>
      <c r="F186" s="734"/>
      <c r="G186" s="734"/>
      <c r="H186" s="734"/>
      <c r="I186" s="734"/>
      <c r="J186" s="734"/>
      <c r="K186" s="734"/>
      <c r="L186" s="735"/>
    </row>
    <row r="187" spans="3:14" x14ac:dyDescent="0.3">
      <c r="C187" s="758" t="s">
        <v>5656</v>
      </c>
      <c r="D187" s="759"/>
      <c r="E187" s="759"/>
      <c r="F187" s="759"/>
      <c r="G187" s="759"/>
      <c r="H187" s="759"/>
      <c r="I187" s="759"/>
      <c r="J187" s="759"/>
      <c r="K187" s="759"/>
      <c r="L187" s="869"/>
    </row>
    <row r="188" spans="3:14" ht="49.2" customHeight="1" x14ac:dyDescent="0.3">
      <c r="C188" s="137" t="str">
        <f>template_label_row_id</f>
        <v>Row ID</v>
      </c>
      <c r="D188" s="895" t="str">
        <f>template_label_type_of_waste</f>
        <v>Type of waste</v>
      </c>
      <c r="E188" s="895"/>
      <c r="F188" s="895"/>
      <c r="G188" s="897" t="str">
        <f>template_label_unit_of_measurement</f>
        <v>Unit of measurement</v>
      </c>
      <c r="H188" s="897"/>
      <c r="I188" s="897"/>
      <c r="J188" s="138" t="str">
        <f>template_label_waste_diverted_to_recycle_or_reuse</f>
        <v>Waste diverted to recycle or reuse</v>
      </c>
      <c r="K188" s="139" t="str">
        <f>template_label_waste_directed_to_disposal</f>
        <v>Waste directed to disposal</v>
      </c>
      <c r="L188" s="140" t="str">
        <f>template_label_total_waste_recycled_reused_and_directed_to_disposal</f>
        <v>Amount of waste recycled reused and directed to disposal</v>
      </c>
    </row>
    <row r="189" spans="3:14" x14ac:dyDescent="0.3">
      <c r="C189" s="385">
        <v>1</v>
      </c>
      <c r="D189" s="892" t="s">
        <v>5572</v>
      </c>
      <c r="E189" s="892"/>
      <c r="F189" s="892"/>
      <c r="G189" s="891" t="s">
        <v>2761</v>
      </c>
      <c r="H189" s="891"/>
      <c r="I189" s="891"/>
      <c r="J189" s="276">
        <v>1200</v>
      </c>
      <c r="K189" s="277">
        <v>300</v>
      </c>
      <c r="L189" s="278">
        <f>IF(AND(D189="",J189="",K189=""),"-",SUM(J189:K189))</f>
        <v>1500</v>
      </c>
      <c r="M189" s="16" t="str">
        <f>IF(
    OR('General Information'!E32 = "Option A (Basic Module only)", 'General Information'!E32 = "Option B (Basic Module and Comprehensive Module)"),
    IF(
        COUNTIF(enum_ListWasteCategories, D189) &gt; 0,
        template_label_error,
        IF(
            OR(D189 = "", G189 = "", J189 = "", K189 = ""),
            template_label_missing_value,
            IF(
                COUNTIF(D189:D203, D189) &gt; 1,
                template_label_value_inconsistency,
                template_label_ok
            )
        )
    ),
    ""
)</f>
        <v>OK</v>
      </c>
      <c r="N189" t="str">
        <f>template_label_type_of_waste_warning</f>
        <v>ℹ️  Please select a Type of waste (Hazardous or Non-Hazardous) rather than a category else an ERROR message will appear.</v>
      </c>
    </row>
    <row r="190" spans="3:14" x14ac:dyDescent="0.3">
      <c r="C190" s="385">
        <v>2</v>
      </c>
      <c r="D190" s="892" t="s">
        <v>5376</v>
      </c>
      <c r="E190" s="892"/>
      <c r="F190" s="892"/>
      <c r="G190" s="891" t="s">
        <v>2757</v>
      </c>
      <c r="H190" s="891"/>
      <c r="I190" s="891"/>
      <c r="J190" s="279">
        <v>800</v>
      </c>
      <c r="K190" s="279">
        <v>400</v>
      </c>
      <c r="L190" s="280">
        <f t="shared" ref="L190:L203" si="5">IF(AND(D190="",J190="",K190=""),"-",SUM(J190:K190))</f>
        <v>1200</v>
      </c>
      <c r="M190" s="16" t="str">
        <f t="shared" ref="M190:M203" si="6">IF(COUNTIF(enum_ListWasteCategories,D190)&gt;0,template_label_error,
IF(AND(D190&lt;&gt;"",G190&lt;&gt;"",J190&lt;&gt;"",K190&lt;&gt;""),
IF(COUNTIF($D$189:$D$203,D190)&gt;1,template_label_value_inconsistency,template_label_ok),
IF(AND(D190&lt;&gt;"",G190&lt;&gt;"",J190&lt;&gt;"",K190=""),template_label_missing_value,
IF(AND(D190&lt;&gt;"",G190&lt;&gt;"",J190="",K190&lt;&gt;""),template_label_missing_value,
IF(AND(D190&lt;&gt;"",G190="",J190&lt;&gt;"",K190&lt;&gt;""),template_label_missing_value,
IF(AND(D190="",G190&lt;&gt;"",J190&lt;&gt;"",K190&lt;&gt;""),template_label_missing_value,
IF(AND(D190&lt;&gt;"",G190&lt;&gt;"",J190="",K190=""),template_label_missing_value,
IF(AND(D190&lt;&gt;"",G190="",J190&lt;&gt;"",K190=""),template_label_missing_value,
IF(AND(D190&lt;&gt;"",G190="",J190="",K190&lt;&gt;""),template_label_missing_value,
IF(AND(D190="",G190="",J190&lt;&gt;"",K190&lt;&gt;""),template_label_missing_value,
IF(AND(D190="",G190&lt;&gt;"",J190="",K190&lt;&gt;""),template_label_missing_value,
IF(AND(D190="",G190&lt;&gt;"",J190&lt;&gt;"",K190=""),template_label_missing_value,
IF(AND(D190="",G190="",J190="",K190&lt;&gt;""),template_label_missing_value,
IF(AND(D190="",G190="",J190&lt;&gt;"",K190=""),template_label_missing_value,
IF(AND(D190="",G190&lt;&gt;"",J190="",K190=""),template_label_missing_value,
IF(AND(D190&lt;&gt;"",G190="",J190="",K190=""),template_label_missing_value,
""))))))))))))))))</f>
        <v>OK</v>
      </c>
    </row>
    <row r="191" spans="3:14" ht="15" thickBot="1" x14ac:dyDescent="0.35">
      <c r="C191" s="386">
        <v>3</v>
      </c>
      <c r="D191" s="893" t="s">
        <v>5154</v>
      </c>
      <c r="E191" s="893"/>
      <c r="F191" s="893"/>
      <c r="G191" s="894" t="s">
        <v>2761</v>
      </c>
      <c r="H191" s="894"/>
      <c r="I191" s="894"/>
      <c r="J191" s="281">
        <v>500</v>
      </c>
      <c r="K191" s="281">
        <v>200</v>
      </c>
      <c r="L191" s="282">
        <f t="shared" si="5"/>
        <v>700</v>
      </c>
      <c r="M191" s="16" t="str">
        <f t="shared" si="6"/>
        <v>OK</v>
      </c>
      <c r="N191" t="str">
        <f>template_label_additional_rows_warning</f>
        <v>ℹ️  Lists can be expanded using the little [+] button on the left.  If the number of rows is not sufficient, those can be added by right clicking the second row and selecting "Insert row".</v>
      </c>
    </row>
    <row r="192" spans="3:14" outlineLevel="1" x14ac:dyDescent="0.3">
      <c r="C192" s="383">
        <v>4</v>
      </c>
      <c r="D192" s="896" t="s">
        <v>5302</v>
      </c>
      <c r="E192" s="896"/>
      <c r="F192" s="896"/>
      <c r="G192" s="906" t="s">
        <v>2761</v>
      </c>
      <c r="H192" s="906"/>
      <c r="I192" s="906"/>
      <c r="J192" s="283">
        <v>300</v>
      </c>
      <c r="K192" s="283">
        <v>100</v>
      </c>
      <c r="L192" s="284">
        <f t="shared" si="5"/>
        <v>400</v>
      </c>
      <c r="M192" s="16" t="str">
        <f t="shared" si="6"/>
        <v>OK</v>
      </c>
    </row>
    <row r="193" spans="3:13" outlineLevel="1" x14ac:dyDescent="0.3">
      <c r="C193" s="385">
        <v>5</v>
      </c>
      <c r="D193" s="892" t="s">
        <v>4776</v>
      </c>
      <c r="E193" s="892"/>
      <c r="F193" s="892"/>
      <c r="G193" s="891" t="s">
        <v>2761</v>
      </c>
      <c r="H193" s="891"/>
      <c r="I193" s="891"/>
      <c r="J193" s="279">
        <v>100</v>
      </c>
      <c r="K193" s="279">
        <v>150</v>
      </c>
      <c r="L193" s="280">
        <f t="shared" si="5"/>
        <v>250</v>
      </c>
      <c r="M193" s="16" t="str">
        <f t="shared" si="6"/>
        <v>OK</v>
      </c>
    </row>
    <row r="194" spans="3:13" outlineLevel="1" x14ac:dyDescent="0.3">
      <c r="C194" s="385">
        <v>6</v>
      </c>
      <c r="D194" s="892" t="s">
        <v>4769</v>
      </c>
      <c r="E194" s="892"/>
      <c r="F194" s="892"/>
      <c r="G194" s="891" t="s">
        <v>7632</v>
      </c>
      <c r="H194" s="891"/>
      <c r="I194" s="891"/>
      <c r="J194" s="279">
        <v>4000</v>
      </c>
      <c r="K194" s="279">
        <v>1000</v>
      </c>
      <c r="L194" s="280">
        <f>IF(AND(D194="",J194="",K194=""),"-",SUM(J194:K194))</f>
        <v>5000</v>
      </c>
      <c r="M194" s="16" t="str">
        <f t="shared" si="6"/>
        <v>OK</v>
      </c>
    </row>
    <row r="195" spans="3:13" outlineLevel="1" x14ac:dyDescent="0.3">
      <c r="C195" s="385">
        <v>7</v>
      </c>
      <c r="D195" s="892" t="s">
        <v>5252</v>
      </c>
      <c r="E195" s="892"/>
      <c r="F195" s="892"/>
      <c r="G195" s="891" t="s">
        <v>7632</v>
      </c>
      <c r="H195" s="891"/>
      <c r="I195" s="891"/>
      <c r="J195" s="279">
        <v>30</v>
      </c>
      <c r="K195" s="279">
        <v>70</v>
      </c>
      <c r="L195" s="280">
        <f>IF(AND(D195="",J195="",K195=""),"-",SUM(J195:K195))</f>
        <v>100</v>
      </c>
      <c r="M195" s="16" t="str">
        <f t="shared" si="6"/>
        <v>OK</v>
      </c>
    </row>
    <row r="196" spans="3:13" outlineLevel="1" x14ac:dyDescent="0.3">
      <c r="C196" s="385">
        <v>8</v>
      </c>
      <c r="D196" s="892"/>
      <c r="E196" s="892"/>
      <c r="F196" s="892"/>
      <c r="G196" s="891"/>
      <c r="H196" s="891"/>
      <c r="I196" s="891"/>
      <c r="J196" s="279"/>
      <c r="K196" s="279"/>
      <c r="L196" s="280" t="str">
        <f t="shared" si="5"/>
        <v>-</v>
      </c>
      <c r="M196" s="16" t="str">
        <f t="shared" si="6"/>
        <v/>
      </c>
    </row>
    <row r="197" spans="3:13" outlineLevel="1" x14ac:dyDescent="0.3">
      <c r="C197" s="385">
        <v>9</v>
      </c>
      <c r="D197" s="892"/>
      <c r="E197" s="892"/>
      <c r="F197" s="892"/>
      <c r="G197" s="891"/>
      <c r="H197" s="891"/>
      <c r="I197" s="891"/>
      <c r="J197" s="279"/>
      <c r="K197" s="279"/>
      <c r="L197" s="280" t="str">
        <f t="shared" si="5"/>
        <v>-</v>
      </c>
      <c r="M197" s="16" t="str">
        <f t="shared" si="6"/>
        <v/>
      </c>
    </row>
    <row r="198" spans="3:13" outlineLevel="1" x14ac:dyDescent="0.3">
      <c r="C198" s="385">
        <v>10</v>
      </c>
      <c r="D198" s="892"/>
      <c r="E198" s="892"/>
      <c r="F198" s="892"/>
      <c r="G198" s="891"/>
      <c r="H198" s="891"/>
      <c r="I198" s="891"/>
      <c r="J198" s="279"/>
      <c r="K198" s="279"/>
      <c r="L198" s="280" t="str">
        <f t="shared" si="5"/>
        <v>-</v>
      </c>
      <c r="M198" s="16" t="str">
        <f t="shared" si="6"/>
        <v/>
      </c>
    </row>
    <row r="199" spans="3:13" outlineLevel="1" x14ac:dyDescent="0.3">
      <c r="C199" s="385">
        <v>11</v>
      </c>
      <c r="D199" s="892"/>
      <c r="E199" s="892"/>
      <c r="F199" s="892"/>
      <c r="G199" s="891"/>
      <c r="H199" s="891"/>
      <c r="I199" s="891"/>
      <c r="J199" s="279"/>
      <c r="K199" s="279"/>
      <c r="L199" s="280" t="str">
        <f t="shared" si="5"/>
        <v>-</v>
      </c>
      <c r="M199" s="16" t="str">
        <f t="shared" si="6"/>
        <v/>
      </c>
    </row>
    <row r="200" spans="3:13" outlineLevel="1" x14ac:dyDescent="0.3">
      <c r="C200" s="385">
        <v>12</v>
      </c>
      <c r="D200" s="892"/>
      <c r="E200" s="892"/>
      <c r="F200" s="892"/>
      <c r="G200" s="891"/>
      <c r="H200" s="891"/>
      <c r="I200" s="891"/>
      <c r="J200" s="279"/>
      <c r="K200" s="279"/>
      <c r="L200" s="280" t="str">
        <f t="shared" si="5"/>
        <v>-</v>
      </c>
      <c r="M200" s="16" t="str">
        <f t="shared" si="6"/>
        <v/>
      </c>
    </row>
    <row r="201" spans="3:13" outlineLevel="1" x14ac:dyDescent="0.3">
      <c r="C201" s="385">
        <v>13</v>
      </c>
      <c r="D201" s="892"/>
      <c r="E201" s="892"/>
      <c r="F201" s="892"/>
      <c r="G201" s="891"/>
      <c r="H201" s="891"/>
      <c r="I201" s="891"/>
      <c r="J201" s="279"/>
      <c r="K201" s="279"/>
      <c r="L201" s="280" t="str">
        <f t="shared" si="5"/>
        <v>-</v>
      </c>
      <c r="M201" s="16" t="str">
        <f t="shared" si="6"/>
        <v/>
      </c>
    </row>
    <row r="202" spans="3:13" outlineLevel="1" x14ac:dyDescent="0.3">
      <c r="C202" s="385">
        <v>14</v>
      </c>
      <c r="D202" s="892"/>
      <c r="E202" s="892"/>
      <c r="F202" s="892"/>
      <c r="G202" s="891"/>
      <c r="H202" s="891"/>
      <c r="I202" s="891"/>
      <c r="J202" s="279"/>
      <c r="K202" s="279"/>
      <c r="L202" s="280" t="str">
        <f t="shared" si="5"/>
        <v>-</v>
      </c>
      <c r="M202" s="16" t="str">
        <f t="shared" si="6"/>
        <v/>
      </c>
    </row>
    <row r="203" spans="3:13" ht="15" outlineLevel="1" thickBot="1" x14ac:dyDescent="0.35">
      <c r="C203" s="384">
        <v>15</v>
      </c>
      <c r="D203" s="890"/>
      <c r="E203" s="890"/>
      <c r="F203" s="890"/>
      <c r="G203" s="894"/>
      <c r="H203" s="894"/>
      <c r="I203" s="894"/>
      <c r="J203" s="285"/>
      <c r="K203" s="285"/>
      <c r="L203" s="282" t="str">
        <f t="shared" si="5"/>
        <v>-</v>
      </c>
      <c r="M203" s="16" t="str">
        <f t="shared" si="6"/>
        <v/>
      </c>
    </row>
    <row r="204" spans="3:13" x14ac:dyDescent="0.3">
      <c r="C204" s="887" t="str">
        <f>template_label_total_amount_of_waste_generated</f>
        <v>Total amount of waste generated</v>
      </c>
      <c r="D204" s="928" t="str">
        <f>template_label_total_hazardous_waste_generated_mass</f>
        <v>Total Hazardous waste generated (mass)</v>
      </c>
      <c r="E204" s="928"/>
      <c r="F204" s="929"/>
      <c r="G204" s="922" t="s">
        <v>2757</v>
      </c>
      <c r="H204" s="922"/>
      <c r="I204" s="923"/>
      <c r="J204" s="939">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1200</v>
      </c>
      <c r="K204" s="939"/>
      <c r="L204" s="940"/>
      <c r="M204" s="16" t="str" cm="1">
        <f t="array" ref="M204">IF(G204="",
    IF(SUMPRODUCT(--((G189:G203="metric tonnes (t)")+(G189:G203="kilograms (kg)")))&gt;0,
        template_label_missing_value,
        ""
    ),
    IF(SUMPRODUCT(--((G189:G203="metric tonnes (t)")+(G189:G203="kilograms (kg)")))&gt;0,
        template_label_ok,
        ""
    )
)</f>
        <v>OK</v>
      </c>
    </row>
    <row r="205" spans="3:13" x14ac:dyDescent="0.3">
      <c r="C205" s="888"/>
      <c r="D205" s="924" t="str">
        <f>template_label_total_non_hazardous_waste_generated_mass</f>
        <v>Total Non-Hazardous waste generated (mass)</v>
      </c>
      <c r="E205" s="924"/>
      <c r="F205" s="925"/>
      <c r="G205" s="918" t="str">
        <f>IF($G$204="", "-", $G$204)</f>
        <v>kilograms (kg)</v>
      </c>
      <c r="H205" s="918"/>
      <c r="I205" s="920"/>
      <c r="J205" s="796">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2850000</v>
      </c>
      <c r="K205" s="796"/>
      <c r="L205" s="917"/>
    </row>
    <row r="206" spans="3:13" ht="15" thickBot="1" x14ac:dyDescent="0.35">
      <c r="C206" s="888"/>
      <c r="D206" s="926" t="str">
        <f>template_label_total_waste_generated_mass</f>
        <v>Total waste generated (mass)</v>
      </c>
      <c r="E206" s="926"/>
      <c r="F206" s="927"/>
      <c r="G206" s="918" t="str">
        <f>IF($G$204="", "-", $G$204)</f>
        <v>kilograms (kg)</v>
      </c>
      <c r="H206" s="919"/>
      <c r="I206" s="921"/>
      <c r="J206" s="697">
        <f>IF(AND(J204="-",J205="-"),"-",SUM(J204:L205))</f>
        <v>2851200</v>
      </c>
      <c r="K206" s="697"/>
      <c r="L206" s="884"/>
    </row>
    <row r="207" spans="3:13" x14ac:dyDescent="0.3">
      <c r="C207" s="888"/>
      <c r="D207" s="936" t="str">
        <f>template_label_total_hazardous_waste_generated_volume</f>
        <v>Total Hazardous waste generated (volume)</v>
      </c>
      <c r="E207" s="936"/>
      <c r="F207" s="937"/>
      <c r="G207" s="938" t="str">
        <f>template_label_cubic_meters</f>
        <v>cubic meters (m³)</v>
      </c>
      <c r="H207" s="938"/>
      <c r="I207" s="938"/>
      <c r="J207" s="885">
        <f>IF(AND(D189="",J189="",K189="",D190="",J190="",K190="",D191="",J191="",K191="",D192="",J192="",K192="",D193="",J193="",K193="",D194="",J194="",K194="",D195="",J195="",K195="",D196="",J196="",K196="",D197="",J197="",K197="",D198="",J198="",K198="",D199="",J199="",K199="",D200="",J200="",K200="",D201="",J201="",K201="",D202="",J202="",K202="",D203="",J203="",K203=""),"-",SUMIFS(L189:L203, D189:D203,"* Hazardous *", G189:G203,"*cubic meters (m3)*"))</f>
        <v>100</v>
      </c>
      <c r="K207" s="885"/>
      <c r="L207" s="886"/>
    </row>
    <row r="208" spans="3:13" x14ac:dyDescent="0.3">
      <c r="C208" s="888"/>
      <c r="D208" s="924" t="str">
        <f>template_label_total_non_hazardous_waste_generated_volume</f>
        <v>Total Non-Hazardous waste generated (volume)</v>
      </c>
      <c r="E208" s="924"/>
      <c r="F208" s="925"/>
      <c r="G208" s="918" t="str">
        <f>template_label_cubic_meters</f>
        <v>cubic meters (m³)</v>
      </c>
      <c r="H208" s="918"/>
      <c r="I208" s="918"/>
      <c r="J208" s="796">
        <f>IF(AND(D189="",J189="",K189="",D190="",J190="",K190="",D191="",J191="",K191="",D192="",J192="",K192="",D193="",J193="",K193="",D194="",J194="",K194="",D195="",J195="",K195="",D196="",J196="",K196="",D197="",J197="",K197="",D198="",J198="",K198="",D199="",J199="",K199="",D200="",J200="",K200="",D201="",J201="",K201="",D202="",J202="",K202="",D203="",J203="",K203=""),"-",SUMIFS(L189:L203, D189:D203,"*Non-Hazardous*", G189:G203,"*cubic meters (m3)*"))</f>
        <v>5000</v>
      </c>
      <c r="K208" s="796"/>
      <c r="L208" s="917"/>
    </row>
    <row r="209" spans="3:12" ht="15" thickBot="1" x14ac:dyDescent="0.35">
      <c r="C209" s="889"/>
      <c r="D209" s="926" t="str">
        <f>template_label_total_waste_generated_volume</f>
        <v>Total waste generated (volume)</v>
      </c>
      <c r="E209" s="926"/>
      <c r="F209" s="927"/>
      <c r="G209" s="919" t="str">
        <f>template_label_cubic_meters</f>
        <v>cubic meters (m³)</v>
      </c>
      <c r="H209" s="919"/>
      <c r="I209" s="919"/>
      <c r="J209" s="697">
        <f>IF(AND(J207="-",J208="-"),"-",SUM(J207:L208))</f>
        <v>5100</v>
      </c>
      <c r="K209" s="697"/>
      <c r="L209" s="884"/>
    </row>
    <row r="210" spans="3:12" ht="15" thickBot="1" x14ac:dyDescent="0.35"/>
    <row r="211" spans="3:12" x14ac:dyDescent="0.3">
      <c r="C211" s="730"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2024-01-01 to 2024-12-31 [If applicable]</v>
      </c>
      <c r="D211" s="731"/>
      <c r="E211" s="731"/>
      <c r="F211" s="731"/>
      <c r="G211" s="731"/>
      <c r="H211" s="731"/>
      <c r="I211" s="731"/>
      <c r="J211" s="732"/>
    </row>
    <row r="212" spans="3:12" x14ac:dyDescent="0.3">
      <c r="C212" s="733" t="s">
        <v>3750</v>
      </c>
      <c r="D212" s="734"/>
      <c r="E212" s="734"/>
      <c r="F212" s="734"/>
      <c r="G212" s="734"/>
      <c r="H212" s="734"/>
      <c r="I212" s="734"/>
      <c r="J212" s="735"/>
    </row>
    <row r="213" spans="3:12" x14ac:dyDescent="0.3">
      <c r="C213" s="758" t="s">
        <v>5657</v>
      </c>
      <c r="D213" s="759"/>
      <c r="E213" s="759"/>
      <c r="F213" s="759"/>
      <c r="G213" s="759"/>
      <c r="H213" s="759"/>
      <c r="I213" s="759"/>
      <c r="J213" s="869"/>
      <c r="K213" s="11"/>
      <c r="L213" s="11"/>
    </row>
    <row r="214" spans="3:12" ht="30" customHeight="1" x14ac:dyDescent="0.3">
      <c r="C214" s="656" t="str">
        <f>template_label_does_the_undertaking_operate_in_a_sector_using_significant_material_flows</f>
        <v>Does the undertaking the undertaking operate in a sector using significant material flows (for example manufacturing construction packaging or others)?</v>
      </c>
      <c r="D214" s="941"/>
      <c r="E214" s="941"/>
      <c r="F214" s="942"/>
      <c r="G214" s="658" t="b">
        <v>1</v>
      </c>
      <c r="H214" s="659"/>
      <c r="I214" s="659"/>
      <c r="J214" s="660"/>
    </row>
    <row r="215" spans="3:12" ht="43.5" customHeight="1" x14ac:dyDescent="0.3">
      <c r="C215" s="143" t="str">
        <f>template_label_row_id</f>
        <v>Row ID</v>
      </c>
      <c r="D215" s="790" t="str">
        <f>template_label_name_of_the_key_material</f>
        <v>Name of the key material</v>
      </c>
      <c r="E215" s="790"/>
      <c r="F215" s="790"/>
      <c r="G215" s="790" t="str">
        <f>template_label_mass_volume</f>
        <v>Mass Volume</v>
      </c>
      <c r="H215" s="790"/>
      <c r="I215" s="790"/>
      <c r="J215" s="108" t="str">
        <f>template_label_unit_of_measurement</f>
        <v>Unit of measurement</v>
      </c>
    </row>
    <row r="216" spans="3:12" x14ac:dyDescent="0.3">
      <c r="C216" s="232">
        <v>1</v>
      </c>
      <c r="D216" s="714" t="s">
        <v>7633</v>
      </c>
      <c r="E216" s="714"/>
      <c r="F216" s="714"/>
      <c r="G216" s="694">
        <v>1500</v>
      </c>
      <c r="H216" s="694"/>
      <c r="I216" s="694"/>
      <c r="J216" s="146" t="s">
        <v>2757</v>
      </c>
      <c r="K216" s="17" t="str">
        <f>IF(AND(G214=TRUE,D216&lt;&gt;"",G216&lt;&gt;"",J216&lt;&gt;""),
    template_label_ok,
    IF(AND(G214=TRUE,OR(D216="",G216="",J216="")),
        template_label_missing_value,
        ""
    )
)</f>
        <v>OK</v>
      </c>
    </row>
    <row r="217" spans="3:12" x14ac:dyDescent="0.3">
      <c r="C217" s="232">
        <v>2</v>
      </c>
      <c r="D217" s="801" t="s">
        <v>7634</v>
      </c>
      <c r="E217" s="801"/>
      <c r="F217" s="801"/>
      <c r="G217" s="694">
        <v>800</v>
      </c>
      <c r="H217" s="694"/>
      <c r="I217" s="694"/>
      <c r="J217" s="146" t="s">
        <v>7632</v>
      </c>
      <c r="K217" s="17" t="str">
        <f t="shared" ref="K217:K230" si="7">IF(AND(D217&lt;&gt;"",G217&lt;&gt;"",J217&lt;&gt;""),
    template_label_ok,
    IF(AND(D217&lt;&gt;"",G217&lt;&gt;"",J217=""),
        template_label_missing_value,
        IF(AND(D217&lt;&gt;"",G217="",J217&lt;&gt;""),
            template_label_missing_value,
            IF(AND(D217&lt;&gt;"",G217="",J217=""),
                template_label_missing_value,
                IF(AND(D217="",G217="",J217=""),
                    "",
                    template_label_missing_value
                )
            )
        )
    )
)</f>
        <v>OK</v>
      </c>
    </row>
    <row r="218" spans="3:12" x14ac:dyDescent="0.3">
      <c r="C218" s="232">
        <v>3</v>
      </c>
      <c r="D218" s="801"/>
      <c r="E218" s="801"/>
      <c r="F218" s="801"/>
      <c r="G218" s="694"/>
      <c r="H218" s="694"/>
      <c r="I218" s="694"/>
      <c r="J218" s="146"/>
      <c r="K218" s="17" t="str">
        <f t="shared" si="7"/>
        <v/>
      </c>
      <c r="L218" t="str">
        <f>template_label_additional_rows_warning</f>
        <v>ℹ️  Lists can be expanded using the little [+] button on the left.  If the number of rows is not sufficient, those can be added by right clicking the second row and selecting "Insert row".</v>
      </c>
    </row>
    <row r="219" spans="3:12" hidden="1" outlineLevel="1" x14ac:dyDescent="0.3">
      <c r="C219" s="232">
        <v>4</v>
      </c>
      <c r="D219" s="801"/>
      <c r="E219" s="801"/>
      <c r="F219" s="801"/>
      <c r="G219" s="694"/>
      <c r="H219" s="694"/>
      <c r="I219" s="694"/>
      <c r="J219" s="146"/>
      <c r="K219" s="17" t="str">
        <f t="shared" si="7"/>
        <v/>
      </c>
    </row>
    <row r="220" spans="3:12" hidden="1" outlineLevel="1" x14ac:dyDescent="0.3">
      <c r="C220" s="232">
        <v>5</v>
      </c>
      <c r="D220" s="801"/>
      <c r="E220" s="801"/>
      <c r="F220" s="801"/>
      <c r="G220" s="694"/>
      <c r="H220" s="694"/>
      <c r="I220" s="694"/>
      <c r="J220" s="146"/>
      <c r="K220" s="17" t="str">
        <f t="shared" si="7"/>
        <v/>
      </c>
    </row>
    <row r="221" spans="3:12" hidden="1" outlineLevel="1" x14ac:dyDescent="0.3">
      <c r="C221" s="232">
        <v>6</v>
      </c>
      <c r="D221" s="714"/>
      <c r="E221" s="714"/>
      <c r="F221" s="714"/>
      <c r="G221" s="694"/>
      <c r="H221" s="694"/>
      <c r="I221" s="694"/>
      <c r="J221" s="146"/>
      <c r="K221" s="17" t="str">
        <f t="shared" si="7"/>
        <v/>
      </c>
    </row>
    <row r="222" spans="3:12" hidden="1" outlineLevel="1" x14ac:dyDescent="0.3">
      <c r="C222" s="232">
        <v>7</v>
      </c>
      <c r="D222" s="714"/>
      <c r="E222" s="714"/>
      <c r="F222" s="714"/>
      <c r="G222" s="694"/>
      <c r="H222" s="694"/>
      <c r="I222" s="694"/>
      <c r="J222" s="146"/>
      <c r="K222" s="17" t="str">
        <f t="shared" si="7"/>
        <v/>
      </c>
    </row>
    <row r="223" spans="3:12" hidden="1" outlineLevel="1" x14ac:dyDescent="0.3">
      <c r="C223" s="232">
        <v>8</v>
      </c>
      <c r="D223" s="714"/>
      <c r="E223" s="714"/>
      <c r="F223" s="714"/>
      <c r="G223" s="694"/>
      <c r="H223" s="694"/>
      <c r="I223" s="694"/>
      <c r="J223" s="146"/>
      <c r="K223" s="17" t="str">
        <f t="shared" si="7"/>
        <v/>
      </c>
    </row>
    <row r="224" spans="3:12" hidden="1" outlineLevel="1" x14ac:dyDescent="0.3">
      <c r="C224" s="232">
        <v>9</v>
      </c>
      <c r="D224" s="714"/>
      <c r="E224" s="714"/>
      <c r="F224" s="714"/>
      <c r="G224" s="694"/>
      <c r="H224" s="694"/>
      <c r="I224" s="694"/>
      <c r="J224" s="146"/>
      <c r="K224" s="17" t="str">
        <f t="shared" si="7"/>
        <v/>
      </c>
    </row>
    <row r="225" spans="1:12" hidden="1" outlineLevel="1" x14ac:dyDescent="0.3">
      <c r="C225" s="232">
        <v>10</v>
      </c>
      <c r="D225" s="714"/>
      <c r="E225" s="714"/>
      <c r="F225" s="714"/>
      <c r="G225" s="694"/>
      <c r="H225" s="694"/>
      <c r="I225" s="694"/>
      <c r="J225" s="146"/>
      <c r="K225" s="17" t="str">
        <f t="shared" si="7"/>
        <v/>
      </c>
    </row>
    <row r="226" spans="1:12" hidden="1" outlineLevel="1" x14ac:dyDescent="0.3">
      <c r="C226" s="232">
        <v>11</v>
      </c>
      <c r="D226" s="802"/>
      <c r="E226" s="803"/>
      <c r="F226" s="804"/>
      <c r="G226" s="707"/>
      <c r="H226" s="708"/>
      <c r="I226" s="709"/>
      <c r="J226" s="146"/>
      <c r="K226" s="17" t="str">
        <f t="shared" si="7"/>
        <v/>
      </c>
    </row>
    <row r="227" spans="1:12" hidden="1" outlineLevel="1" x14ac:dyDescent="0.3">
      <c r="C227" s="232">
        <v>12</v>
      </c>
      <c r="D227" s="802"/>
      <c r="E227" s="803"/>
      <c r="F227" s="804"/>
      <c r="G227" s="707"/>
      <c r="H227" s="708"/>
      <c r="I227" s="709"/>
      <c r="J227" s="146"/>
      <c r="K227" s="17" t="str">
        <f t="shared" si="7"/>
        <v/>
      </c>
    </row>
    <row r="228" spans="1:12" hidden="1" outlineLevel="1" x14ac:dyDescent="0.3">
      <c r="C228" s="232">
        <v>13</v>
      </c>
      <c r="D228" s="802"/>
      <c r="E228" s="803"/>
      <c r="F228" s="804"/>
      <c r="G228" s="914"/>
      <c r="H228" s="915"/>
      <c r="I228" s="916"/>
      <c r="J228" s="146"/>
      <c r="K228" s="17" t="str">
        <f t="shared" si="7"/>
        <v/>
      </c>
    </row>
    <row r="229" spans="1:12" hidden="1" outlineLevel="1" x14ac:dyDescent="0.3">
      <c r="C229" s="232">
        <v>14</v>
      </c>
      <c r="D229" s="802"/>
      <c r="E229" s="803"/>
      <c r="F229" s="804"/>
      <c r="G229" s="707"/>
      <c r="H229" s="708"/>
      <c r="I229" s="709"/>
      <c r="J229" s="146"/>
      <c r="K229" s="17" t="str">
        <f t="shared" si="7"/>
        <v/>
      </c>
    </row>
    <row r="230" spans="1:12" hidden="1" outlineLevel="1" x14ac:dyDescent="0.3">
      <c r="C230" s="232">
        <v>15</v>
      </c>
      <c r="D230" s="802"/>
      <c r="E230" s="803"/>
      <c r="F230" s="804"/>
      <c r="G230" s="707"/>
      <c r="H230" s="708"/>
      <c r="I230" s="709"/>
      <c r="J230" s="146"/>
      <c r="K230" s="17" t="str">
        <f t="shared" si="7"/>
        <v/>
      </c>
    </row>
    <row r="231" spans="1:12" collapsed="1" x14ac:dyDescent="0.3">
      <c r="C231" s="799" t="str">
        <f>template_label_total_annual_mass_flow_of_relevant_materials_used_mass</f>
        <v>Total annual mass-flow of relevant materials used (mass in kg)</v>
      </c>
      <c r="D231" s="800"/>
      <c r="E231" s="800"/>
      <c r="F231" s="800"/>
      <c r="G231" s="796">
        <f>IF(AND(G216="",G217="",J216="",J217="",G218="",J218=""),"-",(SUMIF($J$216:$J$225,"kilograms (kg)",$G$216:$G$225))+((SUMIF($J$216:$J$225,"metric tonnes (t)",$G$216:$G$225))*1000))</f>
        <v>1500</v>
      </c>
      <c r="H231" s="796"/>
      <c r="I231" s="796"/>
      <c r="J231" s="144" t="str">
        <f>template_label_kilograms</f>
        <v>kilograms (kg)</v>
      </c>
    </row>
    <row r="232" spans="1:12" ht="15" thickBot="1" x14ac:dyDescent="0.35">
      <c r="C232" s="797" t="str">
        <f>template_label_total_annual_mass_flow_of_relevant_materials_used_volume</f>
        <v>Total annual mass-flow of relevant materials used (volume in m³)</v>
      </c>
      <c r="D232" s="798"/>
      <c r="E232" s="798"/>
      <c r="F232" s="798"/>
      <c r="G232" s="697">
        <f>IF(AND(G216="",G217="",J216="",J217="",G218="",J218=""),"-",SUMIF(J216:J225, "cubic meters (m3)", G216:G225))</f>
        <v>800</v>
      </c>
      <c r="H232" s="697"/>
      <c r="I232" s="697"/>
      <c r="J232" s="142" t="str">
        <f>template_label_cubic_meters</f>
        <v>cubic meters (m³)</v>
      </c>
      <c r="K232" s="17"/>
    </row>
    <row r="233" spans="1:12" ht="15" thickBot="1" x14ac:dyDescent="0.35">
      <c r="D233" s="12"/>
      <c r="E233" s="12"/>
      <c r="F233" s="12"/>
      <c r="G233" s="12"/>
      <c r="H233" s="12"/>
      <c r="I233" s="12"/>
      <c r="J233" s="12"/>
    </row>
    <row r="234" spans="1:12" x14ac:dyDescent="0.3">
      <c r="C234" s="805" t="str">
        <f>template_label_c4_climate_risks&amp;" "&amp;template_label_from&amp;" "&amp;template_starting_date_display&amp;" "&amp;template_label_to&amp;" "&amp;template_ending_date_display&amp;" "&amp;template_label_if_applicable</f>
        <v>C4 – Climate risks from 2024-01-01 to 2024-12-31 [If applicable]</v>
      </c>
      <c r="D234" s="806"/>
      <c r="E234" s="806"/>
      <c r="F234" s="806"/>
      <c r="G234" s="806"/>
      <c r="H234" s="806"/>
      <c r="I234" s="806"/>
      <c r="J234" s="806"/>
      <c r="K234" s="807"/>
    </row>
    <row r="235" spans="1:12" ht="39.6" customHeight="1" x14ac:dyDescent="0.3">
      <c r="C235" s="656" t="str">
        <f>template_label_has_the_undertaking_identified_climate_related_hazards_and_climate_related_transition_events</f>
        <v>Has the undertaking identified climate-related hazards and climate-related transition events creating gross climate-related risks for the undertaking?</v>
      </c>
      <c r="D235" s="811"/>
      <c r="E235" s="812" t="b">
        <v>1</v>
      </c>
      <c r="F235" s="813"/>
      <c r="G235" s="813"/>
      <c r="H235" s="813"/>
      <c r="I235" s="813"/>
      <c r="J235" s="813"/>
      <c r="K235" s="814"/>
    </row>
    <row r="236" spans="1:12" x14ac:dyDescent="0.3">
      <c r="A236" s="462" t="s">
        <v>3751</v>
      </c>
      <c r="B236" s="462" t="s">
        <v>5658</v>
      </c>
      <c r="C236" s="624" t="str">
        <f>template_label_description_of_climate_related_hazards_and_climate_related_transition_events</f>
        <v>Description of climate-related hazards and climate-related transition events</v>
      </c>
      <c r="D236" s="624"/>
      <c r="E236" s="668" t="s">
        <v>7625</v>
      </c>
      <c r="F236" s="669"/>
      <c r="G236" s="669"/>
      <c r="H236" s="669"/>
      <c r="I236" s="669"/>
      <c r="J236" s="669"/>
      <c r="K236" s="670"/>
      <c r="L236" s="16" t="str">
        <f>IF(AND($E$235=TRUE,E236&lt;&gt;""),
    template_label_ok,
    IF(AND($E$235=TRUE,G236=""),
        template_label_missing_value,
        ""
    )
)</f>
        <v>OK</v>
      </c>
    </row>
    <row r="237" spans="1:12" x14ac:dyDescent="0.3">
      <c r="A237" s="462" t="s">
        <v>3752</v>
      </c>
      <c r="B237" s="462" t="s">
        <v>5658</v>
      </c>
      <c r="C237" s="624" t="str">
        <f>template_label_disclosure_of_how_it_has_assessed_the_exposure_and_sensitivity_of_its_assets</f>
        <v>Disclosure of how it has assessed the exposure and sensitivity of its assets activities and value chain to these hazards and transition events</v>
      </c>
      <c r="D237" s="624"/>
      <c r="E237" s="668" t="s">
        <v>7625</v>
      </c>
      <c r="F237" s="669"/>
      <c r="G237" s="669"/>
      <c r="H237" s="669"/>
      <c r="I237" s="669"/>
      <c r="J237" s="669"/>
      <c r="K237" s="670"/>
      <c r="L237" s="16" t="str">
        <f>IF(AND($E$235=TRUE,E237&lt;&gt;""),
    template_label_ok,
    IF(AND($E$235=TRUE,G237=""),
        template_label_missing_value,
        ""
    )
)</f>
        <v>OK</v>
      </c>
    </row>
    <row r="238" spans="1:12" x14ac:dyDescent="0.3">
      <c r="A238" s="462" t="s">
        <v>3753</v>
      </c>
      <c r="B238" s="462" t="s">
        <v>5658</v>
      </c>
      <c r="C238" s="624" t="str">
        <f>template_label_time_horizons_of_any_climate_related_hazards_and_transition_events_identified</f>
        <v>Time horizons of any climate-related hazards and transition events identified</v>
      </c>
      <c r="D238" s="624"/>
      <c r="E238" s="668" t="s">
        <v>7625</v>
      </c>
      <c r="F238" s="669"/>
      <c r="G238" s="669"/>
      <c r="H238" s="669"/>
      <c r="I238" s="669"/>
      <c r="J238" s="669"/>
      <c r="K238" s="670"/>
      <c r="L238" s="16" t="str">
        <f>IF(AND($E$235=TRUE,E238&lt;&gt;""),
    template_label_ok,
    IF(AND($E$235=TRUE,G238=""),
        template_label_missing_value,
        ""
    )
)</f>
        <v>OK</v>
      </c>
    </row>
    <row r="239" spans="1:12" ht="27" customHeight="1" x14ac:dyDescent="0.3">
      <c r="A239" s="462" t="s">
        <v>3754</v>
      </c>
      <c r="B239" s="462" t="s">
        <v>5658</v>
      </c>
      <c r="C239" s="624" t="str">
        <f>template_label_disclosure_of_whether_it_has_undertaken_climate_change_adaptation_actions</f>
        <v>Disclosure of whether it has undertaken climate change adaptation actions for any climate-related hazards and transition events</v>
      </c>
      <c r="D239" s="624"/>
      <c r="E239" s="808" t="s">
        <v>2907</v>
      </c>
      <c r="F239" s="809"/>
      <c r="G239" s="809"/>
      <c r="H239" s="809"/>
      <c r="I239" s="809"/>
      <c r="J239" s="809"/>
      <c r="K239" s="810"/>
      <c r="L239" s="16" t="str">
        <f>IF(AND($E$235=TRUE,E239&lt;&gt;""),
    template_label_ok,
    IF(AND($E$235=TRUE,G239=""),
        template_label_missing_value,
        ""
    )
)</f>
        <v>OK</v>
      </c>
    </row>
    <row r="240" spans="1:12" ht="29.4" customHeight="1" thickBot="1" x14ac:dyDescent="0.35">
      <c r="A240" s="462">
        <v>58</v>
      </c>
      <c r="B240" s="462" t="s">
        <v>5658</v>
      </c>
      <c r="C240" s="571"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240" s="571"/>
      <c r="E240" s="671"/>
      <c r="F240" s="672"/>
      <c r="G240" s="672"/>
      <c r="H240" s="672"/>
      <c r="I240" s="672"/>
      <c r="J240" s="672"/>
      <c r="K240" s="673"/>
      <c r="L240" s="16" t="str">
        <f>IF(AND($E$235=TRUE,E240&lt;&gt;""),
    template_label_ok,
    ""
)</f>
        <v/>
      </c>
    </row>
    <row r="241" spans="3:13" ht="15" thickBot="1" x14ac:dyDescent="0.35"/>
    <row r="242" spans="3:13" x14ac:dyDescent="0.3">
      <c r="C242" s="559"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2024-01-01 to 2024-12-31 [May (optional)]</v>
      </c>
      <c r="D242" s="560"/>
      <c r="E242" s="560"/>
      <c r="F242" s="560"/>
      <c r="G242" s="560"/>
      <c r="H242" s="560"/>
      <c r="I242" s="560"/>
      <c r="J242" s="560"/>
      <c r="K242" s="560"/>
      <c r="L242" s="561"/>
    </row>
    <row r="243" spans="3:13" x14ac:dyDescent="0.3">
      <c r="C243" s="535">
        <v>10</v>
      </c>
      <c r="D243" s="536"/>
      <c r="E243" s="536"/>
      <c r="F243" s="536"/>
      <c r="G243" s="536"/>
      <c r="H243" s="536"/>
      <c r="I243" s="536"/>
      <c r="J243" s="536"/>
      <c r="K243" s="536"/>
      <c r="L243" s="537"/>
      <c r="M243" s="8"/>
    </row>
    <row r="244" spans="3:13" ht="15" thickBot="1" x14ac:dyDescent="0.35">
      <c r="C244" s="553"/>
      <c r="D244" s="554"/>
      <c r="E244" s="554"/>
      <c r="F244" s="554"/>
      <c r="G244" s="554"/>
      <c r="H244" s="554"/>
      <c r="I244" s="554"/>
      <c r="J244" s="554"/>
      <c r="K244" s="554"/>
      <c r="L244" s="554"/>
      <c r="M244" s="105" t="str">
        <f>IF(C244&lt;&gt;"", template_label_ok, "")</f>
        <v/>
      </c>
    </row>
  </sheetData>
  <sheetProtection algorithmName="SHA-512" hashValue="kvNrhzFdpVwFRM0aPk/7CVxuVlsXlaN8smDwOo/fctdMxwi0QWPrGdGIgQ8cEQU/ibVlSjxzXkjnHVTqFfJ5Zw==" saltValue="AfPNIZGXu0TklPj6739U+Q==" spinCount="100000" sheet="1" formatColumns="0" formatRows="0" insertRows="0"/>
  <mergeCells count="407">
    <mergeCell ref="D226:F226"/>
    <mergeCell ref="G226:I226"/>
    <mergeCell ref="D227:F227"/>
    <mergeCell ref="C213:J213"/>
    <mergeCell ref="C211:J211"/>
    <mergeCell ref="C212:J212"/>
    <mergeCell ref="C214:F214"/>
    <mergeCell ref="G214:J214"/>
    <mergeCell ref="D215:F215"/>
    <mergeCell ref="D216:F216"/>
    <mergeCell ref="D217:F217"/>
    <mergeCell ref="D218:F218"/>
    <mergeCell ref="D220:F220"/>
    <mergeCell ref="G116:I116"/>
    <mergeCell ref="G124:K124"/>
    <mergeCell ref="G115:I115"/>
    <mergeCell ref="D133:F133"/>
    <mergeCell ref="D134:F134"/>
    <mergeCell ref="D143:F143"/>
    <mergeCell ref="D146:F146"/>
    <mergeCell ref="D197:F197"/>
    <mergeCell ref="D183:G183"/>
    <mergeCell ref="D207:F207"/>
    <mergeCell ref="D208:F208"/>
    <mergeCell ref="D195:F195"/>
    <mergeCell ref="D193:F193"/>
    <mergeCell ref="G190:I190"/>
    <mergeCell ref="G207:I207"/>
    <mergeCell ref="G132:I132"/>
    <mergeCell ref="J204:L204"/>
    <mergeCell ref="J205:L205"/>
    <mergeCell ref="J209:L209"/>
    <mergeCell ref="J208:L208"/>
    <mergeCell ref="G208:I208"/>
    <mergeCell ref="G209:I209"/>
    <mergeCell ref="G205:I205"/>
    <mergeCell ref="D148:F148"/>
    <mergeCell ref="D149:F149"/>
    <mergeCell ref="D160:F160"/>
    <mergeCell ref="G202:I202"/>
    <mergeCell ref="G206:I206"/>
    <mergeCell ref="G204:I204"/>
    <mergeCell ref="D205:F205"/>
    <mergeCell ref="D206:F206"/>
    <mergeCell ref="D202:F202"/>
    <mergeCell ref="D204:F204"/>
    <mergeCell ref="D201:F201"/>
    <mergeCell ref="G201:I201"/>
    <mergeCell ref="D162:F162"/>
    <mergeCell ref="D163:F163"/>
    <mergeCell ref="D164:F164"/>
    <mergeCell ref="E170:F170"/>
    <mergeCell ref="D209:F209"/>
    <mergeCell ref="D198:F198"/>
    <mergeCell ref="D199:F199"/>
    <mergeCell ref="G191:I191"/>
    <mergeCell ref="G109:I109"/>
    <mergeCell ref="G117:I117"/>
    <mergeCell ref="G150:I150"/>
    <mergeCell ref="G151:I151"/>
    <mergeCell ref="G145:I145"/>
    <mergeCell ref="G146:I146"/>
    <mergeCell ref="G194:I194"/>
    <mergeCell ref="G195:I195"/>
    <mergeCell ref="G196:I196"/>
    <mergeCell ref="G161:G164"/>
    <mergeCell ref="G152:I152"/>
    <mergeCell ref="G192:I192"/>
    <mergeCell ref="G193:I193"/>
    <mergeCell ref="C179:G179"/>
    <mergeCell ref="C180:G180"/>
    <mergeCell ref="C181:G181"/>
    <mergeCell ref="C167:D167"/>
    <mergeCell ref="C168:D168"/>
    <mergeCell ref="C173:D173"/>
    <mergeCell ref="C166:D166"/>
    <mergeCell ref="H182:I182"/>
    <mergeCell ref="C172:D172"/>
    <mergeCell ref="C174:D174"/>
    <mergeCell ref="E176:F176"/>
    <mergeCell ref="C185:L185"/>
    <mergeCell ref="E169:F169"/>
    <mergeCell ref="D88:F88"/>
    <mergeCell ref="D89:F89"/>
    <mergeCell ref="D196:F196"/>
    <mergeCell ref="D194:F194"/>
    <mergeCell ref="H183:I183"/>
    <mergeCell ref="D144:F144"/>
    <mergeCell ref="D145:F145"/>
    <mergeCell ref="D147:F147"/>
    <mergeCell ref="D105:F105"/>
    <mergeCell ref="G99:I99"/>
    <mergeCell ref="C186:L186"/>
    <mergeCell ref="C187:L187"/>
    <mergeCell ref="D182:G182"/>
    <mergeCell ref="D161:F161"/>
    <mergeCell ref="C157:F157"/>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5:I25"/>
    <mergeCell ref="G26:I26"/>
    <mergeCell ref="G101:I101"/>
    <mergeCell ref="G102:I102"/>
    <mergeCell ref="G103:I103"/>
    <mergeCell ref="D35:F35"/>
    <mergeCell ref="D40:F40"/>
    <mergeCell ref="D41:F41"/>
    <mergeCell ref="G28:I28"/>
    <mergeCell ref="G40:I40"/>
    <mergeCell ref="G41:I41"/>
    <mergeCell ref="J206:L206"/>
    <mergeCell ref="J207:L207"/>
    <mergeCell ref="C204:C209"/>
    <mergeCell ref="D127:F127"/>
    <mergeCell ref="G119:I119"/>
    <mergeCell ref="G110:I110"/>
    <mergeCell ref="G111:I111"/>
    <mergeCell ref="G112:I112"/>
    <mergeCell ref="G113:I113"/>
    <mergeCell ref="G114:I114"/>
    <mergeCell ref="G106:I106"/>
    <mergeCell ref="G107:I107"/>
    <mergeCell ref="G105:I105"/>
    <mergeCell ref="C126:K126"/>
    <mergeCell ref="D102:F102"/>
    <mergeCell ref="D103:F103"/>
    <mergeCell ref="D104:F104"/>
    <mergeCell ref="D200:F20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46:I46"/>
    <mergeCell ref="C72:K72"/>
    <mergeCell ref="C73:K73"/>
    <mergeCell ref="D47:F47"/>
    <mergeCell ref="G47:I47"/>
    <mergeCell ref="C67:F67"/>
    <mergeCell ref="G67:K67"/>
    <mergeCell ref="D62:K62"/>
    <mergeCell ref="C66:F66"/>
    <mergeCell ref="D56:K56"/>
    <mergeCell ref="G74:K74"/>
    <mergeCell ref="G85:I85"/>
    <mergeCell ref="D42:F42"/>
    <mergeCell ref="G42:I42"/>
    <mergeCell ref="G43:I43"/>
    <mergeCell ref="G20:I20"/>
    <mergeCell ref="G21:I21"/>
    <mergeCell ref="G22:I22"/>
    <mergeCell ref="G23:I23"/>
    <mergeCell ref="G27:J27"/>
    <mergeCell ref="G24:I24"/>
    <mergeCell ref="G29:K29"/>
    <mergeCell ref="D44:F44"/>
    <mergeCell ref="D24:F24"/>
    <mergeCell ref="D28:F28"/>
    <mergeCell ref="D45:F45"/>
    <mergeCell ref="D25:F25"/>
    <mergeCell ref="D26:F26"/>
    <mergeCell ref="C27:F27"/>
    <mergeCell ref="D43:F43"/>
    <mergeCell ref="D34:F34"/>
    <mergeCell ref="G86:I86"/>
    <mergeCell ref="D83:F83"/>
    <mergeCell ref="D84:F84"/>
    <mergeCell ref="D85:F85"/>
    <mergeCell ref="D86:F86"/>
    <mergeCell ref="G69:K69"/>
    <mergeCell ref="G76:K76"/>
    <mergeCell ref="C74:F74"/>
    <mergeCell ref="G87:I87"/>
    <mergeCell ref="D87:F87"/>
    <mergeCell ref="C77:K77"/>
    <mergeCell ref="C78:K78"/>
    <mergeCell ref="C75:F75"/>
    <mergeCell ref="G88:I88"/>
    <mergeCell ref="G89:I89"/>
    <mergeCell ref="G100:I100"/>
    <mergeCell ref="D96:F96"/>
    <mergeCell ref="D135:F135"/>
    <mergeCell ref="C122:K122"/>
    <mergeCell ref="C125:K125"/>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24:F124"/>
    <mergeCell ref="D92:F92"/>
    <mergeCell ref="D219:F219"/>
    <mergeCell ref="D229:F229"/>
    <mergeCell ref="D230:F230"/>
    <mergeCell ref="G227:I227"/>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243:L243"/>
    <mergeCell ref="G229:I229"/>
    <mergeCell ref="G230:I230"/>
    <mergeCell ref="G228:I228"/>
    <mergeCell ref="D228:F228"/>
    <mergeCell ref="D113:F113"/>
    <mergeCell ref="D112:F112"/>
    <mergeCell ref="D111:F111"/>
    <mergeCell ref="D100:F100"/>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106:F106"/>
    <mergeCell ref="D107:F107"/>
    <mergeCell ref="D108:F108"/>
    <mergeCell ref="D109:F109"/>
    <mergeCell ref="D93:F93"/>
    <mergeCell ref="D101:F101"/>
    <mergeCell ref="D98:F98"/>
    <mergeCell ref="D94:F94"/>
    <mergeCell ref="D95:F95"/>
    <mergeCell ref="D153:F153"/>
    <mergeCell ref="C156:F156"/>
    <mergeCell ref="G97:I97"/>
    <mergeCell ref="G98:I98"/>
    <mergeCell ref="C158:F158"/>
    <mergeCell ref="C159:F159"/>
    <mergeCell ref="G147:I147"/>
    <mergeCell ref="G148:I148"/>
    <mergeCell ref="G149:I149"/>
    <mergeCell ref="D136:F136"/>
    <mergeCell ref="D139:F139"/>
    <mergeCell ref="D140:F140"/>
    <mergeCell ref="D141:F141"/>
    <mergeCell ref="D142:F142"/>
    <mergeCell ref="G137:I137"/>
    <mergeCell ref="G138:I138"/>
    <mergeCell ref="G139:I139"/>
    <mergeCell ref="G140:I140"/>
    <mergeCell ref="G141:I141"/>
    <mergeCell ref="G143:I143"/>
    <mergeCell ref="G144:I144"/>
    <mergeCell ref="G104:I104"/>
    <mergeCell ref="D128:F128"/>
    <mergeCell ref="D129:F129"/>
    <mergeCell ref="D91:F91"/>
    <mergeCell ref="C155:F155"/>
    <mergeCell ref="G142:I142"/>
    <mergeCell ref="C11:F11"/>
    <mergeCell ref="D90:F90"/>
    <mergeCell ref="D99:F99"/>
    <mergeCell ref="D118:F11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30:F130"/>
    <mergeCell ref="G153:I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s>
  <phoneticPr fontId="3" type="noConversion"/>
  <conditionalFormatting sqref="C52:K52">
    <cfRule type="expression" dxfId="249" priority="161">
      <formula>$J$19=TRUE</formula>
    </cfRule>
  </conditionalFormatting>
  <conditionalFormatting sqref="C78:K78">
    <cfRule type="expression" dxfId="248" priority="146">
      <formula>$G$75=TRUE</formula>
    </cfRule>
    <cfRule type="expression" dxfId="247" priority="158">
      <formula>$G$74=TRUE</formula>
    </cfRule>
    <cfRule type="expression" dxfId="246" priority="168">
      <formula>$G$75=TRUE</formula>
    </cfRule>
  </conditionalFormatting>
  <conditionalFormatting sqref="C126:K126 G129:I152 J129:K153 G153">
    <cfRule type="expression" dxfId="245" priority="156">
      <formula>$G$124=TRUE</formula>
    </cfRule>
  </conditionalFormatting>
  <conditionalFormatting sqref="D58">
    <cfRule type="expression" dxfId="244" priority="182">
      <formula>AND($D$56=TRUE,$D$57="A transition plan has already been adopted")</formula>
    </cfRule>
  </conditionalFormatting>
  <conditionalFormatting sqref="D176">
    <cfRule type="expression" dxfId="243" priority="153">
      <formula>$D$175=TRUE</formula>
    </cfRule>
  </conditionalFormatting>
  <conditionalFormatting sqref="D30:F44">
    <cfRule type="expression" dxfId="242" priority="31">
      <formula>$G$29=TRUE</formula>
    </cfRule>
  </conditionalFormatting>
  <conditionalFormatting sqref="D45:F47">
    <cfRule type="expression" dxfId="241" priority="29">
      <formula>$G$29=FALSE</formula>
    </cfRule>
  </conditionalFormatting>
  <conditionalFormatting sqref="D80:F119">
    <cfRule type="expression" dxfId="240" priority="20">
      <formula>$G$75=TRUE</formula>
    </cfRule>
    <cfRule type="expression" dxfId="239" priority="19">
      <formula>$G$74=TRUE</formula>
    </cfRule>
  </conditionalFormatting>
  <conditionalFormatting sqref="D128:F128">
    <cfRule type="expression" dxfId="238" priority="25">
      <formula>$D$128="VALUE INCONSISTENCY"</formula>
    </cfRule>
  </conditionalFormatting>
  <conditionalFormatting sqref="D129:F153">
    <cfRule type="expression" dxfId="237" priority="80">
      <formula>$D129="VALUE INCONSISTENCY"</formula>
    </cfRule>
  </conditionalFormatting>
  <conditionalFormatting sqref="D183:G183">
    <cfRule type="expression" dxfId="236" priority="190">
      <formula>$D$182="YES"</formula>
    </cfRule>
  </conditionalFormatting>
  <conditionalFormatting sqref="D80:I80 G81:I82 D81:F119">
    <cfRule type="expression" dxfId="235" priority="17">
      <formula>$G$75=TRUE</formula>
    </cfRule>
  </conditionalFormatting>
  <conditionalFormatting sqref="D216:J225 D226:D230 J226:J230 G229:J229 G230">
    <cfRule type="expression" dxfId="234" priority="8">
      <formula>$G$214=TRUE</formula>
    </cfRule>
  </conditionalFormatting>
  <conditionalFormatting sqref="D57:K57">
    <cfRule type="expression" dxfId="233" priority="3">
      <formula>$D$56=FALSE</formula>
    </cfRule>
  </conditionalFormatting>
  <conditionalFormatting sqref="D59:K62">
    <cfRule type="expression" dxfId="232" priority="4">
      <formula>$D$57=""</formula>
    </cfRule>
    <cfRule type="expression" dxfId="231" priority="5">
      <formula>$D$57="A transition plan has already been adopted"</formula>
    </cfRule>
  </conditionalFormatting>
  <conditionalFormatting sqref="E169:E170">
    <cfRule type="expression" dxfId="230" priority="221">
      <formula>$E169=template_label_missing_value</formula>
    </cfRule>
    <cfRule type="expression" dxfId="229" priority="220">
      <formula>$E169=template_label_ok</formula>
    </cfRule>
  </conditionalFormatting>
  <conditionalFormatting sqref="E176">
    <cfRule type="expression" dxfId="228" priority="196">
      <formula>$E$176=template_label_missing_value</formula>
    </cfRule>
    <cfRule type="expression" dxfId="227" priority="197">
      <formula>$E$176=template_label_ok</formula>
    </cfRule>
  </conditionalFormatting>
  <conditionalFormatting sqref="E236:K240">
    <cfRule type="expression" dxfId="226" priority="149">
      <formula>$E$235=TRUE</formula>
    </cfRule>
  </conditionalFormatting>
  <conditionalFormatting sqref="G76">
    <cfRule type="expression" dxfId="225" priority="173">
      <formula>$G$75=TRUE</formula>
    </cfRule>
  </conditionalFormatting>
  <conditionalFormatting sqref="G159:G161">
    <cfRule type="expression" dxfId="224" priority="143">
      <formula>$G159=template_label_missing_value</formula>
    </cfRule>
    <cfRule type="expression" dxfId="223" priority="144">
      <formula>$G159=template_label_ok</formula>
    </cfRule>
    <cfRule type="expression" dxfId="222" priority="23">
      <formula>$G159=template_label_value_inconsistency</formula>
    </cfRule>
  </conditionalFormatting>
  <conditionalFormatting sqref="G226:G227">
    <cfRule type="expression" dxfId="221" priority="151">
      <formula>$G$214=TRUE</formula>
    </cfRule>
  </conditionalFormatting>
  <conditionalFormatting sqref="G80:I82">
    <cfRule type="expression" dxfId="220" priority="16">
      <formula>$G$74=TRUE</formula>
    </cfRule>
  </conditionalFormatting>
  <conditionalFormatting sqref="G228:I228">
    <cfRule type="expression" dxfId="219" priority="26">
      <formula>$G$214=TRUE</formula>
    </cfRule>
  </conditionalFormatting>
  <conditionalFormatting sqref="G12:J13">
    <cfRule type="expression" dxfId="218" priority="165">
      <formula>$G$10=TRUE</formula>
    </cfRule>
  </conditionalFormatting>
  <conditionalFormatting sqref="G14:J14">
    <cfRule type="expression" dxfId="217" priority="34">
      <formula>$G$10=FALSE</formula>
    </cfRule>
  </conditionalFormatting>
  <conditionalFormatting sqref="G21:J24">
    <cfRule type="expression" dxfId="216" priority="164">
      <formula>$J$19=TRUE</formula>
    </cfRule>
  </conditionalFormatting>
  <conditionalFormatting sqref="G30:J44">
    <cfRule type="expression" dxfId="215" priority="30">
      <formula>AND($G$29=TRUE,$J$19=TRUE)</formula>
    </cfRule>
  </conditionalFormatting>
  <conditionalFormatting sqref="G45:J47">
    <cfRule type="expression" dxfId="214" priority="28">
      <formula>OR($J$19=FALSE,$G$29=FALSE)</formula>
    </cfRule>
  </conditionalFormatting>
  <conditionalFormatting sqref="G80:J82">
    <cfRule type="expression" dxfId="213" priority="14">
      <formula>$G$75=TRUE</formula>
    </cfRule>
  </conditionalFormatting>
  <conditionalFormatting sqref="G10:K10">
    <cfRule type="expression" dxfId="212" priority="166">
      <formula>$D$105="YES"</formula>
    </cfRule>
  </conditionalFormatting>
  <conditionalFormatting sqref="G68:K69">
    <cfRule type="expression" dxfId="211" priority="93">
      <formula>$G$29=FALSE</formula>
    </cfRule>
  </conditionalFormatting>
  <conditionalFormatting sqref="G75:K75">
    <cfRule type="expression" dxfId="210" priority="159">
      <formula>$G$74=TRUE</formula>
    </cfRule>
  </conditionalFormatting>
  <conditionalFormatting sqref="G83:K119">
    <cfRule type="expression" dxfId="209" priority="172">
      <formula>$G$75=TRUE</formula>
    </cfRule>
    <cfRule type="expression" dxfId="208" priority="160">
      <formula>$G$74=TRUE</formula>
    </cfRule>
    <cfRule type="expression" dxfId="207" priority="157">
      <formula>$G$75=TRUE</formula>
    </cfRule>
  </conditionalFormatting>
  <conditionalFormatting sqref="G128:K128">
    <cfRule type="expression" dxfId="206" priority="155">
      <formula>$G$124=TRUE</formula>
    </cfRule>
  </conditionalFormatting>
  <conditionalFormatting sqref="H182">
    <cfRule type="expression" dxfId="205" priority="192">
      <formula>$H$182=template_label_missing_value</formula>
    </cfRule>
    <cfRule type="expression" dxfId="204" priority="191">
      <formula>$H$182=template_label_ok</formula>
    </cfRule>
  </conditionalFormatting>
  <conditionalFormatting sqref="H183">
    <cfRule type="expression" dxfId="203" priority="189">
      <formula>$H$183=template_label_ok</formula>
    </cfRule>
    <cfRule type="expression" dxfId="202" priority="188">
      <formula>$H$183=template_label_missing_value</formula>
    </cfRule>
    <cfRule type="expression" dxfId="201" priority="1">
      <formula>$H$183=template_label_value_inconsistency</formula>
    </cfRule>
  </conditionalFormatting>
  <conditionalFormatting sqref="J80:J82">
    <cfRule type="expression" dxfId="200" priority="13">
      <formula>$G$74=TRUE</formula>
    </cfRule>
  </conditionalFormatting>
  <conditionalFormatting sqref="J80:K82">
    <cfRule type="expression" dxfId="199" priority="11">
      <formula>$G$75=TRUE</formula>
    </cfRule>
  </conditionalFormatting>
  <conditionalFormatting sqref="K30:K44">
    <cfRule type="expression" dxfId="198" priority="2">
      <formula>AND($G30&lt;&gt;"", $J30&lt;&gt;"")</formula>
    </cfRule>
  </conditionalFormatting>
  <conditionalFormatting sqref="K30:K47">
    <cfRule type="expression" dxfId="197" priority="27">
      <formula>OR($J$19=FALSE,$G$29=FALSE)</formula>
    </cfRule>
  </conditionalFormatting>
  <conditionalFormatting sqref="K80:K82">
    <cfRule type="expression" dxfId="196" priority="10">
      <formula>$G$74=TRUE</formula>
    </cfRule>
    <cfRule type="expression" dxfId="195" priority="9">
      <formula>$G$75=TRUE</formula>
    </cfRule>
  </conditionalFormatting>
  <conditionalFormatting sqref="K159:K160">
    <cfRule type="expression" dxfId="194" priority="231">
      <formula>$K$159="OK"</formula>
    </cfRule>
    <cfRule type="expression" dxfId="193" priority="237">
      <formula>$K$159="MISSING VALUE"</formula>
    </cfRule>
  </conditionalFormatting>
  <conditionalFormatting sqref="K161:K164 K166 K232">
    <cfRule type="expression" dxfId="192" priority="223">
      <formula>$K161="OK"</formula>
    </cfRule>
    <cfRule type="expression" dxfId="191" priority="222">
      <formula>$K161="MISSING VALUE"</formula>
    </cfRule>
  </conditionalFormatting>
  <conditionalFormatting sqref="K216:K230">
    <cfRule type="expression" dxfId="190" priority="235">
      <formula>$K216=template_label_missing_value</formula>
    </cfRule>
    <cfRule type="expression" dxfId="189" priority="236">
      <formula>$K216=template_label_ok</formula>
    </cfRule>
  </conditionalFormatting>
  <conditionalFormatting sqref="L5">
    <cfRule type="expression" dxfId="188" priority="195">
      <formula>$L$5=template_label_missing_value</formula>
    </cfRule>
    <cfRule type="expression" dxfId="187" priority="193">
      <formula>$L$5= template_label_ok</formula>
    </cfRule>
  </conditionalFormatting>
  <conditionalFormatting sqref="L12">
    <cfRule type="expression" dxfId="186" priority="24">
      <formula>$L$12=template_label_value_inconsistency</formula>
    </cfRule>
    <cfRule type="expression" dxfId="185" priority="148">
      <formula>$L$12=template_label_missing_value</formula>
    </cfRule>
    <cfRule type="expression" dxfId="184" priority="218">
      <formula>$L12=template_label_ok</formula>
    </cfRule>
  </conditionalFormatting>
  <conditionalFormatting sqref="L21">
    <cfRule type="expression" dxfId="183" priority="201">
      <formula>$L$21=template_label_ok</formula>
    </cfRule>
    <cfRule type="expression" dxfId="182" priority="200">
      <formula>$L$21=template_label_missing_value</formula>
    </cfRule>
  </conditionalFormatting>
  <conditionalFormatting sqref="L22">
    <cfRule type="expression" dxfId="181" priority="211">
      <formula>$L$22=template_label_ok</formula>
    </cfRule>
  </conditionalFormatting>
  <conditionalFormatting sqref="L22:L24">
    <cfRule type="expression" dxfId="180" priority="205">
      <formula>$L22=template_label_missing_value</formula>
    </cfRule>
  </conditionalFormatting>
  <conditionalFormatting sqref="L23:L24">
    <cfRule type="expression" dxfId="179" priority="206">
      <formula>$L23=template_label_ok</formula>
    </cfRule>
  </conditionalFormatting>
  <conditionalFormatting sqref="L30:L44">
    <cfRule type="expression" dxfId="178" priority="32">
      <formula>$L$30=template_label_ok</formula>
    </cfRule>
    <cfRule type="expression" dxfId="177" priority="33">
      <formula>$L$30=template_label_missing_value</formula>
    </cfRule>
  </conditionalFormatting>
  <conditionalFormatting sqref="L45">
    <cfRule type="expression" dxfId="176" priority="383">
      <formula>$L$45="MISSING VALUE"</formula>
    </cfRule>
    <cfRule type="expression" dxfId="175" priority="384">
      <formula>$L$45="OK"</formula>
    </cfRule>
  </conditionalFormatting>
  <conditionalFormatting sqref="L52">
    <cfRule type="expression" dxfId="174" priority="147">
      <formula>$L$52=template_label_missing_value</formula>
    </cfRule>
    <cfRule type="expression" dxfId="173" priority="234">
      <formula>$L$52=template_label_ok</formula>
    </cfRule>
  </conditionalFormatting>
  <conditionalFormatting sqref="L56:L59 L62">
    <cfRule type="expression" dxfId="172" priority="176">
      <formula>$L56=template_label_error</formula>
    </cfRule>
    <cfRule type="expression" dxfId="171" priority="179">
      <formula>$L56=template_label_missing_value</formula>
    </cfRule>
    <cfRule type="expression" dxfId="170" priority="180">
      <formula>$L56=template_label_ok</formula>
    </cfRule>
  </conditionalFormatting>
  <conditionalFormatting sqref="L62">
    <cfRule type="expression" dxfId="169" priority="232">
      <formula>$L$62="OK"</formula>
    </cfRule>
  </conditionalFormatting>
  <conditionalFormatting sqref="L74:L75">
    <cfRule type="expression" dxfId="168" priority="170">
      <formula>$L74=template_label_value_inconsistency</formula>
    </cfRule>
  </conditionalFormatting>
  <conditionalFormatting sqref="L74:L76">
    <cfRule type="expression" dxfId="167" priority="171">
      <formula>$L74=template_label_ok</formula>
    </cfRule>
  </conditionalFormatting>
  <conditionalFormatting sqref="L76">
    <cfRule type="expression" dxfId="166" priority="7">
      <formula>$L$76=template_label_invalid_url</formula>
    </cfRule>
    <cfRule type="expression" dxfId="165" priority="169">
      <formula>$L$76=template_label_missing_value</formula>
    </cfRule>
  </conditionalFormatting>
  <conditionalFormatting sqref="L78">
    <cfRule type="expression" dxfId="164" priority="177">
      <formula>$L$78=template_label_ok</formula>
    </cfRule>
    <cfRule type="expression" dxfId="163" priority="178">
      <formula>$L$78=template_label_missing_value</formula>
    </cfRule>
    <cfRule type="expression" dxfId="162" priority="6">
      <formula>$L$78=template_label_value_inconsistency</formula>
    </cfRule>
  </conditionalFormatting>
  <conditionalFormatting sqref="L80:L119">
    <cfRule type="expression" dxfId="161" priority="174">
      <formula>$L80=template_label_missing_value</formula>
    </cfRule>
    <cfRule type="expression" dxfId="160" priority="175">
      <formula>$L80=template_label_ok</formula>
    </cfRule>
    <cfRule type="expression" dxfId="159" priority="22">
      <formula>$L80=template_label_value_inconsistency</formula>
    </cfRule>
  </conditionalFormatting>
  <conditionalFormatting sqref="L126">
    <cfRule type="expression" dxfId="158" priority="185">
      <formula>$L$126=template_label_ok</formula>
    </cfRule>
    <cfRule type="expression" dxfId="157" priority="186">
      <formula>$L$126=template_label_missing_value</formula>
    </cfRule>
  </conditionalFormatting>
  <conditionalFormatting sqref="L128">
    <cfRule type="expression" dxfId="156" priority="84">
      <formula>$D$128=template_label_value_inconsistency</formula>
    </cfRule>
  </conditionalFormatting>
  <conditionalFormatting sqref="L128:L153">
    <cfRule type="expression" dxfId="155" priority="238">
      <formula>$L128=template_label_missing_value</formula>
    </cfRule>
    <cfRule type="expression" dxfId="154" priority="239">
      <formula>$L128=template_label_ok</formula>
    </cfRule>
    <cfRule type="expression" dxfId="153" priority="187">
      <formula>$L128=template_label_value_inconcistency</formula>
    </cfRule>
  </conditionalFormatting>
  <conditionalFormatting sqref="L129:L153">
    <cfRule type="expression" dxfId="152" priority="83">
      <formula>$D$129=template_label_value_inconsistency</formula>
    </cfRule>
  </conditionalFormatting>
  <conditionalFormatting sqref="L130">
    <cfRule type="expression" dxfId="151" priority="82">
      <formula>$D$130=template_label_value_inconsistency</formula>
    </cfRule>
  </conditionalFormatting>
  <conditionalFormatting sqref="L131">
    <cfRule type="expression" dxfId="150" priority="85">
      <formula>$D$131=template_label_value_inconsistency</formula>
    </cfRule>
  </conditionalFormatting>
  <conditionalFormatting sqref="L132">
    <cfRule type="expression" dxfId="149" priority="81">
      <formula>$D$132=template_label_value_inconsistency</formula>
    </cfRule>
  </conditionalFormatting>
  <conditionalFormatting sqref="L133">
    <cfRule type="expression" dxfId="148" priority="56">
      <formula>$D$133=template_label_value_inconsistency</formula>
    </cfRule>
  </conditionalFormatting>
  <conditionalFormatting sqref="L134">
    <cfRule type="expression" dxfId="147" priority="55">
      <formula>$D$134=template_label_value_inconsistency</formula>
    </cfRule>
  </conditionalFormatting>
  <conditionalFormatting sqref="L135">
    <cfRule type="expression" dxfId="146" priority="54">
      <formula>$D$135=template_label_value_inconsistency</formula>
    </cfRule>
  </conditionalFormatting>
  <conditionalFormatting sqref="L136">
    <cfRule type="expression" dxfId="145" priority="53">
      <formula>$D$136=template_label_value_inconsistency</formula>
    </cfRule>
  </conditionalFormatting>
  <conditionalFormatting sqref="L137">
    <cfRule type="expression" dxfId="144" priority="52">
      <formula>$D$137=template_label_value_inconsistency</formula>
    </cfRule>
  </conditionalFormatting>
  <conditionalFormatting sqref="L138">
    <cfRule type="expression" dxfId="143" priority="51">
      <formula>$D$138=template_label_value_inconsistency</formula>
    </cfRule>
  </conditionalFormatting>
  <conditionalFormatting sqref="L139">
    <cfRule type="expression" dxfId="142" priority="50">
      <formula>$D$139=template_label_value_inconsistency</formula>
    </cfRule>
  </conditionalFormatting>
  <conditionalFormatting sqref="L140">
    <cfRule type="expression" dxfId="141" priority="49">
      <formula>$D$140=template_label_value_inconsistency</formula>
    </cfRule>
  </conditionalFormatting>
  <conditionalFormatting sqref="L141">
    <cfRule type="expression" dxfId="140" priority="48">
      <formula>$D$141=template_label_value_inconsistency</formula>
    </cfRule>
  </conditionalFormatting>
  <conditionalFormatting sqref="L142">
    <cfRule type="expression" dxfId="139" priority="47">
      <formula>$D$142=template_label_value_inconsistency</formula>
    </cfRule>
  </conditionalFormatting>
  <conditionalFormatting sqref="L143">
    <cfRule type="expression" dxfId="138" priority="46">
      <formula>$D$143=template_label_value_inconsistency</formula>
    </cfRule>
  </conditionalFormatting>
  <conditionalFormatting sqref="L144">
    <cfRule type="expression" dxfId="137" priority="45">
      <formula>$D$144=template_label_value_inconsistency</formula>
    </cfRule>
  </conditionalFormatting>
  <conditionalFormatting sqref="L145">
    <cfRule type="expression" dxfId="136" priority="44">
      <formula>$D$145=template_label_value_inconsistency</formula>
    </cfRule>
  </conditionalFormatting>
  <conditionalFormatting sqref="L146">
    <cfRule type="expression" dxfId="135" priority="43">
      <formula>$D$146=template_label_value_inconsistency</formula>
    </cfRule>
  </conditionalFormatting>
  <conditionalFormatting sqref="L147:L148">
    <cfRule type="expression" dxfId="134" priority="41">
      <formula>$D$147=template_label_value_inconsistency</formula>
    </cfRule>
  </conditionalFormatting>
  <conditionalFormatting sqref="L149">
    <cfRule type="expression" dxfId="133" priority="40">
      <formula>$D$149=template_label_value_inconsistency</formula>
    </cfRule>
  </conditionalFormatting>
  <conditionalFormatting sqref="L150">
    <cfRule type="expression" dxfId="132" priority="39">
      <formula>$D$150=template_label_value_inconsistency</formula>
    </cfRule>
  </conditionalFormatting>
  <conditionalFormatting sqref="L151">
    <cfRule type="expression" dxfId="131" priority="38">
      <formula>$D$151=template_label_value_inconsistency</formula>
    </cfRule>
  </conditionalFormatting>
  <conditionalFormatting sqref="L152">
    <cfRule type="expression" dxfId="130" priority="37">
      <formula>$D$152=template_label_value_inconsistency</formula>
    </cfRule>
  </conditionalFormatting>
  <conditionalFormatting sqref="L153">
    <cfRule type="expression" dxfId="129" priority="36">
      <formula>$D$153=template_label_value_inconsistency</formula>
    </cfRule>
  </conditionalFormatting>
  <conditionalFormatting sqref="L236:L240">
    <cfRule type="expression" dxfId="128" priority="145">
      <formula>$L236=template_label_missing_value</formula>
    </cfRule>
    <cfRule type="expression" dxfId="127" priority="229">
      <formula>$L236=template_label_ok</formula>
    </cfRule>
  </conditionalFormatting>
  <conditionalFormatting sqref="M189:M204">
    <cfRule type="expression" dxfId="126" priority="380">
      <formula>$M189=template_label_error</formula>
    </cfRule>
    <cfRule type="expression" dxfId="125" priority="381">
      <formula>$M189=template_label_missing_value</formula>
    </cfRule>
    <cfRule type="expression" dxfId="124" priority="382">
      <formula>$M189=template_label_ok</formula>
    </cfRule>
    <cfRule type="expression" dxfId="123" priority="21">
      <formula>$M189=template_label_value_inconsistency</formula>
    </cfRule>
  </conditionalFormatting>
  <conditionalFormatting sqref="M244">
    <cfRule type="expression" dxfId="122" priority="228">
      <formula>$M$244=template_label_ok</formula>
    </cfRule>
  </conditionalFormatting>
  <dataValidations count="46">
    <dataValidation type="list" allowBlank="1" showInputMessage="1" showErrorMessage="1" sqref="C126:K126 C159" xr:uid="{BB6E8662-F11B-4AE9-87E6-9BE13D672F35}">
      <formula1>enum_ListHectM2</formula1>
    </dataValidation>
    <dataValidation type="decimal" operator="equal" allowBlank="1" showInputMessage="1" showErrorMessage="1" sqref="G12:J13 C171:F171 G129:I153 D161:D164 G81:G119 H216:I225 G216:G227 G229:G230 H229:I229 J80:K119 G228:I228 D22:F22 D30:F44 G80:I80 D23:I24 J189:K203" xr:uid="{B2E4A370-DB82-466E-876C-1893EAE8311C}">
      <formula1>C12</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type="list" allowBlank="1" showInputMessage="1" showErrorMessage="1" sqref="D182:G182 E239:K239"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sqref="D189:F203" xr:uid="{86ED8F12-3B15-41F8-A482-BBF69AEAD6D3}">
      <formula1>enum_ListTypeOfWastes</formula1>
    </dataValidation>
    <dataValidation type="list" allowBlank="1" showInputMessage="1" showErrorMessage="1" sqref="G189:I203 J216:J230"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218:F218" xr:uid="{AEF9E320-326D-4C50-A483-ABF8EA93704A}"/>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display="138-141" xr:uid="{DE71F164-3008-4FB9-8EB2-54AB4ECA1636}"/>
    <hyperlink ref="C181" r:id="rId16" location="id-290" display="https://xbrl.efrag.org/e-esrs/2024-12-17-efrag-vsme.xhtml - id-290" xr:uid="{4787EE6B-65DD-4D37-9003-F57D95D7C3E3}"/>
    <hyperlink ref="C187" r:id="rId17" location="id-291" display="160-172" xr:uid="{303B2981-FEC6-4744-9300-EA413929D31B}"/>
    <hyperlink ref="A236" r:id="rId18" xr:uid="{CE1E6101-0E49-497A-B96E-9AA552B3DA6C}"/>
    <hyperlink ref="A237" r:id="rId19" xr:uid="{D6097D81-5D35-4F54-B57E-EE02A65BAB6D}"/>
    <hyperlink ref="A238" r:id="rId20" xr:uid="{7D374740-6DC7-48F4-A99B-089AC209753B}"/>
    <hyperlink ref="A239" r:id="rId21" xr:uid="{150D4BD8-5DE5-4581-8DAE-4C82C7A62056}"/>
    <hyperlink ref="A240" r:id="rId22" display="https://xbrl.efrag.org/eng/interactive/vsme/vsme-standard-annex-i/2025-07-30-ec-rec/58" xr:uid="{EC797813-6429-4DF9-9AA7-E7EF9CEF1CEF}"/>
    <hyperlink ref="B236" r:id="rId23" xr:uid="{13F06C86-825D-430E-ABF7-7903D099B2C8}"/>
    <hyperlink ref="K17" r:id="rId24" xr:uid="{80C232F7-EF01-47F1-B37B-B9465DA971AE}"/>
    <hyperlink ref="C122" r:id="rId25" location="id-75" display="https://xbrl.efrag.org/e-esrs/2024-12-17-efrag-vsme.xhtml - id-75" xr:uid="{477C8E1D-8E11-49EC-A489-12E70C4FFE67}"/>
    <hyperlink ref="C123" r:id="rId26" location="id-260" display="134-137" xr:uid="{79B9B2C7-556F-4990-B4AB-2754EB7A61A1}"/>
    <hyperlink ref="C212" r:id="rId27" location="id-87" xr:uid="{6BE3DB22-1314-4A4E-8418-B1701C7E0A19}"/>
    <hyperlink ref="C213" r:id="rId28" location="id-353" display="173-174" xr:uid="{6218306B-0419-442B-876E-2B32619A0D96}"/>
    <hyperlink ref="C65" r:id="rId29" location="id-73" display="https://xbrl.efrag.org/e-esrs/2024-12-17-efrag-vsme.xhtml - id-73" xr:uid="{1F3ACB44-AE6B-4E80-908F-73BEA496FD95}"/>
    <hyperlink ref="C243" r:id="rId30" location="id-30" display="https://xbrl.efrag.org/e-esrs/2024-12-17-efrag-vsme.xhtml - id-30" xr:uid="{8191E0B1-15FD-4663-A70D-17A84E710C3E}"/>
    <hyperlink ref="C167" r:id="rId31" location="id-81" display="https://xbrl.efrag.org/e-esrs/2024-12-17-efrag-vsme.xhtml - id-81" xr:uid="{50BA1BA2-81A0-434C-BE2B-6B94DE19A97B}"/>
    <hyperlink ref="C168" r:id="rId32" location="id-287" display="156-158" xr:uid="{C3E10B43-4D88-4B0F-993A-7DC6D4C5CC2C}"/>
    <hyperlink ref="C173" r:id="rId33" location="id-81" display="35-36" xr:uid="{9EB17F31-FED5-4A9A-843D-A89DC4708454}"/>
    <hyperlink ref="C174"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173:D173"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22:K122" r:id="rId51" display="https://xbrl.efrag.org/eng/interactive/vsme/vsme-standard-annex-i/2025-07-30-ec-rec/33" xr:uid="{18D02725-37E9-4912-AE40-1A2F1932692F}"/>
    <hyperlink ref="C156:F156" r:id="rId52" display="https://xbrl.efrag.org/eng/interactive/vsme/vsme-standard-annex-i/2025-07-30-ec-rec/34" xr:uid="{1E725C46-C679-4052-AC6C-9B43FAF420E9}"/>
    <hyperlink ref="C167:D167" r:id="rId53" display="https://xbrl.efrag.org/eng/interactive/vsme/vsme-standard-annex-i/2025-07-30-ec-rec/35" xr:uid="{C5F7B0AA-FEE2-4F07-BF55-E0D6B598140A}"/>
    <hyperlink ref="C180:G180" r:id="rId54" display="https://xbrl.efrag.org/eng/interactive/vsme/vsme-standard-annex-i/2025-07-30-ec-rec/37" xr:uid="{CF11B702-3061-477D-9A98-D7C8FC2FC832}"/>
    <hyperlink ref="C186:L186" r:id="rId55" display="38(a) and 38(b)" xr:uid="{2916048F-E00D-4F8E-AA1D-D98CC76634A5}"/>
    <hyperlink ref="C212:J212" r:id="rId56" display="38(c)" xr:uid="{A7A770CA-3A79-460E-AE7B-758D7EA2788E}"/>
    <hyperlink ref="C243:L243"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23:K123" r:id="rId68" display="70-73" xr:uid="{ADDB76C3-31EF-4D03-989E-01BA41940AF0}"/>
    <hyperlink ref="C157:F157" r:id="rId69" display="74-76" xr:uid="{838EAE7C-DEF6-45AF-93B2-5485EB91BDBA}"/>
    <hyperlink ref="C168:D168" r:id="rId70" display="91-93" xr:uid="{64255AC5-0D7D-4A44-A10E-4AC1C376065E}"/>
    <hyperlink ref="C174:D174" r:id="rId71" display="77-90" xr:uid="{049A5BD7-EF46-4CF5-878F-A00421D86BF2}"/>
    <hyperlink ref="C181:G181" r:id="rId72" display="https://xbrl.efrag.org/eng/interactive/vsme/vsme-guidance-annex-ii/2025-07-30-ec-rec/94" xr:uid="{D20F3F3A-72EE-4E84-8911-A4E5F49DEFBB}"/>
    <hyperlink ref="C187:L187" r:id="rId73" display="95-107" xr:uid="{5A214E87-D657-4C42-B387-6E155E48A5C4}"/>
    <hyperlink ref="C213:J213"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240" r:id="rId79" xr:uid="{AC7CCD47-0010-4354-8D4F-FA1ED42CD433}"/>
    <hyperlink ref="B57" r:id="rId80" xr:uid="{59702F8A-53C4-4D6F-88E3-3025243DA959}"/>
    <hyperlink ref="B58" r:id="rId81" xr:uid="{9AF9DFDD-D473-498C-9909-9497928C6F53}"/>
    <hyperlink ref="B237" r:id="rId82" xr:uid="{108E1487-6984-4E23-821C-A1ED53D1FEFD}"/>
    <hyperlink ref="B238" r:id="rId83" xr:uid="{F192B5CB-E03F-42CC-A5C4-D47E630D689F}"/>
    <hyperlink ref="B239" r:id="rId84" xr:uid="{F5FDA725-30B0-43F6-920A-EC7CD1344B13}"/>
  </hyperlinks>
  <pageMargins left="0.7" right="0.7" top="0.75" bottom="0.75" header="0.3" footer="0.3"/>
  <pageSetup orientation="portrait" r:id="rId85"/>
  <drawing r:id="rId8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11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8" t="str">
        <f>template_label_paragraph_reference</f>
        <v>Paragraph Reference</v>
      </c>
      <c r="B1" s="258" t="str">
        <f>template_label_paragraph_guidance_reference</f>
        <v>Paragraph Guidance Reference</v>
      </c>
    </row>
    <row r="2" spans="1:8" ht="15" thickBot="1" x14ac:dyDescent="0.35">
      <c r="C2" s="945" t="str">
        <f>template_label_employee_counting_methodology_for_the_disclosures_below_headcount_full_time_equivalent</f>
        <v>Employee counting methodology for the disclosures below (Headcount or Full time Equivalent linked from B1</v>
      </c>
      <c r="D2" s="946"/>
      <c r="E2" s="947"/>
      <c r="F2" s="948" t="str">
        <f>IF('General Information'!$E$64="","-",'General Information'!$E$64)</f>
        <v>Full-time equivalent (FTE)</v>
      </c>
      <c r="G2" s="948"/>
      <c r="H2" s="949"/>
    </row>
    <row r="3" spans="1:8" ht="15" thickBot="1" x14ac:dyDescent="0.35">
      <c r="C3" s="945" t="str">
        <f>template_label_employee_counting_methodology_for_the_disclosures_below_period</f>
        <v>Employee counting methodology for the disclosures below (At the end of the reporting period or as an average across the reporting period linked from B1)</v>
      </c>
      <c r="D3" s="946"/>
      <c r="E3" s="947"/>
      <c r="F3" s="950" t="str">
        <f>IF('General Information'!$E$63="","-",'General Information'!$E$63)</f>
        <v>As an average across the reporting period</v>
      </c>
      <c r="G3" s="951"/>
      <c r="H3" s="952"/>
    </row>
    <row r="5" spans="1:8" ht="15" thickBot="1" x14ac:dyDescent="0.35"/>
    <row r="6" spans="1:8" x14ac:dyDescent="0.3">
      <c r="C6" s="608" t="str">
        <f>template_label_b8_workforce_general_characteristics_type_of_contract&amp;" "&amp;template_label_always_to_be_reported</f>
        <v>B8 – Workforce – General characteristics - Type of contract [Always to be reported]</v>
      </c>
      <c r="D6" s="609"/>
      <c r="E6" s="609"/>
      <c r="F6" s="609"/>
      <c r="G6" s="610"/>
      <c r="H6"/>
    </row>
    <row r="7" spans="1:8" x14ac:dyDescent="0.3">
      <c r="C7" s="535" t="s">
        <v>3755</v>
      </c>
      <c r="D7" s="536"/>
      <c r="E7" s="536"/>
      <c r="F7" s="536"/>
      <c r="G7" s="537"/>
    </row>
    <row r="8" spans="1:8" x14ac:dyDescent="0.3">
      <c r="C8" s="649" t="s">
        <v>5659</v>
      </c>
      <c r="D8" s="963"/>
      <c r="E8" s="963"/>
      <c r="F8" s="963"/>
      <c r="G8" s="964"/>
    </row>
    <row r="9" spans="1:8" x14ac:dyDescent="0.3">
      <c r="C9" s="149" t="str">
        <f>template_label_type_of_contract</f>
        <v>Type of contract</v>
      </c>
      <c r="D9" s="965" t="str">
        <f>template_label_number_of_employees</f>
        <v>Number of employees</v>
      </c>
      <c r="E9" s="966"/>
      <c r="F9" s="966"/>
      <c r="G9" s="967"/>
      <c r="H9" s="150"/>
    </row>
    <row r="10" spans="1:8" x14ac:dyDescent="0.3">
      <c r="C10" s="151" t="str">
        <f>template_label_permanent_contract</f>
        <v>Permanent contract</v>
      </c>
      <c r="D10" s="956">
        <v>110</v>
      </c>
      <c r="E10" s="957"/>
      <c r="F10" s="957"/>
      <c r="G10" s="958"/>
      <c r="H10" s="15" t="str">
        <f>IF(
    AND(
        OR(
            'General Information'!E32="Option A (Basic Module only)",
            'General Information'!E32="Option B (Basic Module and Comprehensive Module)"
        ),
        D10=""
    ),
    template_label_missing_value,
    IF('General Information'!E32="",
        "",
        template_label_ok
    )
)</f>
        <v>OK</v>
      </c>
    </row>
    <row r="11" spans="1:8" x14ac:dyDescent="0.3">
      <c r="C11" s="151" t="str">
        <f>template_label_temporary_contract</f>
        <v>Temporary contract</v>
      </c>
      <c r="D11" s="968">
        <f>IFERROR(IF(D10="", "-", $D$12 - $D$10), "-")</f>
        <v>41</v>
      </c>
      <c r="E11" s="969"/>
      <c r="F11" s="969"/>
      <c r="G11" s="970"/>
      <c r="H11" s="15"/>
    </row>
    <row r="12" spans="1:8" ht="15" thickBot="1" x14ac:dyDescent="0.35">
      <c r="C12" s="152" t="str">
        <f>template_label_total_employees</f>
        <v>Total employees (linked to B1)</v>
      </c>
      <c r="D12" s="971">
        <f>IF('General Information'!$E$62="", "-", VALUE(SUBSTITUTE('General Information'!$E$62, "-", "0")))</f>
        <v>151</v>
      </c>
      <c r="E12" s="971"/>
      <c r="F12" s="971"/>
      <c r="G12" s="972"/>
      <c r="H12" s="17"/>
    </row>
    <row r="13" spans="1:8" ht="15" thickBot="1" x14ac:dyDescent="0.35"/>
    <row r="14" spans="1:8" x14ac:dyDescent="0.3">
      <c r="C14" s="608" t="str">
        <f>template_label_b8_workforce_general_characteristics_gender&amp;" "&amp;template_label_always_to_be_reported</f>
        <v>B8 – Workforce – General characteristics - Gender [Always to be reported]</v>
      </c>
      <c r="D14" s="609"/>
      <c r="E14" s="609"/>
      <c r="F14" s="609"/>
      <c r="G14" s="610"/>
      <c r="H14"/>
    </row>
    <row r="15" spans="1:8" x14ac:dyDescent="0.3">
      <c r="C15" s="535" t="s">
        <v>3756</v>
      </c>
      <c r="D15" s="536"/>
      <c r="E15" s="536"/>
      <c r="F15" s="536"/>
      <c r="G15" s="537"/>
    </row>
    <row r="16" spans="1:8" x14ac:dyDescent="0.3">
      <c r="C16" s="649" t="s">
        <v>5659</v>
      </c>
      <c r="D16" s="650"/>
      <c r="E16" s="650"/>
      <c r="F16" s="650"/>
      <c r="G16" s="651"/>
    </row>
    <row r="17" spans="3:22" x14ac:dyDescent="0.3">
      <c r="C17" s="153" t="str">
        <f>template_label_gender</f>
        <v>Gender</v>
      </c>
      <c r="D17" s="953" t="str">
        <f>template_label_number_of_employees</f>
        <v>Number of employees</v>
      </c>
      <c r="E17" s="954"/>
      <c r="F17" s="954"/>
      <c r="G17" s="955"/>
    </row>
    <row r="18" spans="3:22" x14ac:dyDescent="0.3">
      <c r="C18" s="154" t="str">
        <f>template_label_male</f>
        <v>Male</v>
      </c>
      <c r="D18" s="956">
        <v>55</v>
      </c>
      <c r="E18" s="957"/>
      <c r="F18" s="957"/>
      <c r="G18" s="958"/>
      <c r="H18" s="959" t="str">
        <f>IF(
    OR(
        'General Information'!E32="Option A (Basic Module only)",
        'General Information'!E32="Option B (Basic Module and Comprehensive Module)"
    ),
    IF(
        NumberOfMaleEmployees+NumberOfFemaleEmployees+NumberOfOtherGenderEmployees+NumberOfNonReportedGenderEmployees=D22,
        template_label_ok,
        template_label_missing_value
    ),
    ""
)</f>
        <v>OK</v>
      </c>
      <c r="I18" s="943" t="str">
        <f>template_label_number_of_employees_warning</f>
        <v xml:space="preserve">ℹ️  Please make sure that the total number of employees is the same as the one provided in the "General Information" sheet cell E55
</v>
      </c>
      <c r="J18" s="943"/>
      <c r="K18" s="943"/>
      <c r="L18" s="943"/>
      <c r="M18" s="943"/>
    </row>
    <row r="19" spans="3:22" x14ac:dyDescent="0.3">
      <c r="C19" s="154" t="str">
        <f>template_label_female</f>
        <v>Female</v>
      </c>
      <c r="D19" s="956">
        <v>40</v>
      </c>
      <c r="E19" s="957"/>
      <c r="F19" s="957"/>
      <c r="G19" s="958"/>
      <c r="H19" s="959"/>
      <c r="I19" s="943"/>
      <c r="J19" s="943"/>
      <c r="K19" s="943"/>
      <c r="L19" s="943"/>
      <c r="M19" s="943"/>
    </row>
    <row r="20" spans="3:22" x14ac:dyDescent="0.3">
      <c r="C20" s="154" t="str">
        <f>template_label_other</f>
        <v>Other</v>
      </c>
      <c r="D20" s="956">
        <v>5</v>
      </c>
      <c r="E20" s="957"/>
      <c r="F20" s="957"/>
      <c r="G20" s="958"/>
      <c r="H20" s="959"/>
      <c r="I20" s="943"/>
      <c r="J20" s="943"/>
      <c r="K20" s="943"/>
      <c r="L20" s="943"/>
      <c r="M20" s="943"/>
    </row>
    <row r="21" spans="3:22" x14ac:dyDescent="0.3">
      <c r="C21" s="154" t="str">
        <f>template_label_not_reported</f>
        <v>Not reported</v>
      </c>
      <c r="D21" s="960">
        <v>51</v>
      </c>
      <c r="E21" s="961"/>
      <c r="F21" s="961"/>
      <c r="G21" s="962"/>
      <c r="H21" s="959"/>
      <c r="I21" s="943"/>
      <c r="J21" s="943"/>
      <c r="K21" s="943"/>
      <c r="L21" s="943"/>
      <c r="M21" s="943"/>
    </row>
    <row r="22" spans="3:22" ht="15" thickBot="1" x14ac:dyDescent="0.35">
      <c r="C22" s="152" t="str">
        <f>template_label_total_employees</f>
        <v>Total employees (linked to B1)</v>
      </c>
      <c r="D22" s="971">
        <f>IF('General Information'!$E$62="","-",'General Information'!$E$62)</f>
        <v>151</v>
      </c>
      <c r="E22" s="971"/>
      <c r="F22" s="971"/>
      <c r="G22" s="972"/>
      <c r="H22" s="18"/>
    </row>
    <row r="23" spans="3:22" ht="15" thickBot="1" x14ac:dyDescent="0.35"/>
    <row r="24" spans="3:22" x14ac:dyDescent="0.3">
      <c r="C24" s="977" t="str">
        <f>template_label_b8_workforce_general_characteristics_country_of_employment&amp;" "&amp;template_label_if_applicable</f>
        <v>B8 – Workforce – General characteristics - Country of employment [If applicable]</v>
      </c>
      <c r="D24" s="978"/>
      <c r="E24" s="978"/>
      <c r="F24" s="978"/>
      <c r="G24" s="978"/>
      <c r="H24" s="979"/>
    </row>
    <row r="25" spans="3:22" x14ac:dyDescent="0.3">
      <c r="C25" s="733" t="s">
        <v>3757</v>
      </c>
      <c r="D25" s="734"/>
      <c r="E25" s="734"/>
      <c r="F25" s="734"/>
      <c r="G25" s="734"/>
      <c r="H25" s="735"/>
    </row>
    <row r="26" spans="3:22" x14ac:dyDescent="0.3">
      <c r="C26" s="758" t="s">
        <v>5659</v>
      </c>
      <c r="D26" s="759"/>
      <c r="E26" s="759"/>
      <c r="F26" s="759"/>
      <c r="G26" s="759"/>
      <c r="H26" s="869"/>
    </row>
    <row r="27" spans="3:22" x14ac:dyDescent="0.3">
      <c r="C27" s="984" t="str">
        <f>template_label_undertaking_operating_in_more_than_one_country</f>
        <v>Does the undertaking operate in more than one country?</v>
      </c>
      <c r="D27" s="985"/>
      <c r="E27" s="658" t="b">
        <v>1</v>
      </c>
      <c r="F27" s="659"/>
      <c r="G27" s="659"/>
      <c r="H27" s="660"/>
    </row>
    <row r="28" spans="3:22" x14ac:dyDescent="0.3">
      <c r="C28" s="980" t="str">
        <f>template_label_country_of_employment_contract</f>
        <v>Country of employment contract</v>
      </c>
      <c r="D28" s="981"/>
      <c r="E28" s="982" t="str">
        <f>template_label_number_of_employees</f>
        <v>Number of employees</v>
      </c>
      <c r="F28" s="982"/>
      <c r="G28" s="982"/>
      <c r="H28" s="983"/>
    </row>
    <row r="29" spans="3:22" ht="14.55" customHeight="1" x14ac:dyDescent="0.3">
      <c r="C29" s="973" t="s">
        <v>492</v>
      </c>
      <c r="D29" s="974"/>
      <c r="E29" s="975">
        <v>140</v>
      </c>
      <c r="F29" s="975"/>
      <c r="G29" s="975"/>
      <c r="H29" s="976"/>
      <c r="I29" s="15" t="str">
        <f t="shared" ref="I29:I38" si="0">IF(
    AND(C29="", E29=""),
    "",
    IF(
        AND(C29&lt;&gt;"", E29=""),
        template_label_missing_value,
        IF(
            AND(C29&lt;&gt;"", E29&lt;&gt;""),
            IF(
                $E$29+$E$30+$E$31+$E$32+$E$33+$E$34+$E$35+$E$36+$E$37+$E$38&lt;$E$39,
                template_label_missing_value,
                IF(
                    COUNTIF($C$29:$C$38, C29) &gt; 1,
                    template_label_value_inconsistency,
                    template_label_ok
                )
            ),
            template_label_missing_value
        )
    )
)</f>
        <v>OK</v>
      </c>
      <c r="J29" s="944" t="str">
        <f>template_label_number_of_employees_warning</f>
        <v xml:space="preserve">ℹ️  Please make sure that the total number of employees is the same as the one provided in the "General Information" sheet cell E55
</v>
      </c>
      <c r="K29" s="944"/>
      <c r="L29" s="944"/>
      <c r="M29" s="944"/>
      <c r="N29" s="944"/>
      <c r="O29" s="944"/>
      <c r="P29" s="944"/>
      <c r="Q29" s="944"/>
      <c r="R29" s="944"/>
      <c r="S29" s="944"/>
      <c r="T29" s="944"/>
      <c r="U29" s="944"/>
      <c r="V29" s="944"/>
    </row>
    <row r="30" spans="3:22" x14ac:dyDescent="0.3">
      <c r="C30" s="973" t="s">
        <v>124</v>
      </c>
      <c r="D30" s="974"/>
      <c r="E30" s="975">
        <v>1</v>
      </c>
      <c r="F30" s="975"/>
      <c r="G30" s="975"/>
      <c r="H30" s="976"/>
      <c r="I30" s="15" t="str">
        <f t="shared" si="0"/>
        <v>OK</v>
      </c>
      <c r="J30" s="944"/>
      <c r="K30" s="944"/>
      <c r="L30" s="944"/>
      <c r="M30" s="944"/>
      <c r="N30" s="944"/>
      <c r="O30" s="944"/>
      <c r="P30" s="944"/>
      <c r="Q30" s="944"/>
      <c r="R30" s="944"/>
      <c r="S30" s="944"/>
      <c r="T30" s="944"/>
      <c r="U30" s="944"/>
      <c r="V30" s="944"/>
    </row>
    <row r="31" spans="3:22" x14ac:dyDescent="0.3">
      <c r="C31" s="973" t="s">
        <v>64</v>
      </c>
      <c r="D31" s="974"/>
      <c r="E31" s="975">
        <v>10</v>
      </c>
      <c r="F31" s="975"/>
      <c r="G31" s="975"/>
      <c r="H31" s="976"/>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973"/>
      <c r="D32" s="974"/>
      <c r="E32" s="975"/>
      <c r="F32" s="975"/>
      <c r="G32" s="975"/>
      <c r="H32" s="976"/>
      <c r="I32" s="15" t="str">
        <f t="shared" si="0"/>
        <v/>
      </c>
    </row>
    <row r="33" spans="3:9" hidden="1" outlineLevel="1" x14ac:dyDescent="0.3">
      <c r="C33" s="973"/>
      <c r="D33" s="974"/>
      <c r="E33" s="975"/>
      <c r="F33" s="975"/>
      <c r="G33" s="975"/>
      <c r="H33" s="976"/>
      <c r="I33" s="15" t="str">
        <f t="shared" si="0"/>
        <v/>
      </c>
    </row>
    <row r="34" spans="3:9" hidden="1" outlineLevel="1" x14ac:dyDescent="0.3">
      <c r="C34" s="973"/>
      <c r="D34" s="974"/>
      <c r="E34" s="975"/>
      <c r="F34" s="975"/>
      <c r="G34" s="975"/>
      <c r="H34" s="976"/>
      <c r="I34" s="15" t="str">
        <f t="shared" si="0"/>
        <v/>
      </c>
    </row>
    <row r="35" spans="3:9" hidden="1" outlineLevel="1" x14ac:dyDescent="0.3">
      <c r="C35" s="973"/>
      <c r="D35" s="974"/>
      <c r="E35" s="975"/>
      <c r="F35" s="975"/>
      <c r="G35" s="975"/>
      <c r="H35" s="976"/>
      <c r="I35" s="15" t="str">
        <f t="shared" si="0"/>
        <v/>
      </c>
    </row>
    <row r="36" spans="3:9" hidden="1" outlineLevel="1" x14ac:dyDescent="0.3">
      <c r="C36" s="973"/>
      <c r="D36" s="974"/>
      <c r="E36" s="975"/>
      <c r="F36" s="975"/>
      <c r="G36" s="975"/>
      <c r="H36" s="976"/>
      <c r="I36" s="15" t="str">
        <f t="shared" si="0"/>
        <v/>
      </c>
    </row>
    <row r="37" spans="3:9" hidden="1" outlineLevel="1" x14ac:dyDescent="0.3">
      <c r="C37" s="973"/>
      <c r="D37" s="974"/>
      <c r="E37" s="975"/>
      <c r="F37" s="975"/>
      <c r="G37" s="975"/>
      <c r="H37" s="976"/>
      <c r="I37" s="15" t="str">
        <f t="shared" si="0"/>
        <v/>
      </c>
    </row>
    <row r="38" spans="3:9" hidden="1" outlineLevel="1" x14ac:dyDescent="0.3">
      <c r="C38" s="973"/>
      <c r="D38" s="974"/>
      <c r="E38" s="975"/>
      <c r="F38" s="975"/>
      <c r="G38" s="975"/>
      <c r="H38" s="976"/>
      <c r="I38" s="15" t="str">
        <f t="shared" si="0"/>
        <v/>
      </c>
    </row>
    <row r="39" spans="3:9" ht="15" collapsed="1" thickBot="1" x14ac:dyDescent="0.35">
      <c r="C39" s="990" t="str">
        <f>template_label_total_employees</f>
        <v>Total employees (linked to B1)</v>
      </c>
      <c r="D39" s="991"/>
      <c r="E39" s="992">
        <f>IF('General Information'!$E$62="","-",'General Information'!$E$62)</f>
        <v>151</v>
      </c>
      <c r="F39" s="992"/>
      <c r="G39" s="992"/>
      <c r="H39" s="972"/>
      <c r="I39" s="15"/>
    </row>
    <row r="40" spans="3:9" ht="15" thickBot="1" x14ac:dyDescent="0.35"/>
    <row r="41" spans="3:9" x14ac:dyDescent="0.3">
      <c r="C41" s="977"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2024-01-01 to 2024-12-31 [If applicable]</v>
      </c>
      <c r="D41" s="978"/>
      <c r="E41" s="978"/>
      <c r="F41" s="978"/>
      <c r="G41" s="978"/>
      <c r="H41" s="979"/>
    </row>
    <row r="42" spans="3:9" x14ac:dyDescent="0.3">
      <c r="C42" s="535">
        <v>40</v>
      </c>
      <c r="D42" s="536"/>
      <c r="E42" s="536"/>
      <c r="F42" s="536"/>
      <c r="G42" s="536"/>
      <c r="H42" s="537"/>
    </row>
    <row r="43" spans="3:9" x14ac:dyDescent="0.3">
      <c r="C43" s="649">
        <v>118</v>
      </c>
      <c r="D43" s="650"/>
      <c r="E43" s="650"/>
      <c r="F43" s="650"/>
      <c r="G43" s="650"/>
      <c r="H43" s="651"/>
    </row>
    <row r="44" spans="3:9" x14ac:dyDescent="0.3">
      <c r="C44" s="155" t="str">
        <f>template_label_number_of_employees_who_left_during_the_reporting_period</f>
        <v>Number of employees who left during the reporting period</v>
      </c>
      <c r="D44" s="986">
        <v>50</v>
      </c>
      <c r="E44" s="986"/>
      <c r="F44" s="986"/>
      <c r="G44" s="986"/>
      <c r="H44" s="987"/>
      <c r="I44" s="15" t="str">
        <f>IF(
    AND('General Information'!$E$62&lt;50, D44=""),
    "",
    IF(
        AND('General Information'!$E$62&lt;50, D44&lt;&gt;""),
        template_label_ok,
        IF(
            AND('General Information'!$E$62&gt;=50, D44&lt;&gt;""),
            template_label_ok,
            template_label_missing_value
        )
    )
)</f>
        <v>OK</v>
      </c>
    </row>
    <row r="45" spans="3:9" x14ac:dyDescent="0.3">
      <c r="C45" s="155" t="str">
        <f>template_label_number_of_employees_at_the_beginning_of_the_reporting_period</f>
        <v>Number of employees at the beginning of the reporting period</v>
      </c>
      <c r="D45" s="986">
        <v>201</v>
      </c>
      <c r="E45" s="986"/>
      <c r="F45" s="986"/>
      <c r="G45" s="986"/>
      <c r="H45" s="987"/>
      <c r="I45" s="15" t="str">
        <f>IF(
    AND('General Information'!$E$62&lt;50, D45=""),
    "",
    IF(
        AND('General Information'!$E$62&lt;50, D45&lt;&gt;""),
        template_label_ok,
        IF(
            AND('General Information'!$E$62&gt;=50, D45&lt;&gt;""),
            template_label_ok,
            template_label_missing_value
        )
    )
)</f>
        <v>OK</v>
      </c>
    </row>
    <row r="46" spans="3:9" x14ac:dyDescent="0.3">
      <c r="C46" s="155" t="str">
        <f>template_label_number_of_employees_at_the_end_of_the_reporting_period</f>
        <v>Number of employees at the end of the reporting period</v>
      </c>
      <c r="D46" s="986">
        <v>151</v>
      </c>
      <c r="E46" s="986"/>
      <c r="F46" s="986"/>
      <c r="G46" s="986"/>
      <c r="H46" s="987"/>
      <c r="I46" s="15" t="str">
        <f>IF(
    AND('General Information'!$E$62&lt;50, D46=""),
    "",
    IF(
        AND('General Information'!$E$62&lt;50, D46&lt;&gt;""),
        template_label_ok,
        IF(
            AND('General Information'!$E$62&gt;=50, D46&lt;&gt;""),
            template_label_ok,
            template_label_missing_value
        )
    )
)</f>
        <v>OK</v>
      </c>
    </row>
    <row r="47" spans="3:9" ht="15" thickBot="1" x14ac:dyDescent="0.35">
      <c r="C47" s="101" t="str">
        <f>template_label_employee_turnover_rate_in_the_reporting_period</f>
        <v>Employee turnover rate [%]  in the reporting period</v>
      </c>
      <c r="D47" s="988">
        <f>IF(AND(D44&lt;&gt;"",D45&lt;&gt;"",D46&lt;&gt;""),(D44/((D45+D46)/2)),"-")</f>
        <v>0.28409090909090912</v>
      </c>
      <c r="E47" s="988"/>
      <c r="F47" s="988"/>
      <c r="G47" s="988"/>
      <c r="H47" s="989"/>
    </row>
    <row r="48" spans="3:9" ht="15" thickBot="1" x14ac:dyDescent="0.35"/>
    <row r="49" spans="1:10" ht="15" thickBot="1" x14ac:dyDescent="0.35">
      <c r="C49" s="643" t="str">
        <f>template_label_b9_workforce_health_and_safety&amp;" "&amp;template_label_from&amp;" "&amp;template_starting_date_display&amp;" "&amp;template_label_to&amp;" "&amp;template_ending_date_display&amp;" "&amp;template_label_always_to_be_reported</f>
        <v>B9 – Workforce – Health and safety from 2024-01-01 to 2024-12-31 [Always to be reported]</v>
      </c>
      <c r="D49" s="644"/>
      <c r="E49" s="644"/>
      <c r="F49" s="644"/>
      <c r="G49" s="644"/>
      <c r="H49" s="645"/>
    </row>
    <row r="50" spans="1:10" x14ac:dyDescent="0.3">
      <c r="A50" s="462" t="s">
        <v>3758</v>
      </c>
      <c r="B50" s="465" t="s">
        <v>5660</v>
      </c>
      <c r="C50" s="260" t="str">
        <f>template_label_number_of_recordable_work_related_accidents_in_the_reporting_period</f>
        <v>Number of recordable work-related accidents in the reporting period</v>
      </c>
      <c r="D50" s="1009">
        <v>0</v>
      </c>
      <c r="E50" s="1009"/>
      <c r="F50" s="1009"/>
      <c r="G50" s="1009"/>
      <c r="H50" s="1010"/>
      <c r="I50" s="15" t="str">
        <f>IF(
    AND(
        OR('General Information'!E32="Option A (Basic Module only)", 'General Information'!E32="Option B (Basic Module and Comprehensive Module)"),
        NumberOfRecordableWorkRelatedAccidentsInTheReportingPeriod=""
    ),
    template_label_missing_value,
    IF('General Information'!E32="", "", template_label_ok)
)</f>
        <v>OK</v>
      </c>
    </row>
    <row r="51" spans="1:10" x14ac:dyDescent="0.3">
      <c r="A51" s="462" t="s">
        <v>3758</v>
      </c>
      <c r="B51" s="465" t="s">
        <v>5660</v>
      </c>
      <c r="C51" s="156" t="str">
        <f>template_label_number_of_hours_worked_by_one_fulltime_employee_in_the_reporting_period</f>
        <v>Number of hours worked by  one full-time employee in the reporting period</v>
      </c>
      <c r="D51" s="1011">
        <v>2000</v>
      </c>
      <c r="E51" s="1012"/>
      <c r="F51" s="1012"/>
      <c r="G51" s="1012"/>
      <c r="H51" s="1013"/>
      <c r="I51" s="15" t="str">
        <f>IF(D51="", "MISSING VALUE", IF(D51&lt;&gt;2000, "OK", ""))</f>
        <v/>
      </c>
      <c r="J5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52" spans="1:10" x14ac:dyDescent="0.3">
      <c r="A52" s="462" t="s">
        <v>3758</v>
      </c>
      <c r="B52" s="465" t="s">
        <v>5660</v>
      </c>
      <c r="C52" s="156" t="str">
        <f>template_label_total_number_of_hours_worked_in_a_year_by_all_employees_in_the_reporting_period</f>
        <v>Total number of hours worked in a year by all employees in the reporting period</v>
      </c>
      <c r="D52" s="1014">
        <f>IF('General Information'!E62="","-",D51*'General Information'!E62)</f>
        <v>302000</v>
      </c>
      <c r="E52" s="1015"/>
      <c r="F52" s="1015"/>
      <c r="G52" s="1015"/>
      <c r="H52" s="1016"/>
      <c r="I52" s="15"/>
    </row>
    <row r="53" spans="1:10" ht="15" thickBot="1" x14ac:dyDescent="0.35">
      <c r="A53" s="462" t="s">
        <v>3758</v>
      </c>
      <c r="B53" s="465" t="s">
        <v>5660</v>
      </c>
      <c r="C53" s="215" t="str">
        <f>template_label_rate_of_recordable_work_related_accidents_in_the_reporting_period</f>
        <v>Rate of recordable work-related accidents in the reporting period</v>
      </c>
      <c r="D53" s="1017">
        <f>IFERROR(IF(AND(D50&lt;&gt;"", D52&lt;&gt;""), ($D$50/$D$52)*200000, "-"), "-")</f>
        <v>0</v>
      </c>
      <c r="E53" s="1018"/>
      <c r="F53" s="1018"/>
      <c r="G53" s="1018"/>
      <c r="H53" s="1019"/>
    </row>
    <row r="54" spans="1:10" ht="15" thickBot="1" x14ac:dyDescent="0.35">
      <c r="A54" s="462" t="s">
        <v>3759</v>
      </c>
      <c r="B54" s="465" t="s">
        <v>5660</v>
      </c>
      <c r="C54" s="214" t="str">
        <f>template_label_number_of_fatalities_as_a_result_of_work_related_injuries_and_work_related_ill_health</f>
        <v>Number of fatalities as a result of work-related injuries and work-related ill health</v>
      </c>
      <c r="D54" s="993">
        <v>0</v>
      </c>
      <c r="E54" s="993"/>
      <c r="F54" s="993"/>
      <c r="G54" s="993"/>
      <c r="H54" s="994"/>
      <c r="I54" s="15" t="str">
        <f>IF(
    AND(
        OR('General Information'!E32="Option A (Basic Module only)", 'General Information'!E32="Option B (Basic Module and Comprehensive Module)"),
        NumberOfFatalitiesAsAResultOfWorkRelatedInjuriesAndWorkRelatedIllHealth=""
    ),
    template_label_missing_value,
    IF('General Information'!E32="", "", template_label_ok)
)</f>
        <v>OK</v>
      </c>
    </row>
    <row r="55" spans="1:10" ht="15" thickBot="1" x14ac:dyDescent="0.35"/>
    <row r="56" spans="1:10" x14ac:dyDescent="0.3">
      <c r="C56" s="995"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2024-01-01 to 2024-12-31 [Always to be reported + If applicable]</v>
      </c>
      <c r="D56" s="996"/>
      <c r="E56" s="996"/>
      <c r="F56" s="996"/>
      <c r="G56" s="996"/>
      <c r="H56" s="997"/>
    </row>
    <row r="57" spans="1:10" ht="29.4" thickBot="1" x14ac:dyDescent="0.35">
      <c r="A57" s="462" t="s">
        <v>3760</v>
      </c>
      <c r="B57" s="462" t="s">
        <v>5661</v>
      </c>
      <c r="C57" s="212" t="str">
        <f>template_label_employees_receive_pay_that_is_equal_or_above_applicable_minimum_wage</f>
        <v>Employees receive pay that is equal or above applicable minimum wage determined directly by the national minimum wage law or through a collective bargaining agreement</v>
      </c>
      <c r="D57" s="998" t="s">
        <v>2906</v>
      </c>
      <c r="E57" s="998"/>
      <c r="F57" s="998"/>
      <c r="G57" s="998"/>
      <c r="H57" s="999"/>
      <c r="I57" s="15" t="str">
        <f>IF(
    AND(
        OR('General Information'!E32="Option A (Basic Module only)", 'General Information'!E32="Option B (Basic Module and Comprehensive Module)"),
        EmployeesReceivePayEqualOrAboveMinimumWageDeterminedByNationalLawOrCollectiveAgreement=""
    ),
    template_label_missing_value,
    IF('General Information'!E32="", "", template_label_ok)
)</f>
        <v>OK</v>
      </c>
    </row>
    <row r="58" spans="1:10" x14ac:dyDescent="0.3">
      <c r="A58" s="472" t="s">
        <v>3761</v>
      </c>
      <c r="B58" s="474" t="s">
        <v>5662</v>
      </c>
      <c r="C58" s="213" t="str">
        <f>template_label_average_gross_hourly_pay_level_of_male_employees &amp; " " &amp; "(" &amp; template_label_amount_in &amp; " " &amp; template_currency &amp; ")"</f>
        <v>Average gross hourly pay level of male employees (amount in EUR)</v>
      </c>
      <c r="D58" s="1000">
        <v>20</v>
      </c>
      <c r="E58" s="1001"/>
      <c r="F58" s="1001"/>
      <c r="G58" s="1001"/>
      <c r="H58" s="1002"/>
      <c r="I58" s="15" t="str">
        <f>IF(
    AND('General Information'!$E$62&lt;150, D58=""),
    "",
    IF(
        AND('General Information'!$E$62&lt;150, D58&lt;&gt;""),
        template_label_ok,
        IF(
            AND('General Information'!$E$62&gt;=150, D58&lt;&gt;""),
            template_label_ok,
            template_label_missing_value
        )
    )
)</f>
        <v>OK</v>
      </c>
    </row>
    <row r="59" spans="1:10" x14ac:dyDescent="0.3">
      <c r="A59" s="472" t="s">
        <v>3761</v>
      </c>
      <c r="B59" s="474" t="s">
        <v>5662</v>
      </c>
      <c r="C59" s="157" t="str">
        <f>template_label_average_gross_hourly_pay_level_of_female_employees &amp; " " &amp; "(" &amp; template_label_amount_in &amp; " " &amp; template_currency &amp; ")"</f>
        <v>Average gross hourly pay level of female employees (amount in EUR)</v>
      </c>
      <c r="D59" s="1003">
        <v>18</v>
      </c>
      <c r="E59" s="1004"/>
      <c r="F59" s="1004"/>
      <c r="G59" s="1004"/>
      <c r="H59" s="1005"/>
      <c r="I59" s="15" t="str">
        <f>IF(
    AND('General Information'!$E$62&lt;150, D59=""),
    "",
    IF(
        AND('General Information'!$E$62&lt;150, D59&lt;&gt;""),
        template_label_ok,
        IF(
            AND('General Information'!$E$62&gt;=150, D59&lt;&gt;""),
            template_label_ok,
            template_label_missing_value
        )
    )
)</f>
        <v>OK</v>
      </c>
    </row>
    <row r="60" spans="1:10" ht="15" thickBot="1" x14ac:dyDescent="0.35">
      <c r="A60" s="472" t="s">
        <v>3761</v>
      </c>
      <c r="B60" s="474" t="s">
        <v>5662</v>
      </c>
      <c r="C60" s="158" t="str">
        <f>template_label_percentage_gap_in_pay_between_the__undertakings_female_and_male_employees</f>
        <v>Percentage gap in pay between the  undertaking's female and male employees [%]</v>
      </c>
      <c r="D60" s="1006">
        <f>IF(AND(D58&lt;&gt;"",D59&lt;&gt;""),((D58-D59)/D58),"-")</f>
        <v>0.1</v>
      </c>
      <c r="E60" s="1007"/>
      <c r="F60" s="1007"/>
      <c r="G60" s="1007"/>
      <c r="H60" s="1008"/>
    </row>
    <row r="61" spans="1:10" x14ac:dyDescent="0.3">
      <c r="A61" s="1025" t="s">
        <v>3762</v>
      </c>
      <c r="B61" s="963" t="s">
        <v>5663</v>
      </c>
      <c r="C61" s="211" t="str">
        <f>template_label_number_of_employees_covered_by_collective_bargaining_agreements</f>
        <v>Number of employees covered by collective bargaining agreements</v>
      </c>
      <c r="D61" s="1027">
        <v>140</v>
      </c>
      <c r="E61" s="1028"/>
      <c r="F61" s="1028"/>
      <c r="G61" s="1028"/>
      <c r="H61" s="1029"/>
      <c r="I61" s="15" t="str">
        <f>IF(
    AND(
        OR('General Information'!E32="Option A (Basic Module only)", 'General Information'!E32="Option B (Basic Module and Comprehensive Module)"),
        D61=""
    ),
    template_label_missing_value,
    IF('General Information'!E32="", "", template_label_ok)
)</f>
        <v>OK</v>
      </c>
    </row>
    <row r="62" spans="1:10" ht="15" thickBot="1" x14ac:dyDescent="0.35">
      <c r="A62" s="1026"/>
      <c r="B62" s="721"/>
      <c r="C62" s="158" t="str">
        <f>template_label_percentage_of_employees_covered_by_collective_bargaining_agreements</f>
        <v>Percentage of employees covered by collective bargaining agreements [%]</v>
      </c>
      <c r="D62" s="1030">
        <f>IF(D61&lt;&gt;"", IF('General Information'!E62=0, "-", D61/'General Information'!E62), "-")</f>
        <v>0.92715231788079466</v>
      </c>
      <c r="E62" s="1031"/>
      <c r="F62" s="1031"/>
      <c r="G62" s="1031"/>
      <c r="H62" s="1032"/>
    </row>
    <row r="63" spans="1:10" ht="15" thickBot="1" x14ac:dyDescent="0.35"/>
    <row r="64" spans="1:10" x14ac:dyDescent="0.3">
      <c r="C64" s="995" t="str">
        <f>template_label_number_of_annual_training_hours_per_employee_during_the_reporting_period&amp;" "&amp;template_label_from&amp;" "&amp;template_starting_date_display&amp;" "&amp;template_label_to&amp;" "&amp;template_ending_date_display&amp;" "&amp;template_label_always_to_be_reported</f>
        <v>Number of annual training hours per employee during the reporting period from 2024-01-01 to 2024-12-31 [Always to be reported]</v>
      </c>
      <c r="D64" s="996"/>
      <c r="E64" s="996"/>
      <c r="F64" s="996"/>
      <c r="G64" s="996"/>
      <c r="H64" s="997"/>
    </row>
    <row r="65" spans="1:9" x14ac:dyDescent="0.3">
      <c r="C65" s="535" t="s">
        <v>3763</v>
      </c>
      <c r="D65" s="536"/>
      <c r="E65" s="536"/>
      <c r="F65" s="536"/>
      <c r="G65" s="536"/>
      <c r="H65" s="537"/>
    </row>
    <row r="66" spans="1:9" x14ac:dyDescent="0.3">
      <c r="C66" s="153" t="str">
        <f>template_label_gender</f>
        <v>Gender</v>
      </c>
      <c r="D66" s="1020" t="str">
        <f>template_label_number_of_annual_training_hours_per_employee_during_the_reporting_period</f>
        <v>Number of annual training hours per employee during the reporting period</v>
      </c>
      <c r="E66" s="1020"/>
      <c r="F66" s="1020"/>
      <c r="G66" s="1020"/>
      <c r="H66" s="1021"/>
      <c r="I66" s="15"/>
    </row>
    <row r="67" spans="1:9" x14ac:dyDescent="0.3">
      <c r="C67" s="154" t="str">
        <f>template_label_male</f>
        <v>Male</v>
      </c>
      <c r="D67" s="1022">
        <v>100</v>
      </c>
      <c r="E67" s="1022"/>
      <c r="F67" s="1022"/>
      <c r="G67" s="1022"/>
      <c r="H67" s="1023"/>
      <c r="I67" s="1024" t="str">
        <f>IF(
    OR('General Information'!E32="Option A (Basic Module only)", 'General Information'!E32="Option B (Basic Module and Comprehensive Module)"),
    IF(OR(D67&lt;&gt;"", D68&lt;&gt;"", D69&lt;&gt;"", D70&lt;&gt;""), template_label_ok, template_label_missing_value),
    ""
)</f>
        <v>OK</v>
      </c>
    </row>
    <row r="68" spans="1:9" x14ac:dyDescent="0.3">
      <c r="C68" s="154" t="str">
        <f>template_label_female</f>
        <v>Female</v>
      </c>
      <c r="D68" s="1022">
        <v>150</v>
      </c>
      <c r="E68" s="1022"/>
      <c r="F68" s="1022"/>
      <c r="G68" s="1022"/>
      <c r="H68" s="1023"/>
      <c r="I68" s="1024"/>
    </row>
    <row r="69" spans="1:9" x14ac:dyDescent="0.3">
      <c r="C69" s="154" t="str">
        <f>template_label_other</f>
        <v>Other</v>
      </c>
      <c r="D69" s="1022">
        <v>140</v>
      </c>
      <c r="E69" s="1022"/>
      <c r="F69" s="1022"/>
      <c r="G69" s="1022"/>
      <c r="H69" s="1023"/>
      <c r="I69" s="1024"/>
    </row>
    <row r="70" spans="1:9" x14ac:dyDescent="0.3">
      <c r="C70" s="154" t="str">
        <f>template_label_not_reported</f>
        <v>Not reported</v>
      </c>
      <c r="D70" s="1022">
        <v>120</v>
      </c>
      <c r="E70" s="1022"/>
      <c r="F70" s="1022"/>
      <c r="G70" s="1022"/>
      <c r="H70" s="1023"/>
      <c r="I70" s="1024"/>
    </row>
    <row r="71" spans="1:9" x14ac:dyDescent="0.3">
      <c r="C71" s="1050" t="str">
        <f>template_label_average_number_of_annual_training_hours_per_employee</f>
        <v>Average number of annual training hours per employee</v>
      </c>
      <c r="D71" s="1051"/>
      <c r="E71" s="1051"/>
      <c r="F71" s="1051"/>
      <c r="G71" s="1051"/>
      <c r="H71" s="1052"/>
      <c r="I71" s="15"/>
    </row>
    <row r="72" spans="1:9" ht="15" thickBot="1" x14ac:dyDescent="0.35">
      <c r="C72" s="1053">
        <f>IFERROR(
    IF(
        AND(D18&lt;&gt;"",D18&lt;&gt;0,D19&lt;&gt;"",D19&lt;&gt;0,D20&lt;&gt;"",D20&lt;&gt;0,D21&lt;&gt;"",D21&lt;&gt;0),
        AVERAGE(D67:D70),
        IF(OR(D18="", D18=0), AVERAGE(D68:D70),
        IF(OR(D19="", D19=0), AVERAGE(D67,D69,D70),
        IF(OR(D20="", D20=0), AVERAGE(D67,D68,D70),
        IF(OR(D21="", D21=0), AVERAGE(D67,D68,D69), "-"))))
    ),
"-")</f>
        <v>127.5</v>
      </c>
      <c r="D72" s="1054"/>
      <c r="E72" s="1054"/>
      <c r="F72" s="1054"/>
      <c r="G72" s="1054"/>
      <c r="H72" s="1055"/>
      <c r="I72" s="15"/>
    </row>
    <row r="73" spans="1:9" ht="15" thickBot="1" x14ac:dyDescent="0.35"/>
    <row r="74" spans="1:9" ht="15" thickBot="1" x14ac:dyDescent="0.35">
      <c r="C74" s="1056" t="str">
        <f>template_label_c5_additional_workforce_characteristics&amp;" "&amp;template_label_from&amp;" "&amp;template_starting_date_display&amp;" "&amp;template_label_to&amp;" "&amp;template_ending_date_display&amp;" " &amp; template_label_may</f>
        <v>C5 – Additional (general) workforce characteristics from 2024-01-01 to 2024-12-31 [May (optional)]</v>
      </c>
      <c r="D74" s="1057"/>
      <c r="E74" s="1057"/>
      <c r="F74" s="1057"/>
      <c r="G74" s="1057"/>
      <c r="H74" s="1058"/>
    </row>
    <row r="75" spans="1:9" x14ac:dyDescent="0.3">
      <c r="A75" s="472">
        <v>59</v>
      </c>
      <c r="B75" s="473" t="s">
        <v>5664</v>
      </c>
      <c r="C75" s="159" t="str">
        <f>template_label_number_of_male_employees_at_management_level</f>
        <v>Number of male employees at management level</v>
      </c>
      <c r="D75" s="1000">
        <v>5</v>
      </c>
      <c r="E75" s="1001"/>
      <c r="F75" s="1001"/>
      <c r="G75" s="1001"/>
      <c r="H75" s="1002"/>
      <c r="I75" s="15" t="str">
        <f>IF(D75&lt;&gt;"", template_label_ok, "")</f>
        <v>OK</v>
      </c>
    </row>
    <row r="76" spans="1:9" x14ac:dyDescent="0.3">
      <c r="A76" s="472">
        <v>59</v>
      </c>
      <c r="B76" s="473" t="s">
        <v>5664</v>
      </c>
      <c r="C76" s="160" t="str">
        <f>template_label_number_of_female_employees_at_management_level</f>
        <v>Number of female employees at management level</v>
      </c>
      <c r="D76" s="1003">
        <v>4</v>
      </c>
      <c r="E76" s="1004"/>
      <c r="F76" s="1004"/>
      <c r="G76" s="1004"/>
      <c r="H76" s="1005"/>
      <c r="I76" s="15" t="str">
        <f>IF(D76&lt;&gt;"", template_label_ok, "")</f>
        <v>OK</v>
      </c>
    </row>
    <row r="77" spans="1:9" ht="15" thickBot="1" x14ac:dyDescent="0.35">
      <c r="A77" s="472">
        <v>59</v>
      </c>
      <c r="B77" s="473" t="s">
        <v>5664</v>
      </c>
      <c r="C77" s="158" t="str">
        <f>template_label_female_to_male_ratio_at_management_level_for_the_reporting_period</f>
        <v>Female-to-male ratio at management level for the reporting period</v>
      </c>
      <c r="D77" s="1059">
        <f>IF(AND(D75&lt;&gt;"",D76&lt;&gt;""),$D$76/$D$75,"-")</f>
        <v>0.8</v>
      </c>
      <c r="E77" s="1060"/>
      <c r="F77" s="1060"/>
      <c r="G77" s="1060"/>
      <c r="H77" s="1061"/>
    </row>
    <row r="78" spans="1:9" ht="28.8" x14ac:dyDescent="0.3">
      <c r="A78" s="462">
        <v>60</v>
      </c>
      <c r="B78" s="470" t="s">
        <v>5665</v>
      </c>
      <c r="C78" s="161" t="str">
        <f>template_label_total_self_employed_workers_without_personnel_that_are_working_exclusively_for_the_undertaking</f>
        <v>Total self-employed workers without personnel that are working exclusively for the undertaking</v>
      </c>
      <c r="D78" s="1033">
        <v>4</v>
      </c>
      <c r="E78" s="1034"/>
      <c r="F78" s="1034"/>
      <c r="G78" s="1034"/>
      <c r="H78" s="1035"/>
      <c r="I78" s="15" t="str">
        <f>IF(D78&lt;&gt;"", template_label_ok, "")</f>
        <v>OK</v>
      </c>
    </row>
    <row r="79" spans="1:9" ht="29.4" thickBot="1" x14ac:dyDescent="0.35">
      <c r="A79" s="462">
        <v>60</v>
      </c>
      <c r="B79" s="471" t="s">
        <v>5665</v>
      </c>
      <c r="C79" s="162" t="str">
        <f>template_label_total_temporary_workers_provided_by_undertakings_primarily_engaged_in_employment_activities</f>
        <v>Total temporary workers provided by undertakings primarily engaged in employment activities</v>
      </c>
      <c r="D79" s="1036">
        <v>50</v>
      </c>
      <c r="E79" s="1037"/>
      <c r="F79" s="1037"/>
      <c r="G79" s="1037"/>
      <c r="H79" s="1038"/>
      <c r="I79" s="15" t="str">
        <f>IF(D79&lt;&gt;"", template_label_ok, "")</f>
        <v>OK</v>
      </c>
    </row>
    <row r="80" spans="1:9" ht="15" thickBot="1" x14ac:dyDescent="0.35"/>
    <row r="81" spans="1:10" x14ac:dyDescent="0.3">
      <c r="C81" s="1039"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2024-01-01 to 2024-12-31 [Always to be reported]</v>
      </c>
      <c r="D81" s="1040"/>
      <c r="E81" s="1040"/>
      <c r="F81" s="1040"/>
      <c r="G81" s="1040"/>
      <c r="H81" s="1041"/>
    </row>
    <row r="82" spans="1:10" x14ac:dyDescent="0.3">
      <c r="A82" s="462" t="s">
        <v>3764</v>
      </c>
      <c r="B82" s="470">
        <v>173</v>
      </c>
      <c r="C82" s="163" t="str">
        <f>template_label_does_the_undertaking_have_a_code_of_conduct_or_human_rights_policy_for_its_own_workforce</f>
        <v>Does the undertaking have a code of conduct or human rights policy for its own workforce?</v>
      </c>
      <c r="D82" s="1042" t="s">
        <v>2906</v>
      </c>
      <c r="E82" s="1043"/>
      <c r="F82" s="1043"/>
      <c r="G82" s="1043"/>
      <c r="H82" s="1044"/>
      <c r="I82" s="15" t="str">
        <f>IF(
    AND('General Information'!$E$32="Option B (Basic Module and Comprehensive Module)", D82&lt;&gt;""),
    template_label_ok,
    IF(
        AND('General Information'!$E$32="Option B (Basic Module and Comprehensive Module)", D82=""),
        template_label_missing_value,
        IF(
            AND('General Information'!$E$32="Option A (Basic Module only)", D82&lt;&gt;""),
            template_label_ok,
            ""
        )
    )
)</f>
        <v>OK</v>
      </c>
    </row>
    <row r="83" spans="1:10" x14ac:dyDescent="0.3">
      <c r="A83" s="463" t="s">
        <v>3765</v>
      </c>
      <c r="B83" s="470">
        <v>173</v>
      </c>
      <c r="C83" s="127" t="str">
        <f>template_label_if_yes_does_this_cover</f>
        <v>If yes does this cover:</v>
      </c>
      <c r="D83" s="1045"/>
      <c r="E83" s="1046"/>
      <c r="F83" s="1046"/>
      <c r="G83" s="1046"/>
      <c r="H83" s="1047"/>
    </row>
    <row r="84" spans="1:10" x14ac:dyDescent="0.3">
      <c r="A84" s="463" t="s">
        <v>3765</v>
      </c>
      <c r="B84" s="470">
        <v>173</v>
      </c>
      <c r="C84" s="164" t="str">
        <f>template_label_child_labour</f>
        <v>· child labour</v>
      </c>
      <c r="D84" s="1048" t="b">
        <v>1</v>
      </c>
      <c r="E84" s="1048"/>
      <c r="F84" s="1048"/>
      <c r="G84" s="1048"/>
      <c r="H84" s="1049"/>
      <c r="I84" s="1024" t="str">
        <f>IF(
    AND(OR(D84=TRUE,D85=TRUE,D86=TRUE,D87=TRUE,D88=TRUE,D89=TRUE), D82="YES"),
    template_label_ok,
    IF(
        AND(D84=FALSE,D85=FALSE,D86=FALSE,D87=FALSE,D88=FALSE,D89=FALSE, D82="YES"),
        template_label_missing_value,
        IF(
            AND(D84=FALSE,D85=FALSE,D86=FALSE,D87=FALSE,D88=FALSE,D89=FALSE, D82="NO"),
            "",
            IF(
                AND(D84=FALSE,D85=FALSE,D86=FALSE,D87=FALSE,D88=FALSE,D89=FALSE, D82=""),
                "",
                IF(
                    AND(OR(D84=TRUE,D85=TRUE,D86=TRUE,D87=TRUE,D88=TRUE,D89=TRUE), D82=""),
                    "",
                    template_label_value_inconsistency
                )
            )
        )
    )
)</f>
        <v>OK</v>
      </c>
    </row>
    <row r="85" spans="1:10" x14ac:dyDescent="0.3">
      <c r="A85" s="463" t="s">
        <v>3765</v>
      </c>
      <c r="B85" s="470">
        <v>173</v>
      </c>
      <c r="C85" s="164" t="str">
        <f>template_label_forced_labour</f>
        <v>· forced labour</v>
      </c>
      <c r="D85" s="1048" t="b">
        <v>1</v>
      </c>
      <c r="E85" s="1048"/>
      <c r="F85" s="1048"/>
      <c r="G85" s="1048"/>
      <c r="H85" s="1049"/>
      <c r="I85" s="1024"/>
    </row>
    <row r="86" spans="1:10" x14ac:dyDescent="0.3">
      <c r="A86" s="463" t="s">
        <v>3765</v>
      </c>
      <c r="B86" s="470">
        <v>173</v>
      </c>
      <c r="C86" s="164" t="str">
        <f>template_label_human_trafficking</f>
        <v>· human trafficking</v>
      </c>
      <c r="D86" s="1048" t="b">
        <v>1</v>
      </c>
      <c r="E86" s="1048"/>
      <c r="F86" s="1048"/>
      <c r="G86" s="1048"/>
      <c r="H86" s="1049"/>
      <c r="I86" s="1024"/>
    </row>
    <row r="87" spans="1:10" x14ac:dyDescent="0.3">
      <c r="A87" s="463" t="s">
        <v>3765</v>
      </c>
      <c r="B87" s="470">
        <v>173</v>
      </c>
      <c r="C87" s="164" t="str">
        <f>template_label_discrimination</f>
        <v>· discrimination</v>
      </c>
      <c r="D87" s="1048" t="b">
        <v>1</v>
      </c>
      <c r="E87" s="1048"/>
      <c r="F87" s="1048"/>
      <c r="G87" s="1048"/>
      <c r="H87" s="1049"/>
      <c r="I87" s="1024"/>
    </row>
    <row r="88" spans="1:10" x14ac:dyDescent="0.3">
      <c r="A88" s="463" t="s">
        <v>3765</v>
      </c>
      <c r="B88" s="470">
        <v>173</v>
      </c>
      <c r="C88" s="165" t="str">
        <f>template_label_accident_prevention</f>
        <v>· accident prevention</v>
      </c>
      <c r="D88" s="1070" t="b">
        <v>1</v>
      </c>
      <c r="E88" s="1048"/>
      <c r="F88" s="1048"/>
      <c r="G88" s="1048"/>
      <c r="H88" s="1049"/>
      <c r="I88" s="1024"/>
    </row>
    <row r="89" spans="1:10" x14ac:dyDescent="0.3">
      <c r="A89" s="463" t="s">
        <v>3765</v>
      </c>
      <c r="B89" s="470">
        <v>173</v>
      </c>
      <c r="C89" s="166" t="str">
        <f>template_label_other_if_yes_specify</f>
        <v>· other? ( if yes specify)</v>
      </c>
      <c r="D89" s="1048" t="b">
        <v>0</v>
      </c>
      <c r="E89" s="1048"/>
      <c r="F89" s="1048"/>
      <c r="G89" s="1048"/>
      <c r="H89" s="1049"/>
      <c r="I89" s="1024"/>
      <c r="J89" s="10" t="str">
        <f>template_label_other_warning</f>
        <v>ℹ️ When "other" is chosen as undertaking legal form please fill the row below</v>
      </c>
    </row>
    <row r="90" spans="1:10" ht="33.6" customHeight="1" x14ac:dyDescent="0.3">
      <c r="A90" s="463" t="s">
        <v>3765</v>
      </c>
      <c r="B90" s="470">
        <v>173</v>
      </c>
      <c r="C90" s="99" t="str">
        <f>template_label_specify_other_types_of_content_covered_by_the_code_of_conduct_or_human_rights_policy</f>
        <v>Specify other types of content covered by the code of conduct or human rights policy</v>
      </c>
      <c r="D90" s="1062"/>
      <c r="E90" s="1062"/>
      <c r="F90" s="1062"/>
      <c r="G90" s="1062"/>
      <c r="H90" s="1063"/>
      <c r="I90" s="15" t="str">
        <f>IF(AND(D89=TRUE,D90&lt;&gt;""), template_label_ok,
IF(AND(D89=TRUE,D90=""), template_label_missing_value,
IF(AND(D89=FALSE,D90&lt;&gt;""), template_label_missing_value,
"")))</f>
        <v/>
      </c>
    </row>
    <row r="91" spans="1:10" ht="31.2" customHeight="1" thickBot="1" x14ac:dyDescent="0.35">
      <c r="A91" s="465" t="s">
        <v>3766</v>
      </c>
      <c r="B91" s="471">
        <v>173</v>
      </c>
      <c r="C91" s="167" t="str">
        <f>template_label_does_the_undertaking_have_a_complaint_handling_mechanism_for_its_own_workforce</f>
        <v>Does the undertaking have a complaint-handling mechanism for its own workforce?</v>
      </c>
      <c r="D91" s="1064" t="s">
        <v>2906</v>
      </c>
      <c r="E91" s="1065"/>
      <c r="F91" s="1065"/>
      <c r="G91" s="1065"/>
      <c r="H91" s="1066"/>
      <c r="I91" s="15" t="str">
        <f>IF(AND('General Information'!$E$32="Option B (Basic Module and Comprehensive Module)",D91&lt;&gt;""), template_label_ok,
IF(AND('General Information'!$E$32="Option B (Basic Module and Comprehensive Module)",D91=""), template_label_missing_value,
IF(AND('General Information'!$E$32="Option A (Basic Module only)",D91&lt;&gt;""), template_label_ok,
"")))</f>
        <v>OK</v>
      </c>
    </row>
    <row r="92" spans="1:10" ht="15" thickBot="1" x14ac:dyDescent="0.35"/>
    <row r="93" spans="1:10" x14ac:dyDescent="0.3">
      <c r="C93" s="1039"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2024-01-01 to 2024-12-31 [Always to be reported]</v>
      </c>
      <c r="D93" s="1040"/>
      <c r="E93" s="1040"/>
      <c r="F93" s="1040"/>
      <c r="G93" s="1040"/>
      <c r="H93" s="1041"/>
    </row>
    <row r="94" spans="1:10" x14ac:dyDescent="0.3">
      <c r="A94" s="462">
        <v>62</v>
      </c>
      <c r="B94" s="470">
        <v>174</v>
      </c>
      <c r="C94" s="168" t="str">
        <f>template_label_does_the_undertaking_have_confirmed_incidents_in_its_own_workforce</f>
        <v>Does the undertaking have confirmed incidents in its own workforce?</v>
      </c>
      <c r="D94" s="891" t="s">
        <v>2907</v>
      </c>
      <c r="E94" s="891"/>
      <c r="F94" s="891"/>
      <c r="G94" s="891"/>
      <c r="H94" s="1067"/>
      <c r="I94" s="15" t="str">
        <f>IF(AND('General Information'!$E$32="Option B (Basic Module and Comprehensive Module)",D94&lt;&gt;""), template_label_ok,
IF(AND('General Information'!$E$32="Option B (Basic Module and Comprehensive Module)",D94=""), template_label_missing_value,
IF(AND('General Information'!$E$32="Option A (Basic Module only)",D94&lt;&gt;""), template_label_ok,
"")))</f>
        <v>OK</v>
      </c>
    </row>
    <row r="95" spans="1:10" x14ac:dyDescent="0.3">
      <c r="A95" s="462" t="s">
        <v>3767</v>
      </c>
      <c r="B95" s="470">
        <v>174</v>
      </c>
      <c r="C95" s="168" t="str">
        <f>template_label_if_yes_are_incidents_related_to</f>
        <v>If yes are incidents related to:</v>
      </c>
      <c r="D95" s="1045"/>
      <c r="E95" s="1046"/>
      <c r="F95" s="1046"/>
      <c r="G95" s="1046"/>
      <c r="H95" s="1047"/>
    </row>
    <row r="96" spans="1:10" x14ac:dyDescent="0.3">
      <c r="A96" s="462" t="s">
        <v>3767</v>
      </c>
      <c r="B96" s="470">
        <v>174</v>
      </c>
      <c r="C96" s="166" t="str">
        <f>template_label_child_labour</f>
        <v>· child labour</v>
      </c>
      <c r="D96" s="1068" t="b">
        <v>0</v>
      </c>
      <c r="E96" s="1068"/>
      <c r="F96" s="1068"/>
      <c r="G96" s="1068"/>
      <c r="H96" s="1069"/>
      <c r="I96" s="1024" t="str" cm="1">
        <f t="array" ref="I96">IF(AND(OR(D96=TRUE,D97=TRUE,D98=TRUE,D99=TRUE,D100=TRUE),D94="YES"), template_label_ok,
IF(AND(D96=FALSE,D97=FALSE,D98=FALSE,D99=FALSE,D100=FALSE,D94="YES"), template_label_missing_value,
IF(AND(D96=FALSE,D97=FALSE,D98=FALSE,D99=FALSE,D100=FALSE,D94=""), "",
IF(AND(D96=FALSE,D97=FALSE,D98=FALSE,D99=FALSE,D100=FALSE,D94="NO"), "",
IF(AND(OR(D96:D100=TRUE),D94=""), "",
template_label_value_inconsistency)))))</f>
        <v/>
      </c>
    </row>
    <row r="97" spans="1:10" x14ac:dyDescent="0.3">
      <c r="A97" s="462" t="s">
        <v>3767</v>
      </c>
      <c r="B97" s="470">
        <v>174</v>
      </c>
      <c r="C97" s="166" t="str">
        <f>template_label_forced_labour</f>
        <v>· forced labour</v>
      </c>
      <c r="D97" s="1068" t="b">
        <v>0</v>
      </c>
      <c r="E97" s="1068"/>
      <c r="F97" s="1068"/>
      <c r="G97" s="1068"/>
      <c r="H97" s="1069"/>
      <c r="I97" s="1024"/>
    </row>
    <row r="98" spans="1:10" x14ac:dyDescent="0.3">
      <c r="A98" s="462" t="s">
        <v>3767</v>
      </c>
      <c r="B98" s="470">
        <v>174</v>
      </c>
      <c r="C98" s="166" t="str">
        <f>template_label_human_trafficking</f>
        <v>· human trafficking</v>
      </c>
      <c r="D98" s="1068" t="b">
        <v>0</v>
      </c>
      <c r="E98" s="1068"/>
      <c r="F98" s="1068"/>
      <c r="G98" s="1068"/>
      <c r="H98" s="1069"/>
      <c r="I98" s="1024"/>
    </row>
    <row r="99" spans="1:10" x14ac:dyDescent="0.3">
      <c r="A99" s="462" t="s">
        <v>3767</v>
      </c>
      <c r="B99" s="470">
        <v>174</v>
      </c>
      <c r="C99" s="166" t="str">
        <f>template_label_discrimination</f>
        <v>· discrimination</v>
      </c>
      <c r="D99" s="1068" t="b">
        <v>0</v>
      </c>
      <c r="E99" s="1068"/>
      <c r="F99" s="1068"/>
      <c r="G99" s="1068"/>
      <c r="H99" s="1069"/>
      <c r="I99" s="1024"/>
    </row>
    <row r="100" spans="1:10" x14ac:dyDescent="0.3">
      <c r="A100" s="462" t="s">
        <v>3767</v>
      </c>
      <c r="B100" s="470">
        <v>174</v>
      </c>
      <c r="C100" s="166" t="str">
        <f>template_label_other_if_yes_specify</f>
        <v>· other? ( if yes specify)</v>
      </c>
      <c r="D100" s="1068" t="b">
        <v>0</v>
      </c>
      <c r="E100" s="1068"/>
      <c r="F100" s="1068"/>
      <c r="G100" s="1068"/>
      <c r="H100" s="1069"/>
      <c r="I100" s="1024"/>
      <c r="J100" s="10" t="str">
        <f>template_label_other_warning</f>
        <v>ℹ️ When "other" is chosen as undertaking legal form please fill the row below</v>
      </c>
    </row>
    <row r="101" spans="1:10" x14ac:dyDescent="0.3">
      <c r="A101" s="462" t="s">
        <v>3767</v>
      </c>
      <c r="B101" s="470">
        <v>174</v>
      </c>
      <c r="C101" s="99" t="str">
        <f>template_label_specify_other_human_rights_related_to_the_confirmed_incidents</f>
        <v>Specify other human rights related to the confirmed incidents</v>
      </c>
      <c r="D101" s="1077"/>
      <c r="E101" s="1077"/>
      <c r="F101" s="1077"/>
      <c r="G101" s="1077"/>
      <c r="H101" s="1078"/>
      <c r="I101" s="15" t="str">
        <f>IF(AND(D100=TRUE,D101&lt;&gt;""), template_label_ok,
IF(AND(D100=TRUE,D101=""), template_label_missing_value,
IF(AND(D100=FALSE,D101&lt;&gt;""), template_label_missing_value, "")))</f>
        <v/>
      </c>
    </row>
    <row r="102" spans="1:10" x14ac:dyDescent="0.3">
      <c r="A102" s="462" t="s">
        <v>3768</v>
      </c>
      <c r="B102" s="470">
        <v>174</v>
      </c>
      <c r="C102" s="99" t="str">
        <f>template_label_description_of_actions_taken_to_address_the_confirmed_incidents</f>
        <v>Description of actions taken to address the confirmed incidents</v>
      </c>
      <c r="D102" s="1071"/>
      <c r="E102" s="1072"/>
      <c r="F102" s="1072"/>
      <c r="G102" s="1072"/>
      <c r="H102" s="1073"/>
      <c r="I102" s="15" t="str">
        <f>IF(D102&lt;&gt;"",template_label_ok,"")</f>
        <v/>
      </c>
    </row>
    <row r="103" spans="1:10" ht="28.8" x14ac:dyDescent="0.3">
      <c r="A103" s="462" t="s">
        <v>3728</v>
      </c>
      <c r="B103" s="470">
        <v>174</v>
      </c>
      <c r="C103" s="127" t="str">
        <f>template_label_is_the_undertaking_aware_of_any_confirmed_incidents_involving_workers</f>
        <v>Is the undertaking aware of any confirmed incidents involving workers in the value chain affected communities consumers and end-users?</v>
      </c>
      <c r="D103" s="891" t="s">
        <v>2907</v>
      </c>
      <c r="E103" s="891"/>
      <c r="F103" s="891"/>
      <c r="G103" s="891"/>
      <c r="H103" s="1067"/>
      <c r="I103" s="15" t="str">
        <f>IF(AND('General Information'!$E$32="Option B (Basic Module and Comprehensive Module)",D103&lt;&gt;""), template_label_ok,
IF(AND('General Information'!$E$32="Option B (Basic Module and Comprehensive Module)",D103=""), template_label_missing_value,
IF(AND('General Information'!$E$32="Option A (Basic Module only)",D103&lt;&gt;""), template_label_ok, "")))</f>
        <v>OK</v>
      </c>
    </row>
    <row r="104" spans="1:10" ht="29.4" thickBot="1" x14ac:dyDescent="0.35">
      <c r="A104" s="462" t="s">
        <v>3728</v>
      </c>
      <c r="B104" s="471">
        <v>174</v>
      </c>
      <c r="C104" s="249" t="str">
        <f>template_label_specification_of_any_confirmed_incident_involving_workers</f>
        <v>Specification of any confirmed incident involving workers in the value chain affected communities consumers and end-users</v>
      </c>
      <c r="D104" s="1074"/>
      <c r="E104" s="1074"/>
      <c r="F104" s="1074"/>
      <c r="G104" s="1074"/>
      <c r="H104" s="1075"/>
      <c r="I104" s="15" t="str">
        <f>IF(AND(D103="YES",D104&lt;&gt;""), template_label_ok,
IF(AND(D103="YES",D104=""), template_label_missing_value,
IF(AND(D103="NO",D104&lt;&gt;""), template_label_missing_value, "")))</f>
        <v/>
      </c>
    </row>
    <row r="107" spans="1:10" ht="15" thickBot="1" x14ac:dyDescent="0.35"/>
    <row r="108" spans="1:10" x14ac:dyDescent="0.3">
      <c r="C108" s="559"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2024-01-01 to 2024-12-31 [May (optional)]</v>
      </c>
      <c r="D108" s="560"/>
      <c r="E108" s="560"/>
      <c r="F108" s="560"/>
      <c r="G108" s="560"/>
      <c r="H108" s="561"/>
    </row>
    <row r="109" spans="1:10" x14ac:dyDescent="0.3">
      <c r="C109" s="725">
        <v>10</v>
      </c>
      <c r="D109" s="557"/>
      <c r="E109" s="557"/>
      <c r="F109" s="557"/>
      <c r="G109" s="557"/>
      <c r="H109" s="558"/>
    </row>
    <row r="110" spans="1:10" ht="15" thickBot="1" x14ac:dyDescent="0.35">
      <c r="C110" s="553"/>
      <c r="D110" s="554"/>
      <c r="E110" s="554"/>
      <c r="F110" s="554"/>
      <c r="G110" s="554"/>
      <c r="H110" s="1076"/>
      <c r="I110" s="15" t="str">
        <f>IF(C110&lt;&gt;"", template_label_ok, "")</f>
        <v/>
      </c>
    </row>
  </sheetData>
  <sheetProtection algorithmName="SHA-512" hashValue="yEQ4fDRzvDgX17zKh4r5phW0+LRf3s/0IAbaBiuf8ZAOLGb4w/73pgXbobDsQvBqMDURvaGsqamXWHsLDIpUGw==" saltValue="Am8z1LNRgCZnkitfh3JYPA==" spinCount="100000" sheet="1" formatColumns="0" formatRows="0" insertRows="0"/>
  <mergeCells count="118">
    <mergeCell ref="D102:H102"/>
    <mergeCell ref="D103:H103"/>
    <mergeCell ref="D104:H104"/>
    <mergeCell ref="C108:H108"/>
    <mergeCell ref="C109:H109"/>
    <mergeCell ref="C110:H110"/>
    <mergeCell ref="I96:I100"/>
    <mergeCell ref="D97:H97"/>
    <mergeCell ref="D98:H98"/>
    <mergeCell ref="D99:H99"/>
    <mergeCell ref="D100:H100"/>
    <mergeCell ref="D101:H101"/>
    <mergeCell ref="D90:H90"/>
    <mergeCell ref="D91:H91"/>
    <mergeCell ref="C93:H93"/>
    <mergeCell ref="D94:H94"/>
    <mergeCell ref="D95:H95"/>
    <mergeCell ref="D96:H96"/>
    <mergeCell ref="I84:I89"/>
    <mergeCell ref="D85:H85"/>
    <mergeCell ref="D86:H86"/>
    <mergeCell ref="D87:H87"/>
    <mergeCell ref="D88:H88"/>
    <mergeCell ref="D89:H89"/>
    <mergeCell ref="D78:H78"/>
    <mergeCell ref="D79:H79"/>
    <mergeCell ref="C81:H81"/>
    <mergeCell ref="D82:H82"/>
    <mergeCell ref="D83:H83"/>
    <mergeCell ref="D84:H84"/>
    <mergeCell ref="C71:H71"/>
    <mergeCell ref="C72:H72"/>
    <mergeCell ref="C74:H74"/>
    <mergeCell ref="D75:H75"/>
    <mergeCell ref="D76:H76"/>
    <mergeCell ref="D77:H77"/>
    <mergeCell ref="D66:H66"/>
    <mergeCell ref="D67:H67"/>
    <mergeCell ref="I67:I70"/>
    <mergeCell ref="D68:H68"/>
    <mergeCell ref="D69:H69"/>
    <mergeCell ref="D70:H70"/>
    <mergeCell ref="A61:A62"/>
    <mergeCell ref="B61:B62"/>
    <mergeCell ref="D61:H61"/>
    <mergeCell ref="D62:H62"/>
    <mergeCell ref="C64:H64"/>
    <mergeCell ref="C65:H65"/>
    <mergeCell ref="D54:H54"/>
    <mergeCell ref="C56:H56"/>
    <mergeCell ref="D57:H57"/>
    <mergeCell ref="D58:H58"/>
    <mergeCell ref="D59:H59"/>
    <mergeCell ref="D60:H60"/>
    <mergeCell ref="C49:H49"/>
    <mergeCell ref="D50:H50"/>
    <mergeCell ref="D51:H51"/>
    <mergeCell ref="D52:H52"/>
    <mergeCell ref="D53:H53"/>
    <mergeCell ref="C43:H43"/>
    <mergeCell ref="D44:H44"/>
    <mergeCell ref="D45:H45"/>
    <mergeCell ref="D46:H46"/>
    <mergeCell ref="D47:H47"/>
    <mergeCell ref="C38:D38"/>
    <mergeCell ref="E38:H38"/>
    <mergeCell ref="C39:D39"/>
    <mergeCell ref="E39:H39"/>
    <mergeCell ref="C41:H41"/>
    <mergeCell ref="C42:H4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s>
  <phoneticPr fontId="3" type="noConversion"/>
  <conditionalFormatting sqref="D90">
    <cfRule type="expression" dxfId="118" priority="28">
      <formula>$D$89=TRUE</formula>
    </cfRule>
  </conditionalFormatting>
  <conditionalFormatting sqref="D101:D102">
    <cfRule type="expression" dxfId="117" priority="17">
      <formula>$D$100=TRUE</formula>
    </cfRule>
  </conditionalFormatting>
  <conditionalFormatting sqref="D104">
    <cfRule type="expression" dxfId="116" priority="16">
      <formula>$D$103="YES"</formula>
    </cfRule>
  </conditionalFormatting>
  <conditionalFormatting sqref="D84:H89">
    <cfRule type="expression" dxfId="113" priority="33">
      <formula>$D$82="YES"</formula>
    </cfRule>
  </conditionalFormatting>
  <conditionalFormatting sqref="D96:H100">
    <cfRule type="expression" dxfId="111" priority="22">
      <formula>$D$94="YES"</formula>
    </cfRule>
  </conditionalFormatting>
  <conditionalFormatting sqref="D102:H102">
    <cfRule type="expression" dxfId="110" priority="9">
      <formula>$D$94="YES"</formula>
    </cfRule>
  </conditionalFormatting>
  <conditionalFormatting sqref="E27">
    <cfRule type="expression" dxfId="109" priority="2">
      <formula>$D$82="YES"</formula>
    </cfRule>
  </conditionalFormatting>
  <conditionalFormatting sqref="E29:H29">
    <cfRule type="expression" dxfId="107" priority="1">
      <formula>$E$27=TRUE</formula>
    </cfRule>
  </conditionalFormatting>
  <conditionalFormatting sqref="E29:H38">
    <cfRule type="expression" dxfId="106" priority="59">
      <formula>$C29&lt;&gt;""</formula>
    </cfRule>
  </conditionalFormatting>
  <conditionalFormatting sqref="E30:H38">
    <cfRule type="expression" dxfId="105" priority="60">
      <formula>$D30=""</formula>
    </cfRule>
  </conditionalFormatting>
  <conditionalFormatting sqref="H10:H11">
    <cfRule type="expression" dxfId="104" priority="71">
      <formula>$H10=template_label_ok</formula>
    </cfRule>
    <cfRule type="expression" dxfId="103" priority="70">
      <formula>$H10=template_label_missing_value</formula>
    </cfRule>
  </conditionalFormatting>
  <conditionalFormatting sqref="H12">
    <cfRule type="expression" dxfId="102" priority="73">
      <formula>$H$12="VALUE INCONSISTENCY"</formula>
    </cfRule>
    <cfRule type="expression" dxfId="101" priority="72">
      <formula>$H$12="OK"</formula>
    </cfRule>
  </conditionalFormatting>
  <conditionalFormatting sqref="H18:H21">
    <cfRule type="expression" dxfId="100" priority="65">
      <formula>$H$18=template_label_missing_value</formula>
    </cfRule>
    <cfRule type="expression" dxfId="99" priority="66">
      <formula>$H$18=template_label_ok</formula>
    </cfRule>
  </conditionalFormatting>
  <conditionalFormatting sqref="H22">
    <cfRule type="expression" dxfId="98" priority="67">
      <formula>$H$22="VALUE INCONSISTENCY"</formula>
    </cfRule>
    <cfRule type="expression" dxfId="97" priority="68">
      <formula>$H$22="MISSING VALUE"</formula>
    </cfRule>
    <cfRule type="expression" dxfId="96" priority="69">
      <formula>$H$22="OK"</formula>
    </cfRule>
  </conditionalFormatting>
  <conditionalFormatting sqref="I29:I38">
    <cfRule type="expression" dxfId="95" priority="64">
      <formula>$I29=template_label_missing_value</formula>
    </cfRule>
    <cfRule type="expression" dxfId="94" priority="63">
      <formula>$I29=template_label_ok</formula>
    </cfRule>
    <cfRule type="expression" dxfId="93" priority="4">
      <formula>$I29=template_label_value_inconsistency</formula>
    </cfRule>
  </conditionalFormatting>
  <conditionalFormatting sqref="I39">
    <cfRule type="expression" dxfId="92" priority="61">
      <formula>$I$39="OK"</formula>
    </cfRule>
    <cfRule type="expression" dxfId="91" priority="62">
      <formula>$I$39="VALUE INCONSISTENCY"</formula>
    </cfRule>
  </conditionalFormatting>
  <conditionalFormatting sqref="I44:I46">
    <cfRule type="expression" dxfId="90" priority="57">
      <formula>$I44=template_label_missing_value</formula>
    </cfRule>
    <cfRule type="expression" dxfId="89" priority="58">
      <formula>$I44=template_label_ok</formula>
    </cfRule>
  </conditionalFormatting>
  <conditionalFormatting sqref="I50:I51">
    <cfRule type="expression" dxfId="88" priority="54">
      <formula>$I50=template_label_missing_value</formula>
    </cfRule>
    <cfRule type="expression" dxfId="87" priority="55">
      <formula>$I50=template_label_ok</formula>
    </cfRule>
  </conditionalFormatting>
  <conditionalFormatting sqref="I52">
    <cfRule type="expression" dxfId="86" priority="51">
      <formula>$I$52="MISSING VALUE"</formula>
    </cfRule>
    <cfRule type="expression" dxfId="85" priority="50">
      <formula>$I$52="OK"</formula>
    </cfRule>
  </conditionalFormatting>
  <conditionalFormatting sqref="I54">
    <cfRule type="expression" dxfId="84" priority="52">
      <formula>$I$54=template_label_missing_value</formula>
    </cfRule>
    <cfRule type="expression" dxfId="83" priority="53">
      <formula>$I$54=template_label_ok</formula>
    </cfRule>
  </conditionalFormatting>
  <conditionalFormatting sqref="I57">
    <cfRule type="expression" dxfId="82" priority="45">
      <formula>$I$57=template_label_ok</formula>
    </cfRule>
    <cfRule type="expression" dxfId="81" priority="44">
      <formula>$I$57=template_label_missing_value</formula>
    </cfRule>
  </conditionalFormatting>
  <conditionalFormatting sqref="I58:I59">
    <cfRule type="expression" dxfId="80" priority="49">
      <formula>$I58=template_label_missing_value</formula>
    </cfRule>
    <cfRule type="expression" dxfId="79" priority="48">
      <formula>$I58=template_label_ok</formula>
    </cfRule>
  </conditionalFormatting>
  <conditionalFormatting sqref="I61">
    <cfRule type="expression" dxfId="78" priority="47">
      <formula>$I$61=template_label_missing_value</formula>
    </cfRule>
    <cfRule type="expression" dxfId="77" priority="46">
      <formula>$I$61=template_label_ok</formula>
    </cfRule>
  </conditionalFormatting>
  <conditionalFormatting sqref="I66:I67 I71">
    <cfRule type="expression" dxfId="76" priority="41">
      <formula>$I66=template_label_ok</formula>
    </cfRule>
    <cfRule type="expression" dxfId="75" priority="42">
      <formula>$I66=template_label_missing_value</formula>
    </cfRule>
  </conditionalFormatting>
  <conditionalFormatting sqref="I75">
    <cfRule type="expression" dxfId="74" priority="40">
      <formula>$I$75=template_label_ok</formula>
    </cfRule>
  </conditionalFormatting>
  <conditionalFormatting sqref="I76">
    <cfRule type="expression" dxfId="73" priority="39">
      <formula>$I$76=template_label_ok</formula>
    </cfRule>
  </conditionalFormatting>
  <conditionalFormatting sqref="I78">
    <cfRule type="expression" dxfId="72" priority="38">
      <formula>$I$78=template_label_ok</formula>
    </cfRule>
  </conditionalFormatting>
  <conditionalFormatting sqref="I79">
    <cfRule type="expression" dxfId="71" priority="37">
      <formula>$I$79=template_label_ok</formula>
    </cfRule>
  </conditionalFormatting>
  <conditionalFormatting sqref="I82">
    <cfRule type="expression" dxfId="70" priority="29">
      <formula>$I$82=template_label_missing_value</formula>
    </cfRule>
    <cfRule type="expression" dxfId="69" priority="30">
      <formula>$I$82=template_label_ok</formula>
    </cfRule>
  </conditionalFormatting>
  <conditionalFormatting sqref="I84:I89">
    <cfRule type="expression" dxfId="68" priority="25">
      <formula>$I$84=template_label_ok</formula>
    </cfRule>
    <cfRule type="expression" dxfId="67" priority="24">
      <formula>$I$84=template_label_missing_value</formula>
    </cfRule>
    <cfRule type="expression" dxfId="66" priority="6">
      <formula>$I$84=template_label_value_inconsistency</formula>
    </cfRule>
  </conditionalFormatting>
  <conditionalFormatting sqref="I90">
    <cfRule type="expression" dxfId="65" priority="32">
      <formula>$I$90=template_label_missing_value</formula>
    </cfRule>
    <cfRule type="expression" dxfId="64" priority="31">
      <formula>$I$90=template_label_ok</formula>
    </cfRule>
  </conditionalFormatting>
  <conditionalFormatting sqref="I91">
    <cfRule type="expression" dxfId="63" priority="27">
      <formula>$I$91=template_label_ok</formula>
    </cfRule>
    <cfRule type="expression" dxfId="62" priority="26">
      <formula>$I$91=template_label_missing_value</formula>
    </cfRule>
  </conditionalFormatting>
  <conditionalFormatting sqref="I94">
    <cfRule type="expression" dxfId="61" priority="15">
      <formula>$I$94=template_label_missing_value</formula>
    </cfRule>
    <cfRule type="expression" dxfId="60" priority="14">
      <formula>$I$94=template_label_ok</formula>
    </cfRule>
  </conditionalFormatting>
  <conditionalFormatting sqref="I96:I100">
    <cfRule type="expression" dxfId="59" priority="13">
      <formula>$I$96=template_label_missing_value</formula>
    </cfRule>
    <cfRule type="expression" dxfId="58" priority="12">
      <formula>$I$96=template_label_ok</formula>
    </cfRule>
    <cfRule type="expression" dxfId="57" priority="5">
      <formula>$I$96=template_label_value_inconsistency</formula>
    </cfRule>
  </conditionalFormatting>
  <conditionalFormatting sqref="I101">
    <cfRule type="expression" dxfId="56" priority="21">
      <formula>$I$101=template_label_missing_value</formula>
    </cfRule>
    <cfRule type="expression" dxfId="55" priority="20">
      <formula>$I$101=template_label_ok</formula>
    </cfRule>
  </conditionalFormatting>
  <conditionalFormatting sqref="I102">
    <cfRule type="expression" dxfId="54" priority="8">
      <formula>$I$102=template_label_ok</formula>
    </cfRule>
  </conditionalFormatting>
  <conditionalFormatting sqref="I103">
    <cfRule type="expression" dxfId="53" priority="11">
      <formula>$I$103=template_label_ok</formula>
    </cfRule>
    <cfRule type="expression" dxfId="52" priority="10">
      <formula>$I$103=template_label_missing_value</formula>
    </cfRule>
  </conditionalFormatting>
  <conditionalFormatting sqref="I104">
    <cfRule type="expression" dxfId="51" priority="19">
      <formula>$I$104=template_label_ok</formula>
    </cfRule>
    <cfRule type="expression" dxfId="50" priority="18">
      <formula>$I$104=template_label_missing_value</formula>
    </cfRule>
  </conditionalFormatting>
  <conditionalFormatting sqref="I110">
    <cfRule type="expression" dxfId="49" priority="7">
      <formula>$I$110=template_label_ok</formula>
    </cfRule>
  </conditionalFormatting>
  <dataValidations count="27">
    <dataValidation type="custom" operator="lessThanOrEqual" allowBlank="1" showInputMessage="1" showErrorMessage="1" sqref="D10:G10" xr:uid="{35658C98-934E-415B-A434-B434D683088B}">
      <formula1>IF(D12="-", 0, D12) &gt;= D10</formula1>
    </dataValidation>
    <dataValidation type="custom" operator="equal" showInputMessage="1" showErrorMessage="1" sqref="D20:G20" xr:uid="{A3BF85D0-B645-44C7-9AAE-36905F433620}">
      <formula1>IF(D22="-", 0, D22)&gt;=D18+D19+D20+D21</formula1>
    </dataValidation>
    <dataValidation type="custom" operator="equal" showInputMessage="1" showErrorMessage="1" sqref="D19:G19" xr:uid="{3CAA3C5B-559A-4C0E-8917-0F00C2AD1CB3}">
      <formula1>IF(D22="-", 0, D22)&gt;=D18+D19+D20+D21</formula1>
    </dataValidation>
    <dataValidation type="custom" operator="equal" showInputMessage="1" showErrorMessage="1" sqref="D18:G18" xr:uid="{A31EB366-51D1-4BF8-95AC-80324D98867B}">
      <formula1>IF(D22="-", 0, D22)&gt;=D18+D19+D20+D21</formula1>
    </dataValidation>
    <dataValidation type="custom" operator="equal" showInputMessage="1" showErrorMessage="1" sqref="D21:G21" xr:uid="{29622C59-4C2C-42D1-9E9B-9098E92DCA5F}">
      <formula1>IF(D22="-", 0, D22)&gt;=D18+D19+D20+D21</formula1>
    </dataValidation>
    <dataValidation type="list" allowBlank="1" showInputMessage="1" showErrorMessage="1" sqref="C29:D38" xr:uid="{77A05568-1938-495E-A7AE-13F91BB270A6}">
      <formula1>enum_ListCountriesName</formula1>
    </dataValidation>
    <dataValidation type="custom" showInputMessage="1" showErrorMessage="1" sqref="D47:H47" xr:uid="{8D613685-8D1E-43D4-AC71-87FA8AFC831D}">
      <formula1>IF(AND(D44&lt;&gt;"",D45&lt;&gt;"",D46&lt;&gt;""),(D44/((D45+D46)/2)),"-")</formula1>
    </dataValidation>
    <dataValidation allowBlank="1" showInputMessage="1" showErrorMessage="1" promptTitle="Employee turnover rate [%]" prompt="(number of employees who left during the reporting year / average number of employees during the reporting year) * 100" sqref="C47" xr:uid="{6ED70BED-86B1-422F-9E9B-9F7D61067DE6}"/>
    <dataValidation type="decimal" operator="equal" allowBlank="1" showInputMessage="1" showErrorMessage="1" sqref="D75:H76 D78:H79 D58:H59 D67:H70 D44:H45 D50:H54" xr:uid="{96DCFD83-4BF7-4FD7-8FD2-05151BCCE1A5}">
      <formula1>D44</formula1>
    </dataValidation>
    <dataValidation allowBlank="1" showInputMessage="1" showErrorMessage="1" promptTitle="Rate of work-related accidents" prompt="(number of recordable work-related accidents in the reporting year / total number of hours worked in a year by all employees) * 200000" sqref="C53" xr:uid="{90514CF9-CB78-474C-A511-81130F02799D}"/>
    <dataValidation allowBlank="1" showInputMessage="1" showErrorMessage="1" promptTitle="Rate of covered employees [%]" prompt="(number of employees covered by collective bargaining agreements / total number of employees) * 100" sqref="C62"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60" xr:uid="{82989DE3-E357-4B62-A2B7-CCFD3962265A}"/>
    <dataValidation type="list" allowBlank="1" showInputMessage="1" showErrorMessage="1" sqref="D57:H57 D82:H82 D91:H91 D103:H103 D94:H94" xr:uid="{32EA9B96-1307-4142-ABAB-2409115C8A3B}">
      <formula1>enum_ListYesNo</formula1>
    </dataValidation>
    <dataValidation allowBlank="1" showInputMessage="1" showErrorMessage="1" promptTitle="Management female-to-male ratio" prompt="number of female employees at management level / number of male employees at management level" sqref="C77" xr:uid="{A2AA09AE-1878-4581-AA5D-3AF1168BB2AA}"/>
    <dataValidation type="custom" showInputMessage="1" showErrorMessage="1" sqref="D77:H77" xr:uid="{842AA799-C112-4EB7-9AD5-5A7FDB0661AC}">
      <formula1>IF(AND(D75&lt;&gt;"",D76&lt;&gt;""),$D$76/$D$75,"-")</formula1>
    </dataValidation>
    <dataValidation type="custom" showInputMessage="1" showErrorMessage="1" sqref="D84:H84 D88:H89 D96:H99 E27 I27" xr:uid="{75B12E3F-FC71-4F17-B75C-BB63238BEA20}">
      <formula1>OR(D27=TRUE,D27=FALSE)</formula1>
    </dataValidation>
    <dataValidation type="custom" showInputMessage="1" showErrorMessage="1" sqref="D85:H87 D100:H100" xr:uid="{280CCE74-41E2-4CF5-B0C7-E745BDD2E546}">
      <formula1>OR(D85=FALSE,D85=TRUE)</formula1>
    </dataValidation>
    <dataValidation type="custom" showInputMessage="1" showErrorMessage="1" sqref="E29:H29" xr:uid="{CC4923C5-FB49-478B-8A24-5BB3971285F4}">
      <formula1>IF(E39="-", 0, E39)&gt;=E29+E30+E31+E32+E33+E34+E35+E36+E37+E38</formula1>
    </dataValidation>
    <dataValidation type="custom" showInputMessage="1" showErrorMessage="1" sqref="E30:H30" xr:uid="{1888FA88-A3B7-4B17-8342-81C82ACDA739}">
      <formula1>IF(E39="-", 0, E39)&gt;=E29+E30+E31+E32+E33+E34+E35+E36+E37+E38</formula1>
    </dataValidation>
    <dataValidation type="custom" showInputMessage="1" showErrorMessage="1" sqref="E31:H31" xr:uid="{3FA4ED83-4318-412D-BE84-B75A2C8B149F}">
      <formula1>IF(E39="-", 0, E39)&gt;=E29+E30+E31+E32+E33+E34+E35+E36+E37+E38</formula1>
    </dataValidation>
    <dataValidation type="custom" showInputMessage="1" showErrorMessage="1" sqref="E32:H32" xr:uid="{1D28F474-25EE-453B-AE9C-BA8D81C2E4AA}">
      <formula1>IF(E39="-", 0, E39)&gt;=E29+E30+E31+E32+E33+E34+E35+E36+E37+E38</formula1>
    </dataValidation>
    <dataValidation type="custom" showInputMessage="1" showErrorMessage="1" sqref="E33:H33" xr:uid="{04D38E36-608E-45D5-8EEE-CFFED0909AD6}">
      <formula1>IF(E39="-", 0, E39)&gt;=E29+E30+E31+E32+E33+E34+E35+E36+E37+E38</formula1>
    </dataValidation>
    <dataValidation type="custom" showInputMessage="1" showErrorMessage="1" sqref="E34:H34" xr:uid="{62EE6006-68AE-48E9-AE72-2CD789845BBE}">
      <formula1>IF(E39="-", 0, E39)&gt;=E29+E30+E31+E32+E33+E34+E35+E36+E37+E38</formula1>
    </dataValidation>
    <dataValidation type="custom" showInputMessage="1" showErrorMessage="1" sqref="E35:H35" xr:uid="{C1663CAE-DCC5-488B-93E6-756CDF74876A}">
      <formula1>IF(E39="-", 0, E39)&gt;=E29+E30+E31+E32+E33+E34+E35+E36+E37+E38</formula1>
    </dataValidation>
    <dataValidation type="custom" showInputMessage="1" showErrorMessage="1" sqref="E36:H36" xr:uid="{671E5168-3A7C-40FA-BF3B-1E5C4B3C3279}">
      <formula1>IF(E39="-", 0, E39)&gt;=E29+E30+E31+E32+E33+E34+E35+E36+E37+E38</formula1>
    </dataValidation>
    <dataValidation type="custom" showInputMessage="1" showErrorMessage="1" sqref="E37:H37" xr:uid="{DB034702-4EFF-40B8-BDF2-598997D36609}">
      <formula1>IF(E39="-", 0, E39)&gt;=E29+E30+E31+E32+E33+E34+E35+E36+E37+E38</formula1>
    </dataValidation>
    <dataValidation type="custom" showInputMessage="1" showErrorMessage="1" sqref="E38:H38" xr:uid="{50355345-210E-4FA6-AEDD-3AD5E3603619}">
      <formula1>IF(E39="-", 0, E39)&gt;=E29+E30+E31+E32+E33+E34+E35+E36+E37+E38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42" r:id="rId7" location="id-92" display="https://xbrl.efrag.org/e-esrs/2024-12-17-efrag-vsme.xhtml - id-92" xr:uid="{E0BA9FB5-FB8C-4FEF-868E-6CF4D588E023}"/>
    <hyperlink ref="C43" r:id="rId8" location="id-363" display="https://xbrl.efrag.org/e-esrs/2024-12-17-efrag-vsme.xhtml - id-363" xr:uid="{50B0BE03-C08E-4851-AC9B-993066443FF0}"/>
    <hyperlink ref="A50" r:id="rId9" xr:uid="{F2DE8AE6-7F6A-4C11-8C35-BFD6848C265A}"/>
    <hyperlink ref="B50" r:id="rId10" xr:uid="{A80B1F84-0594-4287-A96E-9DCAA77A7036}"/>
    <hyperlink ref="A57" r:id="rId11" xr:uid="{A04769E2-92AB-4FA7-8BAA-94C789C5D2BC}"/>
    <hyperlink ref="A61" r:id="rId12" location="id-99" xr:uid="{8113121E-C750-4B02-9F44-43C4B57E348C}"/>
    <hyperlink ref="B57" r:id="rId13" xr:uid="{D1428CBA-D262-46DD-A656-23D4C88B3472}"/>
    <hyperlink ref="B61" r:id="rId14" location="id-386" display="202-205" xr:uid="{9AEDE24B-6E51-44E4-9816-FE8C0C8508A3}"/>
    <hyperlink ref="B58" r:id="rId15" xr:uid="{525973BD-5FC4-4E6E-BA87-B737CF59306E}"/>
    <hyperlink ref="C65" r:id="rId16" location="id-100" xr:uid="{A4FCCF43-CF5C-4938-A588-DC9CBECE7EC2}"/>
    <hyperlink ref="A75" r:id="rId17" display="https://xbrl.efrag.org/eng/interactive/vsme/vsme-standard-annex-i/2025-07-30-ec-rec/59" xr:uid="{D6C382FC-BB6A-4070-83F7-5D8F1C237A22}"/>
    <hyperlink ref="A78" r:id="rId18" display="https://xbrl.efrag.org/eng/interactive/vsme/vsme-standard-annex-i/2025-07-30-ec-rec/60" xr:uid="{B621BBEE-281B-42F5-B2D2-56DD7AA5EEA0}"/>
    <hyperlink ref="B75" r:id="rId19" xr:uid="{F0350405-76E9-49D1-BCA5-1A0EFEA12C04}"/>
    <hyperlink ref="B78" r:id="rId20" xr:uid="{7E6AA21F-CB64-4BA3-B45A-0E902CCAE552}"/>
    <hyperlink ref="A82" r:id="rId21" xr:uid="{B9DD33F4-2ACF-4676-8833-08E77CB7D0CA}"/>
    <hyperlink ref="A83" r:id="rId22" xr:uid="{88C6CF49-313A-4434-8D2A-0AEA3359D7FC}"/>
    <hyperlink ref="A91" r:id="rId23" xr:uid="{752B393B-0928-4C69-AFB2-C68F07D89E0E}"/>
    <hyperlink ref="B82" r:id="rId24" display="https://xbrl.efrag.org/eng/interactive/vsme/vsme-guidance-annex-ii/2025-07-30-ec-rec/173" xr:uid="{5DC38D20-F9F3-45CD-A4F1-CCBAA158E822}"/>
    <hyperlink ref="A103" r:id="rId25" xr:uid="{9B3F1639-CEDF-4FD6-829F-0D9EE195C206}"/>
    <hyperlink ref="B94" r:id="rId26" display="https://xbrl.efrag.org/eng/interactive/vsme/vsme-guidance-annex-ii/2025-07-30-ec-rec/174" xr:uid="{E39563BA-8B8E-41CC-8A15-041A714F2283}"/>
    <hyperlink ref="A95" r:id="rId27" xr:uid="{4767E427-EBDB-4F68-ADD4-2E28DAE9623F}"/>
    <hyperlink ref="A94" r:id="rId28" display="https://xbrl.efrag.org/eng/interactive/vsme/vsme-standard-annex-i/2025-07-30-ec-rec/62" xr:uid="{EAFDF65A-AB84-4580-B43C-874BE882196C}"/>
    <hyperlink ref="A102" r:id="rId29" xr:uid="{C3F1A085-4C97-49E3-804F-2C1886C3712A}"/>
    <hyperlink ref="C10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42:H42" r:id="rId34" display="https://xbrl.efrag.org/eng/interactive/vsme/vsme-standard-annex-i/2025-07-30-ec-rec/40" xr:uid="{622C6F62-9464-4894-9594-12DFC4557303}"/>
    <hyperlink ref="A54" r:id="rId35" xr:uid="{4BE08046-72E6-47D5-888C-BE3727409AE4}"/>
    <hyperlink ref="A58" r:id="rId36" xr:uid="{391833E0-BB4C-41C7-BBD3-C91728FD7649}"/>
    <hyperlink ref="A61:A62" r:id="rId37" display="42(c)" xr:uid="{C36D9540-4B6D-48B0-B22B-34A4FFE44E35}"/>
    <hyperlink ref="C65:H65" r:id="rId38" display="42(d)" xr:uid="{985AC647-33FB-4A71-93C7-5C325CA24011}"/>
    <hyperlink ref="A79" r:id="rId39" display="https://xbrl.efrag.org/eng/interactive/vsme/vsme-standard-annex-i/2025-07-30-ec-rec/60" xr:uid="{37FFA10E-6558-4258-A996-A7A13B24BC45}"/>
    <hyperlink ref="A104" r:id="rId40" xr:uid="{AE0089D3-808C-4790-9566-1F08F8F69A4D}"/>
    <hyperlink ref="C109:H10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43:H43" r:id="rId45" display="https://xbrl.efrag.org/eng/interactive/vsme/vsme-guidance-annex-ii/2025-07-30-ec-rec/118" xr:uid="{9B3C672C-2D5B-4AC8-9FDE-5863B03C6A02}"/>
    <hyperlink ref="B61:B62" r:id="rId46" display="137-140" xr:uid="{4184C8F5-A5CA-456F-BDD4-7E346D6CCC84}"/>
    <hyperlink ref="A51" r:id="rId47" xr:uid="{0025172A-8FCF-4FE5-B3C1-C88E6B3908A4}"/>
    <hyperlink ref="A52" r:id="rId48" xr:uid="{DEEA807F-A6D7-4856-BB88-4C45205AC4BA}"/>
    <hyperlink ref="A53" r:id="rId49" xr:uid="{4A217A22-46F6-4593-AD74-30E1B42C71F7}"/>
    <hyperlink ref="A59" r:id="rId50" xr:uid="{6A5E69FA-D2CE-4BD9-9F85-5A40CDFC2E87}"/>
    <hyperlink ref="A60" r:id="rId51" xr:uid="{85BC8A83-71E2-476B-B296-E7A368C12D6C}"/>
    <hyperlink ref="A76" r:id="rId52" display="https://xbrl.efrag.org/eng/interactive/vsme/vsme-standard-annex-i/2025-07-30-ec-rec/59" xr:uid="{B6352C9C-6ADA-4E23-90B8-5672D2623859}"/>
    <hyperlink ref="A77" r:id="rId53" display="https://xbrl.efrag.org/eng/interactive/vsme/vsme-standard-annex-i/2025-07-30-ec-rec/59" xr:uid="{2CE1D049-2FF7-4C14-8247-582CA2E7AADB}"/>
    <hyperlink ref="A84" r:id="rId54" xr:uid="{A01648FD-4531-4ADA-BC8A-D0BFD47BE31A}"/>
    <hyperlink ref="A85" r:id="rId55" xr:uid="{E695DDCD-8153-4195-B88B-FBF08412A5B0}"/>
    <hyperlink ref="A86" r:id="rId56" xr:uid="{C2A519AC-6FD2-4147-A05B-E0D9804C45D0}"/>
    <hyperlink ref="A87" r:id="rId57" xr:uid="{D269E440-5783-4049-8DA6-691D04D50C55}"/>
    <hyperlink ref="A88" r:id="rId58" xr:uid="{3636C888-0684-413B-B650-52AB80239273}"/>
    <hyperlink ref="A89" r:id="rId59" xr:uid="{9E82C054-8192-4AFE-8D00-45E9DBEDE98A}"/>
    <hyperlink ref="A90" r:id="rId60" xr:uid="{D2E67599-055A-4305-8D9E-CCC62B31E83C}"/>
    <hyperlink ref="A96" r:id="rId61" xr:uid="{42389616-D7DC-4967-8217-BA7DF3BF2677}"/>
    <hyperlink ref="A97" r:id="rId62" xr:uid="{FD787500-F418-4140-9673-E586F1C1FE87}"/>
    <hyperlink ref="A98" r:id="rId63" xr:uid="{101B247B-F782-48A2-B8C8-3A1DF15C08A7}"/>
    <hyperlink ref="A99" r:id="rId64" xr:uid="{CF1F45B8-9AD9-4586-9AF7-E6829297B0E7}"/>
    <hyperlink ref="A100" r:id="rId65" xr:uid="{158639B2-36A1-4A09-AAD2-C5B9508ACA3C}"/>
    <hyperlink ref="A101" r:id="rId66" xr:uid="{E1826D17-99A9-476E-8EB3-7421B92D132F}"/>
    <hyperlink ref="B54" r:id="rId67" xr:uid="{6531E4F5-A8E4-4C65-9524-B86416E7C98C}"/>
    <hyperlink ref="B83" r:id="rId68" display="https://xbrl.efrag.org/eng/interactive/vsme/vsme-guidance-annex-ii/2025-07-30-ec-rec/173" xr:uid="{CD1F773C-4DBC-4FE3-9F8B-EC998D968458}"/>
    <hyperlink ref="B84" r:id="rId69" display="https://xbrl.efrag.org/eng/interactive/vsme/vsme-guidance-annex-ii/2025-07-30-ec-rec/173" xr:uid="{4FEE3EA4-2284-4F07-9B36-2AEE980DF91A}"/>
    <hyperlink ref="B85" r:id="rId70" display="https://xbrl.efrag.org/eng/interactive/vsme/vsme-guidance-annex-ii/2025-07-30-ec-rec/173" xr:uid="{8239416B-CF1E-469D-AA10-1800167E3309}"/>
    <hyperlink ref="B86" r:id="rId71" display="https://xbrl.efrag.org/eng/interactive/vsme/vsme-guidance-annex-ii/2025-07-30-ec-rec/173" xr:uid="{2D45C5BA-97D7-47AA-AA14-72AFE5593D6D}"/>
    <hyperlink ref="B87" r:id="rId72" display="https://xbrl.efrag.org/eng/interactive/vsme/vsme-guidance-annex-ii/2025-07-30-ec-rec/173" xr:uid="{9B15DD8E-2981-4D03-905C-180F87E33E35}"/>
    <hyperlink ref="B88" r:id="rId73" display="https://xbrl.efrag.org/eng/interactive/vsme/vsme-guidance-annex-ii/2025-07-30-ec-rec/173" xr:uid="{8218DE42-1C86-481F-A6AF-1E75450D64FE}"/>
    <hyperlink ref="B89" r:id="rId74" display="https://xbrl.efrag.org/eng/interactive/vsme/vsme-guidance-annex-ii/2025-07-30-ec-rec/173" xr:uid="{9692D913-23F9-4B05-9B66-CE5A503AB1C4}"/>
    <hyperlink ref="B90" r:id="rId75" display="https://xbrl.efrag.org/eng/interactive/vsme/vsme-guidance-annex-ii/2025-07-30-ec-rec/173" xr:uid="{A25FA8FB-F895-497B-A810-794BEE155C88}"/>
    <hyperlink ref="B91" r:id="rId76" display="https://xbrl.efrag.org/eng/interactive/vsme/vsme-guidance-annex-ii/2025-07-30-ec-rec/173" xr:uid="{A1745671-C85A-4B5E-87F6-C0A8FB70740A}"/>
    <hyperlink ref="B95" r:id="rId77" display="https://xbrl.efrag.org/eng/interactive/vsme/vsme-guidance-annex-ii/2025-07-30-ec-rec/174" xr:uid="{FDF17B2D-0176-4706-B411-4F54D97C1CA8}"/>
    <hyperlink ref="B96" r:id="rId78" display="https://xbrl.efrag.org/eng/interactive/vsme/vsme-guidance-annex-ii/2025-07-30-ec-rec/174" xr:uid="{2C16E34B-1B18-4252-805B-637FBAE2CEDF}"/>
    <hyperlink ref="B97" r:id="rId79" display="https://xbrl.efrag.org/eng/interactive/vsme/vsme-guidance-annex-ii/2025-07-30-ec-rec/174" xr:uid="{3332D126-0D3A-487D-8EA3-F1F86FABDCC2}"/>
    <hyperlink ref="B98" r:id="rId80" display="https://xbrl.efrag.org/eng/interactive/vsme/vsme-guidance-annex-ii/2025-07-30-ec-rec/174" xr:uid="{F925DB5F-028A-4910-A85A-739E8E35F229}"/>
    <hyperlink ref="B99" r:id="rId81" display="https://xbrl.efrag.org/eng/interactive/vsme/vsme-guidance-annex-ii/2025-07-30-ec-rec/174" xr:uid="{7E2C1FA0-BF74-4E9C-9226-D9EA1B346D7C}"/>
    <hyperlink ref="B100" r:id="rId82" display="https://xbrl.efrag.org/eng/interactive/vsme/vsme-guidance-annex-ii/2025-07-30-ec-rec/174" xr:uid="{A4A94B65-7800-4536-AA15-3E3817B90BFB}"/>
    <hyperlink ref="B101" r:id="rId83" display="https://xbrl.efrag.org/eng/interactive/vsme/vsme-guidance-annex-ii/2025-07-30-ec-rec/174" xr:uid="{429E65FF-4151-47CA-9440-AD55907CC30E}"/>
    <hyperlink ref="B102" r:id="rId84" display="https://xbrl.efrag.org/eng/interactive/vsme/vsme-guidance-annex-ii/2025-07-30-ec-rec/174" xr:uid="{4E9248DE-3C7F-487D-885D-AC5F2BDFA45D}"/>
    <hyperlink ref="B103" r:id="rId85" display="https://xbrl.efrag.org/eng/interactive/vsme/vsme-guidance-annex-ii/2025-07-30-ec-rec/174" xr:uid="{2908366A-15C9-4C2F-BA5E-D048D6FFDF7A}"/>
    <hyperlink ref="B104" r:id="rId86" display="https://xbrl.efrag.org/eng/interactive/vsme/vsme-guidance-annex-ii/2025-07-30-ec-rec/174" xr:uid="{776DE015-4DF2-44E3-A7D9-CD366BB7D918}"/>
    <hyperlink ref="B51" r:id="rId87" xr:uid="{10325A92-4534-41F4-933D-08B26E504FC3}"/>
    <hyperlink ref="B52" r:id="rId88" xr:uid="{1A6F7006-BBE9-410C-B55B-75B449A59A0F}"/>
    <hyperlink ref="B53" r:id="rId89" xr:uid="{5DCC0FB2-6BC5-4CB6-AA33-4B56399A70A7}"/>
    <hyperlink ref="B59" r:id="rId90" xr:uid="{985191A6-08B6-463A-9892-9508669475E1}"/>
    <hyperlink ref="B60" r:id="rId91" xr:uid="{C22D5BD3-0F51-4FC4-9ED3-3C6207CA94E5}"/>
    <hyperlink ref="B79" r:id="rId92" xr:uid="{4E2EB394-1514-475F-A549-6B5ADC5A7ED2}"/>
    <hyperlink ref="B76" r:id="rId93" xr:uid="{D278DC32-8277-4A39-B148-40BD4ACC5845}"/>
    <hyperlink ref="B7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Information'!$E$62&gt;50</xm:f>
            <x14:dxf>
              <fill>
                <patternFill patternType="solid">
                  <bgColor rgb="FFFFFF99"/>
                </patternFill>
              </fill>
            </x14:dxf>
          </x14:cfRule>
          <xm:sqref>C44:H46</xm:sqref>
        </x14:conditionalFormatting>
        <x14:conditionalFormatting xmlns:xm="http://schemas.microsoft.com/office/excel/2006/main">
          <x14:cfRule type="expression" priority="43" id="{41BDF252-99BC-47B0-A14B-5396CCC7A6C9}">
            <xm:f>'General Information'!$E$62&gt;150</xm:f>
            <x14:dxf>
              <fill>
                <patternFill patternType="solid">
                  <bgColor rgb="FFFFFF99"/>
                </patternFill>
              </fill>
            </x14:dxf>
          </x14:cfRule>
          <xm:sqref>C58:H59</xm:sqref>
        </x14:conditionalFormatting>
        <x14:conditionalFormatting xmlns:xm="http://schemas.microsoft.com/office/excel/2006/main">
          <x14:cfRule type="expression" priority="36" id="{0A250C4B-DD07-4841-AABD-2DCC525B6367}">
            <xm:f>'General Information'!$E$62&gt;50</xm:f>
            <x14:dxf>
              <fill>
                <patternFill patternType="solid">
                  <bgColor rgb="FFFFFF99"/>
                </patternFill>
              </fill>
            </x14:dxf>
          </x14:cfRule>
          <xm:sqref>C75:H76</xm:sqref>
        </x14:conditionalFormatting>
        <x14:conditionalFormatting xmlns:xm="http://schemas.microsoft.com/office/excel/2006/main">
          <x14:cfRule type="expression" priority="35" id="{69F3CDF1-C506-4C12-A20E-FE804D24A482}">
            <xm:f>'General Information'!$E$62&gt;50</xm:f>
            <x14:dxf>
              <fill>
                <patternFill patternType="none">
                  <bgColor auto="1"/>
                </patternFill>
              </fill>
            </x14:dxf>
          </x14:cfRule>
          <xm:sqref>D78:H79</xm:sqref>
        </x14:conditionalFormatting>
        <x14:conditionalFormatting xmlns:xm="http://schemas.microsoft.com/office/excel/2006/main">
          <x14:cfRule type="expression" priority="34" id="{9B10E77F-7102-491B-A9C8-C6F978FDB272}">
            <xm:f>'General Information'!$E$32="Option A (Basic Module only)"</xm:f>
            <x14:dxf>
              <fill>
                <patternFill>
                  <bgColor theme="0" tint="-0.14996795556505021"/>
                </patternFill>
              </fill>
            </x14:dxf>
          </x14:cfRule>
          <xm:sqref>D84:H89</xm:sqref>
        </x14:conditionalFormatting>
        <x14:conditionalFormatting xmlns:xm="http://schemas.microsoft.com/office/excel/2006/main">
          <x14:cfRule type="expression" priority="23" id="{04A7DFC3-A5B9-44F5-A88C-400BD569DEEE}">
            <xm:f>'General Information'!$E$32="Option A (Basic Module only)"</xm:f>
            <x14:dxf>
              <fill>
                <patternFill>
                  <bgColor theme="0" tint="-0.14996795556505021"/>
                </patternFill>
              </fill>
            </x14:dxf>
          </x14:cfRule>
          <xm:sqref>D96:H100</xm:sqref>
        </x14:conditionalFormatting>
        <x14:conditionalFormatting xmlns:xm="http://schemas.microsoft.com/office/excel/2006/main">
          <x14:cfRule type="expression" priority="3" id="{7FE6ADB3-3DD3-426C-938E-EB2499260F47}">
            <xm:f>'General Information'!$E$32="Option A (Basic Module only)"</xm:f>
            <x14:dxf>
              <fill>
                <patternFill>
                  <bgColor theme="0" tint="-0.14996795556505021"/>
                </patternFill>
              </fill>
            </x14:dxf>
          </x14:cfRule>
          <xm:sqref>E27</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E39</xm:sqref>
        </x14:dataValidation>
        <x14:dataValidation type="decimal" operator="lessThanOrEqual" showInputMessage="1" showErrorMessage="1" xr:uid="{4524FD31-9514-4873-ACED-6F067A4868E8}">
          <x14:formula1>
            <xm:f>'General Information'!E62</xm:f>
          </x14:formula1>
          <xm:sqref>D61:H61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9" t="s">
        <v>3730</v>
      </c>
      <c r="B1" s="259" t="s">
        <v>3729</v>
      </c>
      <c r="C1" s="10"/>
      <c r="D1" s="10"/>
      <c r="E1" s="10"/>
      <c r="F1" s="10"/>
      <c r="G1" s="10"/>
      <c r="H1" s="10"/>
    </row>
    <row r="2" spans="1:9" x14ac:dyDescent="0.3">
      <c r="A2" s="10"/>
      <c r="B2" s="10"/>
      <c r="C2" s="608"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2024-01-01 to 2024-12-31 [If applicable]</v>
      </c>
      <c r="D2" s="609"/>
      <c r="E2" s="609"/>
      <c r="F2" s="609"/>
      <c r="G2" s="609"/>
      <c r="H2" s="610"/>
    </row>
    <row r="3" spans="1:9" x14ac:dyDescent="0.3">
      <c r="A3" s="10"/>
      <c r="B3" s="10"/>
      <c r="C3" s="1108">
        <v>43</v>
      </c>
      <c r="D3" s="1109"/>
      <c r="E3" s="1109"/>
      <c r="F3" s="1109"/>
      <c r="G3" s="1109"/>
      <c r="H3" s="1110"/>
    </row>
    <row r="4" spans="1:9" x14ac:dyDescent="0.3">
      <c r="A4" s="10"/>
      <c r="B4" s="10"/>
      <c r="C4" s="1111" t="s">
        <v>5666</v>
      </c>
      <c r="D4" s="1079"/>
      <c r="E4" s="1079"/>
      <c r="F4" s="1079"/>
      <c r="G4" s="1079"/>
      <c r="H4" s="1112"/>
    </row>
    <row r="5" spans="1:9" s="10" customFormat="1" x14ac:dyDescent="0.3">
      <c r="C5" s="1087" t="str">
        <f>template_label_has_the_undertaking_incurred_in_convictions_and_fines_in_the_reporting_period</f>
        <v>Has the undertaking incurred in convictions and fines in the reporting period?</v>
      </c>
      <c r="D5" s="1088"/>
      <c r="E5" s="1088"/>
      <c r="F5" s="1088"/>
      <c r="G5" s="1088"/>
      <c r="H5" s="169" t="b">
        <v>1</v>
      </c>
      <c r="I5" s="15"/>
    </row>
    <row r="6" spans="1:9" s="10" customFormat="1" ht="21.6" customHeight="1" x14ac:dyDescent="0.3">
      <c r="C6" s="1131" t="str">
        <f>template_label_total_number_of_convictions_for_the_violation_of_anti_corruption_and_anti_bribery_laws</f>
        <v>Total number of convictions  for the violation of anti-corruption and anti-bribery laws</v>
      </c>
      <c r="D6" s="1132"/>
      <c r="E6" s="1132"/>
      <c r="F6" s="1132"/>
      <c r="G6" s="1133"/>
      <c r="H6" s="290">
        <v>1</v>
      </c>
      <c r="I6" s="15" t="str">
        <f>IF(AND($H$5=TRUE,H6&lt;&gt;""), template_label_ok,
IF(AND($H$5=TRUE,H6=""), template_label_missing_value, ""))</f>
        <v>OK</v>
      </c>
    </row>
    <row r="7" spans="1:9" s="10" customFormat="1" ht="15" thickBot="1" x14ac:dyDescent="0.35">
      <c r="C7" s="1134"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35"/>
      <c r="E7" s="1135"/>
      <c r="F7" s="1135"/>
      <c r="G7" s="1136"/>
      <c r="H7" s="291">
        <v>5000</v>
      </c>
      <c r="I7" s="15" t="str">
        <f>IF(AND($H$5=TRUE,H7&lt;&gt;""), template_label_ok,
IF(AND($H$5=TRUE,H7=""), template_label_missing_value, ""))</f>
        <v>OK</v>
      </c>
    </row>
    <row r="8" spans="1:9" s="10" customFormat="1" ht="15" thickBot="1" x14ac:dyDescent="0.35">
      <c r="I8" s="15"/>
    </row>
    <row r="9" spans="1:9" s="10" customFormat="1" x14ac:dyDescent="0.3">
      <c r="C9" s="860" t="str">
        <f>template_label_c8_revenues_from_certain_sectors&amp;" "&amp;template_label_from&amp;" "&amp;template_starting_date_display&amp;" "&amp;template_label_to&amp;" "&amp;template_ending_date_display&amp;" "&amp;template_label_if_applicable</f>
        <v>C8 – Revenues from certain activities from 2024-01-01 to 2024-12-31 [If applicable]</v>
      </c>
      <c r="D9" s="1103"/>
      <c r="E9" s="1103"/>
      <c r="F9" s="1103"/>
      <c r="G9" s="1103"/>
      <c r="H9" s="1104"/>
      <c r="I9" s="15"/>
    </row>
    <row r="10" spans="1:9" ht="28.2" customHeight="1" x14ac:dyDescent="0.3">
      <c r="A10" s="10"/>
      <c r="B10" s="10"/>
      <c r="C10" s="1087" t="str">
        <f>template_label_is_the_undertaking_deriving_revenues_from_one_of_the_activities_listed_below</f>
        <v>Is the undertaking deriving revenues from one of the activities listed below?</v>
      </c>
      <c r="D10" s="1088"/>
      <c r="E10" s="1088"/>
      <c r="F10" s="1088"/>
      <c r="G10" s="1088"/>
      <c r="H10" s="170" t="b">
        <v>0</v>
      </c>
    </row>
    <row r="11" spans="1:9" x14ac:dyDescent="0.3">
      <c r="A11" s="10"/>
      <c r="B11" s="10"/>
      <c r="C11" s="1117"/>
      <c r="D11" s="1118"/>
      <c r="E11" s="1118"/>
      <c r="F11" s="1118"/>
      <c r="G11" s="1118"/>
      <c r="H11" s="53" t="str">
        <f>template_label_monetary_amount_in &amp; " " &amp; template_currency</f>
        <v>Monetary amount in EUR</v>
      </c>
    </row>
    <row r="12" spans="1:9" s="10" customFormat="1" ht="32.4" customHeight="1" x14ac:dyDescent="0.3">
      <c r="A12" s="464" t="s">
        <v>3769</v>
      </c>
      <c r="B12" s="467" t="s">
        <v>5668</v>
      </c>
      <c r="C12" s="624" t="str">
        <f>template_label_revenue_derived_from_controversial_weapons</f>
        <v>Revenue derived from controversial weapons (anti-personnel mines cluster munitions chemical weapons and biological weapons)</v>
      </c>
      <c r="D12" s="625"/>
      <c r="E12" s="625"/>
      <c r="F12" s="625"/>
      <c r="G12" s="625"/>
      <c r="H12" s="286"/>
      <c r="I12" s="1091" t="str">
        <f>IF(AND(H10=FALSE,COUNTA(H12:H16)=0, H18=""),
    "",
    IF(AND(OR(COUNTA(H12:H16)&gt;0, H18&lt;&gt;""), SUM(H12:H16, H18)&lt;='General Information'!E61),
        template_label_ok,
        IF(AND(H10=TRUE, COUNTA(H12:H16)=0, H18=""),
            template_label_missing_value,
            template_label_value_inconsistency
        )
    )
)</f>
        <v/>
      </c>
    </row>
    <row r="13" spans="1:9" s="10" customFormat="1" ht="15" thickBot="1" x14ac:dyDescent="0.35">
      <c r="A13" s="464" t="s">
        <v>3770</v>
      </c>
      <c r="B13" s="467" t="s">
        <v>5668</v>
      </c>
      <c r="C13" s="684" t="str">
        <f>template_label_revenue_derived_from_cultivation_and_production_of_tobacco</f>
        <v>Revenue derived from cultivation and production of tobacco</v>
      </c>
      <c r="D13" s="875"/>
      <c r="E13" s="875"/>
      <c r="F13" s="875"/>
      <c r="G13" s="875"/>
      <c r="H13" s="287"/>
      <c r="I13" s="1091"/>
    </row>
    <row r="14" spans="1:9" s="10" customFormat="1" x14ac:dyDescent="0.3">
      <c r="A14" s="475" t="s">
        <v>3771</v>
      </c>
      <c r="B14" s="467" t="s">
        <v>5668</v>
      </c>
      <c r="C14" s="1092" t="str">
        <f>template_label_revenue_derived_from_coal</f>
        <v>Revenue derived from coal</v>
      </c>
      <c r="D14" s="1093"/>
      <c r="E14" s="1093"/>
      <c r="F14" s="1093"/>
      <c r="G14" s="1093"/>
      <c r="H14" s="288"/>
      <c r="I14" s="1091"/>
    </row>
    <row r="15" spans="1:9" s="10" customFormat="1" x14ac:dyDescent="0.3">
      <c r="A15" s="475" t="s">
        <v>3771</v>
      </c>
      <c r="B15" s="467" t="s">
        <v>5668</v>
      </c>
      <c r="C15" s="624" t="str">
        <f>template_label_revenue_derived_from_oil</f>
        <v>Revenue derived from oil</v>
      </c>
      <c r="D15" s="625"/>
      <c r="E15" s="625"/>
      <c r="F15" s="625"/>
      <c r="G15" s="625"/>
      <c r="H15" s="286"/>
      <c r="I15" s="1091"/>
    </row>
    <row r="16" spans="1:9" s="10" customFormat="1" x14ac:dyDescent="0.3">
      <c r="A16" s="475" t="s">
        <v>3771</v>
      </c>
      <c r="B16" s="467" t="s">
        <v>5668</v>
      </c>
      <c r="C16" s="624" t="str">
        <f>template_label_revenue_derived_from_gas</f>
        <v>Revenue derived from gas</v>
      </c>
      <c r="D16" s="625"/>
      <c r="E16" s="625"/>
      <c r="F16" s="625"/>
      <c r="G16" s="625"/>
      <c r="H16" s="286"/>
      <c r="I16" s="1091"/>
    </row>
    <row r="17" spans="1:9" s="10" customFormat="1" ht="60.6" customHeight="1" thickBot="1" x14ac:dyDescent="0.35">
      <c r="A17" s="475" t="s">
        <v>3771</v>
      </c>
      <c r="B17" s="467" t="s">
        <v>5668</v>
      </c>
      <c r="C17" s="1089"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90"/>
      <c r="E17" s="1090"/>
      <c r="F17" s="1090"/>
      <c r="G17" s="1090"/>
      <c r="H17" s="282" t="str">
        <f>IF(COUNTA(H14:H16)=0, "-", SUM(H14:H16))</f>
        <v>-</v>
      </c>
      <c r="I17" s="1091"/>
    </row>
    <row r="18" spans="1:9" s="10" customFormat="1" ht="15" thickBot="1" x14ac:dyDescent="0.35">
      <c r="A18" s="464" t="s">
        <v>3772</v>
      </c>
      <c r="B18" s="467" t="s">
        <v>5668</v>
      </c>
      <c r="C18" s="686" t="str">
        <f>template_label_revenue_derived_from_chemicals_production</f>
        <v>Revenue derived from chemicals production</v>
      </c>
      <c r="D18" s="1116"/>
      <c r="E18" s="1116"/>
      <c r="F18" s="1116"/>
      <c r="G18" s="1116"/>
      <c r="H18" s="289"/>
      <c r="I18" s="1091"/>
    </row>
    <row r="19" spans="1:9" s="10" customFormat="1" ht="15" thickBot="1" x14ac:dyDescent="0.35">
      <c r="I19" s="15"/>
    </row>
    <row r="20" spans="1:9" s="10" customFormat="1" x14ac:dyDescent="0.3">
      <c r="C20" s="860"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2024-01-01 to 2024-12-31 [Always to be reported]</v>
      </c>
      <c r="D20" s="1103"/>
      <c r="E20" s="1103"/>
      <c r="F20" s="1103"/>
      <c r="G20" s="1103"/>
      <c r="H20" s="1104"/>
      <c r="I20" s="15"/>
    </row>
    <row r="21" spans="1:9" s="10" customFormat="1" x14ac:dyDescent="0.3">
      <c r="B21" s="405"/>
      <c r="C21" s="1113" t="str">
        <f>template_label_undertakings_are_excluded_from_the_eu_paris_aligned_benchmarks_if_they_derive</f>
        <v>Undertakings are excluded from the EU Paris-aligned Benchmarks if they  derive:</v>
      </c>
      <c r="D21" s="1114"/>
      <c r="E21" s="1114"/>
      <c r="F21" s="1114"/>
      <c r="G21" s="1114"/>
      <c r="H21" s="1115"/>
      <c r="I21" s="15"/>
    </row>
    <row r="22" spans="1:9" s="10" customFormat="1" ht="30" customHeight="1" x14ac:dyDescent="0.3">
      <c r="A22" s="464">
        <v>64</v>
      </c>
      <c r="B22" s="467" t="s">
        <v>5667</v>
      </c>
      <c r="C22" s="1119" t="str">
        <f>template_label_1_percent_or_more_of_their_revenues_from_exploration_mining_extraction_distribution_or_refining_of_hard_coal_and_lignite</f>
        <v>1% or more of their revenues from exploration mining extraction distribution or refining of hard coal and lignite</v>
      </c>
      <c r="D22" s="1120"/>
      <c r="E22" s="1120"/>
      <c r="F22" s="1120"/>
      <c r="G22" s="1121"/>
      <c r="H22" s="171" t="b">
        <v>0</v>
      </c>
      <c r="I22" s="1024" t="str">
        <f>IF(AND(OR(H22=TRUE, H23=TRUE, H24=TRUE, H25=TRUE), 'General Information'!E32="Option B (Basic Module and Comprehensive Module)"), template_label_ok,
    IF(AND(H22=FALSE, H23=FALSE, H24=FALSE, H25=FALSE, H26=FALSE, 'General Information'!E32="Option B (Basic Module and Comprehensive Module)"), template_label_missing_value,
    IF('General Information'!E32="Option A (Basic Module only)", "",
    IF(AND('General Information'!E32="Option B (Basic Module and Comprehensive Module)", H26=TRUE), template_label_ok, ""))))</f>
        <v>OK</v>
      </c>
    </row>
    <row r="23" spans="1:9" s="10" customFormat="1" x14ac:dyDescent="0.3">
      <c r="A23" s="464">
        <v>64</v>
      </c>
      <c r="B23" s="467" t="s">
        <v>5669</v>
      </c>
      <c r="C23" s="1122" t="str">
        <f>template_label_10_percent_or_more_of_their_revenues_from_the_exploration_extraction_distribution_or_refining_of_oil_fuels</f>
        <v>10% or more of their revenues from the exploration extraction distribution or refining of oil fuels</v>
      </c>
      <c r="D23" s="1123"/>
      <c r="E23" s="1123"/>
      <c r="F23" s="1123"/>
      <c r="G23" s="1124"/>
      <c r="H23" s="172" t="b">
        <v>0</v>
      </c>
      <c r="I23" s="1024"/>
    </row>
    <row r="24" spans="1:9" s="10" customFormat="1" ht="32.4" customHeight="1" x14ac:dyDescent="0.3">
      <c r="A24" s="464">
        <v>64</v>
      </c>
      <c r="B24" s="467" t="s">
        <v>5670</v>
      </c>
      <c r="C24" s="1125" t="str">
        <f>template_label_50_percent_or_more_of_their_revenues_from_the_exploration_extraction_manufacturing_or_distribution_of_gaseous_fuels</f>
        <v>50% or more of their revenues from the exploration extraction manufacturing or distribution of gaseous fuels</v>
      </c>
      <c r="D24" s="1126"/>
      <c r="E24" s="1126"/>
      <c r="F24" s="1126"/>
      <c r="G24" s="1127"/>
      <c r="H24" s="172" t="b">
        <v>0</v>
      </c>
      <c r="I24" s="1024"/>
    </row>
    <row r="25" spans="1:9" s="10" customFormat="1" ht="31.2" customHeight="1" thickBot="1" x14ac:dyDescent="0.35">
      <c r="A25" s="464">
        <v>64</v>
      </c>
      <c r="B25" s="467" t="s">
        <v>5671</v>
      </c>
      <c r="C25" s="1128" t="str">
        <f>template_label_50_percent_or_more_of_their_revenues_from_electricity_generation</f>
        <v>50% or more of their revenues from electricity generation with a GHG intensity of more than 100g CO2 e kWh</v>
      </c>
      <c r="D25" s="1129"/>
      <c r="E25" s="1129"/>
      <c r="F25" s="1129"/>
      <c r="G25" s="1130"/>
      <c r="H25" s="173" t="b">
        <v>0</v>
      </c>
      <c r="I25" s="1024"/>
    </row>
    <row r="26" spans="1:9" s="10" customFormat="1" ht="15" thickBot="1" x14ac:dyDescent="0.35">
      <c r="C26" s="1097" t="str">
        <f>template_label_none_of_the_above</f>
        <v>None of the above</v>
      </c>
      <c r="D26" s="1098"/>
      <c r="E26" s="1098"/>
      <c r="F26" s="1098"/>
      <c r="G26" s="1099"/>
      <c r="H26" s="174" t="b">
        <v>1</v>
      </c>
      <c r="I26" s="1024"/>
    </row>
    <row r="27" spans="1:9" s="10" customFormat="1" ht="15" thickBot="1" x14ac:dyDescent="0.35">
      <c r="A27" s="464">
        <v>64</v>
      </c>
      <c r="B27" s="467">
        <v>177</v>
      </c>
      <c r="C27" s="1100" t="str">
        <f>template_label_undertakings_are_excluded_from_any_eu_reference_benchmarks_that_are_aligned_with_the_paris_agreement</f>
        <v>Undertakings are excluded from any EU reference benchmarks that are aligned with the Paris Agreement</v>
      </c>
      <c r="D27" s="1101"/>
      <c r="E27" s="1101"/>
      <c r="F27" s="1101"/>
      <c r="G27" s="1102"/>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x14ac:dyDescent="0.3">
      <c r="C29" s="1105" t="str">
        <f>template_label_c9_gender_diversity_ratio_in_the_governance_body&amp;" "&amp;template_label_at&amp;" "&amp;template_ending_date_display&amp;" "&amp;template_label_if_applicable</f>
        <v>C9 – Gender diversity ratio in the governance body at 2024-12-31 [If applicable]</v>
      </c>
      <c r="D29" s="1106"/>
      <c r="E29" s="1106"/>
      <c r="F29" s="1106"/>
      <c r="G29" s="1106"/>
      <c r="H29" s="1107"/>
      <c r="I29" s="15"/>
    </row>
    <row r="30" spans="1:9" s="10" customFormat="1" x14ac:dyDescent="0.3">
      <c r="C30" s="1087" t="str">
        <f>template_label_does_the_undertaking_have_a_governance_body_in_place</f>
        <v>Does the undertaking have a governance body in place?</v>
      </c>
      <c r="D30" s="1088"/>
      <c r="E30" s="1088"/>
      <c r="F30" s="1088"/>
      <c r="G30" s="1088"/>
      <c r="H30" s="170" t="b">
        <v>1</v>
      </c>
      <c r="I30" s="15"/>
    </row>
    <row r="31" spans="1:9" s="10" customFormat="1" x14ac:dyDescent="0.3">
      <c r="A31" s="1079">
        <v>65</v>
      </c>
      <c r="B31" s="1082" t="s">
        <v>5672</v>
      </c>
      <c r="C31" s="1087" t="str">
        <f>template_label_number_of_female_board_members_at_the_end_of_the_reporting_period</f>
        <v>Number of female board members at the end of the reporting period</v>
      </c>
      <c r="D31" s="1088"/>
      <c r="E31" s="1088"/>
      <c r="F31" s="1088"/>
      <c r="G31" s="1088"/>
      <c r="H31" s="286">
        <v>5</v>
      </c>
      <c r="I31" s="15" t="str">
        <f>IF(AND($H$30=TRUE, H31&lt;&gt;""), template_label_ok, IF(AND($H$30=TRUE, H31=""), template_label_missing_value, ""))</f>
        <v>OK</v>
      </c>
    </row>
    <row r="32" spans="1:9" s="10" customFormat="1" x14ac:dyDescent="0.3">
      <c r="A32" s="1080"/>
      <c r="B32" s="1083"/>
      <c r="C32" s="1087" t="str">
        <f>template_label_number_of_male_board_members_at_the_end_of_the_reporting_period</f>
        <v>Number of male board members at the end of the reporting period</v>
      </c>
      <c r="D32" s="1088"/>
      <c r="E32" s="1088"/>
      <c r="F32" s="1088"/>
      <c r="G32" s="1088"/>
      <c r="H32" s="286">
        <v>2</v>
      </c>
      <c r="I32" s="15" t="str">
        <f>IF(AND($H$30=TRUE, H32&lt;&gt;""), template_label_ok, IF(AND($H$30=TRUE, H32=""), template_label_missing_value, ""))</f>
        <v>OK</v>
      </c>
    </row>
    <row r="33" spans="1:9" s="10" customFormat="1" ht="15" thickBot="1" x14ac:dyDescent="0.35">
      <c r="A33" s="1081"/>
      <c r="B33" s="1084"/>
      <c r="C33" s="1085" t="str">
        <f>template_label_gender_diversity_ratio_in_governance_body</f>
        <v>Gender diversity ratio in governance body</v>
      </c>
      <c r="D33" s="1086"/>
      <c r="E33" s="1086"/>
      <c r="F33" s="1086"/>
      <c r="G33" s="1086"/>
      <c r="H33" s="282">
        <f>IF(AND(H31&lt;&gt;"",H32&lt;&gt;""),IF(OR(H31=0,H32=0),0,H31/H32),"-")</f>
        <v>2.5</v>
      </c>
      <c r="I33" s="15"/>
    </row>
    <row r="34" spans="1:9" s="10" customFormat="1" x14ac:dyDescent="0.3">
      <c r="I34" s="15"/>
    </row>
    <row r="35" spans="1:9" s="10" customFormat="1" x14ac:dyDescent="0.3">
      <c r="I35" s="15"/>
    </row>
    <row r="36" spans="1:9" s="10" customFormat="1" x14ac:dyDescent="0.3">
      <c r="C36" s="559"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2024-01-01 to 2024-12-31 [May (optional)]</v>
      </c>
      <c r="D36" s="560"/>
      <c r="E36" s="560"/>
      <c r="F36" s="560"/>
      <c r="G36" s="560"/>
      <c r="H36" s="561"/>
      <c r="I36" s="15"/>
    </row>
    <row r="37" spans="1:9" s="10" customFormat="1" x14ac:dyDescent="0.3">
      <c r="C37" s="1094">
        <v>10</v>
      </c>
      <c r="D37" s="1095"/>
      <c r="E37" s="1095"/>
      <c r="F37" s="1095"/>
      <c r="G37" s="1095"/>
      <c r="H37" s="1096"/>
      <c r="I37" s="15"/>
    </row>
    <row r="38" spans="1:9" s="10" customFormat="1" ht="15" thickBot="1" x14ac:dyDescent="0.35">
      <c r="C38" s="553"/>
      <c r="D38" s="554"/>
      <c r="E38" s="554"/>
      <c r="F38" s="554"/>
      <c r="G38" s="554"/>
      <c r="H38" s="1076"/>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K3eH2uftqwKhLFvF2U50aG5ZEpzyH4ldgHH+OHkhIUi9FCDctK4/ZUCBsnOAj6DxqqizODPvfbGuc9+na2CumQ==" saltValue="ZOwlAF98+NaHaLYDrAvmT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48" priority="7">
      <formula>$H$5=TRUE</formula>
    </cfRule>
  </conditionalFormatting>
  <conditionalFormatting sqref="H12:H16">
    <cfRule type="expression" dxfId="47" priority="6">
      <formula>$H$10=TRUE</formula>
    </cfRule>
  </conditionalFormatting>
  <conditionalFormatting sqref="H18">
    <cfRule type="expression" dxfId="46" priority="5">
      <formula>$H$10=TRUE</formula>
    </cfRule>
  </conditionalFormatting>
  <conditionalFormatting sqref="H31:H32">
    <cfRule type="expression" dxfId="45" priority="4">
      <formula>$H$30=TRUE</formula>
    </cfRule>
  </conditionalFormatting>
  <conditionalFormatting sqref="I6:I7">
    <cfRule type="expression" dxfId="44" priority="3">
      <formula>$I6=template_label_missing_value</formula>
    </cfRule>
    <cfRule type="expression" dxfId="43" priority="25">
      <formula>$I6=template_label_ok</formula>
    </cfRule>
  </conditionalFormatting>
  <conditionalFormatting sqref="I12:I18">
    <cfRule type="expression" dxfId="42" priority="1">
      <formula>$I$12=template_label_missing_value</formula>
    </cfRule>
    <cfRule type="expression" dxfId="41" priority="11">
      <formula>$I$12=template_label_value_inconsistency</formula>
    </cfRule>
    <cfRule type="expression" dxfId="40" priority="12">
      <formula>$I$12=template_label_ok</formula>
    </cfRule>
  </conditionalFormatting>
  <conditionalFormatting sqref="I22">
    <cfRule type="expression" dxfId="39" priority="8">
      <formula>$I$22=template_label_ok</formula>
    </cfRule>
    <cfRule type="expression" dxfId="38" priority="9">
      <formula>$I$22=template_label_missing_value</formula>
    </cfRule>
  </conditionalFormatting>
  <conditionalFormatting sqref="I27">
    <cfRule type="expression" dxfId="37" priority="18">
      <formula>$I$27="OK"</formula>
    </cfRule>
  </conditionalFormatting>
  <conditionalFormatting sqref="I30:I32">
    <cfRule type="expression" dxfId="36" priority="17">
      <formula>$I30=template_label_ok</formula>
    </cfRule>
  </conditionalFormatting>
  <conditionalFormatting sqref="I31:I32">
    <cfRule type="expression" dxfId="35" priority="2">
      <formula>$I31=template_label_missing_value</formula>
    </cfRule>
  </conditionalFormatting>
  <conditionalFormatting sqref="I38">
    <cfRule type="expression" dxfId="34"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Information'!$E$61</xm:f>
          </x14:formula1>
          <xm:sqref>H17</xm:sqref>
        </x14:dataValidation>
        <x14:dataValidation type="custom" showInputMessage="1" showErrorMessage="1" xr:uid="{F6328591-2F0B-4688-A58B-FE2019B26C27}">
          <x14:formula1>
            <xm:f>($H$12+$H$13+$H$14+$H$15+$H$16+$H$18)&lt;='General Information'!$E$61</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16384" width="9.33203125" style="10"/>
  </cols>
  <sheetData>
    <row r="1" spans="1:53" ht="28.5" customHeight="1" thickTop="1" thickBot="1" x14ac:dyDescent="0.45">
      <c r="A1" s="399" t="str">
        <f>template_label_fuel_converter</f>
        <v>FUEL CONVERTER</v>
      </c>
      <c r="B1" s="10"/>
      <c r="AL1" s="10"/>
      <c r="AN1" s="10"/>
      <c r="AO1" s="10"/>
      <c r="AP1" s="10"/>
    </row>
    <row r="2" spans="1:53" ht="39.450000000000003" customHeight="1" thickTop="1" x14ac:dyDescent="0.4">
      <c r="A2" s="460" t="str">
        <f>template_label_disclaimer</f>
        <v>DISCLAIMER:</v>
      </c>
      <c r="B2" s="10"/>
      <c r="AL2" s="10"/>
      <c r="AN2" s="10"/>
      <c r="AO2" s="10"/>
      <c r="AP2" s="10"/>
    </row>
    <row r="3" spans="1:53" ht="54" customHeight="1" x14ac:dyDescent="0.4">
      <c r="A3" s="1137"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37"/>
      <c r="C3" s="1137"/>
      <c r="D3" s="1137"/>
      <c r="E3" s="1137"/>
      <c r="F3" s="1137"/>
      <c r="G3" s="1137"/>
      <c r="H3" s="1137"/>
      <c r="I3" s="1137"/>
      <c r="J3" s="1137"/>
      <c r="K3" s="1137"/>
      <c r="AL3" s="10"/>
      <c r="AN3" s="10"/>
      <c r="AO3" s="10"/>
      <c r="AP3" s="10"/>
    </row>
    <row r="4" spans="1:53" ht="44.55" customHeight="1" x14ac:dyDescent="0.4">
      <c r="A4" s="1137"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37"/>
      <c r="C4" s="1137"/>
      <c r="D4" s="1137"/>
      <c r="E4" s="1137"/>
      <c r="F4" s="1137"/>
      <c r="G4" s="1137"/>
      <c r="H4" s="1137"/>
      <c r="I4" s="1137"/>
      <c r="J4" s="1137"/>
      <c r="K4" s="1137"/>
      <c r="AL4" s="10"/>
      <c r="AN4" s="10"/>
      <c r="AO4" s="10"/>
      <c r="AP4" s="10"/>
    </row>
    <row r="5" spans="1:53" ht="48.45" customHeight="1" thickBot="1" x14ac:dyDescent="0.45">
      <c r="A5" s="1137"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37"/>
      <c r="C5" s="1137"/>
      <c r="D5" s="1137"/>
      <c r="E5" s="1137"/>
      <c r="F5" s="1137"/>
      <c r="G5" s="1137"/>
      <c r="H5" s="1137"/>
      <c r="I5" s="1137"/>
      <c r="J5" s="1137"/>
      <c r="K5" s="1137"/>
      <c r="AL5" s="10"/>
      <c r="AN5" s="10"/>
      <c r="AO5" s="10"/>
      <c r="AP5" s="10"/>
    </row>
    <row r="6" spans="1:53" ht="35.4" customHeight="1" thickBot="1" x14ac:dyDescent="0.35">
      <c r="A6" s="402"/>
      <c r="B6" s="1156" t="str">
        <f>template_label_indicates_that_the_cell_should_be_filled_either_by_selecting_a_value_from_the_dropdown</f>
        <v>Indicates that the cell should be filled either by selecting a value from the dropdown (e.g. Type of fuel or Unit of Measurement) or by entering an amount.</v>
      </c>
      <c r="C6" s="1157"/>
      <c r="D6" s="1157"/>
      <c r="E6" s="1157"/>
      <c r="F6" s="1158"/>
      <c r="G6" s="403"/>
      <c r="H6" s="401"/>
      <c r="I6" s="401"/>
      <c r="J6" s="401"/>
      <c r="AL6" s="10"/>
      <c r="AN6" s="10"/>
      <c r="AO6" s="10"/>
      <c r="AP6" s="10"/>
    </row>
    <row r="7" spans="1:53" ht="44.4" customHeight="1" thickBot="1" x14ac:dyDescent="0.35">
      <c r="A7" s="404" t="s">
        <v>3539</v>
      </c>
      <c r="B7" s="1156" t="str">
        <f>template_label_indicates_that_the_cell_is_automatically_calculated_and_that_no_data_entry_is_required</f>
        <v>Indicates that the cell is automatically calculated and that no data entry is required.</v>
      </c>
      <c r="C7" s="1157"/>
      <c r="D7" s="1157"/>
      <c r="E7" s="1157"/>
      <c r="F7" s="1158"/>
      <c r="G7" s="403"/>
      <c r="H7" s="401"/>
      <c r="I7" s="401"/>
      <c r="J7" s="401"/>
      <c r="AL7" s="10"/>
      <c r="AN7" s="10"/>
      <c r="AO7" s="10"/>
      <c r="AP7" s="10"/>
    </row>
    <row r="8" spans="1:53" ht="40.200000000000003" customHeight="1" thickBot="1" x14ac:dyDescent="0.35">
      <c r="A8" s="400"/>
      <c r="B8" s="10"/>
      <c r="AC8" s="405"/>
      <c r="AL8" s="10"/>
      <c r="AN8" s="10"/>
      <c r="AO8" s="10"/>
      <c r="AP8" s="10"/>
    </row>
    <row r="9" spans="1:53" ht="15" thickBot="1" x14ac:dyDescent="0.35">
      <c r="A9" s="406" t="str">
        <f>template_label_fuel_type</f>
        <v>Fuel type</v>
      </c>
      <c r="B9" s="406" t="str">
        <f>template_label_unit_of_measurement</f>
        <v>Unit of measurement</v>
      </c>
      <c r="C9" s="407" t="str">
        <f>template_label_amount</f>
        <v>Amount</v>
      </c>
      <c r="D9" s="407" t="str">
        <f>template_label_state_of_matter</f>
        <v>State of matter</v>
      </c>
      <c r="E9" s="408" t="str">
        <f>template_label_typical_renewable_state</f>
        <v>Typical renewable state</v>
      </c>
      <c r="F9" s="408" t="str">
        <f>template_label_calculated_energy_in_mwh</f>
        <v>Calculated Energy in MWh</v>
      </c>
      <c r="I9" s="400" t="str">
        <f>template_label_usage_of_fuel_converter</f>
        <v>Usage of Fuel Converter:</v>
      </c>
      <c r="O9" s="409"/>
      <c r="P9" s="410"/>
      <c r="Q9" s="411"/>
      <c r="S9" s="409"/>
      <c r="T9" s="410"/>
      <c r="U9" s="411"/>
      <c r="W9" s="409"/>
      <c r="X9" s="410"/>
      <c r="Y9" s="411"/>
      <c r="AA9" s="409"/>
      <c r="AB9" s="410"/>
      <c r="AC9" s="411"/>
      <c r="AE9" s="409"/>
      <c r="AF9" s="410"/>
      <c r="AG9" s="411"/>
      <c r="AI9" s="409"/>
      <c r="AJ9" s="410"/>
      <c r="AK9" s="411"/>
      <c r="AL9" s="10"/>
      <c r="AM9" s="409"/>
      <c r="AN9" s="410"/>
      <c r="AO9" s="411"/>
      <c r="AP9" s="10"/>
      <c r="AQ9" s="409"/>
      <c r="AR9" s="410"/>
      <c r="AS9" s="411"/>
      <c r="AU9" s="409"/>
      <c r="AV9" s="410"/>
      <c r="AW9" s="411"/>
      <c r="AY9" s="409"/>
      <c r="AZ9" s="410"/>
      <c r="BA9" s="411"/>
    </row>
    <row r="10" spans="1:53" ht="15" thickBot="1" x14ac:dyDescent="0.35">
      <c r="A10" s="395" t="s">
        <v>2970</v>
      </c>
      <c r="B10" s="395" t="s">
        <v>7630</v>
      </c>
      <c r="C10" s="396">
        <v>12</v>
      </c>
      <c r="D10" s="412" t="str">
        <f>P11</f>
        <v>Liquid</v>
      </c>
      <c r="E10" s="413" t="str">
        <f>P12</f>
        <v>Renewable</v>
      </c>
      <c r="F10" s="414">
        <f>IF(C10="","-",O22)</f>
        <v>76.500061200000005</v>
      </c>
      <c r="G10" s="415"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6" t="s">
        <v>2926</v>
      </c>
      <c r="P10" s="417" t="str">
        <f>IF(A10="","-",A10)</f>
        <v>Biodiesel</v>
      </c>
      <c r="Q10" s="418"/>
      <c r="S10" s="416" t="s">
        <v>2926</v>
      </c>
      <c r="T10" s="417" t="str">
        <f>IF(A11="","-",A11)</f>
        <v>Methane</v>
      </c>
      <c r="U10" s="418"/>
      <c r="W10" s="416" t="s">
        <v>2926</v>
      </c>
      <c r="X10" s="417" t="str">
        <f>IF(A12="","-",A12)</f>
        <v>-</v>
      </c>
      <c r="Y10" s="418"/>
      <c r="AA10" s="416" t="s">
        <v>2926</v>
      </c>
      <c r="AB10" s="417" t="str">
        <f>IF(A13="","-",A13)</f>
        <v>-</v>
      </c>
      <c r="AC10" s="418"/>
      <c r="AE10" s="416" t="s">
        <v>2926</v>
      </c>
      <c r="AF10" s="417" t="str">
        <f>IF(A14="","-",A14)</f>
        <v>-</v>
      </c>
      <c r="AG10" s="418"/>
      <c r="AI10" s="416" t="s">
        <v>2926</v>
      </c>
      <c r="AJ10" s="417" t="str">
        <f>IF(A15="","-",A15)</f>
        <v>-</v>
      </c>
      <c r="AK10" s="418"/>
      <c r="AL10" s="10"/>
      <c r="AM10" s="416" t="s">
        <v>2926</v>
      </c>
      <c r="AN10" s="417" t="str">
        <f>IF(A16="","-",A16)</f>
        <v>-</v>
      </c>
      <c r="AO10" s="418"/>
      <c r="AP10" s="10"/>
      <c r="AQ10" s="416" t="s">
        <v>2926</v>
      </c>
      <c r="AR10" s="417" t="str">
        <f>IF(A17="","-",A17)</f>
        <v>-</v>
      </c>
      <c r="AS10" s="418"/>
      <c r="AU10" s="416" t="s">
        <v>2926</v>
      </c>
      <c r="AV10" s="417" t="str">
        <f>IF(A18="","-",A18)</f>
        <v>-</v>
      </c>
      <c r="AW10" s="418"/>
      <c r="AY10" s="416" t="s">
        <v>2926</v>
      </c>
      <c r="AZ10" s="417" t="str">
        <f>IF(A19="","-",A19)</f>
        <v>-</v>
      </c>
      <c r="BA10" s="418"/>
    </row>
    <row r="11" spans="1:53" ht="15" thickBot="1" x14ac:dyDescent="0.35">
      <c r="A11" s="395" t="s">
        <v>2989</v>
      </c>
      <c r="B11" s="395" t="s">
        <v>2968</v>
      </c>
      <c r="C11" s="396">
        <v>23</v>
      </c>
      <c r="D11" s="419" t="str">
        <f>T11</f>
        <v>Gaseous</v>
      </c>
      <c r="E11" s="420" t="str">
        <f>T12</f>
        <v>Non-renewable</v>
      </c>
      <c r="F11" s="413">
        <f>IF(C11="","-",S22)</f>
        <v>2.1402794900000002E-4</v>
      </c>
      <c r="G11" s="415" t="str">
        <f t="shared" si="0"/>
        <v/>
      </c>
      <c r="I11" s="10" t="str">
        <f>template_label_2_in_cell_b9_select_the_unit_of_measurement_used</f>
        <v>2. In cell B9 select the Unit of measurement used</v>
      </c>
      <c r="O11" s="416" t="s">
        <v>3019</v>
      </c>
      <c r="P11" s="404" t="str">
        <f>IF(OR(P10="", P10="-"), "-", IFERROR(IF(INDEX('Fuel Conversion Parameters'!$B$2:$B$61, MATCH(P10, 'Fuel Conversion Parameters'!$A$2:$A$61, 0))="", "MISSING VALUE", INDEX('Fuel Conversion Parameters'!$B$2:$B$61, MATCH(P10, 'Fuel Conversion Parameters'!$A$2:$A$61, 0))), "MISSING VALUE"))</f>
        <v>Liquid</v>
      </c>
      <c r="Q11" s="418"/>
      <c r="S11" s="416" t="s">
        <v>3019</v>
      </c>
      <c r="T11" s="404" t="str">
        <f>IF(OR(T10="", T10="-"), "-", IFERROR(IF(INDEX('Fuel Conversion Parameters'!$B$2:$B$61, MATCH(T10, 'Fuel Conversion Parameters'!$A$2:$A$61, 0))="", "MISSING VALUE", INDEX('Fuel Conversion Parameters'!$B$2:$B$61, MATCH(T10, 'Fuel Conversion Parameters'!$A$2:$A$61, 0))), "MISSING VALUE"))</f>
        <v>Gaseous</v>
      </c>
      <c r="U11" s="418"/>
      <c r="W11" s="416" t="s">
        <v>3019</v>
      </c>
      <c r="X11" s="404" t="str">
        <f>IF(OR(X10="", X10="-"), "-", IFERROR(IF(INDEX('Fuel Conversion Parameters'!$B$2:$B$61, MATCH(X10, 'Fuel Conversion Parameters'!$A$2:$A$61, 0))="", "MISSING VALUE", INDEX('Fuel Conversion Parameters'!$B$2:$B$61, MATCH(X10, 'Fuel Conversion Parameters'!$A$2:$A$61, 0))), "MISSING VALUE"))</f>
        <v>-</v>
      </c>
      <c r="Y11" s="418"/>
      <c r="AA11" s="416" t="s">
        <v>3019</v>
      </c>
      <c r="AB11" s="404" t="str">
        <f>IF(OR(AB10="", AB10="-"), "-", IFERROR(IF(INDEX('Fuel Conversion Parameters'!$B$2:$B$61, MATCH(AB10, 'Fuel Conversion Parameters'!$A$2:$A$61, 0))="", "MISSING VALUE", INDEX('Fuel Conversion Parameters'!$B$2:$B$61, MATCH(AB10, 'Fuel Conversion Parameters'!$A$2:$A$61, 0))), "MISSING VALUE"))</f>
        <v>-</v>
      </c>
      <c r="AC11" s="418"/>
      <c r="AE11" s="416" t="s">
        <v>3019</v>
      </c>
      <c r="AF11" s="404" t="str">
        <f>IF(OR(AF10="", AF10="-"), "-", IFERROR(IF(INDEX('Fuel Conversion Parameters'!$B$2:$B$61, MATCH(AF10, 'Fuel Conversion Parameters'!$A$2:$A$61, 0))="", "MISSING VALUE", INDEX('Fuel Conversion Parameters'!$B$2:$B$61, MATCH(AF10, 'Fuel Conversion Parameters'!$A$2:$A$61, 0))), "MISSING VALUE"))</f>
        <v>-</v>
      </c>
      <c r="AG11" s="418"/>
      <c r="AI11" s="416" t="s">
        <v>3019</v>
      </c>
      <c r="AJ11" s="404" t="str">
        <f>IF(OR(AJ10="", AJ10="-"), "-", IFERROR(IF(INDEX('Fuel Conversion Parameters'!$B$2:$B$61, MATCH(AJ10, 'Fuel Conversion Parameters'!$A$2:$A$61, 0))="", "MISSING VALUE", INDEX('Fuel Conversion Parameters'!$B$2:$B$61, MATCH(AJ10, 'Fuel Conversion Parameters'!$A$2:$A$61, 0))), "MISSING VALUE"))</f>
        <v>-</v>
      </c>
      <c r="AK11" s="418"/>
      <c r="AL11" s="10"/>
      <c r="AM11" s="416" t="s">
        <v>3019</v>
      </c>
      <c r="AN11" s="404" t="str">
        <f>IF(OR(AN10="", AN10="-"), "-", IFERROR(IF(INDEX('Fuel Conversion Parameters'!$B$2:$B$61, MATCH(AN10, 'Fuel Conversion Parameters'!$A$2:$A$61, 0))="", "MISSING VALUE", INDEX('Fuel Conversion Parameters'!$B$2:$B$61, MATCH(AN10, 'Fuel Conversion Parameters'!$A$2:$A$61, 0))), "MISSING VALUE"))</f>
        <v>-</v>
      </c>
      <c r="AO11" s="418"/>
      <c r="AP11" s="10"/>
      <c r="AQ11" s="416" t="s">
        <v>3019</v>
      </c>
      <c r="AR11" s="404" t="str">
        <f>IF(OR(AR10="", AR10="-"), "-", IFERROR(IF(INDEX('Fuel Conversion Parameters'!$B$2:$B$61, MATCH(AR10, 'Fuel Conversion Parameters'!$A$2:$A$61, 0))="", "MISSING VALUE", INDEX('Fuel Conversion Parameters'!$B$2:$B$61, MATCH(AR10, 'Fuel Conversion Parameters'!$A$2:$A$61, 0))), "MISSING VALUE"))</f>
        <v>-</v>
      </c>
      <c r="AS11" s="418"/>
      <c r="AU11" s="416" t="s">
        <v>3019</v>
      </c>
      <c r="AV11" s="404" t="str">
        <f>IF(OR(AV10="", AV10="-"), "-", IFERROR(IF(INDEX('Fuel Conversion Parameters'!$B$2:$B$61, MATCH(AV10, 'Fuel Conversion Parameters'!$A$2:$A$61, 0))="", "MISSING VALUE", INDEX('Fuel Conversion Parameters'!$B$2:$B$61, MATCH(AV10, 'Fuel Conversion Parameters'!$A$2:$A$61, 0))), "MISSING VALUE"))</f>
        <v>-</v>
      </c>
      <c r="AW11" s="418"/>
      <c r="AY11" s="416" t="s">
        <v>3019</v>
      </c>
      <c r="AZ11" s="404" t="str">
        <f>IF(OR(AZ10="", AZ10="-"), "-", IFERROR(IF(INDEX('Fuel Conversion Parameters'!$B$2:$B$61, MATCH(AZ10, 'Fuel Conversion Parameters'!$A$2:$A$61, 0))="", "MISSING VALUE", INDEX('Fuel Conversion Parameters'!$B$2:$B$61, MATCH(AZ10, 'Fuel Conversion Parameters'!$A$2:$A$61, 0))), "MISSING VALUE"))</f>
        <v>-</v>
      </c>
      <c r="BA11" s="418"/>
    </row>
    <row r="12" spans="1:53" ht="15" thickBot="1" x14ac:dyDescent="0.35">
      <c r="A12" s="395"/>
      <c r="B12" s="395"/>
      <c r="C12" s="396"/>
      <c r="D12" s="419" t="str">
        <f>X11</f>
        <v>-</v>
      </c>
      <c r="E12" s="420" t="str">
        <f>X12</f>
        <v>-</v>
      </c>
      <c r="F12" s="413" t="str">
        <f>IF(C12="","-",W22)</f>
        <v>-</v>
      </c>
      <c r="G12" s="415" t="str">
        <f t="shared" si="0"/>
        <v/>
      </c>
      <c r="I12" s="10" t="str">
        <f>template_label_3_in_cell_c9_select_the_amount_of_fuel_used</f>
        <v>3. In cell C9 select the Amount of fuel used</v>
      </c>
      <c r="O12" s="406" t="s">
        <v>3578</v>
      </c>
      <c r="P12" s="404" t="str">
        <f>IF(OR(P10="", P10="-"), "-", IFERROR(IF(INDEX('Fuel Conversion Parameters'!$F$2:$F$61, MATCH(P10, 'Fuel Conversion Parameters'!$A$2:$A$61, 0))="", "MISSING VALUE", INDEX('Fuel Conversion Parameters'!$F$2:$F$61, MATCH(P10, 'Fuel Conversion Parameters'!$A$2:$A$61, 0))), "MISSING VALUE"))</f>
        <v>Renewable</v>
      </c>
      <c r="Q12" s="418"/>
      <c r="S12" s="416" t="s">
        <v>3578</v>
      </c>
      <c r="T12" s="404" t="str">
        <f>IF(OR(T10="", T10="-"), "-", IFERROR(IF(INDEX('Fuel Conversion Parameters'!$F$2:$F$61, MATCH(T10, 'Fuel Conversion Parameters'!$A$2:$A$61, 0))="", "MISSING VALUE", INDEX('Fuel Conversion Parameters'!$F$2:$F$61, MATCH(T10, 'Fuel Conversion Parameters'!$A$2:$A$61, 0))), "MISSING VALUE"))</f>
        <v>Non-renewable</v>
      </c>
      <c r="U12" s="418"/>
      <c r="W12" s="416" t="s">
        <v>3578</v>
      </c>
      <c r="X12" s="404" t="str">
        <f>IF(OR(X10="", X10="-"), "-", IFERROR(IF(INDEX('Fuel Conversion Parameters'!$F$2:$F$61, MATCH(X10, 'Fuel Conversion Parameters'!$A$2:$A$61, 0))="", "MISSING VALUE", INDEX('Fuel Conversion Parameters'!$F$2:$F$61, MATCH(X10, 'Fuel Conversion Parameters'!$A$2:$A$61, 0))), "MISSING VALUE"))</f>
        <v>-</v>
      </c>
      <c r="Y12" s="418"/>
      <c r="AA12" s="406" t="s">
        <v>3578</v>
      </c>
      <c r="AB12" s="404" t="str">
        <f>IF(OR(AB10="", AB10="-"), "-", IFERROR(IF(INDEX('Fuel Conversion Parameters'!$F$2:$F$61, MATCH(AB10, 'Fuel Conversion Parameters'!$A$2:$A$61, 0))="", "MISSING VALUE", INDEX('Fuel Conversion Parameters'!$F$2:$F$61, MATCH(AB10, 'Fuel Conversion Parameters'!$A$2:$A$61, 0))), "MISSING VALUE"))</f>
        <v>-</v>
      </c>
      <c r="AC12" s="418"/>
      <c r="AE12" s="406" t="s">
        <v>3578</v>
      </c>
      <c r="AF12" s="404" t="str">
        <f>IF(OR(AF10="", AF10="-"), "-", IFERROR(IF(INDEX('Fuel Conversion Parameters'!$F$2:$F$61, MATCH(AF10, 'Fuel Conversion Parameters'!$A$2:$A$61, 0))="", "MISSING VALUE", INDEX('Fuel Conversion Parameters'!$F$2:$F$61, MATCH(AF10, 'Fuel Conversion Parameters'!$A$2:$A$61, 0))), "MISSING VALUE"))</f>
        <v>-</v>
      </c>
      <c r="AG12" s="418"/>
      <c r="AI12" s="406" t="s">
        <v>3578</v>
      </c>
      <c r="AJ12" s="404" t="str">
        <f>IF(OR(AJ10="", AJ10="-"), "-", IFERROR(IF(INDEX('Fuel Conversion Parameters'!$F$2:$F$61, MATCH(AJ10, 'Fuel Conversion Parameters'!$A$2:$A$61, 0))="", "MISSING VALUE", INDEX('Fuel Conversion Parameters'!$F$2:$F$61, MATCH(AJ10, 'Fuel Conversion Parameters'!$A$2:$A$61, 0))), "MISSING VALUE"))</f>
        <v>-</v>
      </c>
      <c r="AK12" s="418"/>
      <c r="AL12" s="10"/>
      <c r="AM12" s="406" t="s">
        <v>3578</v>
      </c>
      <c r="AN12" s="404" t="str">
        <f>IF(OR(AN10="", AN10="-"), "-", IFERROR(IF(INDEX('Fuel Conversion Parameters'!$F$2:$F$61, MATCH(AN10, 'Fuel Conversion Parameters'!$A$2:$A$61, 0))="", "MISSING VALUE", INDEX('Fuel Conversion Parameters'!$F$2:$F$61, MATCH(AN10, 'Fuel Conversion Parameters'!$A$2:$A$61, 0))), "MISSING VALUE"))</f>
        <v>-</v>
      </c>
      <c r="AO12" s="418"/>
      <c r="AP12" s="10"/>
      <c r="AQ12" s="406" t="s">
        <v>3578</v>
      </c>
      <c r="AR12" s="404" t="str">
        <f>IF(OR(AR10="", AR10="-"), "-", IFERROR(IF(INDEX('Fuel Conversion Parameters'!$F$2:$F$61, MATCH(AR10, 'Fuel Conversion Parameters'!$A$2:$A$61, 0))="", "MISSING VALUE", INDEX('Fuel Conversion Parameters'!$F$2:$F$61, MATCH(AR10, 'Fuel Conversion Parameters'!$A$2:$A$61, 0))), "MISSING VALUE"))</f>
        <v>-</v>
      </c>
      <c r="AS12" s="418"/>
      <c r="AU12" s="406" t="s">
        <v>3578</v>
      </c>
      <c r="AV12" s="404" t="str">
        <f>IF(OR(AV10="", AV10="-"), "-", IFERROR(IF(INDEX('Fuel Conversion Parameters'!$F$2:$F$61, MATCH(AV10, 'Fuel Conversion Parameters'!$A$2:$A$61, 0))="", "MISSING VALUE", INDEX('Fuel Conversion Parameters'!$F$2:$F$61, MATCH(AV10, 'Fuel Conversion Parameters'!$A$2:$A$61, 0))), "MISSING VALUE"))</f>
        <v>-</v>
      </c>
      <c r="AW12" s="418"/>
      <c r="AY12" s="406" t="s">
        <v>3578</v>
      </c>
      <c r="AZ12" s="404" t="str">
        <f>IF(OR(AZ10="", AZ10="-"), "-", IFERROR(IF(INDEX('Fuel Conversion Parameters'!$F$2:$F$61, MATCH(AZ10, 'Fuel Conversion Parameters'!$A$2:$A$61, 0))="", "MISSING VALUE", INDEX('Fuel Conversion Parameters'!$F$2:$F$61, MATCH(AZ10, 'Fuel Conversion Parameters'!$A$2:$A$61, 0))), "MISSING VALUE"))</f>
        <v>-</v>
      </c>
      <c r="BA12" s="418"/>
    </row>
    <row r="13" spans="1:53" x14ac:dyDescent="0.3">
      <c r="A13" s="395"/>
      <c r="B13" s="395"/>
      <c r="C13" s="396"/>
      <c r="D13" s="419" t="str">
        <f>AB11</f>
        <v>-</v>
      </c>
      <c r="E13" s="420" t="str">
        <f>AB12</f>
        <v>-</v>
      </c>
      <c r="F13" s="413" t="str">
        <f>IF(C13="","-",AA22)</f>
        <v>-</v>
      </c>
      <c r="G13" s="415" t="str">
        <f t="shared" si="0"/>
        <v/>
      </c>
      <c r="I13" s="10" t="str">
        <f>template_label_4_in_cell_d9_it_is_displayed_the_state_of_matter_for_the_fuel_selected</f>
        <v>4. In cell D9 it is displayed the State of matter for the Fuel selected</v>
      </c>
      <c r="O13" s="421"/>
      <c r="P13" s="19"/>
      <c r="Q13" s="418"/>
      <c r="S13" s="421"/>
      <c r="T13" s="19"/>
      <c r="U13" s="418"/>
      <c r="W13" s="421"/>
      <c r="X13" s="19"/>
      <c r="Y13" s="418"/>
      <c r="AA13" s="421"/>
      <c r="AB13" s="19"/>
      <c r="AC13" s="418"/>
      <c r="AE13" s="421"/>
      <c r="AF13" s="19"/>
      <c r="AG13" s="418"/>
      <c r="AI13" s="421"/>
      <c r="AJ13" s="19"/>
      <c r="AK13" s="418"/>
      <c r="AL13" s="10"/>
      <c r="AM13" s="421"/>
      <c r="AN13" s="19"/>
      <c r="AO13" s="418"/>
      <c r="AP13" s="10"/>
      <c r="AQ13" s="421"/>
      <c r="AR13" s="19"/>
      <c r="AS13" s="418"/>
      <c r="AU13" s="421"/>
      <c r="AV13" s="19"/>
      <c r="AW13" s="418"/>
      <c r="AY13" s="421"/>
      <c r="AZ13" s="19"/>
      <c r="BA13" s="418"/>
    </row>
    <row r="14" spans="1:53" x14ac:dyDescent="0.3">
      <c r="A14" s="395"/>
      <c r="B14" s="395"/>
      <c r="C14" s="396"/>
      <c r="D14" s="419" t="str">
        <f>AF11</f>
        <v>-</v>
      </c>
      <c r="E14" s="420" t="str">
        <f>AF12</f>
        <v>-</v>
      </c>
      <c r="F14" s="413" t="str">
        <f>IF(C14="","-",AE22)</f>
        <v>-</v>
      </c>
      <c r="G14" s="415" t="str">
        <f t="shared" si="0"/>
        <v/>
      </c>
      <c r="I14" s="10" t="str">
        <f>template_label_5_in_cell_e9_it_is_displayed_the_typical_renewability_state_for_the_fuel_selected</f>
        <v>5. In cell E9 it is displayed the Typical renewability state for the Fuel selected</v>
      </c>
      <c r="O14" s="422"/>
      <c r="Q14" s="418"/>
      <c r="S14" s="422"/>
      <c r="U14" s="418"/>
      <c r="W14" s="422"/>
      <c r="Y14" s="418"/>
      <c r="AA14" s="422"/>
      <c r="AC14" s="418"/>
      <c r="AE14" s="422"/>
      <c r="AG14" s="418"/>
      <c r="AI14" s="422"/>
      <c r="AK14" s="418"/>
      <c r="AL14" s="10"/>
      <c r="AM14" s="422"/>
      <c r="AN14" s="10"/>
      <c r="AO14" s="418"/>
      <c r="AP14" s="10"/>
      <c r="AQ14" s="422"/>
      <c r="AS14" s="418"/>
      <c r="AU14" s="422"/>
      <c r="AW14" s="418"/>
      <c r="AY14" s="422"/>
      <c r="BA14" s="418"/>
    </row>
    <row r="15" spans="1:53" ht="15" thickBot="1" x14ac:dyDescent="0.35">
      <c r="A15" s="395"/>
      <c r="B15" s="395"/>
      <c r="C15" s="396"/>
      <c r="D15" s="419" t="str">
        <f>AJ11</f>
        <v>-</v>
      </c>
      <c r="E15" s="420" t="str">
        <f>AJ12</f>
        <v>-</v>
      </c>
      <c r="F15" s="413" t="str">
        <f>IF(C15="","-",AI22)</f>
        <v>-</v>
      </c>
      <c r="G15" s="415" t="str">
        <f t="shared" si="0"/>
        <v/>
      </c>
      <c r="I15" s="10" t="str">
        <f>template_label_6_in_cell_f9_is_displayed_the_energy_produced_in_mega_watt_hours_by_the_amount_of_fuel_specified</f>
        <v>6. In cell F9 is displayed the Energy produced in Mega Watt hours by the Amount of Fuel specified</v>
      </c>
      <c r="O15" s="423"/>
      <c r="Q15" s="418"/>
      <c r="S15" s="423"/>
      <c r="U15" s="418"/>
      <c r="W15" s="422"/>
      <c r="Y15" s="418"/>
      <c r="AA15" s="422"/>
      <c r="AC15" s="418"/>
      <c r="AE15" s="422"/>
      <c r="AG15" s="418"/>
      <c r="AI15" s="422"/>
      <c r="AK15" s="418"/>
      <c r="AL15" s="10"/>
      <c r="AM15" s="422"/>
      <c r="AN15" s="10"/>
      <c r="AO15" s="418"/>
      <c r="AP15" s="10"/>
      <c r="AQ15" s="422"/>
      <c r="AS15" s="418"/>
      <c r="AU15" s="422"/>
      <c r="AW15" s="418"/>
      <c r="AY15" s="422"/>
      <c r="BA15" s="418"/>
    </row>
    <row r="16" spans="1:53" ht="15" thickBot="1" x14ac:dyDescent="0.35">
      <c r="A16" s="395"/>
      <c r="B16" s="395"/>
      <c r="C16" s="396"/>
      <c r="D16" s="419" t="str">
        <f>AN11</f>
        <v>-</v>
      </c>
      <c r="E16" s="420" t="str">
        <f>AN12</f>
        <v>-</v>
      </c>
      <c r="F16" s="413" t="str">
        <f>IF(C16="","-",AM22)</f>
        <v>-</v>
      </c>
      <c r="G16" s="415" t="str">
        <f t="shared" si="0"/>
        <v/>
      </c>
      <c r="I16" s="10" t="str">
        <f>template_label_7_in_cell_a28_is_displayed_the_total_energy_in_mega_watt_hours</f>
        <v>7. In cell A28 is displayed the Total Energy in Mega Watt hours</v>
      </c>
      <c r="O16" s="424" t="s">
        <v>2756</v>
      </c>
      <c r="P16" s="425" t="str">
        <f>B10</f>
        <v>m³ - cubic meters</v>
      </c>
      <c r="Q16" s="426"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4" t="s">
        <v>2756</v>
      </c>
      <c r="T16" s="425" t="str">
        <f>B11</f>
        <v>L - Liter</v>
      </c>
      <c r="U16" s="426"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4" t="s">
        <v>2756</v>
      </c>
      <c r="X16" s="425">
        <f>B12</f>
        <v>0</v>
      </c>
      <c r="Y16" s="41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4" t="s">
        <v>2756</v>
      </c>
      <c r="AB16" s="425">
        <f>B13</f>
        <v>0</v>
      </c>
      <c r="AC16" s="426"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4" t="s">
        <v>2756</v>
      </c>
      <c r="AF16" s="425">
        <f>B14</f>
        <v>0</v>
      </c>
      <c r="AG16" s="426"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4" t="s">
        <v>2756</v>
      </c>
      <c r="AJ16" s="425">
        <f>B15</f>
        <v>0</v>
      </c>
      <c r="AK16" s="426"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4" t="s">
        <v>2756</v>
      </c>
      <c r="AN16" s="425">
        <f>B16</f>
        <v>0</v>
      </c>
      <c r="AO16" s="426"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4" t="s">
        <v>2756</v>
      </c>
      <c r="AR16" s="425">
        <f>B17</f>
        <v>0</v>
      </c>
      <c r="AS16" s="426"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4" t="s">
        <v>2756</v>
      </c>
      <c r="AV16" s="425">
        <f>B18</f>
        <v>0</v>
      </c>
      <c r="AW16" s="426"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4" t="s">
        <v>2756</v>
      </c>
      <c r="AZ16" s="425">
        <f>B19</f>
        <v>0</v>
      </c>
      <c r="BA16" s="426"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5"/>
      <c r="B17" s="395"/>
      <c r="C17" s="396"/>
      <c r="D17" s="419" t="str">
        <f>AR11</f>
        <v>-</v>
      </c>
      <c r="E17" s="420" t="str">
        <f>AR12</f>
        <v>-</v>
      </c>
      <c r="F17" s="413" t="str">
        <f>IF(C17="","-",AQ22)</f>
        <v>-</v>
      </c>
      <c r="G17" s="415" t="str">
        <f t="shared" si="0"/>
        <v/>
      </c>
      <c r="I17" s="10" t="str">
        <f>template_label_8_in_cell_a31_is_displayed_the_total_renewable_energy_in_mega_watt_hours</f>
        <v>8. In cell A31 is displayed the Total Renewable Energy in Mega Watt hours</v>
      </c>
      <c r="O17" s="416" t="s">
        <v>3024</v>
      </c>
      <c r="P17" s="427">
        <f>C10</f>
        <v>12</v>
      </c>
      <c r="Q17" s="418"/>
      <c r="S17" s="416" t="s">
        <v>3024</v>
      </c>
      <c r="T17" s="427">
        <f>C11</f>
        <v>23</v>
      </c>
      <c r="U17" s="418"/>
      <c r="W17" s="416" t="s">
        <v>3024</v>
      </c>
      <c r="X17" s="427">
        <f>C12</f>
        <v>0</v>
      </c>
      <c r="Y17" s="418"/>
      <c r="AA17" s="416" t="s">
        <v>3024</v>
      </c>
      <c r="AB17" s="427">
        <f>C13</f>
        <v>0</v>
      </c>
      <c r="AC17" s="418"/>
      <c r="AE17" s="416" t="s">
        <v>3024</v>
      </c>
      <c r="AF17" s="427">
        <f>C14</f>
        <v>0</v>
      </c>
      <c r="AG17" s="418"/>
      <c r="AI17" s="416" t="s">
        <v>3024</v>
      </c>
      <c r="AJ17" s="427">
        <f>C15</f>
        <v>0</v>
      </c>
      <c r="AK17" s="418"/>
      <c r="AL17" s="10"/>
      <c r="AM17" s="416" t="s">
        <v>3024</v>
      </c>
      <c r="AN17" s="427">
        <f>C16</f>
        <v>0</v>
      </c>
      <c r="AO17" s="418"/>
      <c r="AP17" s="10"/>
      <c r="AQ17" s="416" t="s">
        <v>3024</v>
      </c>
      <c r="AR17" s="427">
        <f>C17</f>
        <v>0</v>
      </c>
      <c r="AS17" s="418"/>
      <c r="AU17" s="416" t="s">
        <v>3024</v>
      </c>
      <c r="AV17" s="427">
        <f>C18</f>
        <v>0</v>
      </c>
      <c r="AW17" s="418"/>
      <c r="AY17" s="416" t="s">
        <v>3024</v>
      </c>
      <c r="AZ17" s="427">
        <f>C19</f>
        <v>0</v>
      </c>
      <c r="BA17" s="418"/>
    </row>
    <row r="18" spans="1:53" x14ac:dyDescent="0.3">
      <c r="A18" s="395"/>
      <c r="B18" s="395"/>
      <c r="C18" s="396"/>
      <c r="D18" s="419" t="str">
        <f>AV11</f>
        <v>-</v>
      </c>
      <c r="E18" s="420" t="str">
        <f>AV12</f>
        <v>-</v>
      </c>
      <c r="F18" s="413" t="str">
        <f>IF(C18="","-",AU22)</f>
        <v>-</v>
      </c>
      <c r="G18" s="415" t="str">
        <f t="shared" si="0"/>
        <v/>
      </c>
      <c r="I18" s="10" t="str">
        <f>template_label_9_in_cell_b31_is_displayed_the_total_nonrenewable_energy_in_mega_watt_hours</f>
        <v>9. In cell B31 is displayed the Total Non-renewable Energy in Mega Watt hours</v>
      </c>
      <c r="J18" s="428"/>
      <c r="K18" s="428"/>
      <c r="L18" s="428"/>
      <c r="M18" s="428"/>
      <c r="O18" s="422"/>
      <c r="P18" s="429">
        <f>IF(P16="g - gram",P17*0.000000001,
IF(P16="Kg - Kilogram",P17*0.000001,
IF(P16="t - tonne",P17*0.001,
IF(P16="Gg - Gigagram",P17*1,
IF(P16="m³ - cubic meters",P17*1000,
IF(P16="L - Liter",P17*1,
""))))))</f>
        <v>12000</v>
      </c>
      <c r="Q18" s="418"/>
      <c r="S18" s="422"/>
      <c r="T18" s="429">
        <f>IF(T16="g - gram",T17*0.000000001,
IF(T16="Kg - Kilogram",T17*0.000001,
IF(T16="t - tonne",T17*0.001,
IF(T16="Gg - Gigagram",T17*1,
IF(T16="m³ - cubic meters",T17*1000,
IF(T16="L - Liter",T17*1,
""))))))</f>
        <v>23</v>
      </c>
      <c r="U18" s="418"/>
      <c r="W18" s="422"/>
      <c r="X18" s="429" t="str">
        <f>IF(X16="g - gram",X17*0.000000001,
IF(X16="Kg - Kilogram",X17*0.000001,
IF(X16="t - tonne",X17*0.001,
IF(X16="Gg - Gigagram",X17*1,
IF(X16="m³ - cubic meters",X17*1000,
IF(X16="L - Liter",X17*1,
""))))))</f>
        <v/>
      </c>
      <c r="Y18" s="418"/>
      <c r="AA18" s="422"/>
      <c r="AB18" s="429" t="str">
        <f>IF(AB16="g - gram",AB17*0.000000001,
IF(AB16="Kg - Kilogram",AB17*0.000001,
IF(AB16="t - tonne",AB17*0.001,
IF(AB16="Gg - Gigagram",AB17*1,
IF(AB16="m³ - cubic meters",AB17*1000,
IF(AB16="L - Liter",AB17*1,
""))))))</f>
        <v/>
      </c>
      <c r="AC18" s="418"/>
      <c r="AE18" s="422"/>
      <c r="AF18" s="429" t="str">
        <f>IF(AF16="g - gram",AF17*0.000000001,
IF(AF16="Kg - Kilogram",AF17*0.000001,
IF(AF16="t - tonne",AF17*0.001,
IF(AF16="Gg - Gigagram",AF17*1,
IF(AF16="m³ - cubic meters",AF17*1000,
IF(AF16="L - Liter",AF17*1,
""))))))</f>
        <v/>
      </c>
      <c r="AG18" s="418"/>
      <c r="AI18" s="422"/>
      <c r="AJ18" s="429" t="str">
        <f>IF(AJ16="g - gram",AJ17*0.000000001,
IF(AJ16="Kg - Kilogram",AJ17*0.000001,
IF(AJ16="t - tonne",AJ17*0.001,
IF(AJ16="Gg - Gigagram",AJ17*1,
IF(AJ16="m³ - cubic meters",AJ17*1000,
IF(AJ16="L - Liter",AJ17*1,
""))))))</f>
        <v/>
      </c>
      <c r="AK18" s="418"/>
      <c r="AL18" s="10"/>
      <c r="AM18" s="422"/>
      <c r="AN18" s="429" t="str">
        <f>IF(AN16="g - gram",AN17*0.000000001,
IF(AN16="Kg - Kilogram",AN17*0.000001,
IF(AN16="t - tonne",AN17*0.001,
IF(AN16="Gg - Gigagram",AN17*1,
IF(AN16="m³ - cubic meters",AN17*1000,
IF(AN16="L - Liter",AN17*1,
""))))))</f>
        <v/>
      </c>
      <c r="AO18" s="418"/>
      <c r="AP18" s="10"/>
      <c r="AQ18" s="422"/>
      <c r="AR18" s="429" t="str">
        <f>IF(AR16="g - gram",AR17*0.000000001,
IF(AR16="Kg - Kilogram",AR17*0.000001,
IF(AR16="t - tonne",AR17*0.001,
IF(AR16="Gg - Gigagram",AR17*1,
IF(AR16="m³ - cubic meters",AR17*1000,
IF(AR16="L - Liter",AR17*1,
""))))))</f>
        <v/>
      </c>
      <c r="AS18" s="418"/>
      <c r="AU18" s="422"/>
      <c r="AV18" s="429" t="str">
        <f>IF(AV16="g - gram",AV17*0.000000001,
IF(AV16="Kg - Kilogram",AV17*0.000001,
IF(AV16="t - tonne",AV17*0.001,
IF(AV16="Gg - Gigagram",AV17*1,
IF(AV16="m³ - cubic meters",AV17*1000,
IF(AV16="L - Liter",AV17*1,
""))))))</f>
        <v/>
      </c>
      <c r="AW18" s="418"/>
      <c r="AY18" s="422"/>
      <c r="AZ18" s="429" t="str">
        <f>IF(AZ16="g - gram",AZ17*0.000000001,
IF(AZ16="Kg - Kilogram",AZ17*0.000001,
IF(AZ16="t - tonne",AZ17*0.001,
IF(AZ16="Gg - Gigagram",AZ17*1,
IF(AZ16="m³ - cubic meters",AZ17*1000,
IF(AZ16="L - Liter",AZ17*1,
""))))))</f>
        <v/>
      </c>
      <c r="BA18" s="418"/>
    </row>
    <row r="19" spans="1:53" ht="15" thickBot="1" x14ac:dyDescent="0.35">
      <c r="A19" s="397"/>
      <c r="B19" s="397"/>
      <c r="C19" s="398"/>
      <c r="D19" s="430" t="str">
        <f>AZ11</f>
        <v>-</v>
      </c>
      <c r="E19" s="431" t="str">
        <f>AZ12</f>
        <v>-</v>
      </c>
      <c r="F19" s="432" t="str">
        <f>IF(C19="","-",AY22)</f>
        <v>-</v>
      </c>
      <c r="G19" s="415" t="str">
        <f t="shared" si="0"/>
        <v/>
      </c>
      <c r="I19" s="461" t="str">
        <f>template_label_10_further_notes_can_be_found_below</f>
        <v>10. Further notes can be found below</v>
      </c>
      <c r="O19" s="422"/>
      <c r="P19" s="17"/>
      <c r="Q19" s="418"/>
      <c r="S19" s="422"/>
      <c r="T19" s="17"/>
      <c r="U19" s="418"/>
      <c r="W19" s="422"/>
      <c r="X19" s="17"/>
      <c r="Y19" s="418"/>
      <c r="AA19" s="422"/>
      <c r="AB19" s="17"/>
      <c r="AC19" s="418"/>
      <c r="AE19" s="422"/>
      <c r="AF19" s="17"/>
      <c r="AG19" s="418"/>
      <c r="AI19" s="422"/>
      <c r="AJ19" s="17"/>
      <c r="AK19" s="418"/>
      <c r="AL19" s="10"/>
      <c r="AM19" s="422"/>
      <c r="AN19" s="17"/>
      <c r="AO19" s="418"/>
      <c r="AP19" s="10"/>
      <c r="AQ19" s="422"/>
      <c r="AR19" s="17"/>
      <c r="AS19" s="418"/>
      <c r="AU19" s="422"/>
      <c r="AV19" s="17"/>
      <c r="AW19" s="418"/>
      <c r="AY19" s="422"/>
      <c r="AZ19" s="17"/>
      <c r="BA19" s="418"/>
    </row>
    <row r="20" spans="1:53" ht="15" thickBot="1" x14ac:dyDescent="0.35">
      <c r="A20" s="10"/>
      <c r="B20" s="10"/>
      <c r="O20" s="422"/>
      <c r="Q20" s="418"/>
      <c r="S20" s="422"/>
      <c r="U20" s="418"/>
      <c r="W20" s="422"/>
      <c r="Y20" s="418"/>
      <c r="AA20" s="422"/>
      <c r="AC20" s="418"/>
      <c r="AE20" s="422"/>
      <c r="AG20" s="418"/>
      <c r="AI20" s="422"/>
      <c r="AK20" s="418"/>
      <c r="AL20" s="10"/>
      <c r="AM20" s="422"/>
      <c r="AN20" s="10"/>
      <c r="AO20" s="418"/>
      <c r="AP20" s="10"/>
      <c r="AQ20" s="422"/>
      <c r="AS20" s="418"/>
      <c r="AU20" s="422"/>
      <c r="AW20" s="418"/>
      <c r="AY20" s="422"/>
      <c r="BA20" s="418"/>
    </row>
    <row r="21" spans="1:53" ht="15" thickBot="1" x14ac:dyDescent="0.35">
      <c r="A21" s="10"/>
      <c r="B21" s="10"/>
      <c r="I21" s="428"/>
      <c r="J21" s="428"/>
      <c r="K21" s="428"/>
      <c r="L21" s="428"/>
      <c r="M21" s="428"/>
      <c r="O21" s="416" t="s">
        <v>2927</v>
      </c>
      <c r="Q21" s="418"/>
      <c r="S21" s="416" t="s">
        <v>2927</v>
      </c>
      <c r="U21" s="418"/>
      <c r="W21" s="416" t="s">
        <v>2927</v>
      </c>
      <c r="Y21" s="418"/>
      <c r="AA21" s="416" t="s">
        <v>2927</v>
      </c>
      <c r="AC21" s="418"/>
      <c r="AE21" s="416" t="s">
        <v>2927</v>
      </c>
      <c r="AG21" s="418"/>
      <c r="AI21" s="416" t="s">
        <v>2927</v>
      </c>
      <c r="AK21" s="418"/>
      <c r="AL21" s="10"/>
      <c r="AM21" s="416" t="s">
        <v>2927</v>
      </c>
      <c r="AN21" s="10"/>
      <c r="AO21" s="418"/>
      <c r="AP21" s="10"/>
      <c r="AQ21" s="416" t="s">
        <v>2927</v>
      </c>
      <c r="AS21" s="418"/>
      <c r="AU21" s="416" t="s">
        <v>2927</v>
      </c>
      <c r="AW21" s="418"/>
      <c r="AY21" s="416" t="s">
        <v>2927</v>
      </c>
      <c r="BA21" s="418"/>
    </row>
    <row r="22" spans="1:53" ht="15" thickBot="1" x14ac:dyDescent="0.35">
      <c r="A22" s="10"/>
      <c r="B22" s="10"/>
      <c r="O22" s="433">
        <f>IF(OR(
   O23="",
   P17="",
   Q16="Liquid fuel: please change unit of measurement, select one among m³ and L",
   Q16="Gaseous fuel: please change unit of measurement, select one among m³ and L",
   Q16="Solid fuel: please change unit of measurement, select one among Gg, t, Kg and g"
),
"-",
IFERROR(O23*277.778, "")
)</f>
        <v>76.500061200000005</v>
      </c>
      <c r="P22" s="10" t="str">
        <f>IFERROR(IF(AND(P17&lt;&gt;0,O22=0),"ERROR",""),"")</f>
        <v/>
      </c>
      <c r="Q22" s="418"/>
      <c r="S22" s="433">
        <f>IF(OR(
   S23="",
   T17="",
   U16="Liquid fuel: please change unit of measurement, select one among m³ and L",
   U16="Gaseous fuel: please change unit of measurement, select one among m³ and L",
   U16="Solid fuel: please change unit of measurement, select one among Gg, t, Kg and g"
),
"-",
IFERROR(S23*277.778, "")
)</f>
        <v>2.1402794900000002E-4</v>
      </c>
      <c r="T22" s="10" t="str">
        <f>IFERROR(IF(AND(T17&lt;&gt;0,S22=0),"ERROR",""),"")</f>
        <v/>
      </c>
      <c r="U22" s="418"/>
      <c r="W22" s="433"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8"/>
      <c r="AA22" s="433"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8"/>
      <c r="AE22" s="433"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8"/>
      <c r="AI22" s="433"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8"/>
      <c r="AL22" s="10"/>
      <c r="AM22" s="433"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8"/>
      <c r="AP22" s="10"/>
      <c r="AQ22" s="433"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8"/>
      <c r="AU22" s="433"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8"/>
      <c r="AY22" s="433"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8"/>
    </row>
    <row r="23" spans="1:53" x14ac:dyDescent="0.3">
      <c r="A23" s="1144" t="str">
        <f>template_label_transfer_the_total_results_to_the_b3_fuel_energy_consumption_reporting_cell</f>
        <v>Transfer the total calculated results to the B3 "Fuel Energy Consumption" reporting cell</v>
      </c>
      <c r="B23" s="1145"/>
      <c r="C23" s="1146"/>
      <c r="D23" s="1150" t="b">
        <v>1</v>
      </c>
      <c r="E23" s="1151"/>
      <c r="F23" s="1152"/>
      <c r="O23" s="434">
        <f>IFERROR(A27, "")</f>
        <v>0.27539999999999998</v>
      </c>
      <c r="P23" s="405"/>
      <c r="Q23" s="435"/>
      <c r="S23" s="434">
        <f>IFERROR(L26, "")</f>
        <v>7.7049999999999997E-7</v>
      </c>
      <c r="T23" s="405"/>
      <c r="U23" s="435"/>
      <c r="W23" s="434" t="str">
        <f>IFERROR(P26, "")</f>
        <v/>
      </c>
      <c r="X23" s="405"/>
      <c r="Y23" s="435"/>
      <c r="AA23" s="434" t="str">
        <f>IFERROR(T26, "")</f>
        <v/>
      </c>
      <c r="AB23" s="405"/>
      <c r="AC23" s="435"/>
      <c r="AE23" s="434" t="str">
        <f>IFERROR(X26, "")</f>
        <v/>
      </c>
      <c r="AF23" s="405"/>
      <c r="AG23" s="435"/>
      <c r="AI23" s="434" t="str">
        <f>IFERROR(AB26, "")</f>
        <v/>
      </c>
      <c r="AJ23" s="405"/>
      <c r="AK23" s="435"/>
      <c r="AL23" s="10"/>
      <c r="AM23" s="434" t="str">
        <f>IFERROR(AF26, "")</f>
        <v/>
      </c>
      <c r="AN23" s="405"/>
      <c r="AO23" s="435"/>
      <c r="AP23" s="10"/>
      <c r="AQ23" s="434" t="str">
        <f>IFERROR(AJ26, "")</f>
        <v/>
      </c>
      <c r="AR23" s="405"/>
      <c r="AS23" s="435"/>
      <c r="AU23" s="434" t="str">
        <f>IFERROR(AN26, "")</f>
        <v/>
      </c>
      <c r="AV23" s="405"/>
      <c r="AW23" s="435"/>
      <c r="AY23" s="434" t="str">
        <f>IFERROR(AR26, "")</f>
        <v/>
      </c>
      <c r="AZ23" s="405"/>
      <c r="BA23" s="435"/>
    </row>
    <row r="24" spans="1:53" ht="15" thickBot="1" x14ac:dyDescent="0.35">
      <c r="A24" s="1147"/>
      <c r="B24" s="1148"/>
      <c r="C24" s="1149"/>
      <c r="D24" s="1153"/>
      <c r="E24" s="1154"/>
      <c r="F24" s="1155"/>
      <c r="O24" s="436">
        <f>IFERROR(
    IF(AND(T11="Solid"),T18,
        IF(AND(T11="Liquid"),T18*_xlfn.XLOOKUP(T10,'Fuel Conversion Parameters'!$A$2:$A$51,'Fuel Conversion Parameters'!$D$2:$D$51)*10^(-6),
            IF(AND(T11="Gaseous"),T18*_xlfn.XLOOKUP(T10,'Fuel Conversion Parameters'!$A$2:$A$51,'Fuel Conversion Parameters'!$E$2:$E$51)*10^(-3)*10^(-6),"")
        )
    ),
    ""
)</f>
        <v>1.541E-8</v>
      </c>
      <c r="S24" s="436" t="str">
        <f>IFERROR(
    IF(AND(X11="Solid"),X18,
        IF(AND(X11="Liquid"),X18*_xlfn.XLOOKUP(X10,'Fuel Conversion Parameters'!$A$2:$A$51,'Fuel Conversion Parameters'!$D$2:$D$51)*10^(-6),
            IF(AND(X11="Gaseous"),X18*_xlfn.XLOOKUP(X10,'Fuel Conversion Parameters'!$A$2:$A$51,'Fuel Conversion Parameters'!$E$2:$E$51)*10^(-3)*10^(-6),"")
        )
    ),
    ""
)</f>
        <v/>
      </c>
      <c r="W24" s="436" t="str">
        <f>IFERROR(
    IF(AND(AB11="Solid"),AB18,
        IF(AND(AB11="Liquid"),AB18*_xlfn.XLOOKUP(AB10,'Fuel Conversion Parameters'!$A$2:$A$51,'Fuel Conversion Parameters'!$D$2:$D$51)*10^(-6),
            IF(AND(AB11="Gaseous"),AB18*_xlfn.XLOOKUP(AB10,'Fuel Conversion Parameters'!$A$2:$A$51,'Fuel Conversion Parameters'!$E$2:$E$51)*10^(-3)*10^(-6),"")
        )
    ),
    ""
)</f>
        <v/>
      </c>
      <c r="AA24" s="436" t="str">
        <f>IFERROR(
    IF(AND(AF11="Solid"),AF18,
        IF(AND(AF11="Liquid"),AF18*_xlfn.XLOOKUP(AF10,'Fuel Conversion Parameters'!$A$2:$A$51,'Fuel Conversion Parameters'!$D$2:$D$51)*10^(-6),
            IF(AND(AF11="Gaseous"),AF18*_xlfn.XLOOKUP(AF10,'Fuel Conversion Parameters'!$A$2:$A$51,'Fuel Conversion Parameters'!$E$2:$E$51)*10^(-3)*10^(-6),"")
        )
    ),
    ""
)</f>
        <v/>
      </c>
      <c r="AE24" s="436" t="str">
        <f>IFERROR(
    IF(AND(AJ11="Solid"),AJ18,
        IF(AND(AJ11="Liquid"),AJ18*_xlfn.XLOOKUP(AJ10,'Fuel Conversion Parameters'!$A$2:$A$51,'Fuel Conversion Parameters'!$D$2:$D$51)*10^(-6),
            IF(AND(AJ11="Gaseous"),AJ18*_xlfn.XLOOKUP(AJ10,'Fuel Conversion Parameters'!$A$2:$A$51,'Fuel Conversion Parameters'!$E$2:$E$51)*10^(-3)*10^(-6),"")
        )
    ),
    ""
)</f>
        <v/>
      </c>
      <c r="AI24" s="436" t="str">
        <f>IFERROR(
    IF(AND(AN11="Solid"),AN18,
        IF(AND(AN11="Liquid"),AN18*_xlfn.XLOOKUP(AN10,'Fuel Conversion Parameters'!$A$2:$A$51,'Fuel Conversion Parameters'!$D$2:$D$51)*10^(-6),
            IF(AND(AN11="Gaseous"),AN18*_xlfn.XLOOKUP(AN10,'Fuel Conversion Parameters'!$A$2:$A$51,'Fuel Conversion Parameters'!$E$2:$E$51)*10^(-3)*10^(-6),"")
        )
    ),
    ""
)</f>
        <v/>
      </c>
      <c r="AL24" s="10"/>
      <c r="AM24" s="436"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6" t="str">
        <f>IFERROR(
    IF(AND(AV11="Solid"),AV18,
        IF(AND(AV11="Liquid"),AV18*_xlfn.XLOOKUP(AV10,'Fuel Conversion Parameters'!$A$2:$A$51,'Fuel Conversion Parameters'!$D$2:$D$51)*10^(-6),
            IF(AND(AV11="Gaseous"),AV18*_xlfn.XLOOKUP(AV10,'Fuel Conversion Parameters'!$A$2:$A$51,'Fuel Conversion Parameters'!$E$2:$E$51)*10^(-3)*10^(-6),"")
        )
    ),
    ""
)</f>
        <v/>
      </c>
      <c r="AU24" s="436"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
      <c r="A25" s="436">
        <f>IFERROR(
    IF(AND(P11="Solid"),P18,
        IF(AND(P11="Liquid"),P18*_xlfn.XLOOKUP(P10,'Fuel Conversion Parameters'!$A$2:$A$51,'Fuel Conversion Parameters'!$D$2:$D$51)*10^(-6),
            IF(AND(P11="Gaseous"),P18*_xlfn.XLOOKUP(P10,'Fuel Conversion Parameters'!$A$2:$A$51,'Fuel Conversion Parameters'!$E$2:$E$51)*10^(-3)*10^(-6),"")
        )
    ),
    ""
)</f>
        <v>1.0199999999999999E-2</v>
      </c>
      <c r="B25" s="10"/>
      <c r="L25" s="436">
        <f>IFERROR(VLOOKUP(T10, 'Fuel Conversion Parameters'!$A:$C, 3, FALSE), "")</f>
        <v>50</v>
      </c>
      <c r="P25" s="436" t="str">
        <f>IFERROR(VLOOKUP(X10, 'Fuel Conversion Parameters'!$A:$C, 3, FALSE), "")</f>
        <v/>
      </c>
      <c r="T25" s="436" t="str">
        <f>IFERROR(VLOOKUP(AB10, 'Fuel Conversion Parameters'!$A:$C, 3, FALSE), "")</f>
        <v/>
      </c>
      <c r="X25" s="436" t="str">
        <f>IFERROR(VLOOKUP(AF10, 'Fuel Conversion Parameters'!$A:$C, 3, FALSE), "")</f>
        <v/>
      </c>
      <c r="AB25" s="436" t="str">
        <f>IFERROR(VLOOKUP(AJ10, 'Fuel Conversion Parameters'!$A:$C, 3, FALSE), "")</f>
        <v/>
      </c>
      <c r="AF25" s="436" t="str">
        <f>IFERROR(VLOOKUP(AN10, 'Fuel Conversion Parameters'!$A:$C, 3, FALSE), "")</f>
        <v/>
      </c>
      <c r="AJ25" s="436" t="str">
        <f>IFERROR(VLOOKUP(AR10, 'Fuel Conversion Parameters'!$A:$C, 3, FALSE), "")</f>
        <v/>
      </c>
      <c r="AL25" s="10"/>
      <c r="AN25" s="436" t="str">
        <f>IFERROR(VLOOKUP(AV10, 'Fuel Conversion Parameters'!$A:$C, 3, FALSE), "")</f>
        <v/>
      </c>
      <c r="AO25" s="10"/>
      <c r="AP25" s="10"/>
      <c r="AR25" s="436" t="str">
        <f>IFERROR(VLOOKUP(AZ10, 'Fuel Conversion Parameters'!$A:$C, 3, FALSE), "")</f>
        <v/>
      </c>
    </row>
    <row r="26" spans="1:53" x14ac:dyDescent="0.3">
      <c r="A26" s="436">
        <f>IFERROR(VLOOKUP(P10, 'Fuel Conversion Parameters'!$A:$C, 3, FALSE), "")</f>
        <v>27</v>
      </c>
      <c r="B26" s="436" t="str">
        <f>IF(B24="m³ - cubic meters",B25*1000,
IF(B24="L - Liter",B25*1,
""))</f>
        <v/>
      </c>
      <c r="L26" s="437">
        <f>IFERROR(IF(OR(O24="", L25=""), "", O24*L25), "")</f>
        <v>7.7049999999999997E-7</v>
      </c>
      <c r="M26" s="436" t="str">
        <f>IF(P24="m³ - cubic meters",M25*1000,
IF(P24="L - Liter",M25*1,
""))</f>
        <v/>
      </c>
      <c r="P26" s="437" t="str">
        <f>IFERROR(IF(OR(S24="", P25=""), "", S24*P25), "")</f>
        <v/>
      </c>
      <c r="Q26" s="436" t="str">
        <f>IF(T24="m³ - cubic meters",Q25*1000,
IF(T24="L - Liter",Q25*1,
""))</f>
        <v/>
      </c>
      <c r="T26" s="437" t="str">
        <f>IFERROR(IF(OR(W24="", T25=""), "", W24*T25), "")</f>
        <v/>
      </c>
      <c r="U26" s="436" t="str">
        <f>IF(X24="m³ - cubic meters",U25*1000,
IF(X24="L - Liter",U25*1,
""))</f>
        <v/>
      </c>
      <c r="X26" s="437" t="str">
        <f>IFERROR(IF(OR(AA24="", X25=""), "", AA24*X25), "")</f>
        <v/>
      </c>
      <c r="Y26" s="436" t="str">
        <f>IF(AB24="m³ - cubic meters",Y25*1000,
IF(AB24="L - Liter",Y25*1,
""))</f>
        <v/>
      </c>
      <c r="AB26" s="437" t="str">
        <f>IFERROR(IF(OR(AE24="", AB25=""), "", AE24*AB25), "")</f>
        <v/>
      </c>
      <c r="AC26" s="436" t="str">
        <f>IF(AF24="m³ - cubic meters",AC25*1000,
IF(AF24="L - Liter",AC25*1,
""))</f>
        <v/>
      </c>
      <c r="AF26" s="437" t="str">
        <f>IFERROR(IF(OR(AI24="", AF25=""), "", AI24*AF25), "")</f>
        <v/>
      </c>
      <c r="AG26" s="436" t="str">
        <f>IF(AJ24="m³ - cubic meters",AG25*1000,
IF(AJ24="L - Liter",AG25*1,
""))</f>
        <v/>
      </c>
      <c r="AJ26" s="437" t="str">
        <f>IFERROR(IF(OR(AM24="", AJ25=""), "", AM24*AJ25), "")</f>
        <v/>
      </c>
      <c r="AK26" s="436" t="str">
        <f>IF(AN24="m³ - cubic meters",AK25*1000,
IF(AN24="L - Liter",AK25*1,
""))</f>
        <v/>
      </c>
      <c r="AL26" s="10"/>
      <c r="AN26" s="437" t="str">
        <f>IFERROR(IF(OR(AQ24="", AN25=""), "", AQ24*AN25), "")</f>
        <v/>
      </c>
      <c r="AO26" s="436" t="str">
        <f>IF(AR24="m³ - cubic meters",AO25*1000,
IF(AR24="L - Liter",AO25*1,
""))</f>
        <v/>
      </c>
      <c r="AP26" s="10"/>
      <c r="AR26" s="437" t="str">
        <f>IFERROR(IF(OR(AU24="", AR25=""), "", AU24*AR25), "")</f>
        <v/>
      </c>
      <c r="AS26" s="436" t="str">
        <f>IF(AV24="m³ - cubic meters",AS25*1000,
IF(AV24="L - Liter",AS25*1,
""))</f>
        <v/>
      </c>
    </row>
    <row r="27" spans="1:53" ht="15" thickBot="1" x14ac:dyDescent="0.35">
      <c r="A27" s="437">
        <f>IFERROR(IF(OR(A25="", A26=""), "", A25*A26), "")</f>
        <v>0.27539999999999998</v>
      </c>
      <c r="B27" s="10"/>
      <c r="AL27" s="10"/>
      <c r="AN27" s="10"/>
      <c r="AO27" s="10"/>
      <c r="AP27" s="10"/>
    </row>
    <row r="28" spans="1:53" ht="15" thickBot="1" x14ac:dyDescent="0.35">
      <c r="A28" s="1140" t="str">
        <f>template_label_total_energy</f>
        <v>Total Energy [MWh]</v>
      </c>
      <c r="B28" s="1141"/>
      <c r="AL28" s="10"/>
      <c r="AN28" s="10"/>
      <c r="AO28" s="10"/>
      <c r="AP28" s="10"/>
    </row>
    <row r="29" spans="1:53" ht="15" thickBot="1" x14ac:dyDescent="0.35">
      <c r="A29" s="1142">
        <f>IFERROR(A32+B32, "-")</f>
        <v>76.500275227949004</v>
      </c>
      <c r="B29" s="1143"/>
      <c r="AL29" s="10"/>
      <c r="AN29" s="10"/>
      <c r="AO29" s="10"/>
      <c r="AP29" s="10"/>
    </row>
    <row r="30" spans="1:53" ht="15" thickBot="1" x14ac:dyDescent="0.35">
      <c r="A30" s="10"/>
      <c r="B30" s="10"/>
      <c r="L30" s="437">
        <f>IFERROR(L33, "")</f>
        <v>1150</v>
      </c>
      <c r="AL30" s="10"/>
      <c r="AN30" s="10"/>
      <c r="AO30" s="10"/>
      <c r="AP30" s="10"/>
    </row>
    <row r="31" spans="1:53" ht="15" thickBot="1" x14ac:dyDescent="0.35">
      <c r="A31" s="416" t="str">
        <f>template_label_total_renewable_energy</f>
        <v>Total Renewable Energy [MWh]</v>
      </c>
      <c r="B31" s="406" t="str">
        <f>template_label_total_nonrenewable_energy</f>
        <v>Total Non-renewable Energy [MWh]</v>
      </c>
      <c r="L31" s="437">
        <f>IFERROR(
    IF(AND(T17&lt;&gt;"",T21="",M25=""),T18,
        IF(AND(T17="",T21&lt;&gt;"",M25=""),T22*_xlfn.XLOOKUP(T10,'Fuel Conversion Parameters'!$A$2:$A$51,'Fuel Conversion Parameters'!$D$2:$D$51)*10^(-6),
            IF(AND(T17="",T21="",M25&lt;&gt;""),M26*_xlfn.XLOOKUP(T10,'Fuel Conversion Parameters'!$A$2:$A$51,'Fuel Conversion Parameters'!$E$2:$E$51)*10^(-3)*10^(-6),"")
        )
    ),
    ""
)</f>
        <v>23</v>
      </c>
      <c r="AL31" s="10"/>
      <c r="AN31" s="10"/>
      <c r="AO31" s="10"/>
      <c r="AP31" s="10"/>
    </row>
    <row r="32" spans="1:53" ht="15" thickBot="1" x14ac:dyDescent="0.35">
      <c r="A32" s="433">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76.500061200000005</v>
      </c>
      <c r="B32" s="433">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2.1402794900000002E-4</v>
      </c>
      <c r="L32" s="437">
        <f>IFERROR(VLOOKUP(T10, 'Fuel Conversion Parameters'!$A:$C, 3, FALSE), "")</f>
        <v>50</v>
      </c>
      <c r="AL32" s="10"/>
      <c r="AN32" s="10"/>
      <c r="AO32" s="10"/>
      <c r="AP32" s="10"/>
    </row>
    <row r="33" spans="1:42" x14ac:dyDescent="0.3">
      <c r="A33" s="437"/>
      <c r="B33" s="10"/>
      <c r="L33" s="437">
        <f>IFERROR(IF(OR(L31="", L32=""), "", L31*L32), "")</f>
        <v>1150</v>
      </c>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400" t="str">
        <f>template_label_further_notes</f>
        <v>Further notes:</v>
      </c>
      <c r="B36" s="10"/>
      <c r="AL36" s="10"/>
      <c r="AN36" s="10"/>
      <c r="AO36" s="10"/>
      <c r="AP36" s="10"/>
    </row>
    <row r="37" spans="1:42" ht="257.39999999999998" customHeight="1" x14ac:dyDescent="0.3">
      <c r="A37" s="943"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43"/>
      <c r="AL37" s="10"/>
      <c r="AN37" s="10"/>
      <c r="AO37" s="10"/>
      <c r="AP37" s="10"/>
    </row>
    <row r="38" spans="1:42" x14ac:dyDescent="0.3">
      <c r="A38" s="10"/>
      <c r="B38" s="10"/>
      <c r="AL38" s="10"/>
      <c r="AN38" s="10"/>
      <c r="AO38" s="10"/>
      <c r="AP38" s="10"/>
    </row>
    <row r="39" spans="1:42" x14ac:dyDescent="0.3">
      <c r="A39" s="1138" t="str">
        <f>template_label_energy_consumption_per_hour_in_mwh_for_solid_fuels</f>
        <v>Energy Consumption per Hour in MWh for Solid Fuels:</v>
      </c>
      <c r="B39" s="1138"/>
      <c r="AL39" s="10"/>
      <c r="AN39" s="10"/>
      <c r="AO39" s="10"/>
      <c r="AP39" s="10"/>
    </row>
    <row r="40" spans="1:42" ht="18" x14ac:dyDescent="0.35">
      <c r="A40" s="1139" t="str">
        <f>template_label_energy_solid_fuels</f>
        <v>Energy [MWh] = Mass [t] * NCV [MWh/t]</v>
      </c>
      <c r="B40" s="1139"/>
      <c r="AL40" s="10"/>
      <c r="AN40" s="10"/>
      <c r="AO40" s="10"/>
      <c r="AP40" s="10"/>
    </row>
    <row r="41" spans="1:42" x14ac:dyDescent="0.3">
      <c r="A41" s="1138"/>
      <c r="B41" s="1138"/>
      <c r="AL41" s="10"/>
      <c r="AN41" s="10"/>
      <c r="AO41" s="10"/>
      <c r="AP41" s="10"/>
    </row>
    <row r="42" spans="1:42" x14ac:dyDescent="0.3">
      <c r="A42" s="1138" t="str">
        <f>template_label_energy_consumption_per_hour_in_mwh_for_liquid_fuels</f>
        <v>Energy Consumption per Hour in MWh for Liquid Fuels:</v>
      </c>
      <c r="B42" s="1138"/>
      <c r="AL42" s="10"/>
      <c r="AN42" s="10"/>
      <c r="AO42" s="10"/>
      <c r="AP42" s="10"/>
    </row>
    <row r="43" spans="1:42" ht="18" x14ac:dyDescent="0.35">
      <c r="A43" s="1139" t="str">
        <f>template_label_mass_liquid_fuels</f>
        <v>Mass [t] = Volume [L] * Density [t/L]</v>
      </c>
      <c r="B43" s="1139"/>
      <c r="AL43" s="10"/>
      <c r="AN43" s="10"/>
      <c r="AO43" s="10"/>
      <c r="AP43" s="10"/>
    </row>
    <row r="44" spans="1:42" ht="18" x14ac:dyDescent="0.35">
      <c r="A44" s="1139" t="str">
        <f>template_label_energy_liquid_fuels</f>
        <v>Energy [MWh] = Mass [t] * [MWh/t]</v>
      </c>
      <c r="B44" s="1139"/>
      <c r="AL44" s="10"/>
      <c r="AN44" s="10"/>
      <c r="AO44" s="10"/>
      <c r="AP44" s="10"/>
    </row>
    <row r="45" spans="1:42" x14ac:dyDescent="0.3">
      <c r="A45" s="1138"/>
      <c r="B45" s="1138"/>
      <c r="AL45" s="10"/>
      <c r="AN45" s="10"/>
      <c r="AO45" s="10"/>
      <c r="AP45" s="10"/>
    </row>
    <row r="46" spans="1:42" x14ac:dyDescent="0.3">
      <c r="A46" s="1138" t="str">
        <f>template_label_energy_consumption_per_hour_in_mwh_for_gaseous_fuels</f>
        <v>Energy Consumption per Hour in MWh for Gaseous Fuels:</v>
      </c>
      <c r="B46" s="1138"/>
      <c r="AL46" s="10"/>
      <c r="AN46" s="10"/>
      <c r="AO46" s="10"/>
      <c r="AP46" s="10"/>
    </row>
    <row r="47" spans="1:42" ht="18" x14ac:dyDescent="0.35">
      <c r="A47" s="1139" t="str">
        <f>template_label_mass_gaseous_fuels</f>
        <v>Mass [t] = Volume [m³] * Density [t/m³]</v>
      </c>
      <c r="B47" s="1139"/>
      <c r="C47" s="456"/>
      <c r="AL47" s="10"/>
      <c r="AN47" s="10"/>
      <c r="AO47" s="10"/>
      <c r="AP47" s="10"/>
    </row>
    <row r="48" spans="1:42" ht="18" x14ac:dyDescent="0.35">
      <c r="A48" s="1139" t="str">
        <f>template_label_energy_gaseous_fuels</f>
        <v>Energy [MWh] = Mass [t] * NCV [MWh/t]</v>
      </c>
      <c r="B48" s="1139"/>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GyYbdj1wVYoENierJaIU1jLhzA4Lp+FQhqAscGMS5HMtuJxUFLsq4BaeO3wjdV1FmRgSvl5z0kIK6NIBaSJCsg==" saltValue="nNLVeG/8VVyxXex2Vyexyw=="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33" priority="558">
      <formula>OR($P$11="Solid", $P$11="Gas")</formula>
    </cfRule>
  </conditionalFormatting>
  <conditionalFormatting sqref="D10">
    <cfRule type="expression" dxfId="32" priority="134">
      <formula>$D$10="MISSING VALUE"</formula>
    </cfRule>
  </conditionalFormatting>
  <conditionalFormatting sqref="E10">
    <cfRule type="expression" dxfId="31" priority="24">
      <formula>$E$10="MISSING VALUE"</formula>
    </cfRule>
  </conditionalFormatting>
  <conditionalFormatting sqref="G10:G19">
    <cfRule type="expression" dxfId="30" priority="2">
      <formula>$G10=template_label_solid_warning</formula>
    </cfRule>
    <cfRule type="expression" dxfId="29" priority="5">
      <formula>$G10=template_label_gaseous_warning</formula>
    </cfRule>
    <cfRule type="expression" dxfId="28" priority="6">
      <formula>$G10=template_label_liquid_warning</formula>
    </cfRule>
  </conditionalFormatting>
  <conditionalFormatting sqref="P11">
    <cfRule type="expression" dxfId="27" priority="25">
      <formula>$P$11="MISSING VALUE"</formula>
    </cfRule>
  </conditionalFormatting>
  <conditionalFormatting sqref="P12">
    <cfRule type="expression" dxfId="26" priority="135">
      <formula>$P$12="MISSING VALUE"</formula>
    </cfRule>
  </conditionalFormatting>
  <conditionalFormatting sqref="Q16 U16 Y16 AC16 AG16 AK16 AO16 AS16 AW16 BA16">
    <cfRule type="expression" dxfId="25" priority="104">
      <formula>Q$16="Solid fuel: please change unit of measurement, select one among Gg, t, Kg and g"</formula>
    </cfRule>
    <cfRule type="expression" dxfId="24" priority="105">
      <formula>Q$16="Solid fuel: please select one unit of measurement among Gg, t, Kg and g"</formula>
    </cfRule>
    <cfRule type="expression" dxfId="23" priority="106">
      <formula>Q$16="Gaseous fuel: please change unit of measurement, select one among m³ and L"</formula>
    </cfRule>
    <cfRule type="expression" dxfId="22" priority="107">
      <formula>Q$16="Liquid fuel: please change unit of measurement, select one among m³ and L"</formula>
    </cfRule>
    <cfRule type="expression" dxfId="21" priority="108">
      <formula>Q$16="Gaseous fuel: please select one unit of measurement among m³ and L"</formula>
    </cfRule>
    <cfRule type="expression" dxfId="20" priority="109">
      <formula>Q$16="Liquid fuel: please select one unit of measurement among m³ and L"</formula>
    </cfRule>
  </conditionalFormatting>
  <conditionalFormatting sqref="T11">
    <cfRule type="expression" dxfId="19" priority="110">
      <formula>$T$11="MISSING VALUE"</formula>
    </cfRule>
  </conditionalFormatting>
  <conditionalFormatting sqref="T12">
    <cfRule type="expression" dxfId="18" priority="129">
      <formula>$T$12="MISSING VALUE"</formula>
    </cfRule>
  </conditionalFormatting>
  <conditionalFormatting sqref="X11">
    <cfRule type="expression" dxfId="17" priority="22">
      <formula>$T$11="MISSING VALUE"</formula>
    </cfRule>
  </conditionalFormatting>
  <conditionalFormatting sqref="X12">
    <cfRule type="expression" dxfId="16" priority="21">
      <formula>$T$12="MISSING VALUE"</formula>
    </cfRule>
  </conditionalFormatting>
  <conditionalFormatting sqref="AB11">
    <cfRule type="expression" dxfId="15" priority="20">
      <formula>$T$11="MISSING VALUE"</formula>
    </cfRule>
  </conditionalFormatting>
  <conditionalFormatting sqref="AB12">
    <cfRule type="expression" dxfId="14" priority="19">
      <formula>$T$12="MISSING VALUE"</formula>
    </cfRule>
  </conditionalFormatting>
  <conditionalFormatting sqref="AF11">
    <cfRule type="expression" dxfId="13" priority="18">
      <formula>$T$11="MISSING VALUE"</formula>
    </cfRule>
  </conditionalFormatting>
  <conditionalFormatting sqref="AF12">
    <cfRule type="expression" dxfId="12" priority="17">
      <formula>$T$12="MISSING VALUE"</formula>
    </cfRule>
  </conditionalFormatting>
  <conditionalFormatting sqref="AJ11">
    <cfRule type="expression" dxfId="11" priority="16">
      <formula>$T$11="MISSING VALUE"</formula>
    </cfRule>
  </conditionalFormatting>
  <conditionalFormatting sqref="AJ12">
    <cfRule type="expression" dxfId="10" priority="15">
      <formula>$T$12="MISSING VALUE"</formula>
    </cfRule>
  </conditionalFormatting>
  <conditionalFormatting sqref="AN11">
    <cfRule type="expression" dxfId="9" priority="14">
      <formula>$T$11="MISSING VALUE"</formula>
    </cfRule>
  </conditionalFormatting>
  <conditionalFormatting sqref="AN12">
    <cfRule type="expression" dxfId="8" priority="13">
      <formula>$T$12="MISSING VALUE"</formula>
    </cfRule>
  </conditionalFormatting>
  <conditionalFormatting sqref="AR11">
    <cfRule type="expression" dxfId="7" priority="12">
      <formula>$T$11="MISSING VALUE"</formula>
    </cfRule>
  </conditionalFormatting>
  <conditionalFormatting sqref="AR12">
    <cfRule type="expression" dxfId="6" priority="11">
      <formula>$T$12="MISSING VALUE"</formula>
    </cfRule>
  </conditionalFormatting>
  <conditionalFormatting sqref="AV11">
    <cfRule type="expression" dxfId="5" priority="10">
      <formula>$T$11="MISSING VALUE"</formula>
    </cfRule>
  </conditionalFormatting>
  <conditionalFormatting sqref="AV12">
    <cfRule type="expression" dxfId="4" priority="9">
      <formula>$T$12="MISSING VALUE"</formula>
    </cfRule>
  </conditionalFormatting>
  <conditionalFormatting sqref="AZ11">
    <cfRule type="expression" dxfId="3" priority="8">
      <formula>$T$11="MISSING VALUE"</formula>
    </cfRule>
  </conditionalFormatting>
  <conditionalFormatting sqref="AZ12">
    <cfRule type="expression" dxfId="2"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7" t="s">
        <v>2935</v>
      </c>
      <c r="B1" s="178" t="s">
        <v>3019</v>
      </c>
      <c r="C1" s="179" t="s">
        <v>3073</v>
      </c>
      <c r="D1" s="180" t="s">
        <v>3074</v>
      </c>
      <c r="E1" s="181" t="s">
        <v>3075</v>
      </c>
      <c r="F1" s="219" t="s">
        <v>3578</v>
      </c>
      <c r="G1" s="25" t="s">
        <v>2936</v>
      </c>
      <c r="H1" s="85" t="s">
        <v>2937</v>
      </c>
      <c r="I1" s="25" t="s">
        <v>2938</v>
      </c>
      <c r="J1" s="25" t="s">
        <v>3671</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2" t="s">
        <v>2939</v>
      </c>
      <c r="AN1" s="193" t="s">
        <v>3564</v>
      </c>
      <c r="AO1" s="193" t="s">
        <v>3571</v>
      </c>
      <c r="AP1" s="193" t="s">
        <v>3565</v>
      </c>
      <c r="AQ1" s="193" t="s">
        <v>3566</v>
      </c>
      <c r="AR1" s="193" t="s">
        <v>3567</v>
      </c>
      <c r="AS1" s="193" t="s">
        <v>3568</v>
      </c>
      <c r="AT1" s="193" t="s">
        <v>3569</v>
      </c>
      <c r="AU1" s="193" t="s">
        <v>3570</v>
      </c>
      <c r="AW1" s="179" t="s">
        <v>3019</v>
      </c>
      <c r="AX1" s="219" t="s">
        <v>3578</v>
      </c>
      <c r="AY1" s="308" t="s">
        <v>3677</v>
      </c>
    </row>
    <row r="2" spans="1:51" ht="15" thickBot="1" x14ac:dyDescent="0.35">
      <c r="A2" s="377" t="s">
        <v>2960</v>
      </c>
      <c r="B2" s="182" t="s">
        <v>2961</v>
      </c>
      <c r="C2" s="183">
        <v>26.7</v>
      </c>
      <c r="D2" s="300"/>
      <c r="E2" s="301"/>
      <c r="F2" s="224" t="s">
        <v>3051</v>
      </c>
      <c r="G2" s="222"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4" t="s">
        <v>3564</v>
      </c>
      <c r="AN2" s="195">
        <v>1</v>
      </c>
      <c r="AO2" s="195">
        <v>0.1</v>
      </c>
      <c r="AP2" s="196">
        <v>0.01</v>
      </c>
      <c r="AQ2" s="196">
        <v>1E-3</v>
      </c>
      <c r="AR2" s="196">
        <v>9.9999999999999995E-7</v>
      </c>
      <c r="AS2" s="196">
        <v>9.9999999999999995E-7</v>
      </c>
      <c r="AT2" s="196">
        <v>1.0000000000000001E-9</v>
      </c>
      <c r="AU2" s="197">
        <v>9.9999999999999998E-13</v>
      </c>
      <c r="AW2" s="3" t="s">
        <v>2961</v>
      </c>
      <c r="AX2" s="3" t="s">
        <v>3050</v>
      </c>
      <c r="AY2" s="309"/>
    </row>
    <row r="3" spans="1:51" ht="15" thickBot="1" x14ac:dyDescent="0.35">
      <c r="A3" s="378" t="s">
        <v>2965</v>
      </c>
      <c r="B3" s="182" t="s">
        <v>2966</v>
      </c>
      <c r="C3" s="184">
        <v>44.3</v>
      </c>
      <c r="D3" s="148">
        <v>0.71</v>
      </c>
      <c r="E3" s="302"/>
      <c r="F3" s="225" t="s">
        <v>3051</v>
      </c>
      <c r="G3" s="223"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4" t="s">
        <v>3571</v>
      </c>
      <c r="AN3" s="198">
        <v>10</v>
      </c>
      <c r="AO3" s="198">
        <v>1</v>
      </c>
      <c r="AP3" s="199">
        <v>0.1</v>
      </c>
      <c r="AQ3" s="199">
        <v>0.01</v>
      </c>
      <c r="AR3" s="199">
        <v>1.0000000000000001E-5</v>
      </c>
      <c r="AS3" s="199">
        <v>1.0000000000000001E-5</v>
      </c>
      <c r="AT3" s="199">
        <v>1E-8</v>
      </c>
      <c r="AU3" s="200">
        <v>9.9999999999999994E-12</v>
      </c>
      <c r="AW3" s="1" t="s">
        <v>2966</v>
      </c>
      <c r="AX3" s="1" t="s">
        <v>3051</v>
      </c>
      <c r="AY3" s="309"/>
    </row>
    <row r="4" spans="1:51" ht="15" thickBot="1" x14ac:dyDescent="0.35">
      <c r="A4" s="378" t="s">
        <v>2970</v>
      </c>
      <c r="B4" s="182" t="s">
        <v>2966</v>
      </c>
      <c r="C4" s="184">
        <v>27</v>
      </c>
      <c r="D4" s="148">
        <v>0.85</v>
      </c>
      <c r="E4" s="302"/>
      <c r="F4" s="225" t="s">
        <v>3050</v>
      </c>
      <c r="G4" s="223"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4" t="s">
        <v>3565</v>
      </c>
      <c r="AN4" s="198">
        <v>100</v>
      </c>
      <c r="AO4" s="198">
        <v>10</v>
      </c>
      <c r="AP4" s="199">
        <v>1</v>
      </c>
      <c r="AQ4" s="199">
        <v>0.1</v>
      </c>
      <c r="AR4" s="199">
        <v>1E-4</v>
      </c>
      <c r="AS4" s="199">
        <v>1E-4</v>
      </c>
      <c r="AT4" s="199">
        <v>9.9999999999999995E-8</v>
      </c>
      <c r="AU4" s="200">
        <v>1E-10</v>
      </c>
      <c r="AW4" s="1" t="s">
        <v>3580</v>
      </c>
      <c r="AX4" s="1"/>
      <c r="AY4" s="309"/>
    </row>
    <row r="5" spans="1:51" ht="15" thickBot="1" x14ac:dyDescent="0.35">
      <c r="A5" s="378" t="s">
        <v>2972</v>
      </c>
      <c r="B5" s="182" t="s">
        <v>2966</v>
      </c>
      <c r="C5" s="184">
        <v>27</v>
      </c>
      <c r="D5" s="218">
        <v>0.75</v>
      </c>
      <c r="E5" s="303"/>
      <c r="F5" s="225" t="s">
        <v>3050</v>
      </c>
      <c r="G5" s="223"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4" t="s">
        <v>3566</v>
      </c>
      <c r="AN5" s="198">
        <v>1000</v>
      </c>
      <c r="AO5" s="198">
        <v>100</v>
      </c>
      <c r="AP5" s="199">
        <v>10</v>
      </c>
      <c r="AQ5" s="199">
        <v>1</v>
      </c>
      <c r="AR5" s="199">
        <v>1E-3</v>
      </c>
      <c r="AS5" s="199">
        <v>1E-3</v>
      </c>
      <c r="AT5" s="199">
        <v>9.9999999999999995E-7</v>
      </c>
      <c r="AU5" s="200">
        <v>1.0000000000000001E-9</v>
      </c>
      <c r="AW5" s="1"/>
      <c r="AX5" s="51"/>
      <c r="AY5" s="310" t="s">
        <v>3586</v>
      </c>
    </row>
    <row r="6" spans="1:51" ht="15" thickBot="1" x14ac:dyDescent="0.35">
      <c r="A6" s="378" t="s">
        <v>2974</v>
      </c>
      <c r="B6" s="182" t="s">
        <v>2966</v>
      </c>
      <c r="C6" s="184">
        <v>40.200000000000003</v>
      </c>
      <c r="D6" s="218">
        <v>1.0349999999999999</v>
      </c>
      <c r="E6" s="302"/>
      <c r="F6" s="225"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4" t="s">
        <v>3567</v>
      </c>
      <c r="AN6" s="198">
        <v>1000000</v>
      </c>
      <c r="AO6" s="198">
        <v>100000</v>
      </c>
      <c r="AP6" s="199">
        <v>10000</v>
      </c>
      <c r="AQ6" s="199">
        <v>1000</v>
      </c>
      <c r="AR6" s="199">
        <v>1</v>
      </c>
      <c r="AS6" s="199">
        <v>1</v>
      </c>
      <c r="AT6" s="199">
        <v>1E-3</v>
      </c>
      <c r="AU6" s="200">
        <v>9.9999999999999995E-7</v>
      </c>
      <c r="AY6" s="310" t="s">
        <v>3587</v>
      </c>
    </row>
    <row r="7" spans="1:51" ht="15" thickBot="1" x14ac:dyDescent="0.35">
      <c r="A7" s="378" t="s">
        <v>2975</v>
      </c>
      <c r="B7" s="182" t="s">
        <v>3580</v>
      </c>
      <c r="C7" s="184">
        <v>2.4700000000000002</v>
      </c>
      <c r="D7" s="304"/>
      <c r="E7" s="220">
        <v>1.25</v>
      </c>
      <c r="F7" s="225"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4" t="s">
        <v>3568</v>
      </c>
      <c r="AN7" s="198">
        <v>1000000</v>
      </c>
      <c r="AO7" s="198">
        <v>100000</v>
      </c>
      <c r="AP7" s="199">
        <v>10000</v>
      </c>
      <c r="AQ7" s="199">
        <v>1000</v>
      </c>
      <c r="AR7" s="199">
        <v>1</v>
      </c>
      <c r="AS7" s="199">
        <v>1</v>
      </c>
      <c r="AT7" s="199">
        <v>1E-3</v>
      </c>
      <c r="AU7" s="200">
        <v>9.9999999999999995E-7</v>
      </c>
      <c r="AY7" s="310" t="s">
        <v>3588</v>
      </c>
    </row>
    <row r="8" spans="1:51" ht="15" thickBot="1" x14ac:dyDescent="0.35">
      <c r="A8" s="378" t="s">
        <v>2976</v>
      </c>
      <c r="B8" s="182" t="s">
        <v>2961</v>
      </c>
      <c r="C8" s="184">
        <v>20.7</v>
      </c>
      <c r="D8" s="304"/>
      <c r="E8" s="302"/>
      <c r="F8" s="225"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4" t="s">
        <v>3569</v>
      </c>
      <c r="AN8" s="198">
        <v>1000000000</v>
      </c>
      <c r="AO8" s="198">
        <v>100000000</v>
      </c>
      <c r="AP8" s="199">
        <v>10000000</v>
      </c>
      <c r="AQ8" s="199">
        <v>1000000</v>
      </c>
      <c r="AR8" s="199">
        <v>1000</v>
      </c>
      <c r="AS8" s="199">
        <v>1000</v>
      </c>
      <c r="AT8" s="199">
        <v>1</v>
      </c>
      <c r="AU8" s="200">
        <v>1E-3</v>
      </c>
      <c r="AY8" s="311"/>
    </row>
    <row r="9" spans="1:51" ht="15" thickBot="1" x14ac:dyDescent="0.35">
      <c r="A9" s="378" t="s">
        <v>3579</v>
      </c>
      <c r="B9" s="182" t="s">
        <v>3580</v>
      </c>
      <c r="C9" s="218">
        <v>45.57</v>
      </c>
      <c r="D9" s="304"/>
      <c r="E9" s="186">
        <v>2.5</v>
      </c>
      <c r="F9" s="225"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4" t="s">
        <v>3570</v>
      </c>
      <c r="AN9" s="201">
        <v>1000000000000</v>
      </c>
      <c r="AO9" s="201">
        <v>100000000000</v>
      </c>
      <c r="AP9" s="202">
        <v>10000000000</v>
      </c>
      <c r="AQ9" s="202">
        <v>1000000000</v>
      </c>
      <c r="AR9" s="202">
        <v>1000000</v>
      </c>
      <c r="AS9" s="202">
        <v>1000000</v>
      </c>
      <c r="AT9" s="202">
        <v>1000</v>
      </c>
      <c r="AU9" s="203">
        <v>1</v>
      </c>
      <c r="AY9" s="310" t="s">
        <v>3589</v>
      </c>
    </row>
    <row r="10" spans="1:51" ht="15" thickBot="1" x14ac:dyDescent="0.35">
      <c r="A10" s="378" t="s">
        <v>2977</v>
      </c>
      <c r="B10" s="182" t="s">
        <v>3580</v>
      </c>
      <c r="C10" s="184">
        <v>28.2</v>
      </c>
      <c r="D10" s="304"/>
      <c r="E10" s="302"/>
      <c r="F10" s="225"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1"/>
    </row>
    <row r="11" spans="1:51" ht="15" thickBot="1" x14ac:dyDescent="0.35">
      <c r="A11" s="378" t="s">
        <v>2978</v>
      </c>
      <c r="B11" s="182" t="s">
        <v>3580</v>
      </c>
      <c r="C11" s="184">
        <v>38.700000000000003</v>
      </c>
      <c r="D11" s="304"/>
      <c r="E11" s="220">
        <v>0.47499999999999998</v>
      </c>
      <c r="F11" s="225"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10" t="s">
        <v>3590</v>
      </c>
    </row>
    <row r="12" spans="1:51" ht="15" thickBot="1" x14ac:dyDescent="0.35">
      <c r="A12" s="378" t="s">
        <v>2979</v>
      </c>
      <c r="B12" s="182" t="s">
        <v>2961</v>
      </c>
      <c r="C12" s="184">
        <v>28.2</v>
      </c>
      <c r="D12" s="304"/>
      <c r="E12" s="302"/>
      <c r="F12" s="225"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9"/>
    </row>
    <row r="13" spans="1:51" ht="15" thickBot="1" x14ac:dyDescent="0.35">
      <c r="A13" s="378" t="s">
        <v>3583</v>
      </c>
      <c r="B13" s="182" t="s">
        <v>2966</v>
      </c>
      <c r="C13" s="184">
        <v>42.3</v>
      </c>
      <c r="D13" s="148">
        <v>0.8</v>
      </c>
      <c r="E13" s="302"/>
      <c r="F13" s="225"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9"/>
    </row>
    <row r="14" spans="1:51" x14ac:dyDescent="0.3">
      <c r="A14" s="378" t="s">
        <v>2980</v>
      </c>
      <c r="B14" s="182" t="s">
        <v>3580</v>
      </c>
      <c r="C14" s="184">
        <v>46.4</v>
      </c>
      <c r="D14" s="185"/>
      <c r="E14" s="186">
        <v>1.3</v>
      </c>
      <c r="F14" s="225" t="s">
        <v>3051</v>
      </c>
      <c r="AY14" s="309"/>
    </row>
    <row r="15" spans="1:51" x14ac:dyDescent="0.3">
      <c r="A15" s="378" t="s">
        <v>2981</v>
      </c>
      <c r="B15" s="182" t="s">
        <v>3580</v>
      </c>
      <c r="C15" s="184">
        <v>28.2</v>
      </c>
      <c r="D15" s="185"/>
      <c r="E15" s="220">
        <v>0.54</v>
      </c>
      <c r="F15" s="225" t="s">
        <v>3051</v>
      </c>
      <c r="AY15" s="310" t="s">
        <v>3591</v>
      </c>
    </row>
    <row r="16" spans="1:51" x14ac:dyDescent="0.3">
      <c r="A16" s="378" t="s">
        <v>2982</v>
      </c>
      <c r="B16" s="182" t="s">
        <v>2966</v>
      </c>
      <c r="C16" s="184">
        <v>43</v>
      </c>
      <c r="D16" s="187">
        <v>0.84</v>
      </c>
      <c r="E16" s="305"/>
      <c r="F16" s="225" t="s">
        <v>3051</v>
      </c>
      <c r="AY16" s="311"/>
    </row>
    <row r="17" spans="1:51" x14ac:dyDescent="0.3">
      <c r="A17" s="378" t="s">
        <v>2983</v>
      </c>
      <c r="B17" s="182" t="s">
        <v>2966</v>
      </c>
      <c r="C17" s="184">
        <v>44.3</v>
      </c>
      <c r="D17" s="218">
        <v>0.81</v>
      </c>
      <c r="E17" s="302"/>
      <c r="F17" s="225" t="s">
        <v>3051</v>
      </c>
      <c r="AY17" s="310" t="s">
        <v>3592</v>
      </c>
    </row>
    <row r="18" spans="1:51" x14ac:dyDescent="0.3">
      <c r="A18" s="378" t="s">
        <v>2984</v>
      </c>
      <c r="B18" s="182" t="s">
        <v>2966</v>
      </c>
      <c r="C18" s="184">
        <v>44.1</v>
      </c>
      <c r="D18" s="148">
        <v>0.79</v>
      </c>
      <c r="E18" s="302"/>
      <c r="F18" s="225" t="s">
        <v>3051</v>
      </c>
      <c r="AY18" s="309"/>
    </row>
    <row r="19" spans="1:51" x14ac:dyDescent="0.3">
      <c r="A19" s="378" t="s">
        <v>3582</v>
      </c>
      <c r="B19" s="182" t="s">
        <v>2966</v>
      </c>
      <c r="C19" s="184">
        <v>43.8</v>
      </c>
      <c r="D19" s="148">
        <v>0.8</v>
      </c>
      <c r="E19" s="302"/>
      <c r="F19" s="225" t="s">
        <v>3051</v>
      </c>
      <c r="AY19" s="309"/>
    </row>
    <row r="20" spans="1:51" x14ac:dyDescent="0.3">
      <c r="A20" s="378" t="s">
        <v>2985</v>
      </c>
      <c r="B20" s="182" t="s">
        <v>3580</v>
      </c>
      <c r="C20" s="184">
        <v>50.4</v>
      </c>
      <c r="D20" s="304"/>
      <c r="E20" s="186">
        <v>0.9</v>
      </c>
      <c r="F20" s="225" t="s">
        <v>3050</v>
      </c>
      <c r="AY20" s="309"/>
    </row>
    <row r="21" spans="1:51" x14ac:dyDescent="0.3">
      <c r="A21" s="378" t="s">
        <v>2986</v>
      </c>
      <c r="B21" s="182" t="s">
        <v>2961</v>
      </c>
      <c r="C21" s="184">
        <v>11.9</v>
      </c>
      <c r="D21" s="304"/>
      <c r="E21" s="302"/>
      <c r="F21" s="225" t="s">
        <v>3051</v>
      </c>
      <c r="AY21" s="309"/>
    </row>
    <row r="22" spans="1:51" x14ac:dyDescent="0.3">
      <c r="A22" s="378" t="s">
        <v>2987</v>
      </c>
      <c r="B22" s="182" t="s">
        <v>2966</v>
      </c>
      <c r="C22" s="184">
        <v>47.3</v>
      </c>
      <c r="D22" s="148">
        <v>0.54</v>
      </c>
      <c r="E22" s="302"/>
      <c r="F22" s="225" t="s">
        <v>3051</v>
      </c>
      <c r="AY22" s="309"/>
    </row>
    <row r="23" spans="1:51" x14ac:dyDescent="0.3">
      <c r="A23" s="378" t="s">
        <v>2988</v>
      </c>
      <c r="B23" s="182" t="s">
        <v>2966</v>
      </c>
      <c r="C23" s="184">
        <v>40.200000000000003</v>
      </c>
      <c r="D23" s="148">
        <v>1</v>
      </c>
      <c r="E23" s="302"/>
      <c r="F23" s="225" t="s">
        <v>3051</v>
      </c>
      <c r="AY23" s="309"/>
    </row>
    <row r="24" spans="1:51" x14ac:dyDescent="0.3">
      <c r="A24" s="378" t="s">
        <v>2989</v>
      </c>
      <c r="B24" s="182" t="s">
        <v>3580</v>
      </c>
      <c r="C24" s="218">
        <v>50</v>
      </c>
      <c r="D24" s="304"/>
      <c r="E24" s="186">
        <v>0.67</v>
      </c>
      <c r="F24" s="225" t="s">
        <v>3051</v>
      </c>
      <c r="AY24" s="310" t="s">
        <v>3593</v>
      </c>
    </row>
    <row r="25" spans="1:51" x14ac:dyDescent="0.3">
      <c r="A25" s="378" t="s">
        <v>2990</v>
      </c>
      <c r="B25" s="182" t="s">
        <v>2966</v>
      </c>
      <c r="C25" s="184">
        <v>44.3</v>
      </c>
      <c r="D25" s="148">
        <v>0.74</v>
      </c>
      <c r="E25" s="302"/>
      <c r="F25" s="225" t="s">
        <v>3051</v>
      </c>
      <c r="AY25" s="309"/>
    </row>
    <row r="26" spans="1:51" x14ac:dyDescent="0.3">
      <c r="A26" s="378" t="s">
        <v>2991</v>
      </c>
      <c r="B26" s="182" t="s">
        <v>2961</v>
      </c>
      <c r="C26" s="184">
        <v>11.6</v>
      </c>
      <c r="D26" s="304"/>
      <c r="E26" s="302"/>
      <c r="F26" s="225" t="s">
        <v>3050</v>
      </c>
      <c r="AY26" s="309"/>
    </row>
    <row r="27" spans="1:51" x14ac:dyDescent="0.3">
      <c r="A27" s="379" t="s">
        <v>2992</v>
      </c>
      <c r="B27" s="182" t="s">
        <v>2961</v>
      </c>
      <c r="C27" s="184">
        <v>10</v>
      </c>
      <c r="D27" s="304"/>
      <c r="E27" s="302"/>
      <c r="F27" s="225" t="s">
        <v>3051</v>
      </c>
      <c r="AY27" s="309"/>
    </row>
    <row r="28" spans="1:51" x14ac:dyDescent="0.3">
      <c r="A28" s="378" t="s">
        <v>2993</v>
      </c>
      <c r="B28" s="182" t="s">
        <v>2966</v>
      </c>
      <c r="C28" s="184">
        <v>44.5</v>
      </c>
      <c r="D28" s="148">
        <v>0.77</v>
      </c>
      <c r="E28" s="302"/>
      <c r="F28" s="225" t="s">
        <v>3051</v>
      </c>
      <c r="AY28" s="309"/>
    </row>
    <row r="29" spans="1:51" x14ac:dyDescent="0.3">
      <c r="A29" s="378" t="s">
        <v>2994</v>
      </c>
      <c r="B29" s="182" t="s">
        <v>3580</v>
      </c>
      <c r="C29" s="184">
        <v>48</v>
      </c>
      <c r="D29" s="304"/>
      <c r="E29" s="186">
        <v>0.7</v>
      </c>
      <c r="F29" s="225" t="s">
        <v>3051</v>
      </c>
      <c r="AY29" s="309"/>
    </row>
    <row r="30" spans="1:51" x14ac:dyDescent="0.3">
      <c r="A30" s="378" t="s">
        <v>3581</v>
      </c>
      <c r="B30" s="182" t="s">
        <v>2966</v>
      </c>
      <c r="C30" s="184">
        <v>44.2</v>
      </c>
      <c r="D30" s="148">
        <v>0.47</v>
      </c>
      <c r="E30" s="302"/>
      <c r="F30" s="225" t="s">
        <v>3051</v>
      </c>
      <c r="AY30" s="309"/>
    </row>
    <row r="31" spans="1:51" x14ac:dyDescent="0.3">
      <c r="A31" s="378" t="s">
        <v>2995</v>
      </c>
      <c r="B31" s="182" t="s">
        <v>2966</v>
      </c>
      <c r="C31" s="184">
        <v>8.9</v>
      </c>
      <c r="D31" s="218">
        <v>0.95</v>
      </c>
      <c r="E31" s="302"/>
      <c r="F31" s="225" t="s">
        <v>3051</v>
      </c>
      <c r="AY31" s="310" t="s">
        <v>3594</v>
      </c>
    </row>
    <row r="32" spans="1:51" x14ac:dyDescent="0.3">
      <c r="A32" s="378" t="s">
        <v>2996</v>
      </c>
      <c r="B32" s="182" t="s">
        <v>2966</v>
      </c>
      <c r="C32" s="184">
        <v>27.5</v>
      </c>
      <c r="D32" s="218">
        <v>1.1299999999999999</v>
      </c>
      <c r="E32" s="302"/>
      <c r="F32" s="225" t="s">
        <v>3051</v>
      </c>
      <c r="AY32" s="310" t="s">
        <v>3604</v>
      </c>
    </row>
    <row r="33" spans="1:51" x14ac:dyDescent="0.3">
      <c r="A33" s="378" t="s">
        <v>2997</v>
      </c>
      <c r="B33" s="182" t="s">
        <v>3580</v>
      </c>
      <c r="C33" s="184">
        <v>7.06</v>
      </c>
      <c r="D33" s="304"/>
      <c r="E33" s="220">
        <v>1.33</v>
      </c>
      <c r="F33" s="225" t="s">
        <v>3051</v>
      </c>
      <c r="AY33" s="310" t="s">
        <v>3605</v>
      </c>
    </row>
    <row r="34" spans="1:51" x14ac:dyDescent="0.3">
      <c r="A34" s="378" t="s">
        <v>2998</v>
      </c>
      <c r="B34" s="182" t="s">
        <v>2961</v>
      </c>
      <c r="C34" s="184">
        <v>40.200000000000003</v>
      </c>
      <c r="D34" s="304"/>
      <c r="E34" s="302"/>
      <c r="F34" s="225" t="s">
        <v>3051</v>
      </c>
      <c r="AY34" s="309"/>
    </row>
    <row r="35" spans="1:51" x14ac:dyDescent="0.3">
      <c r="A35" s="378" t="s">
        <v>2999</v>
      </c>
      <c r="B35" s="182" t="s">
        <v>2961</v>
      </c>
      <c r="C35" s="184">
        <v>20.7</v>
      </c>
      <c r="D35" s="304"/>
      <c r="E35" s="302"/>
      <c r="F35" s="225" t="s">
        <v>3051</v>
      </c>
      <c r="AY35" s="309"/>
    </row>
    <row r="36" spans="1:51" x14ac:dyDescent="0.3">
      <c r="A36" s="378" t="s">
        <v>3000</v>
      </c>
      <c r="B36" s="182" t="s">
        <v>2961</v>
      </c>
      <c r="C36" s="184">
        <v>9.76</v>
      </c>
      <c r="D36" s="304"/>
      <c r="E36" s="302"/>
      <c r="F36" s="225" t="s">
        <v>3051</v>
      </c>
      <c r="AY36" s="309"/>
    </row>
    <row r="37" spans="1:51" x14ac:dyDescent="0.3">
      <c r="A37" s="378" t="s">
        <v>3001</v>
      </c>
      <c r="B37" s="182" t="s">
        <v>2961</v>
      </c>
      <c r="C37" s="184">
        <v>32.5</v>
      </c>
      <c r="D37" s="304"/>
      <c r="E37" s="302"/>
      <c r="F37" s="225" t="s">
        <v>3051</v>
      </c>
      <c r="AY37" s="309"/>
    </row>
    <row r="38" spans="1:51" x14ac:dyDescent="0.3">
      <c r="A38" s="378" t="s">
        <v>3002</v>
      </c>
      <c r="B38" s="182" t="s">
        <v>3580</v>
      </c>
      <c r="C38" s="218">
        <v>46.32</v>
      </c>
      <c r="D38" s="304"/>
      <c r="E38" s="186">
        <v>1.9</v>
      </c>
      <c r="F38" s="225" t="s">
        <v>3051</v>
      </c>
      <c r="AY38" s="310" t="s">
        <v>3595</v>
      </c>
    </row>
    <row r="39" spans="1:51" x14ac:dyDescent="0.3">
      <c r="A39" s="378" t="s">
        <v>3003</v>
      </c>
      <c r="B39" s="182" t="s">
        <v>2966</v>
      </c>
      <c r="C39" s="184">
        <v>43</v>
      </c>
      <c r="D39" s="218">
        <v>0.82499999999999996</v>
      </c>
      <c r="E39" s="302"/>
      <c r="F39" s="225" t="s">
        <v>3051</v>
      </c>
      <c r="AY39" s="310" t="s">
        <v>3596</v>
      </c>
    </row>
    <row r="40" spans="1:51" x14ac:dyDescent="0.3">
      <c r="A40" s="378" t="s">
        <v>3004</v>
      </c>
      <c r="B40" s="182" t="s">
        <v>3580</v>
      </c>
      <c r="C40" s="184">
        <v>49.5</v>
      </c>
      <c r="D40" s="304"/>
      <c r="E40" s="220">
        <v>0.88</v>
      </c>
      <c r="F40" s="225" t="s">
        <v>3051</v>
      </c>
      <c r="AY40" s="310" t="s">
        <v>3597</v>
      </c>
    </row>
    <row r="41" spans="1:51" x14ac:dyDescent="0.3">
      <c r="A41" s="378" t="s">
        <v>3005</v>
      </c>
      <c r="B41" s="182" t="s">
        <v>2966</v>
      </c>
      <c r="C41" s="184">
        <v>40.4</v>
      </c>
      <c r="D41" s="148">
        <v>0.94</v>
      </c>
      <c r="E41" s="302"/>
      <c r="F41" s="225" t="s">
        <v>3051</v>
      </c>
      <c r="AY41" s="309"/>
    </row>
    <row r="42" spans="1:51" x14ac:dyDescent="0.3">
      <c r="A42" s="378" t="s">
        <v>3006</v>
      </c>
      <c r="B42" s="182" t="s">
        <v>2966</v>
      </c>
      <c r="C42" s="184">
        <v>38.1</v>
      </c>
      <c r="D42" s="148">
        <v>1</v>
      </c>
      <c r="E42" s="302"/>
      <c r="F42" s="225" t="s">
        <v>3051</v>
      </c>
      <c r="AY42" s="309"/>
    </row>
    <row r="43" spans="1:51" x14ac:dyDescent="0.3">
      <c r="A43" s="378" t="s">
        <v>3007</v>
      </c>
      <c r="B43" s="182" t="s">
        <v>3580</v>
      </c>
      <c r="C43" s="184">
        <v>50.4</v>
      </c>
      <c r="D43" s="304"/>
      <c r="E43" s="186">
        <v>0.67</v>
      </c>
      <c r="F43" s="225" t="s">
        <v>3050</v>
      </c>
      <c r="AY43" s="309"/>
    </row>
    <row r="44" spans="1:51" x14ac:dyDescent="0.3">
      <c r="A44" s="378" t="s">
        <v>3008</v>
      </c>
      <c r="B44" s="182" t="s">
        <v>2961</v>
      </c>
      <c r="C44" s="184">
        <v>18.899999999999999</v>
      </c>
      <c r="D44" s="304"/>
      <c r="E44" s="302"/>
      <c r="F44" s="225" t="s">
        <v>3051</v>
      </c>
      <c r="AY44" s="309"/>
    </row>
    <row r="45" spans="1:51" x14ac:dyDescent="0.3">
      <c r="A45" s="378" t="s">
        <v>3606</v>
      </c>
      <c r="B45" s="182" t="s">
        <v>2966</v>
      </c>
      <c r="C45" s="184">
        <v>11.8</v>
      </c>
      <c r="D45" s="218">
        <v>1.2</v>
      </c>
      <c r="E45" s="302"/>
      <c r="F45" s="225" t="s">
        <v>3050</v>
      </c>
      <c r="AY45" s="310" t="s">
        <v>3598</v>
      </c>
    </row>
    <row r="46" spans="1:51" x14ac:dyDescent="0.3">
      <c r="A46" s="378" t="s">
        <v>3009</v>
      </c>
      <c r="B46" s="182" t="s">
        <v>2966</v>
      </c>
      <c r="C46" s="218">
        <v>44.4</v>
      </c>
      <c r="D46" s="148">
        <v>0.87</v>
      </c>
      <c r="E46" s="302"/>
      <c r="F46" s="225" t="s">
        <v>3050</v>
      </c>
      <c r="AY46" s="310" t="s">
        <v>3599</v>
      </c>
    </row>
    <row r="47" spans="1:51" x14ac:dyDescent="0.3">
      <c r="A47" s="378" t="s">
        <v>3010</v>
      </c>
      <c r="B47" s="182" t="s">
        <v>2966</v>
      </c>
      <c r="C47" s="218">
        <v>37.799999999999997</v>
      </c>
      <c r="D47" s="148">
        <v>0.9</v>
      </c>
      <c r="E47" s="302"/>
      <c r="F47" s="225" t="s">
        <v>3051</v>
      </c>
      <c r="AY47" s="310" t="s">
        <v>3600</v>
      </c>
    </row>
    <row r="48" spans="1:51" x14ac:dyDescent="0.3">
      <c r="A48" s="378" t="s">
        <v>3011</v>
      </c>
      <c r="B48" s="182" t="s">
        <v>2966</v>
      </c>
      <c r="C48" s="184">
        <v>40.200000000000003</v>
      </c>
      <c r="D48" s="218">
        <v>0.8</v>
      </c>
      <c r="E48" s="302"/>
      <c r="F48" s="225" t="s">
        <v>3051</v>
      </c>
      <c r="AY48" s="310" t="s">
        <v>3601</v>
      </c>
    </row>
    <row r="49" spans="1:51" x14ac:dyDescent="0.3">
      <c r="A49" s="378" t="s">
        <v>3012</v>
      </c>
      <c r="B49" s="182" t="s">
        <v>3580</v>
      </c>
      <c r="C49" s="218">
        <v>35</v>
      </c>
      <c r="D49" s="304"/>
      <c r="E49" s="186">
        <v>0.9</v>
      </c>
      <c r="F49" s="225" t="s">
        <v>3050</v>
      </c>
      <c r="AY49" s="310" t="s">
        <v>3602</v>
      </c>
    </row>
    <row r="50" spans="1:51" x14ac:dyDescent="0.3">
      <c r="A50" s="378" t="s">
        <v>3013</v>
      </c>
      <c r="B50" s="182" t="s">
        <v>2966</v>
      </c>
      <c r="C50" s="184">
        <v>40.200000000000003</v>
      </c>
      <c r="D50" s="218">
        <v>0.75</v>
      </c>
      <c r="E50" s="302"/>
      <c r="F50" s="225" t="s">
        <v>3051</v>
      </c>
      <c r="AY50" s="310" t="s">
        <v>3603</v>
      </c>
    </row>
    <row r="51" spans="1:51" x14ac:dyDescent="0.3">
      <c r="A51" s="380" t="s">
        <v>3014</v>
      </c>
      <c r="B51" s="182" t="s">
        <v>2961</v>
      </c>
      <c r="C51" s="188">
        <v>15.6</v>
      </c>
      <c r="D51" s="306"/>
      <c r="E51" s="307"/>
      <c r="F51" s="225" t="s">
        <v>3050</v>
      </c>
      <c r="AY51" s="309"/>
    </row>
    <row r="52" spans="1:51" x14ac:dyDescent="0.3">
      <c r="A52" s="189" t="s">
        <v>3076</v>
      </c>
      <c r="B52" s="190"/>
      <c r="C52" s="190"/>
      <c r="D52" s="190"/>
      <c r="E52" s="221"/>
      <c r="F52" s="190"/>
      <c r="AY52" s="309"/>
    </row>
    <row r="53" spans="1:51" x14ac:dyDescent="0.3">
      <c r="A53" s="189" t="s">
        <v>3077</v>
      </c>
      <c r="B53" s="190"/>
      <c r="C53" s="190"/>
      <c r="D53" s="190"/>
      <c r="E53" s="221"/>
      <c r="F53" s="190"/>
      <c r="AY53" s="309"/>
    </row>
    <row r="54" spans="1:51" x14ac:dyDescent="0.3">
      <c r="A54" s="189" t="s">
        <v>3078</v>
      </c>
      <c r="B54" s="190"/>
      <c r="C54" s="190"/>
      <c r="D54" s="190"/>
      <c r="E54" s="221"/>
      <c r="F54" s="190"/>
      <c r="AY54" s="309"/>
    </row>
    <row r="55" spans="1:51" x14ac:dyDescent="0.3">
      <c r="A55" s="189" t="s">
        <v>3079</v>
      </c>
      <c r="B55" s="190"/>
      <c r="C55" s="190"/>
      <c r="D55" s="190"/>
      <c r="E55" s="221"/>
      <c r="F55" s="190"/>
      <c r="AY55" s="309"/>
    </row>
    <row r="56" spans="1:51" x14ac:dyDescent="0.3">
      <c r="A56" s="189" t="s">
        <v>3080</v>
      </c>
      <c r="B56" s="190"/>
      <c r="C56" s="190"/>
      <c r="D56" s="190"/>
      <c r="E56" s="221"/>
      <c r="F56" s="190"/>
      <c r="AY56" s="309"/>
    </row>
    <row r="57" spans="1:51" x14ac:dyDescent="0.3">
      <c r="A57" s="189" t="s">
        <v>3081</v>
      </c>
      <c r="B57" s="190"/>
      <c r="C57" s="190"/>
      <c r="D57" s="190"/>
      <c r="E57" s="221"/>
      <c r="F57" s="190"/>
      <c r="AY57" s="309"/>
    </row>
    <row r="58" spans="1:51" x14ac:dyDescent="0.3">
      <c r="A58" s="189" t="s">
        <v>3082</v>
      </c>
      <c r="B58" s="190"/>
      <c r="C58" s="190"/>
      <c r="D58" s="190"/>
      <c r="E58" s="221"/>
      <c r="F58" s="190"/>
      <c r="AY58" s="309"/>
    </row>
    <row r="59" spans="1:51" x14ac:dyDescent="0.3">
      <c r="A59" s="189" t="s">
        <v>3083</v>
      </c>
      <c r="B59" s="190"/>
      <c r="C59" s="190"/>
      <c r="D59" s="190"/>
      <c r="E59" s="221"/>
      <c r="F59" s="190"/>
      <c r="AY59" s="309"/>
    </row>
    <row r="60" spans="1:51" x14ac:dyDescent="0.3">
      <c r="A60" s="189" t="s">
        <v>3084</v>
      </c>
      <c r="B60" s="190"/>
      <c r="C60" s="190"/>
      <c r="D60" s="190"/>
      <c r="E60" s="221"/>
      <c r="F60" s="190"/>
      <c r="AY60" s="309"/>
    </row>
    <row r="61" spans="1:51" ht="15" thickBot="1" x14ac:dyDescent="0.35">
      <c r="A61" s="226" t="s">
        <v>3085</v>
      </c>
      <c r="B61" s="190"/>
      <c r="C61" s="227"/>
      <c r="D61" s="227"/>
      <c r="E61" s="228"/>
      <c r="F61" s="190"/>
      <c r="AY61" s="309"/>
    </row>
    <row r="62" spans="1:51" x14ac:dyDescent="0.3">
      <c r="A62" s="1183" t="s">
        <v>3584</v>
      </c>
      <c r="B62" s="1184"/>
      <c r="C62" s="1184"/>
      <c r="D62" s="1184"/>
      <c r="E62" s="1184"/>
      <c r="F62" s="1184"/>
      <c r="G62" s="1184"/>
      <c r="H62" s="1184"/>
      <c r="I62" s="1184"/>
      <c r="J62" s="1184"/>
      <c r="K62" s="1184"/>
      <c r="L62" s="1184"/>
      <c r="M62" s="1184"/>
      <c r="N62" s="1184"/>
      <c r="O62" s="1184"/>
      <c r="P62" s="1184"/>
      <c r="Q62" s="1184"/>
      <c r="R62" s="1184"/>
      <c r="S62" s="1184"/>
      <c r="T62" s="1184"/>
      <c r="U62" s="1184"/>
      <c r="V62" s="1184"/>
      <c r="W62" s="1184"/>
      <c r="X62" s="1184"/>
      <c r="Y62" s="1184"/>
      <c r="Z62" s="1184"/>
      <c r="AA62" s="1184"/>
      <c r="AB62" s="1184"/>
      <c r="AC62" s="1184"/>
      <c r="AD62" s="1184"/>
      <c r="AE62" s="1184"/>
      <c r="AF62" s="1184"/>
      <c r="AG62" s="1184"/>
      <c r="AH62" s="1184"/>
      <c r="AI62" s="1184"/>
      <c r="AJ62" s="1184"/>
      <c r="AK62" s="1184"/>
      <c r="AL62" s="1184"/>
      <c r="AM62" s="1184"/>
      <c r="AN62" s="1184"/>
      <c r="AO62" s="1184"/>
      <c r="AP62" s="1184"/>
      <c r="AQ62" s="1184"/>
      <c r="AR62" s="1184"/>
      <c r="AS62" s="1184"/>
      <c r="AT62" s="1184"/>
      <c r="AU62" s="1184"/>
      <c r="AV62" s="1184"/>
      <c r="AW62" s="1184"/>
      <c r="AX62" s="1184"/>
      <c r="AY62" s="1185"/>
    </row>
    <row r="63" spans="1:51" ht="43.95" customHeight="1" x14ac:dyDescent="0.3">
      <c r="A63" s="1186" t="s">
        <v>3617</v>
      </c>
      <c r="B63" s="1187"/>
      <c r="C63" s="1187"/>
      <c r="D63" s="1187"/>
      <c r="E63" s="1187"/>
      <c r="F63" s="1187"/>
      <c r="G63" s="1187"/>
      <c r="H63" s="1187"/>
      <c r="I63" s="1187"/>
      <c r="J63" s="1187"/>
      <c r="K63" s="1187"/>
      <c r="L63" s="1187"/>
      <c r="M63" s="1187"/>
      <c r="N63" s="1187"/>
      <c r="O63" s="1187"/>
      <c r="P63" s="1187"/>
      <c r="Q63" s="1187"/>
      <c r="R63" s="1187"/>
      <c r="S63" s="1187"/>
      <c r="T63" s="1187"/>
      <c r="U63" s="1187"/>
      <c r="V63" s="1187"/>
      <c r="W63" s="1187"/>
      <c r="X63" s="1187"/>
      <c r="Y63" s="1187"/>
      <c r="Z63" s="1187"/>
      <c r="AA63" s="1187"/>
      <c r="AB63" s="1187"/>
      <c r="AC63" s="1187"/>
      <c r="AD63" s="1187"/>
      <c r="AE63" s="1187"/>
      <c r="AF63" s="1187"/>
      <c r="AG63" s="1187"/>
      <c r="AH63" s="1187"/>
      <c r="AI63" s="1187"/>
      <c r="AJ63" s="1187"/>
      <c r="AK63" s="1187"/>
      <c r="AL63" s="1187"/>
      <c r="AM63" s="1187"/>
      <c r="AN63" s="1187"/>
      <c r="AO63" s="1187"/>
      <c r="AP63" s="1187"/>
      <c r="AQ63" s="1187"/>
      <c r="AR63" s="1187"/>
      <c r="AS63" s="1187"/>
      <c r="AT63" s="1187"/>
      <c r="AU63" s="1187"/>
      <c r="AV63" s="1187"/>
      <c r="AW63" s="1187"/>
      <c r="AX63" s="1187"/>
      <c r="AY63" s="1188"/>
    </row>
    <row r="64" spans="1:51" x14ac:dyDescent="0.3">
      <c r="A64" s="1189" t="s">
        <v>3618</v>
      </c>
      <c r="B64" s="1190"/>
      <c r="C64" s="1190"/>
      <c r="D64" s="1190"/>
      <c r="E64" s="1190"/>
      <c r="F64" s="1190"/>
      <c r="G64" s="1190"/>
      <c r="H64" s="1190"/>
      <c r="I64" s="1190"/>
      <c r="J64" s="1190"/>
      <c r="K64" s="1190"/>
      <c r="L64" s="1190"/>
      <c r="M64" s="1190"/>
      <c r="N64" s="1190"/>
      <c r="O64" s="1190"/>
      <c r="P64" s="1190"/>
      <c r="Q64" s="1190"/>
      <c r="R64" s="1190"/>
      <c r="S64" s="1190"/>
      <c r="T64" s="1190"/>
      <c r="U64" s="1190"/>
      <c r="V64" s="1190"/>
      <c r="W64" s="1190"/>
      <c r="X64" s="1190"/>
      <c r="Y64" s="1190"/>
      <c r="Z64" s="1190"/>
      <c r="AA64" s="1190"/>
      <c r="AB64" s="1190"/>
      <c r="AC64" s="1190"/>
      <c r="AD64" s="1190"/>
      <c r="AE64" s="1190"/>
      <c r="AF64" s="1190"/>
      <c r="AG64" s="1190"/>
      <c r="AH64" s="1190"/>
      <c r="AI64" s="1190"/>
      <c r="AJ64" s="1190"/>
      <c r="AK64" s="1190"/>
      <c r="AL64" s="1190"/>
      <c r="AM64" s="1190"/>
      <c r="AN64" s="1190"/>
      <c r="AO64" s="1190"/>
      <c r="AP64" s="1190"/>
      <c r="AQ64" s="1190"/>
      <c r="AR64" s="1190"/>
      <c r="AS64" s="1190"/>
      <c r="AT64" s="1190"/>
      <c r="AU64" s="1190"/>
      <c r="AV64" s="1190"/>
      <c r="AW64" s="1190"/>
      <c r="AX64" s="1190"/>
      <c r="AY64" s="1191"/>
    </row>
    <row r="65" spans="1:51" x14ac:dyDescent="0.3">
      <c r="A65" s="1180" t="s">
        <v>3585</v>
      </c>
      <c r="B65" s="1181"/>
      <c r="C65" s="1181"/>
      <c r="D65" s="1181"/>
      <c r="E65" s="1181"/>
      <c r="F65" s="1181"/>
      <c r="G65" s="1181"/>
      <c r="H65" s="1181"/>
      <c r="I65" s="1181"/>
      <c r="J65" s="1181"/>
      <c r="K65" s="1181"/>
      <c r="L65" s="1181"/>
      <c r="M65" s="1181"/>
      <c r="N65" s="1181"/>
      <c r="O65" s="1181"/>
      <c r="P65" s="1181"/>
      <c r="Q65" s="1181"/>
      <c r="R65" s="1181"/>
      <c r="S65" s="1181"/>
      <c r="T65" s="1181"/>
      <c r="U65" s="1181"/>
      <c r="V65" s="1181"/>
      <c r="W65" s="1181"/>
      <c r="X65" s="1181"/>
      <c r="Y65" s="1181"/>
      <c r="Z65" s="1181"/>
      <c r="AA65" s="1181"/>
      <c r="AB65" s="1181"/>
      <c r="AC65" s="1181"/>
      <c r="AD65" s="1181"/>
      <c r="AE65" s="1181"/>
      <c r="AF65" s="1181"/>
      <c r="AG65" s="1181"/>
      <c r="AH65" s="1181"/>
      <c r="AI65" s="1181"/>
      <c r="AJ65" s="1181"/>
      <c r="AK65" s="1181"/>
      <c r="AL65" s="1181"/>
      <c r="AM65" s="1181"/>
      <c r="AN65" s="1181"/>
      <c r="AO65" s="1181"/>
      <c r="AP65" s="1181"/>
      <c r="AQ65" s="1181"/>
      <c r="AR65" s="1181"/>
      <c r="AS65" s="1181"/>
      <c r="AT65" s="1181"/>
      <c r="AU65" s="1181"/>
      <c r="AV65" s="1181"/>
      <c r="AW65" s="1181"/>
      <c r="AX65" s="1181"/>
      <c r="AY65" s="1182"/>
    </row>
    <row r="66" spans="1:51" x14ac:dyDescent="0.3">
      <c r="A66" s="1159" t="s">
        <v>3619</v>
      </c>
      <c r="B66" s="1160"/>
      <c r="C66" s="1160"/>
      <c r="D66" s="1160"/>
      <c r="E66" s="1160"/>
      <c r="F66" s="1160"/>
      <c r="G66" s="1160"/>
      <c r="H66" s="1160"/>
      <c r="I66" s="1160"/>
      <c r="J66" s="1160"/>
      <c r="K66" s="1160"/>
      <c r="L66" s="1160"/>
      <c r="M66" s="1160"/>
      <c r="N66" s="1160"/>
      <c r="O66" s="1160"/>
      <c r="P66" s="1160"/>
      <c r="Q66" s="1160"/>
      <c r="R66" s="1160"/>
      <c r="S66" s="1160"/>
      <c r="T66" s="1160"/>
      <c r="U66" s="1160"/>
      <c r="V66" s="1160"/>
      <c r="W66" s="1160"/>
      <c r="X66" s="1160"/>
      <c r="Y66" s="1160"/>
      <c r="Z66" s="1160"/>
      <c r="AA66" s="1160"/>
      <c r="AB66" s="1160"/>
      <c r="AC66" s="1160"/>
      <c r="AD66" s="1160"/>
      <c r="AE66" s="1160"/>
      <c r="AF66" s="1160"/>
      <c r="AG66" s="1160"/>
      <c r="AH66" s="1160"/>
      <c r="AI66" s="1160"/>
      <c r="AJ66" s="1160"/>
      <c r="AK66" s="1160"/>
      <c r="AL66" s="1160"/>
      <c r="AM66" s="1160"/>
      <c r="AN66" s="1160"/>
      <c r="AO66" s="1160"/>
      <c r="AP66" s="1160"/>
      <c r="AQ66" s="1160"/>
      <c r="AR66" s="1160"/>
      <c r="AS66" s="1160"/>
      <c r="AT66" s="1160"/>
      <c r="AU66" s="1160"/>
      <c r="AV66" s="1160"/>
      <c r="AW66" s="1160"/>
      <c r="AX66" s="1160"/>
      <c r="AY66" s="1161"/>
    </row>
    <row r="67" spans="1:51" x14ac:dyDescent="0.3">
      <c r="A67" s="1162" t="s">
        <v>3620</v>
      </c>
      <c r="B67" s="1178"/>
      <c r="C67" s="1178"/>
      <c r="D67" s="1178"/>
      <c r="E67" s="1178"/>
      <c r="F67" s="1178"/>
      <c r="G67" s="1178"/>
      <c r="H67" s="1178"/>
      <c r="I67" s="1178"/>
      <c r="J67" s="1178"/>
      <c r="K67" s="1178"/>
      <c r="L67" s="1178"/>
      <c r="M67" s="1178"/>
      <c r="N67" s="1178"/>
      <c r="O67" s="1178"/>
      <c r="P67" s="1178"/>
      <c r="Q67" s="1178"/>
      <c r="R67" s="1178"/>
      <c r="S67" s="1178"/>
      <c r="T67" s="1178"/>
      <c r="U67" s="1178"/>
      <c r="V67" s="1178"/>
      <c r="W67" s="1178"/>
      <c r="X67" s="1178"/>
      <c r="Y67" s="1178"/>
      <c r="Z67" s="1178"/>
      <c r="AA67" s="1178"/>
      <c r="AB67" s="1178"/>
      <c r="AC67" s="1178"/>
      <c r="AD67" s="1178"/>
      <c r="AE67" s="1178"/>
      <c r="AF67" s="1178"/>
      <c r="AG67" s="1178"/>
      <c r="AH67" s="1178"/>
      <c r="AI67" s="1178"/>
      <c r="AJ67" s="1178"/>
      <c r="AK67" s="1178"/>
      <c r="AL67" s="1178"/>
      <c r="AM67" s="1178"/>
      <c r="AN67" s="1178"/>
      <c r="AO67" s="1178"/>
      <c r="AP67" s="1178"/>
      <c r="AQ67" s="1178"/>
      <c r="AR67" s="1178"/>
      <c r="AS67" s="1178"/>
      <c r="AT67" s="1178"/>
      <c r="AU67" s="1178"/>
      <c r="AV67" s="1178"/>
      <c r="AW67" s="1178"/>
      <c r="AX67" s="1178"/>
      <c r="AY67" s="1179"/>
    </row>
    <row r="68" spans="1:51" x14ac:dyDescent="0.3">
      <c r="A68" s="1159" t="s">
        <v>3621</v>
      </c>
      <c r="B68" s="1160"/>
      <c r="C68" s="1160"/>
      <c r="D68" s="1160"/>
      <c r="E68" s="1160"/>
      <c r="F68" s="1160"/>
      <c r="G68" s="1160"/>
      <c r="H68" s="1160"/>
      <c r="I68" s="1160"/>
      <c r="J68" s="1160"/>
      <c r="K68" s="1160"/>
      <c r="L68" s="1160"/>
      <c r="M68" s="1160"/>
      <c r="N68" s="1160"/>
      <c r="O68" s="1160"/>
      <c r="P68" s="1160"/>
      <c r="Q68" s="1160"/>
      <c r="R68" s="1160"/>
      <c r="S68" s="1160"/>
      <c r="T68" s="1160"/>
      <c r="U68" s="1160"/>
      <c r="V68" s="1160"/>
      <c r="W68" s="1160"/>
      <c r="X68" s="1160"/>
      <c r="Y68" s="1160"/>
      <c r="Z68" s="1160"/>
      <c r="AA68" s="1160"/>
      <c r="AB68" s="1160"/>
      <c r="AC68" s="1160"/>
      <c r="AD68" s="1160"/>
      <c r="AE68" s="1160"/>
      <c r="AF68" s="1160"/>
      <c r="AG68" s="1160"/>
      <c r="AH68" s="1160"/>
      <c r="AI68" s="1160"/>
      <c r="AJ68" s="1160"/>
      <c r="AK68" s="1160"/>
      <c r="AL68" s="1160"/>
      <c r="AM68" s="1160"/>
      <c r="AN68" s="1160"/>
      <c r="AO68" s="1160"/>
      <c r="AP68" s="1160"/>
      <c r="AQ68" s="1160"/>
      <c r="AR68" s="1160"/>
      <c r="AS68" s="1160"/>
      <c r="AT68" s="1160"/>
      <c r="AU68" s="1160"/>
      <c r="AV68" s="1160"/>
      <c r="AW68" s="1160"/>
      <c r="AX68" s="1160"/>
      <c r="AY68" s="1161"/>
    </row>
    <row r="69" spans="1:51" x14ac:dyDescent="0.3">
      <c r="A69" s="1162" t="s">
        <v>3622</v>
      </c>
      <c r="B69" s="1178"/>
      <c r="C69" s="1178"/>
      <c r="D69" s="1178"/>
      <c r="E69" s="1178"/>
      <c r="F69" s="1178"/>
      <c r="G69" s="1178"/>
      <c r="H69" s="1178"/>
      <c r="I69" s="1178"/>
      <c r="J69" s="1178"/>
      <c r="K69" s="1178"/>
      <c r="L69" s="1178"/>
      <c r="M69" s="1178"/>
      <c r="N69" s="1178"/>
      <c r="O69" s="1178"/>
      <c r="P69" s="1178"/>
      <c r="Q69" s="1178"/>
      <c r="R69" s="1178"/>
      <c r="S69" s="1178"/>
      <c r="T69" s="1178"/>
      <c r="U69" s="1178"/>
      <c r="V69" s="1178"/>
      <c r="W69" s="1178"/>
      <c r="X69" s="1178"/>
      <c r="Y69" s="1178"/>
      <c r="Z69" s="1178"/>
      <c r="AA69" s="1178"/>
      <c r="AB69" s="1178"/>
      <c r="AC69" s="1178"/>
      <c r="AD69" s="1178"/>
      <c r="AE69" s="1178"/>
      <c r="AF69" s="1178"/>
      <c r="AG69" s="1178"/>
      <c r="AH69" s="1178"/>
      <c r="AI69" s="1178"/>
      <c r="AJ69" s="1178"/>
      <c r="AK69" s="1178"/>
      <c r="AL69" s="1178"/>
      <c r="AM69" s="1178"/>
      <c r="AN69" s="1178"/>
      <c r="AO69" s="1178"/>
      <c r="AP69" s="1178"/>
      <c r="AQ69" s="1178"/>
      <c r="AR69" s="1178"/>
      <c r="AS69" s="1178"/>
      <c r="AT69" s="1178"/>
      <c r="AU69" s="1178"/>
      <c r="AV69" s="1178"/>
      <c r="AW69" s="1178"/>
      <c r="AX69" s="1178"/>
      <c r="AY69" s="1179"/>
    </row>
    <row r="70" spans="1:51" x14ac:dyDescent="0.3">
      <c r="A70" s="1159" t="s">
        <v>3623</v>
      </c>
      <c r="B70" s="1160"/>
      <c r="C70" s="1160"/>
      <c r="D70" s="1160"/>
      <c r="E70" s="1160"/>
      <c r="F70" s="1160"/>
      <c r="G70" s="1160"/>
      <c r="H70" s="1160"/>
      <c r="I70" s="1160"/>
      <c r="J70" s="1160"/>
      <c r="K70" s="1160"/>
      <c r="L70" s="1160"/>
      <c r="M70" s="1160"/>
      <c r="N70" s="1160"/>
      <c r="O70" s="1160"/>
      <c r="P70" s="1160"/>
      <c r="Q70" s="1160"/>
      <c r="R70" s="1160"/>
      <c r="S70" s="1160"/>
      <c r="T70" s="1160"/>
      <c r="U70" s="1160"/>
      <c r="V70" s="1160"/>
      <c r="W70" s="1160"/>
      <c r="X70" s="1160"/>
      <c r="Y70" s="1160"/>
      <c r="Z70" s="1160"/>
      <c r="AA70" s="1160"/>
      <c r="AB70" s="1160"/>
      <c r="AC70" s="1160"/>
      <c r="AD70" s="1160"/>
      <c r="AE70" s="1160"/>
      <c r="AF70" s="1160"/>
      <c r="AG70" s="1160"/>
      <c r="AH70" s="1160"/>
      <c r="AI70" s="1160"/>
      <c r="AJ70" s="1160"/>
      <c r="AK70" s="1160"/>
      <c r="AL70" s="1160"/>
      <c r="AM70" s="1160"/>
      <c r="AN70" s="1160"/>
      <c r="AO70" s="1160"/>
      <c r="AP70" s="1160"/>
      <c r="AQ70" s="1160"/>
      <c r="AR70" s="1160"/>
      <c r="AS70" s="1160"/>
      <c r="AT70" s="1160"/>
      <c r="AU70" s="1160"/>
      <c r="AV70" s="1160"/>
      <c r="AW70" s="1160"/>
      <c r="AX70" s="1160"/>
      <c r="AY70" s="1161"/>
    </row>
    <row r="71" spans="1:51" x14ac:dyDescent="0.3">
      <c r="A71" s="1162" t="s">
        <v>3624</v>
      </c>
      <c r="B71" s="1178"/>
      <c r="C71" s="1178"/>
      <c r="D71" s="1178"/>
      <c r="E71" s="1178"/>
      <c r="F71" s="1178"/>
      <c r="G71" s="1178"/>
      <c r="H71" s="1178"/>
      <c r="I71" s="1178"/>
      <c r="J71" s="1178"/>
      <c r="K71" s="1178"/>
      <c r="L71" s="1178"/>
      <c r="M71" s="1178"/>
      <c r="N71" s="1178"/>
      <c r="O71" s="1178"/>
      <c r="P71" s="1178"/>
      <c r="Q71" s="1178"/>
      <c r="R71" s="1178"/>
      <c r="S71" s="1178"/>
      <c r="T71" s="1178"/>
      <c r="U71" s="1178"/>
      <c r="V71" s="1178"/>
      <c r="W71" s="1178"/>
      <c r="X71" s="1178"/>
      <c r="Y71" s="1178"/>
      <c r="Z71" s="1178"/>
      <c r="AA71" s="1178"/>
      <c r="AB71" s="1178"/>
      <c r="AC71" s="1178"/>
      <c r="AD71" s="1178"/>
      <c r="AE71" s="1178"/>
      <c r="AF71" s="1178"/>
      <c r="AG71" s="1178"/>
      <c r="AH71" s="1178"/>
      <c r="AI71" s="1178"/>
      <c r="AJ71" s="1178"/>
      <c r="AK71" s="1178"/>
      <c r="AL71" s="1178"/>
      <c r="AM71" s="1178"/>
      <c r="AN71" s="1178"/>
      <c r="AO71" s="1178"/>
      <c r="AP71" s="1178"/>
      <c r="AQ71" s="1178"/>
      <c r="AR71" s="1178"/>
      <c r="AS71" s="1178"/>
      <c r="AT71" s="1178"/>
      <c r="AU71" s="1178"/>
      <c r="AV71" s="1178"/>
      <c r="AW71" s="1178"/>
      <c r="AX71" s="1178"/>
      <c r="AY71" s="1179"/>
    </row>
    <row r="72" spans="1:51" x14ac:dyDescent="0.3">
      <c r="A72" s="1159" t="s">
        <v>3625</v>
      </c>
      <c r="B72" s="1160"/>
      <c r="C72" s="1160"/>
      <c r="D72" s="1160"/>
      <c r="E72" s="1160"/>
      <c r="F72" s="1160"/>
      <c r="G72" s="1160"/>
      <c r="H72" s="1160"/>
      <c r="I72" s="1160"/>
      <c r="J72" s="1160"/>
      <c r="K72" s="1160"/>
      <c r="L72" s="1160"/>
      <c r="M72" s="1160"/>
      <c r="N72" s="1160"/>
      <c r="O72" s="1160"/>
      <c r="P72" s="1160"/>
      <c r="Q72" s="1160"/>
      <c r="R72" s="1160"/>
      <c r="S72" s="1160"/>
      <c r="T72" s="1160"/>
      <c r="U72" s="1160"/>
      <c r="V72" s="1160"/>
      <c r="W72" s="1160"/>
      <c r="X72" s="1160"/>
      <c r="Y72" s="1160"/>
      <c r="Z72" s="1160"/>
      <c r="AA72" s="1160"/>
      <c r="AB72" s="1160"/>
      <c r="AC72" s="1160"/>
      <c r="AD72" s="1160"/>
      <c r="AE72" s="1160"/>
      <c r="AF72" s="1160"/>
      <c r="AG72" s="1160"/>
      <c r="AH72" s="1160"/>
      <c r="AI72" s="1160"/>
      <c r="AJ72" s="1160"/>
      <c r="AK72" s="1160"/>
      <c r="AL72" s="1160"/>
      <c r="AM72" s="1160"/>
      <c r="AN72" s="1160"/>
      <c r="AO72" s="1160"/>
      <c r="AP72" s="1160"/>
      <c r="AQ72" s="1160"/>
      <c r="AR72" s="1160"/>
      <c r="AS72" s="1160"/>
      <c r="AT72" s="1160"/>
      <c r="AU72" s="1160"/>
      <c r="AV72" s="1160"/>
      <c r="AW72" s="1160"/>
      <c r="AX72" s="1160"/>
      <c r="AY72" s="1161"/>
    </row>
    <row r="73" spans="1:51" x14ac:dyDescent="0.3">
      <c r="A73" s="1162" t="s">
        <v>3626</v>
      </c>
      <c r="B73" s="1178"/>
      <c r="C73" s="1178"/>
      <c r="D73" s="1178"/>
      <c r="E73" s="1178"/>
      <c r="F73" s="1178"/>
      <c r="G73" s="1178"/>
      <c r="H73" s="1178"/>
      <c r="I73" s="1178"/>
      <c r="J73" s="1178"/>
      <c r="K73" s="1178"/>
      <c r="L73" s="1178"/>
      <c r="M73" s="1178"/>
      <c r="N73" s="1178"/>
      <c r="O73" s="1178"/>
      <c r="P73" s="1178"/>
      <c r="Q73" s="1178"/>
      <c r="R73" s="1178"/>
      <c r="S73" s="1178"/>
      <c r="T73" s="1178"/>
      <c r="U73" s="1178"/>
      <c r="V73" s="1178"/>
      <c r="W73" s="1178"/>
      <c r="X73" s="1178"/>
      <c r="Y73" s="1178"/>
      <c r="Z73" s="1178"/>
      <c r="AA73" s="1178"/>
      <c r="AB73" s="1178"/>
      <c r="AC73" s="1178"/>
      <c r="AD73" s="1178"/>
      <c r="AE73" s="1178"/>
      <c r="AF73" s="1178"/>
      <c r="AG73" s="1178"/>
      <c r="AH73" s="1178"/>
      <c r="AI73" s="1178"/>
      <c r="AJ73" s="1178"/>
      <c r="AK73" s="1178"/>
      <c r="AL73" s="1178"/>
      <c r="AM73" s="1178"/>
      <c r="AN73" s="1178"/>
      <c r="AO73" s="1178"/>
      <c r="AP73" s="1178"/>
      <c r="AQ73" s="1178"/>
      <c r="AR73" s="1178"/>
      <c r="AS73" s="1178"/>
      <c r="AT73" s="1178"/>
      <c r="AU73" s="1178"/>
      <c r="AV73" s="1178"/>
      <c r="AW73" s="1178"/>
      <c r="AX73" s="1178"/>
      <c r="AY73" s="1179"/>
    </row>
    <row r="74" spans="1:51" x14ac:dyDescent="0.3">
      <c r="A74" s="1159" t="s">
        <v>3627</v>
      </c>
      <c r="B74" s="1160"/>
      <c r="C74" s="1160"/>
      <c r="D74" s="1160"/>
      <c r="E74" s="1160"/>
      <c r="F74" s="1160"/>
      <c r="G74" s="1160"/>
      <c r="H74" s="1160"/>
      <c r="I74" s="1160"/>
      <c r="J74" s="1160"/>
      <c r="K74" s="1160"/>
      <c r="L74" s="1160"/>
      <c r="M74" s="1160"/>
      <c r="N74" s="1160"/>
      <c r="O74" s="1160"/>
      <c r="P74" s="1160"/>
      <c r="Q74" s="1160"/>
      <c r="R74" s="1160"/>
      <c r="S74" s="1160"/>
      <c r="T74" s="1160"/>
      <c r="U74" s="1160"/>
      <c r="V74" s="1160"/>
      <c r="W74" s="1160"/>
      <c r="X74" s="1160"/>
      <c r="Y74" s="1160"/>
      <c r="Z74" s="1160"/>
      <c r="AA74" s="1160"/>
      <c r="AB74" s="1160"/>
      <c r="AC74" s="1160"/>
      <c r="AD74" s="1160"/>
      <c r="AE74" s="1160"/>
      <c r="AF74" s="1160"/>
      <c r="AG74" s="1160"/>
      <c r="AH74" s="1160"/>
      <c r="AI74" s="1160"/>
      <c r="AJ74" s="1160"/>
      <c r="AK74" s="1160"/>
      <c r="AL74" s="1160"/>
      <c r="AM74" s="1160"/>
      <c r="AN74" s="1160"/>
      <c r="AO74" s="1160"/>
      <c r="AP74" s="1160"/>
      <c r="AQ74" s="1160"/>
      <c r="AR74" s="1160"/>
      <c r="AS74" s="1160"/>
      <c r="AT74" s="1160"/>
      <c r="AU74" s="1160"/>
      <c r="AV74" s="1160"/>
      <c r="AW74" s="1160"/>
      <c r="AX74" s="1160"/>
      <c r="AY74" s="1161"/>
    </row>
    <row r="75" spans="1:51" x14ac:dyDescent="0.3">
      <c r="A75" s="1162" t="s">
        <v>3628</v>
      </c>
      <c r="B75" s="1178"/>
      <c r="C75" s="1178"/>
      <c r="D75" s="1178"/>
      <c r="E75" s="1178"/>
      <c r="F75" s="1178"/>
      <c r="G75" s="1178"/>
      <c r="H75" s="1178"/>
      <c r="I75" s="1178"/>
      <c r="J75" s="1178"/>
      <c r="K75" s="1178"/>
      <c r="L75" s="1178"/>
      <c r="M75" s="1178"/>
      <c r="N75" s="1178"/>
      <c r="O75" s="1178"/>
      <c r="P75" s="1178"/>
      <c r="Q75" s="1178"/>
      <c r="R75" s="1178"/>
      <c r="S75" s="1178"/>
      <c r="T75" s="1178"/>
      <c r="U75" s="1178"/>
      <c r="V75" s="1178"/>
      <c r="W75" s="1178"/>
      <c r="X75" s="1178"/>
      <c r="Y75" s="1178"/>
      <c r="Z75" s="1178"/>
      <c r="AA75" s="1178"/>
      <c r="AB75" s="1178"/>
      <c r="AC75" s="1178"/>
      <c r="AD75" s="1178"/>
      <c r="AE75" s="1178"/>
      <c r="AF75" s="1178"/>
      <c r="AG75" s="1178"/>
      <c r="AH75" s="1178"/>
      <c r="AI75" s="1178"/>
      <c r="AJ75" s="1178"/>
      <c r="AK75" s="1178"/>
      <c r="AL75" s="1178"/>
      <c r="AM75" s="1178"/>
      <c r="AN75" s="1178"/>
      <c r="AO75" s="1178"/>
      <c r="AP75" s="1178"/>
      <c r="AQ75" s="1178"/>
      <c r="AR75" s="1178"/>
      <c r="AS75" s="1178"/>
      <c r="AT75" s="1178"/>
      <c r="AU75" s="1178"/>
      <c r="AV75" s="1178"/>
      <c r="AW75" s="1178"/>
      <c r="AX75" s="1178"/>
      <c r="AY75" s="1179"/>
    </row>
    <row r="76" spans="1:51" x14ac:dyDescent="0.3">
      <c r="A76" s="1200" t="s">
        <v>3629</v>
      </c>
      <c r="B76" s="1201"/>
      <c r="C76" s="1201"/>
      <c r="D76" s="1201"/>
      <c r="E76" s="1201"/>
      <c r="F76" s="1201"/>
      <c r="G76" s="1201"/>
      <c r="H76" s="1201"/>
      <c r="I76" s="1201"/>
      <c r="J76" s="1201"/>
      <c r="K76" s="1201"/>
      <c r="L76" s="1201"/>
      <c r="M76" s="1201"/>
      <c r="N76" s="1201"/>
      <c r="O76" s="1201"/>
      <c r="P76" s="1201"/>
      <c r="Q76" s="1201"/>
      <c r="R76" s="1201"/>
      <c r="S76" s="1201"/>
      <c r="T76" s="1201"/>
      <c r="U76" s="1201"/>
      <c r="V76" s="1201"/>
      <c r="W76" s="1201"/>
      <c r="X76" s="1201"/>
      <c r="Y76" s="1201"/>
      <c r="Z76" s="1201"/>
      <c r="AA76" s="1201"/>
      <c r="AB76" s="1201"/>
      <c r="AC76" s="1201"/>
      <c r="AD76" s="1201"/>
      <c r="AE76" s="1201"/>
      <c r="AF76" s="1201"/>
      <c r="AG76" s="1201"/>
      <c r="AH76" s="1201"/>
      <c r="AI76" s="1201"/>
      <c r="AJ76" s="1201"/>
      <c r="AK76" s="1201"/>
      <c r="AL76" s="1201"/>
      <c r="AM76" s="1201"/>
      <c r="AN76" s="1201"/>
      <c r="AO76" s="1201"/>
      <c r="AP76" s="1201"/>
      <c r="AQ76" s="1201"/>
      <c r="AR76" s="1201"/>
      <c r="AS76" s="1201"/>
      <c r="AT76" s="1201"/>
      <c r="AU76" s="1201"/>
      <c r="AV76" s="1201"/>
      <c r="AW76" s="1201"/>
      <c r="AX76" s="1201"/>
      <c r="AY76" s="1202"/>
    </row>
    <row r="77" spans="1:51" x14ac:dyDescent="0.3">
      <c r="A77" s="1197" t="s">
        <v>3630</v>
      </c>
      <c r="B77" s="1198"/>
      <c r="C77" s="1198"/>
      <c r="D77" s="1198"/>
      <c r="E77" s="1198"/>
      <c r="F77" s="1198"/>
      <c r="G77" s="1198"/>
      <c r="H77" s="1198"/>
      <c r="I77" s="1198"/>
      <c r="J77" s="1198"/>
      <c r="K77" s="1198"/>
      <c r="L77" s="1198"/>
      <c r="M77" s="1198"/>
      <c r="N77" s="1198"/>
      <c r="O77" s="1198"/>
      <c r="P77" s="1198"/>
      <c r="Q77" s="1198"/>
      <c r="R77" s="1198"/>
      <c r="S77" s="1198"/>
      <c r="T77" s="1198"/>
      <c r="U77" s="1198"/>
      <c r="V77" s="1198"/>
      <c r="W77" s="1198"/>
      <c r="X77" s="1198"/>
      <c r="Y77" s="1198"/>
      <c r="Z77" s="1198"/>
      <c r="AA77" s="1198"/>
      <c r="AB77" s="1198"/>
      <c r="AC77" s="1198"/>
      <c r="AD77" s="1198"/>
      <c r="AE77" s="1198"/>
      <c r="AF77" s="1198"/>
      <c r="AG77" s="1198"/>
      <c r="AH77" s="1198"/>
      <c r="AI77" s="1198"/>
      <c r="AJ77" s="1198"/>
      <c r="AK77" s="1198"/>
      <c r="AL77" s="1198"/>
      <c r="AM77" s="1198"/>
      <c r="AN77" s="1198"/>
      <c r="AO77" s="1198"/>
      <c r="AP77" s="1198"/>
      <c r="AQ77" s="1198"/>
      <c r="AR77" s="1198"/>
      <c r="AS77" s="1198"/>
      <c r="AT77" s="1198"/>
      <c r="AU77" s="1198"/>
      <c r="AV77" s="1198"/>
      <c r="AW77" s="1198"/>
      <c r="AX77" s="1198"/>
      <c r="AY77" s="1199"/>
    </row>
    <row r="78" spans="1:51" x14ac:dyDescent="0.3">
      <c r="A78" s="1172" t="s">
        <v>3631</v>
      </c>
      <c r="B78" s="1173"/>
      <c r="C78" s="1173"/>
      <c r="D78" s="1173"/>
      <c r="E78" s="1173"/>
      <c r="F78" s="1173"/>
      <c r="G78" s="1173"/>
      <c r="H78" s="1173"/>
      <c r="I78" s="1173"/>
      <c r="J78" s="1173"/>
      <c r="K78" s="1173"/>
      <c r="L78" s="1173"/>
      <c r="M78" s="1173"/>
      <c r="N78" s="1173"/>
      <c r="O78" s="1173"/>
      <c r="P78" s="1173"/>
      <c r="Q78" s="1173"/>
      <c r="R78" s="1173"/>
      <c r="S78" s="1173"/>
      <c r="T78" s="1173"/>
      <c r="U78" s="1173"/>
      <c r="V78" s="1173"/>
      <c r="W78" s="1173"/>
      <c r="X78" s="1173"/>
      <c r="Y78" s="1173"/>
      <c r="Z78" s="1173"/>
      <c r="AA78" s="1173"/>
      <c r="AB78" s="1173"/>
      <c r="AC78" s="1173"/>
      <c r="AD78" s="1173"/>
      <c r="AE78" s="1173"/>
      <c r="AF78" s="1173"/>
      <c r="AG78" s="1173"/>
      <c r="AH78" s="1173"/>
      <c r="AI78" s="1173"/>
      <c r="AJ78" s="1173"/>
      <c r="AK78" s="1173"/>
      <c r="AL78" s="1173"/>
      <c r="AM78" s="1173"/>
      <c r="AN78" s="1173"/>
      <c r="AO78" s="1173"/>
      <c r="AP78" s="1173"/>
      <c r="AQ78" s="1173"/>
      <c r="AR78" s="1173"/>
      <c r="AS78" s="1173"/>
      <c r="AT78" s="1173"/>
      <c r="AU78" s="1173"/>
      <c r="AV78" s="1173"/>
      <c r="AW78" s="1173"/>
      <c r="AX78" s="1173"/>
      <c r="AY78" s="1174"/>
    </row>
    <row r="79" spans="1:51" x14ac:dyDescent="0.3">
      <c r="A79" s="1194" t="s">
        <v>3632</v>
      </c>
      <c r="B79" s="1195"/>
      <c r="C79" s="1195"/>
      <c r="D79" s="1195"/>
      <c r="E79" s="1195"/>
      <c r="F79" s="1195"/>
      <c r="G79" s="1195"/>
      <c r="H79" s="1195"/>
      <c r="I79" s="1195"/>
      <c r="J79" s="1195"/>
      <c r="K79" s="1195"/>
      <c r="L79" s="1195"/>
      <c r="M79" s="1195"/>
      <c r="N79" s="1195"/>
      <c r="O79" s="1195"/>
      <c r="P79" s="1195"/>
      <c r="Q79" s="1195"/>
      <c r="R79" s="1195"/>
      <c r="S79" s="1195"/>
      <c r="T79" s="1195"/>
      <c r="U79" s="1195"/>
      <c r="V79" s="1195"/>
      <c r="W79" s="1195"/>
      <c r="X79" s="1195"/>
      <c r="Y79" s="1195"/>
      <c r="Z79" s="1195"/>
      <c r="AA79" s="1195"/>
      <c r="AB79" s="1195"/>
      <c r="AC79" s="1195"/>
      <c r="AD79" s="1195"/>
      <c r="AE79" s="1195"/>
      <c r="AF79" s="1195"/>
      <c r="AG79" s="1195"/>
      <c r="AH79" s="1195"/>
      <c r="AI79" s="1195"/>
      <c r="AJ79" s="1195"/>
      <c r="AK79" s="1195"/>
      <c r="AL79" s="1195"/>
      <c r="AM79" s="1195"/>
      <c r="AN79" s="1195"/>
      <c r="AO79" s="1195"/>
      <c r="AP79" s="1195"/>
      <c r="AQ79" s="1195"/>
      <c r="AR79" s="1195"/>
      <c r="AS79" s="1195"/>
      <c r="AT79" s="1195"/>
      <c r="AU79" s="1195"/>
      <c r="AV79" s="1195"/>
      <c r="AW79" s="1195"/>
      <c r="AX79" s="1195"/>
      <c r="AY79" s="1196"/>
    </row>
    <row r="80" spans="1:51" x14ac:dyDescent="0.3">
      <c r="A80" s="1171" t="s">
        <v>3633</v>
      </c>
      <c r="B80" s="1192"/>
      <c r="C80" s="1192"/>
      <c r="D80" s="1192"/>
      <c r="E80" s="1192"/>
      <c r="F80" s="1192"/>
      <c r="G80" s="1192"/>
      <c r="H80" s="1192"/>
      <c r="I80" s="1192"/>
      <c r="J80" s="1192"/>
      <c r="K80" s="1192"/>
      <c r="L80" s="1192"/>
      <c r="M80" s="1192"/>
      <c r="N80" s="1192"/>
      <c r="O80" s="1192"/>
      <c r="P80" s="1192"/>
      <c r="Q80" s="1192"/>
      <c r="R80" s="1192"/>
      <c r="S80" s="1192"/>
      <c r="T80" s="1192"/>
      <c r="U80" s="1192"/>
      <c r="V80" s="1192"/>
      <c r="W80" s="1192"/>
      <c r="X80" s="1192"/>
      <c r="Y80" s="1192"/>
      <c r="Z80" s="1192"/>
      <c r="AA80" s="1192"/>
      <c r="AB80" s="1192"/>
      <c r="AC80" s="1192"/>
      <c r="AD80" s="1192"/>
      <c r="AE80" s="1192"/>
      <c r="AF80" s="1192"/>
      <c r="AG80" s="1192"/>
      <c r="AH80" s="1192"/>
      <c r="AI80" s="1192"/>
      <c r="AJ80" s="1192"/>
      <c r="AK80" s="1192"/>
      <c r="AL80" s="1192"/>
      <c r="AM80" s="1192"/>
      <c r="AN80" s="1192"/>
      <c r="AO80" s="1192"/>
      <c r="AP80" s="1192"/>
      <c r="AQ80" s="1192"/>
      <c r="AR80" s="1192"/>
      <c r="AS80" s="1192"/>
      <c r="AT80" s="1192"/>
      <c r="AU80" s="1192"/>
      <c r="AV80" s="1192"/>
      <c r="AW80" s="1192"/>
      <c r="AX80" s="1192"/>
      <c r="AY80" s="1193"/>
    </row>
    <row r="81" spans="1:51" x14ac:dyDescent="0.3">
      <c r="A81" s="1172" t="s">
        <v>3634</v>
      </c>
      <c r="B81" s="1173"/>
      <c r="C81" s="1173"/>
      <c r="D81" s="1173"/>
      <c r="E81" s="1173"/>
      <c r="F81" s="1173"/>
      <c r="G81" s="1173"/>
      <c r="H81" s="1173"/>
      <c r="I81" s="1173"/>
      <c r="J81" s="1173"/>
      <c r="K81" s="1173"/>
      <c r="L81" s="1173"/>
      <c r="M81" s="1173"/>
      <c r="N81" s="1173"/>
      <c r="O81" s="1173"/>
      <c r="P81" s="1173"/>
      <c r="Q81" s="1173"/>
      <c r="R81" s="1173"/>
      <c r="S81" s="1173"/>
      <c r="T81" s="1173"/>
      <c r="U81" s="1173"/>
      <c r="V81" s="1173"/>
      <c r="W81" s="1173"/>
      <c r="X81" s="1173"/>
      <c r="Y81" s="1173"/>
      <c r="Z81" s="1173"/>
      <c r="AA81" s="1173"/>
      <c r="AB81" s="1173"/>
      <c r="AC81" s="1173"/>
      <c r="AD81" s="1173"/>
      <c r="AE81" s="1173"/>
      <c r="AF81" s="1173"/>
      <c r="AG81" s="1173"/>
      <c r="AH81" s="1173"/>
      <c r="AI81" s="1173"/>
      <c r="AJ81" s="1173"/>
      <c r="AK81" s="1173"/>
      <c r="AL81" s="1173"/>
      <c r="AM81" s="1173"/>
      <c r="AN81" s="1173"/>
      <c r="AO81" s="1173"/>
      <c r="AP81" s="1173"/>
      <c r="AQ81" s="1173"/>
      <c r="AR81" s="1173"/>
      <c r="AS81" s="1173"/>
      <c r="AT81" s="1173"/>
      <c r="AU81" s="1173"/>
      <c r="AV81" s="1173"/>
      <c r="AW81" s="1173"/>
      <c r="AX81" s="1173"/>
      <c r="AY81" s="1174"/>
    </row>
    <row r="82" spans="1:51" x14ac:dyDescent="0.3">
      <c r="A82" s="1159" t="s">
        <v>3635</v>
      </c>
      <c r="B82" s="1160"/>
      <c r="C82" s="1160"/>
      <c r="D82" s="1160"/>
      <c r="E82" s="1160"/>
      <c r="F82" s="1160"/>
      <c r="G82" s="1160"/>
      <c r="H82" s="1160"/>
      <c r="I82" s="1160"/>
      <c r="J82" s="1160"/>
      <c r="K82" s="1160"/>
      <c r="L82" s="1160"/>
      <c r="M82" s="1160"/>
      <c r="N82" s="1160"/>
      <c r="O82" s="1160"/>
      <c r="P82" s="1160"/>
      <c r="Q82" s="1160"/>
      <c r="R82" s="1160"/>
      <c r="S82" s="1160"/>
      <c r="T82" s="1160"/>
      <c r="U82" s="1160"/>
      <c r="V82" s="1160"/>
      <c r="W82" s="1160"/>
      <c r="X82" s="1160"/>
      <c r="Y82" s="1160"/>
      <c r="Z82" s="1160"/>
      <c r="AA82" s="1160"/>
      <c r="AB82" s="1160"/>
      <c r="AC82" s="1160"/>
      <c r="AD82" s="1160"/>
      <c r="AE82" s="1160"/>
      <c r="AF82" s="1160"/>
      <c r="AG82" s="1160"/>
      <c r="AH82" s="1160"/>
      <c r="AI82" s="1160"/>
      <c r="AJ82" s="1160"/>
      <c r="AK82" s="1160"/>
      <c r="AL82" s="1160"/>
      <c r="AM82" s="1160"/>
      <c r="AN82" s="1160"/>
      <c r="AO82" s="1160"/>
      <c r="AP82" s="1160"/>
      <c r="AQ82" s="1160"/>
      <c r="AR82" s="1160"/>
      <c r="AS82" s="1160"/>
      <c r="AT82" s="1160"/>
      <c r="AU82" s="1160"/>
      <c r="AV82" s="1160"/>
      <c r="AW82" s="1160"/>
      <c r="AX82" s="1160"/>
      <c r="AY82" s="1161"/>
    </row>
    <row r="83" spans="1:51" x14ac:dyDescent="0.3">
      <c r="A83" s="1162" t="s">
        <v>3636</v>
      </c>
      <c r="B83" s="1178"/>
      <c r="C83" s="1178"/>
      <c r="D83" s="1178"/>
      <c r="E83" s="1178"/>
      <c r="F83" s="1178"/>
      <c r="G83" s="1178"/>
      <c r="H83" s="1178"/>
      <c r="I83" s="1178"/>
      <c r="J83" s="1178"/>
      <c r="K83" s="1178"/>
      <c r="L83" s="1178"/>
      <c r="M83" s="1178"/>
      <c r="N83" s="1178"/>
      <c r="O83" s="1178"/>
      <c r="P83" s="1178"/>
      <c r="Q83" s="1178"/>
      <c r="R83" s="1178"/>
      <c r="S83" s="1178"/>
      <c r="T83" s="1178"/>
      <c r="U83" s="1178"/>
      <c r="V83" s="1178"/>
      <c r="W83" s="1178"/>
      <c r="X83" s="1178"/>
      <c r="Y83" s="1178"/>
      <c r="Z83" s="1178"/>
      <c r="AA83" s="1178"/>
      <c r="AB83" s="1178"/>
      <c r="AC83" s="1178"/>
      <c r="AD83" s="1178"/>
      <c r="AE83" s="1178"/>
      <c r="AF83" s="1178"/>
      <c r="AG83" s="1178"/>
      <c r="AH83" s="1178"/>
      <c r="AI83" s="1178"/>
      <c r="AJ83" s="1178"/>
      <c r="AK83" s="1178"/>
      <c r="AL83" s="1178"/>
      <c r="AM83" s="1178"/>
      <c r="AN83" s="1178"/>
      <c r="AO83" s="1178"/>
      <c r="AP83" s="1178"/>
      <c r="AQ83" s="1178"/>
      <c r="AR83" s="1178"/>
      <c r="AS83" s="1178"/>
      <c r="AT83" s="1178"/>
      <c r="AU83" s="1178"/>
      <c r="AV83" s="1178"/>
      <c r="AW83" s="1178"/>
      <c r="AX83" s="1178"/>
      <c r="AY83" s="1179"/>
    </row>
    <row r="84" spans="1:51" x14ac:dyDescent="0.3">
      <c r="A84" s="312" t="s">
        <v>3637</v>
      </c>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3"/>
      <c r="AV84" s="313"/>
      <c r="AW84" s="313"/>
      <c r="AX84" s="313"/>
      <c r="AY84" s="314"/>
    </row>
    <row r="85" spans="1:51" x14ac:dyDescent="0.3">
      <c r="A85" s="1171" t="s">
        <v>3638</v>
      </c>
      <c r="B85" s="1166"/>
      <c r="C85" s="1166"/>
      <c r="D85" s="1166"/>
      <c r="E85" s="1166"/>
      <c r="F85" s="1166"/>
      <c r="G85" s="1166"/>
      <c r="H85" s="1166"/>
      <c r="I85" s="1166"/>
      <c r="J85" s="1166"/>
      <c r="K85" s="1166"/>
      <c r="L85" s="1166"/>
      <c r="M85" s="1166"/>
      <c r="N85" s="1166"/>
      <c r="O85" s="1166"/>
      <c r="P85" s="1166"/>
      <c r="Q85" s="1166"/>
      <c r="R85" s="1166"/>
      <c r="S85" s="1166"/>
      <c r="T85" s="1166"/>
      <c r="U85" s="1166"/>
      <c r="V85" s="1166"/>
      <c r="W85" s="1166"/>
      <c r="X85" s="1166"/>
      <c r="Y85" s="1166"/>
      <c r="Z85" s="1166"/>
      <c r="AA85" s="1166"/>
      <c r="AB85" s="1166"/>
      <c r="AC85" s="1166"/>
      <c r="AD85" s="1166"/>
      <c r="AE85" s="1166"/>
      <c r="AF85" s="1166"/>
      <c r="AG85" s="1166"/>
      <c r="AH85" s="1166"/>
      <c r="AI85" s="1166"/>
      <c r="AJ85" s="1166"/>
      <c r="AK85" s="1166"/>
      <c r="AL85" s="1166"/>
      <c r="AM85" s="1166"/>
      <c r="AN85" s="1166"/>
      <c r="AO85" s="1166"/>
      <c r="AP85" s="1166"/>
      <c r="AQ85" s="1166"/>
      <c r="AR85" s="1166"/>
      <c r="AS85" s="1166"/>
      <c r="AT85" s="1166"/>
      <c r="AU85" s="1166"/>
      <c r="AV85" s="1166"/>
      <c r="AW85" s="1166"/>
      <c r="AX85" s="1166"/>
      <c r="AY85" s="1167"/>
    </row>
    <row r="86" spans="1:51" x14ac:dyDescent="0.3">
      <c r="A86" s="1172" t="s">
        <v>3639</v>
      </c>
      <c r="B86" s="1173"/>
      <c r="C86" s="1173"/>
      <c r="D86" s="1173"/>
      <c r="E86" s="1173"/>
      <c r="F86" s="1173"/>
      <c r="G86" s="1173"/>
      <c r="H86" s="1173"/>
      <c r="I86" s="1173"/>
      <c r="J86" s="1173"/>
      <c r="K86" s="1173"/>
      <c r="L86" s="1173"/>
      <c r="M86" s="1173"/>
      <c r="N86" s="1173"/>
      <c r="O86" s="1173"/>
      <c r="P86" s="1173"/>
      <c r="Q86" s="1173"/>
      <c r="R86" s="1173"/>
      <c r="S86" s="1173"/>
      <c r="T86" s="1173"/>
      <c r="U86" s="1173"/>
      <c r="V86" s="1173"/>
      <c r="W86" s="1173"/>
      <c r="X86" s="1173"/>
      <c r="Y86" s="1173"/>
      <c r="Z86" s="1173"/>
      <c r="AA86" s="1173"/>
      <c r="AB86" s="1173"/>
      <c r="AC86" s="1173"/>
      <c r="AD86" s="1173"/>
      <c r="AE86" s="1173"/>
      <c r="AF86" s="1173"/>
      <c r="AG86" s="1173"/>
      <c r="AH86" s="1173"/>
      <c r="AI86" s="1173"/>
      <c r="AJ86" s="1173"/>
      <c r="AK86" s="1173"/>
      <c r="AL86" s="1173"/>
      <c r="AM86" s="1173"/>
      <c r="AN86" s="1173"/>
      <c r="AO86" s="1173"/>
      <c r="AP86" s="1173"/>
      <c r="AQ86" s="1173"/>
      <c r="AR86" s="1173"/>
      <c r="AS86" s="1173"/>
      <c r="AT86" s="1173"/>
      <c r="AU86" s="1173"/>
      <c r="AV86" s="1173"/>
      <c r="AW86" s="1173"/>
      <c r="AX86" s="1173"/>
      <c r="AY86" s="1174"/>
    </row>
    <row r="87" spans="1:51" x14ac:dyDescent="0.3">
      <c r="A87" s="1175" t="s">
        <v>3640</v>
      </c>
      <c r="B87" s="1176"/>
      <c r="C87" s="1176"/>
      <c r="D87" s="1176"/>
      <c r="E87" s="1176"/>
      <c r="F87" s="1176"/>
      <c r="G87" s="1176"/>
      <c r="H87" s="1176"/>
      <c r="I87" s="1176"/>
      <c r="J87" s="1176"/>
      <c r="K87" s="1176"/>
      <c r="L87" s="1176"/>
      <c r="M87" s="1176"/>
      <c r="N87" s="1176"/>
      <c r="O87" s="1176"/>
      <c r="P87" s="1176"/>
      <c r="Q87" s="1176"/>
      <c r="R87" s="1176"/>
      <c r="S87" s="1176"/>
      <c r="T87" s="1176"/>
      <c r="U87" s="1176"/>
      <c r="V87" s="1176"/>
      <c r="W87" s="1176"/>
      <c r="X87" s="1176"/>
      <c r="Y87" s="1176"/>
      <c r="Z87" s="1176"/>
      <c r="AA87" s="1176"/>
      <c r="AB87" s="1176"/>
      <c r="AC87" s="1176"/>
      <c r="AD87" s="1176"/>
      <c r="AE87" s="1176"/>
      <c r="AF87" s="1176"/>
      <c r="AG87" s="1176"/>
      <c r="AH87" s="1176"/>
      <c r="AI87" s="1176"/>
      <c r="AJ87" s="1176"/>
      <c r="AK87" s="1176"/>
      <c r="AL87" s="1176"/>
      <c r="AM87" s="1176"/>
      <c r="AN87" s="1176"/>
      <c r="AO87" s="1176"/>
      <c r="AP87" s="1176"/>
      <c r="AQ87" s="1176"/>
      <c r="AR87" s="1176"/>
      <c r="AS87" s="1176"/>
      <c r="AT87" s="1176"/>
      <c r="AU87" s="1176"/>
      <c r="AV87" s="1176"/>
      <c r="AW87" s="1176"/>
      <c r="AX87" s="1176"/>
      <c r="AY87" s="1177"/>
    </row>
    <row r="88" spans="1:51" x14ac:dyDescent="0.3">
      <c r="A88" s="1162" t="s">
        <v>3641</v>
      </c>
      <c r="B88" s="1163"/>
      <c r="C88" s="1163"/>
      <c r="D88" s="1163"/>
      <c r="E88" s="1163"/>
      <c r="F88" s="1163"/>
      <c r="G88" s="1163"/>
      <c r="H88" s="1163"/>
      <c r="I88" s="1163"/>
      <c r="J88" s="1163"/>
      <c r="K88" s="1163"/>
      <c r="L88" s="1163"/>
      <c r="M88" s="1163"/>
      <c r="N88" s="1163"/>
      <c r="O88" s="1163"/>
      <c r="P88" s="1163"/>
      <c r="Q88" s="1163"/>
      <c r="R88" s="1163"/>
      <c r="S88" s="1163"/>
      <c r="T88" s="1163"/>
      <c r="U88" s="1163"/>
      <c r="V88" s="1163"/>
      <c r="W88" s="1163"/>
      <c r="X88" s="1163"/>
      <c r="Y88" s="1163"/>
      <c r="Z88" s="1163"/>
      <c r="AA88" s="1163"/>
      <c r="AB88" s="1163"/>
      <c r="AC88" s="1163"/>
      <c r="AD88" s="1163"/>
      <c r="AE88" s="1163"/>
      <c r="AF88" s="1163"/>
      <c r="AG88" s="1163"/>
      <c r="AH88" s="1163"/>
      <c r="AI88" s="1163"/>
      <c r="AJ88" s="1163"/>
      <c r="AK88" s="1163"/>
      <c r="AL88" s="1163"/>
      <c r="AM88" s="1163"/>
      <c r="AN88" s="1163"/>
      <c r="AO88" s="1163"/>
      <c r="AP88" s="1163"/>
      <c r="AQ88" s="1163"/>
      <c r="AR88" s="1163"/>
      <c r="AS88" s="1163"/>
      <c r="AT88" s="1163"/>
      <c r="AU88" s="1163"/>
      <c r="AV88" s="1163"/>
      <c r="AW88" s="1163"/>
      <c r="AX88" s="1163"/>
      <c r="AY88" s="1164"/>
    </row>
    <row r="89" spans="1:51" x14ac:dyDescent="0.3">
      <c r="A89" s="1159" t="s">
        <v>3642</v>
      </c>
      <c r="B89" s="1160"/>
      <c r="C89" s="1160"/>
      <c r="D89" s="1160"/>
      <c r="E89" s="1160"/>
      <c r="F89" s="1160"/>
      <c r="G89" s="1160"/>
      <c r="H89" s="1160"/>
      <c r="I89" s="1160"/>
      <c r="J89" s="1160"/>
      <c r="K89" s="1160"/>
      <c r="L89" s="1160"/>
      <c r="M89" s="1160"/>
      <c r="N89" s="1160"/>
      <c r="O89" s="1160"/>
      <c r="P89" s="1160"/>
      <c r="Q89" s="1160"/>
      <c r="R89" s="1160"/>
      <c r="S89" s="1160"/>
      <c r="T89" s="1160"/>
      <c r="U89" s="1160"/>
      <c r="V89" s="1160"/>
      <c r="W89" s="1160"/>
      <c r="X89" s="1160"/>
      <c r="Y89" s="1160"/>
      <c r="Z89" s="1160"/>
      <c r="AA89" s="1160"/>
      <c r="AB89" s="1160"/>
      <c r="AC89" s="1160"/>
      <c r="AD89" s="1160"/>
      <c r="AE89" s="1160"/>
      <c r="AF89" s="1160"/>
      <c r="AG89" s="1160"/>
      <c r="AH89" s="1160"/>
      <c r="AI89" s="1160"/>
      <c r="AJ89" s="1160"/>
      <c r="AK89" s="1160"/>
      <c r="AL89" s="1160"/>
      <c r="AM89" s="1160"/>
      <c r="AN89" s="1160"/>
      <c r="AO89" s="1160"/>
      <c r="AP89" s="1160"/>
      <c r="AQ89" s="1160"/>
      <c r="AR89" s="1160"/>
      <c r="AS89" s="1160"/>
      <c r="AT89" s="1160"/>
      <c r="AU89" s="1160"/>
      <c r="AV89" s="1160"/>
      <c r="AW89" s="1160"/>
      <c r="AX89" s="1160"/>
      <c r="AY89" s="1161"/>
    </row>
    <row r="90" spans="1:51" x14ac:dyDescent="0.3">
      <c r="A90" s="1162" t="s">
        <v>3643</v>
      </c>
      <c r="B90" s="1163"/>
      <c r="C90" s="1163"/>
      <c r="D90" s="1163"/>
      <c r="E90" s="1163"/>
      <c r="F90" s="1163"/>
      <c r="G90" s="1163"/>
      <c r="H90" s="1163"/>
      <c r="I90" s="1163"/>
      <c r="J90" s="1163"/>
      <c r="K90" s="1163"/>
      <c r="L90" s="1163"/>
      <c r="M90" s="1163"/>
      <c r="N90" s="1163"/>
      <c r="O90" s="1163"/>
      <c r="P90" s="1163"/>
      <c r="Q90" s="1163"/>
      <c r="R90" s="1163"/>
      <c r="S90" s="1163"/>
      <c r="T90" s="1163"/>
      <c r="U90" s="1163"/>
      <c r="V90" s="1163"/>
      <c r="W90" s="1163"/>
      <c r="X90" s="1163"/>
      <c r="Y90" s="1163"/>
      <c r="Z90" s="1163"/>
      <c r="AA90" s="1163"/>
      <c r="AB90" s="1163"/>
      <c r="AC90" s="1163"/>
      <c r="AD90" s="1163"/>
      <c r="AE90" s="1163"/>
      <c r="AF90" s="1163"/>
      <c r="AG90" s="1163"/>
      <c r="AH90" s="1163"/>
      <c r="AI90" s="1163"/>
      <c r="AJ90" s="1163"/>
      <c r="AK90" s="1163"/>
      <c r="AL90" s="1163"/>
      <c r="AM90" s="1163"/>
      <c r="AN90" s="1163"/>
      <c r="AO90" s="1163"/>
      <c r="AP90" s="1163"/>
      <c r="AQ90" s="1163"/>
      <c r="AR90" s="1163"/>
      <c r="AS90" s="1163"/>
      <c r="AT90" s="1163"/>
      <c r="AU90" s="1163"/>
      <c r="AV90" s="1163"/>
      <c r="AW90" s="1163"/>
      <c r="AX90" s="1163"/>
      <c r="AY90" s="1164"/>
    </row>
    <row r="91" spans="1:51" x14ac:dyDescent="0.3">
      <c r="A91" s="1159" t="s">
        <v>3644</v>
      </c>
      <c r="B91" s="1160"/>
      <c r="C91" s="1160"/>
      <c r="D91" s="1160"/>
      <c r="E91" s="1160"/>
      <c r="F91" s="1160"/>
      <c r="G91" s="1160"/>
      <c r="H91" s="1160"/>
      <c r="I91" s="1160"/>
      <c r="J91" s="1160"/>
      <c r="K91" s="1160"/>
      <c r="L91" s="1160"/>
      <c r="M91" s="1160"/>
      <c r="N91" s="1160"/>
      <c r="O91" s="1160"/>
      <c r="P91" s="1160"/>
      <c r="Q91" s="1160"/>
      <c r="R91" s="1160"/>
      <c r="S91" s="1160"/>
      <c r="T91" s="1160"/>
      <c r="U91" s="1160"/>
      <c r="V91" s="1160"/>
      <c r="W91" s="1160"/>
      <c r="X91" s="1160"/>
      <c r="Y91" s="1160"/>
      <c r="Z91" s="1160"/>
      <c r="AA91" s="1160"/>
      <c r="AB91" s="1160"/>
      <c r="AC91" s="1160"/>
      <c r="AD91" s="1160"/>
      <c r="AE91" s="1160"/>
      <c r="AF91" s="1160"/>
      <c r="AG91" s="1160"/>
      <c r="AH91" s="1160"/>
      <c r="AI91" s="1160"/>
      <c r="AJ91" s="1160"/>
      <c r="AK91" s="1160"/>
      <c r="AL91" s="1160"/>
      <c r="AM91" s="1160"/>
      <c r="AN91" s="1160"/>
      <c r="AO91" s="1160"/>
      <c r="AP91" s="1160"/>
      <c r="AQ91" s="1160"/>
      <c r="AR91" s="1160"/>
      <c r="AS91" s="1160"/>
      <c r="AT91" s="1160"/>
      <c r="AU91" s="1160"/>
      <c r="AV91" s="1160"/>
      <c r="AW91" s="1160"/>
      <c r="AX91" s="1160"/>
      <c r="AY91" s="1161"/>
    </row>
    <row r="92" spans="1:51" x14ac:dyDescent="0.3">
      <c r="A92" s="1162" t="s">
        <v>3645</v>
      </c>
      <c r="B92" s="1163"/>
      <c r="C92" s="1163"/>
      <c r="D92" s="1163"/>
      <c r="E92" s="1163"/>
      <c r="F92" s="1163"/>
      <c r="G92" s="1163"/>
      <c r="H92" s="1163"/>
      <c r="I92" s="1163"/>
      <c r="J92" s="1163"/>
      <c r="K92" s="1163"/>
      <c r="L92" s="1163"/>
      <c r="M92" s="1163"/>
      <c r="N92" s="1163"/>
      <c r="O92" s="1163"/>
      <c r="P92" s="1163"/>
      <c r="Q92" s="1163"/>
      <c r="R92" s="1163"/>
      <c r="S92" s="1163"/>
      <c r="T92" s="1163"/>
      <c r="U92" s="1163"/>
      <c r="V92" s="1163"/>
      <c r="W92" s="1163"/>
      <c r="X92" s="1163"/>
      <c r="Y92" s="1163"/>
      <c r="Z92" s="1163"/>
      <c r="AA92" s="1163"/>
      <c r="AB92" s="1163"/>
      <c r="AC92" s="1163"/>
      <c r="AD92" s="1163"/>
      <c r="AE92" s="1163"/>
      <c r="AF92" s="1163"/>
      <c r="AG92" s="1163"/>
      <c r="AH92" s="1163"/>
      <c r="AI92" s="1163"/>
      <c r="AJ92" s="1163"/>
      <c r="AK92" s="1163"/>
      <c r="AL92" s="1163"/>
      <c r="AM92" s="1163"/>
      <c r="AN92" s="1163"/>
      <c r="AO92" s="1163"/>
      <c r="AP92" s="1163"/>
      <c r="AQ92" s="1163"/>
      <c r="AR92" s="1163"/>
      <c r="AS92" s="1163"/>
      <c r="AT92" s="1163"/>
      <c r="AU92" s="1163"/>
      <c r="AV92" s="1163"/>
      <c r="AW92" s="1163"/>
      <c r="AX92" s="1163"/>
      <c r="AY92" s="1164"/>
    </row>
    <row r="93" spans="1:51" x14ac:dyDescent="0.3">
      <c r="A93" s="1159" t="s">
        <v>3646</v>
      </c>
      <c r="B93" s="1160"/>
      <c r="C93" s="1160"/>
      <c r="D93" s="1160"/>
      <c r="E93" s="1160"/>
      <c r="F93" s="1160"/>
      <c r="G93" s="1160"/>
      <c r="H93" s="1160"/>
      <c r="I93" s="1160"/>
      <c r="J93" s="1160"/>
      <c r="K93" s="1160"/>
      <c r="L93" s="1160"/>
      <c r="M93" s="1160"/>
      <c r="N93" s="1160"/>
      <c r="O93" s="1160"/>
      <c r="P93" s="1160"/>
      <c r="Q93" s="1160"/>
      <c r="R93" s="1160"/>
      <c r="S93" s="1160"/>
      <c r="T93" s="1160"/>
      <c r="U93" s="1160"/>
      <c r="V93" s="1160"/>
      <c r="W93" s="1160"/>
      <c r="X93" s="1160"/>
      <c r="Y93" s="1160"/>
      <c r="Z93" s="1160"/>
      <c r="AA93" s="1160"/>
      <c r="AB93" s="1160"/>
      <c r="AC93" s="1160"/>
      <c r="AD93" s="1160"/>
      <c r="AE93" s="1160"/>
      <c r="AF93" s="1160"/>
      <c r="AG93" s="1160"/>
      <c r="AH93" s="1160"/>
      <c r="AI93" s="1160"/>
      <c r="AJ93" s="1160"/>
      <c r="AK93" s="1160"/>
      <c r="AL93" s="1160"/>
      <c r="AM93" s="1160"/>
      <c r="AN93" s="1160"/>
      <c r="AO93" s="1160"/>
      <c r="AP93" s="1160"/>
      <c r="AQ93" s="1160"/>
      <c r="AR93" s="1160"/>
      <c r="AS93" s="1160"/>
      <c r="AT93" s="1160"/>
      <c r="AU93" s="1160"/>
      <c r="AV93" s="1160"/>
      <c r="AW93" s="1160"/>
      <c r="AX93" s="1160"/>
      <c r="AY93" s="1161"/>
    </row>
    <row r="94" spans="1:51" x14ac:dyDescent="0.3">
      <c r="A94" s="1162" t="s">
        <v>3647</v>
      </c>
      <c r="B94" s="1163"/>
      <c r="C94" s="1163"/>
      <c r="D94" s="1163"/>
      <c r="E94" s="1163"/>
      <c r="F94" s="1163"/>
      <c r="G94" s="1163"/>
      <c r="H94" s="1163"/>
      <c r="I94" s="1163"/>
      <c r="J94" s="1163"/>
      <c r="K94" s="1163"/>
      <c r="L94" s="1163"/>
      <c r="M94" s="1163"/>
      <c r="N94" s="1163"/>
      <c r="O94" s="1163"/>
      <c r="P94" s="1163"/>
      <c r="Q94" s="1163"/>
      <c r="R94" s="1163"/>
      <c r="S94" s="1163"/>
      <c r="T94" s="1163"/>
      <c r="U94" s="1163"/>
      <c r="V94" s="1163"/>
      <c r="W94" s="1163"/>
      <c r="X94" s="1163"/>
      <c r="Y94" s="1163"/>
      <c r="Z94" s="1163"/>
      <c r="AA94" s="1163"/>
      <c r="AB94" s="1163"/>
      <c r="AC94" s="1163"/>
      <c r="AD94" s="1163"/>
      <c r="AE94" s="1163"/>
      <c r="AF94" s="1163"/>
      <c r="AG94" s="1163"/>
      <c r="AH94" s="1163"/>
      <c r="AI94" s="1163"/>
      <c r="AJ94" s="1163"/>
      <c r="AK94" s="1163"/>
      <c r="AL94" s="1163"/>
      <c r="AM94" s="1163"/>
      <c r="AN94" s="1163"/>
      <c r="AO94" s="1163"/>
      <c r="AP94" s="1163"/>
      <c r="AQ94" s="1163"/>
      <c r="AR94" s="1163"/>
      <c r="AS94" s="1163"/>
      <c r="AT94" s="1163"/>
      <c r="AU94" s="1163"/>
      <c r="AV94" s="1163"/>
      <c r="AW94" s="1163"/>
      <c r="AX94" s="1163"/>
      <c r="AY94" s="1164"/>
    </row>
    <row r="95" spans="1:51" x14ac:dyDescent="0.3">
      <c r="A95" s="1159" t="s">
        <v>3648</v>
      </c>
      <c r="B95" s="1160"/>
      <c r="C95" s="1160"/>
      <c r="D95" s="1160"/>
      <c r="E95" s="1160"/>
      <c r="F95" s="1160"/>
      <c r="G95" s="1160"/>
      <c r="H95" s="1160"/>
      <c r="I95" s="1160"/>
      <c r="J95" s="1160"/>
      <c r="K95" s="1160"/>
      <c r="L95" s="1160"/>
      <c r="M95" s="1160"/>
      <c r="N95" s="1160"/>
      <c r="O95" s="1160"/>
      <c r="P95" s="1160"/>
      <c r="Q95" s="1160"/>
      <c r="R95" s="1160"/>
      <c r="S95" s="1160"/>
      <c r="T95" s="1160"/>
      <c r="U95" s="1160"/>
      <c r="V95" s="1160"/>
      <c r="W95" s="1160"/>
      <c r="X95" s="1160"/>
      <c r="Y95" s="1160"/>
      <c r="Z95" s="1160"/>
      <c r="AA95" s="1160"/>
      <c r="AB95" s="1160"/>
      <c r="AC95" s="1160"/>
      <c r="AD95" s="1160"/>
      <c r="AE95" s="1160"/>
      <c r="AF95" s="1160"/>
      <c r="AG95" s="1160"/>
      <c r="AH95" s="1160"/>
      <c r="AI95" s="1160"/>
      <c r="AJ95" s="1160"/>
      <c r="AK95" s="1160"/>
      <c r="AL95" s="1160"/>
      <c r="AM95" s="1160"/>
      <c r="AN95" s="1160"/>
      <c r="AO95" s="1160"/>
      <c r="AP95" s="1160"/>
      <c r="AQ95" s="1160"/>
      <c r="AR95" s="1160"/>
      <c r="AS95" s="1160"/>
      <c r="AT95" s="1160"/>
      <c r="AU95" s="1160"/>
      <c r="AV95" s="1160"/>
      <c r="AW95" s="1160"/>
      <c r="AX95" s="1160"/>
      <c r="AY95" s="1161"/>
    </row>
    <row r="96" spans="1:51" x14ac:dyDescent="0.3">
      <c r="A96" s="1162" t="s">
        <v>3649</v>
      </c>
      <c r="B96" s="1163"/>
      <c r="C96" s="1163"/>
      <c r="D96" s="1163"/>
      <c r="E96" s="1163"/>
      <c r="F96" s="1163"/>
      <c r="G96" s="1163"/>
      <c r="H96" s="1163"/>
      <c r="I96" s="1163"/>
      <c r="J96" s="1163"/>
      <c r="K96" s="1163"/>
      <c r="L96" s="1163"/>
      <c r="M96" s="1163"/>
      <c r="N96" s="1163"/>
      <c r="O96" s="1163"/>
      <c r="P96" s="1163"/>
      <c r="Q96" s="1163"/>
      <c r="R96" s="1163"/>
      <c r="S96" s="1163"/>
      <c r="T96" s="1163"/>
      <c r="U96" s="1163"/>
      <c r="V96" s="1163"/>
      <c r="W96" s="1163"/>
      <c r="X96" s="1163"/>
      <c r="Y96" s="1163"/>
      <c r="Z96" s="1163"/>
      <c r="AA96" s="1163"/>
      <c r="AB96" s="1163"/>
      <c r="AC96" s="1163"/>
      <c r="AD96" s="1163"/>
      <c r="AE96" s="1163"/>
      <c r="AF96" s="1163"/>
      <c r="AG96" s="1163"/>
      <c r="AH96" s="1163"/>
      <c r="AI96" s="1163"/>
      <c r="AJ96" s="1163"/>
      <c r="AK96" s="1163"/>
      <c r="AL96" s="1163"/>
      <c r="AM96" s="1163"/>
      <c r="AN96" s="1163"/>
      <c r="AO96" s="1163"/>
      <c r="AP96" s="1163"/>
      <c r="AQ96" s="1163"/>
      <c r="AR96" s="1163"/>
      <c r="AS96" s="1163"/>
      <c r="AT96" s="1163"/>
      <c r="AU96" s="1163"/>
      <c r="AV96" s="1163"/>
      <c r="AW96" s="1163"/>
      <c r="AX96" s="1163"/>
      <c r="AY96" s="1164"/>
    </row>
    <row r="97" spans="1:51" x14ac:dyDescent="0.3">
      <c r="A97" s="1159" t="s">
        <v>3650</v>
      </c>
      <c r="B97" s="1160"/>
      <c r="C97" s="1160"/>
      <c r="D97" s="1160"/>
      <c r="E97" s="1160"/>
      <c r="F97" s="1160"/>
      <c r="G97" s="1160"/>
      <c r="H97" s="1160"/>
      <c r="I97" s="1160"/>
      <c r="J97" s="1160"/>
      <c r="K97" s="1160"/>
      <c r="L97" s="1160"/>
      <c r="M97" s="1160"/>
      <c r="N97" s="1160"/>
      <c r="O97" s="1160"/>
      <c r="P97" s="1160"/>
      <c r="Q97" s="1160"/>
      <c r="R97" s="1160"/>
      <c r="S97" s="1160"/>
      <c r="T97" s="1160"/>
      <c r="U97" s="1160"/>
      <c r="V97" s="1160"/>
      <c r="W97" s="1160"/>
      <c r="X97" s="1160"/>
      <c r="Y97" s="1160"/>
      <c r="Z97" s="1160"/>
      <c r="AA97" s="1160"/>
      <c r="AB97" s="1160"/>
      <c r="AC97" s="1160"/>
      <c r="AD97" s="1160"/>
      <c r="AE97" s="1160"/>
      <c r="AF97" s="1160"/>
      <c r="AG97" s="1160"/>
      <c r="AH97" s="1160"/>
      <c r="AI97" s="1160"/>
      <c r="AJ97" s="1160"/>
      <c r="AK97" s="1160"/>
      <c r="AL97" s="1160"/>
      <c r="AM97" s="1160"/>
      <c r="AN97" s="1160"/>
      <c r="AO97" s="1160"/>
      <c r="AP97" s="1160"/>
      <c r="AQ97" s="1160"/>
      <c r="AR97" s="1160"/>
      <c r="AS97" s="1160"/>
      <c r="AT97" s="1160"/>
      <c r="AU97" s="1160"/>
      <c r="AV97" s="1160"/>
      <c r="AW97" s="1160"/>
      <c r="AX97" s="1160"/>
      <c r="AY97" s="1161"/>
    </row>
    <row r="98" spans="1:51" x14ac:dyDescent="0.3">
      <c r="A98" s="1162" t="s">
        <v>3651</v>
      </c>
      <c r="B98" s="1163"/>
      <c r="C98" s="1163"/>
      <c r="D98" s="1163"/>
      <c r="E98" s="1163"/>
      <c r="F98" s="1163"/>
      <c r="G98" s="1163"/>
      <c r="H98" s="1163"/>
      <c r="I98" s="1163"/>
      <c r="J98" s="1163"/>
      <c r="K98" s="1163"/>
      <c r="L98" s="1163"/>
      <c r="M98" s="1163"/>
      <c r="N98" s="1163"/>
      <c r="O98" s="1163"/>
      <c r="P98" s="1163"/>
      <c r="Q98" s="1163"/>
      <c r="R98" s="1163"/>
      <c r="S98" s="1163"/>
      <c r="T98" s="1163"/>
      <c r="U98" s="1163"/>
      <c r="V98" s="1163"/>
      <c r="W98" s="1163"/>
      <c r="X98" s="1163"/>
      <c r="Y98" s="1163"/>
      <c r="Z98" s="1163"/>
      <c r="AA98" s="1163"/>
      <c r="AB98" s="1163"/>
      <c r="AC98" s="1163"/>
      <c r="AD98" s="1163"/>
      <c r="AE98" s="1163"/>
      <c r="AF98" s="1163"/>
      <c r="AG98" s="1163"/>
      <c r="AH98" s="1163"/>
      <c r="AI98" s="1163"/>
      <c r="AJ98" s="1163"/>
      <c r="AK98" s="1163"/>
      <c r="AL98" s="1163"/>
      <c r="AM98" s="1163"/>
      <c r="AN98" s="1163"/>
      <c r="AO98" s="1163"/>
      <c r="AP98" s="1163"/>
      <c r="AQ98" s="1163"/>
      <c r="AR98" s="1163"/>
      <c r="AS98" s="1163"/>
      <c r="AT98" s="1163"/>
      <c r="AU98" s="1163"/>
      <c r="AV98" s="1163"/>
      <c r="AW98" s="1163"/>
      <c r="AX98" s="1163"/>
      <c r="AY98" s="1164"/>
    </row>
    <row r="99" spans="1:51" x14ac:dyDescent="0.3">
      <c r="A99" s="1159" t="s">
        <v>3652</v>
      </c>
      <c r="B99" s="1160"/>
      <c r="C99" s="1160"/>
      <c r="D99" s="1160"/>
      <c r="E99" s="1160"/>
      <c r="F99" s="1160"/>
      <c r="G99" s="1160"/>
      <c r="H99" s="1160"/>
      <c r="I99" s="1160"/>
      <c r="J99" s="1160"/>
      <c r="K99" s="1160"/>
      <c r="L99" s="1160"/>
      <c r="M99" s="1160"/>
      <c r="N99" s="1160"/>
      <c r="O99" s="1160"/>
      <c r="P99" s="1160"/>
      <c r="Q99" s="1160"/>
      <c r="R99" s="1160"/>
      <c r="S99" s="1160"/>
      <c r="T99" s="1160"/>
      <c r="U99" s="1160"/>
      <c r="V99" s="1160"/>
      <c r="W99" s="1160"/>
      <c r="X99" s="1160"/>
      <c r="Y99" s="1160"/>
      <c r="Z99" s="1160"/>
      <c r="AA99" s="1160"/>
      <c r="AB99" s="1160"/>
      <c r="AC99" s="1160"/>
      <c r="AD99" s="1160"/>
      <c r="AE99" s="1160"/>
      <c r="AF99" s="1160"/>
      <c r="AG99" s="1160"/>
      <c r="AH99" s="1160"/>
      <c r="AI99" s="1160"/>
      <c r="AJ99" s="1160"/>
      <c r="AK99" s="1160"/>
      <c r="AL99" s="1160"/>
      <c r="AM99" s="1160"/>
      <c r="AN99" s="1160"/>
      <c r="AO99" s="1160"/>
      <c r="AP99" s="1160"/>
      <c r="AQ99" s="1160"/>
      <c r="AR99" s="1160"/>
      <c r="AS99" s="1160"/>
      <c r="AT99" s="1160"/>
      <c r="AU99" s="1160"/>
      <c r="AV99" s="1160"/>
      <c r="AW99" s="1160"/>
      <c r="AX99" s="1160"/>
      <c r="AY99" s="1161"/>
    </row>
    <row r="100" spans="1:51" x14ac:dyDescent="0.3">
      <c r="A100" s="1162" t="s">
        <v>3653</v>
      </c>
      <c r="B100" s="1163"/>
      <c r="C100" s="1163"/>
      <c r="D100" s="1163"/>
      <c r="E100" s="1163"/>
      <c r="F100" s="1163"/>
      <c r="G100" s="1163"/>
      <c r="H100" s="1163"/>
      <c r="I100" s="1163"/>
      <c r="J100" s="1163"/>
      <c r="K100" s="1163"/>
      <c r="L100" s="1163"/>
      <c r="M100" s="1163"/>
      <c r="N100" s="1163"/>
      <c r="O100" s="1163"/>
      <c r="P100" s="1163"/>
      <c r="Q100" s="1163"/>
      <c r="R100" s="1163"/>
      <c r="S100" s="1163"/>
      <c r="T100" s="1163"/>
      <c r="U100" s="1163"/>
      <c r="V100" s="1163"/>
      <c r="W100" s="1163"/>
      <c r="X100" s="1163"/>
      <c r="Y100" s="1163"/>
      <c r="Z100" s="1163"/>
      <c r="AA100" s="1163"/>
      <c r="AB100" s="1163"/>
      <c r="AC100" s="1163"/>
      <c r="AD100" s="1163"/>
      <c r="AE100" s="1163"/>
      <c r="AF100" s="1163"/>
      <c r="AG100" s="1163"/>
      <c r="AH100" s="1163"/>
      <c r="AI100" s="1163"/>
      <c r="AJ100" s="1163"/>
      <c r="AK100" s="1163"/>
      <c r="AL100" s="1163"/>
      <c r="AM100" s="1163"/>
      <c r="AN100" s="1163"/>
      <c r="AO100" s="1163"/>
      <c r="AP100" s="1163"/>
      <c r="AQ100" s="1163"/>
      <c r="AR100" s="1163"/>
      <c r="AS100" s="1163"/>
      <c r="AT100" s="1163"/>
      <c r="AU100" s="1163"/>
      <c r="AV100" s="1163"/>
      <c r="AW100" s="1163"/>
      <c r="AX100" s="1163"/>
      <c r="AY100" s="1164"/>
    </row>
    <row r="101" spans="1:51" x14ac:dyDescent="0.3">
      <c r="A101" s="1159" t="s">
        <v>3654</v>
      </c>
      <c r="B101" s="1160"/>
      <c r="C101" s="1160"/>
      <c r="D101" s="1160"/>
      <c r="E101" s="1160"/>
      <c r="F101" s="1160"/>
      <c r="G101" s="1160"/>
      <c r="H101" s="1160"/>
      <c r="I101" s="1160"/>
      <c r="J101" s="1160"/>
      <c r="K101" s="1160"/>
      <c r="L101" s="1160"/>
      <c r="M101" s="1160"/>
      <c r="N101" s="1160"/>
      <c r="O101" s="1160"/>
      <c r="P101" s="1160"/>
      <c r="Q101" s="1160"/>
      <c r="R101" s="1160"/>
      <c r="S101" s="1160"/>
      <c r="T101" s="1160"/>
      <c r="U101" s="1160"/>
      <c r="V101" s="1160"/>
      <c r="W101" s="1160"/>
      <c r="X101" s="1160"/>
      <c r="Y101" s="1160"/>
      <c r="Z101" s="1160"/>
      <c r="AA101" s="1160"/>
      <c r="AB101" s="1160"/>
      <c r="AC101" s="1160"/>
      <c r="AD101" s="1160"/>
      <c r="AE101" s="1160"/>
      <c r="AF101" s="1160"/>
      <c r="AG101" s="1160"/>
      <c r="AH101" s="1160"/>
      <c r="AI101" s="1160"/>
      <c r="AJ101" s="1160"/>
      <c r="AK101" s="1160"/>
      <c r="AL101" s="1160"/>
      <c r="AM101" s="1160"/>
      <c r="AN101" s="1160"/>
      <c r="AO101" s="1160"/>
      <c r="AP101" s="1160"/>
      <c r="AQ101" s="1160"/>
      <c r="AR101" s="1160"/>
      <c r="AS101" s="1160"/>
      <c r="AT101" s="1160"/>
      <c r="AU101" s="1160"/>
      <c r="AV101" s="1160"/>
      <c r="AW101" s="1160"/>
      <c r="AX101" s="1160"/>
      <c r="AY101" s="1161"/>
    </row>
    <row r="102" spans="1:51" x14ac:dyDescent="0.3">
      <c r="A102" s="1162" t="s">
        <v>3655</v>
      </c>
      <c r="B102" s="1163"/>
      <c r="C102" s="1163"/>
      <c r="D102" s="1163"/>
      <c r="E102" s="1163"/>
      <c r="F102" s="1163"/>
      <c r="G102" s="1163"/>
      <c r="H102" s="1163"/>
      <c r="I102" s="1163"/>
      <c r="J102" s="1163"/>
      <c r="K102" s="1163"/>
      <c r="L102" s="1163"/>
      <c r="M102" s="1163"/>
      <c r="N102" s="1163"/>
      <c r="O102" s="1163"/>
      <c r="P102" s="1163"/>
      <c r="Q102" s="1163"/>
      <c r="R102" s="1163"/>
      <c r="S102" s="1163"/>
      <c r="T102" s="1163"/>
      <c r="U102" s="1163"/>
      <c r="V102" s="1163"/>
      <c r="W102" s="1163"/>
      <c r="X102" s="1163"/>
      <c r="Y102" s="1163"/>
      <c r="Z102" s="1163"/>
      <c r="AA102" s="1163"/>
      <c r="AB102" s="1163"/>
      <c r="AC102" s="1163"/>
      <c r="AD102" s="1163"/>
      <c r="AE102" s="1163"/>
      <c r="AF102" s="1163"/>
      <c r="AG102" s="1163"/>
      <c r="AH102" s="1163"/>
      <c r="AI102" s="1163"/>
      <c r="AJ102" s="1163"/>
      <c r="AK102" s="1163"/>
      <c r="AL102" s="1163"/>
      <c r="AM102" s="1163"/>
      <c r="AN102" s="1163"/>
      <c r="AO102" s="1163"/>
      <c r="AP102" s="1163"/>
      <c r="AQ102" s="1163"/>
      <c r="AR102" s="1163"/>
      <c r="AS102" s="1163"/>
      <c r="AT102" s="1163"/>
      <c r="AU102" s="1163"/>
      <c r="AV102" s="1163"/>
      <c r="AW102" s="1163"/>
      <c r="AX102" s="1163"/>
      <c r="AY102" s="1164"/>
    </row>
    <row r="103" spans="1:51" x14ac:dyDescent="0.3">
      <c r="A103" s="1159" t="s">
        <v>3656</v>
      </c>
      <c r="B103" s="1160"/>
      <c r="C103" s="1160"/>
      <c r="D103" s="1160"/>
      <c r="E103" s="1160"/>
      <c r="F103" s="1160"/>
      <c r="G103" s="1160"/>
      <c r="H103" s="1160"/>
      <c r="I103" s="1160"/>
      <c r="J103" s="1160"/>
      <c r="K103" s="1160"/>
      <c r="L103" s="1160"/>
      <c r="M103" s="1160"/>
      <c r="N103" s="1160"/>
      <c r="O103" s="1160"/>
      <c r="P103" s="1160"/>
      <c r="Q103" s="1160"/>
      <c r="R103" s="1160"/>
      <c r="S103" s="1160"/>
      <c r="T103" s="1160"/>
      <c r="U103" s="1160"/>
      <c r="V103" s="1160"/>
      <c r="W103" s="1160"/>
      <c r="X103" s="1160"/>
      <c r="Y103" s="1160"/>
      <c r="Z103" s="1160"/>
      <c r="AA103" s="1160"/>
      <c r="AB103" s="1160"/>
      <c r="AC103" s="1160"/>
      <c r="AD103" s="1160"/>
      <c r="AE103" s="1160"/>
      <c r="AF103" s="1160"/>
      <c r="AG103" s="1160"/>
      <c r="AH103" s="1160"/>
      <c r="AI103" s="1160"/>
      <c r="AJ103" s="1160"/>
      <c r="AK103" s="1160"/>
      <c r="AL103" s="1160"/>
      <c r="AM103" s="1160"/>
      <c r="AN103" s="1160"/>
      <c r="AO103" s="1160"/>
      <c r="AP103" s="1160"/>
      <c r="AQ103" s="1160"/>
      <c r="AR103" s="1160"/>
      <c r="AS103" s="1160"/>
      <c r="AT103" s="1160"/>
      <c r="AU103" s="1160"/>
      <c r="AV103" s="1160"/>
      <c r="AW103" s="1160"/>
      <c r="AX103" s="1160"/>
      <c r="AY103" s="1161"/>
    </row>
    <row r="104" spans="1:51" x14ac:dyDescent="0.3">
      <c r="A104" s="1162" t="s">
        <v>3657</v>
      </c>
      <c r="B104" s="1163"/>
      <c r="C104" s="1163"/>
      <c r="D104" s="1163"/>
      <c r="E104" s="1163"/>
      <c r="F104" s="1163"/>
      <c r="G104" s="1163"/>
      <c r="H104" s="1163"/>
      <c r="I104" s="1163"/>
      <c r="J104" s="1163"/>
      <c r="K104" s="1163"/>
      <c r="L104" s="1163"/>
      <c r="M104" s="1163"/>
      <c r="N104" s="1163"/>
      <c r="O104" s="1163"/>
      <c r="P104" s="1163"/>
      <c r="Q104" s="1163"/>
      <c r="R104" s="1163"/>
      <c r="S104" s="1163"/>
      <c r="T104" s="1163"/>
      <c r="U104" s="1163"/>
      <c r="V104" s="1163"/>
      <c r="W104" s="1163"/>
      <c r="X104" s="1163"/>
      <c r="Y104" s="1163"/>
      <c r="Z104" s="1163"/>
      <c r="AA104" s="1163"/>
      <c r="AB104" s="1163"/>
      <c r="AC104" s="1163"/>
      <c r="AD104" s="1163"/>
      <c r="AE104" s="1163"/>
      <c r="AF104" s="1163"/>
      <c r="AG104" s="1163"/>
      <c r="AH104" s="1163"/>
      <c r="AI104" s="1163"/>
      <c r="AJ104" s="1163"/>
      <c r="AK104" s="1163"/>
      <c r="AL104" s="1163"/>
      <c r="AM104" s="1163"/>
      <c r="AN104" s="1163"/>
      <c r="AO104" s="1163"/>
      <c r="AP104" s="1163"/>
      <c r="AQ104" s="1163"/>
      <c r="AR104" s="1163"/>
      <c r="AS104" s="1163"/>
      <c r="AT104" s="1163"/>
      <c r="AU104" s="1163"/>
      <c r="AV104" s="1163"/>
      <c r="AW104" s="1163"/>
      <c r="AX104" s="1163"/>
      <c r="AY104" s="1164"/>
    </row>
    <row r="105" spans="1:51" x14ac:dyDescent="0.3">
      <c r="A105" s="1159" t="s">
        <v>3658</v>
      </c>
      <c r="B105" s="1160"/>
      <c r="C105" s="1160"/>
      <c r="D105" s="1160"/>
      <c r="E105" s="1160"/>
      <c r="F105" s="1160"/>
      <c r="G105" s="1160"/>
      <c r="H105" s="1160"/>
      <c r="I105" s="1160"/>
      <c r="J105" s="1160"/>
      <c r="K105" s="1160"/>
      <c r="L105" s="1160"/>
      <c r="M105" s="1160"/>
      <c r="N105" s="1160"/>
      <c r="O105" s="1160"/>
      <c r="P105" s="1160"/>
      <c r="Q105" s="1160"/>
      <c r="R105" s="1160"/>
      <c r="S105" s="1160"/>
      <c r="T105" s="1160"/>
      <c r="U105" s="1160"/>
      <c r="V105" s="1160"/>
      <c r="W105" s="1160"/>
      <c r="X105" s="1160"/>
      <c r="Y105" s="1160"/>
      <c r="Z105" s="1160"/>
      <c r="AA105" s="1160"/>
      <c r="AB105" s="1160"/>
      <c r="AC105" s="1160"/>
      <c r="AD105" s="1160"/>
      <c r="AE105" s="1160"/>
      <c r="AF105" s="1160"/>
      <c r="AG105" s="1160"/>
      <c r="AH105" s="1160"/>
      <c r="AI105" s="1160"/>
      <c r="AJ105" s="1160"/>
      <c r="AK105" s="1160"/>
      <c r="AL105" s="1160"/>
      <c r="AM105" s="1160"/>
      <c r="AN105" s="1160"/>
      <c r="AO105" s="1160"/>
      <c r="AP105" s="1160"/>
      <c r="AQ105" s="1160"/>
      <c r="AR105" s="1160"/>
      <c r="AS105" s="1160"/>
      <c r="AT105" s="1160"/>
      <c r="AU105" s="1160"/>
      <c r="AV105" s="1160"/>
      <c r="AW105" s="1160"/>
      <c r="AX105" s="1160"/>
      <c r="AY105" s="1161"/>
    </row>
    <row r="106" spans="1:51" x14ac:dyDescent="0.3">
      <c r="A106" s="1162" t="s">
        <v>3659</v>
      </c>
      <c r="B106" s="1163"/>
      <c r="C106" s="1163"/>
      <c r="D106" s="1163"/>
      <c r="E106" s="1163"/>
      <c r="F106" s="1163"/>
      <c r="G106" s="1163"/>
      <c r="H106" s="1163"/>
      <c r="I106" s="1163"/>
      <c r="J106" s="1163"/>
      <c r="K106" s="1163"/>
      <c r="L106" s="1163"/>
      <c r="M106" s="1163"/>
      <c r="N106" s="1163"/>
      <c r="O106" s="1163"/>
      <c r="P106" s="1163"/>
      <c r="Q106" s="1163"/>
      <c r="R106" s="1163"/>
      <c r="S106" s="1163"/>
      <c r="T106" s="1163"/>
      <c r="U106" s="1163"/>
      <c r="V106" s="1163"/>
      <c r="W106" s="1163"/>
      <c r="X106" s="1163"/>
      <c r="Y106" s="1163"/>
      <c r="Z106" s="1163"/>
      <c r="AA106" s="1163"/>
      <c r="AB106" s="1163"/>
      <c r="AC106" s="1163"/>
      <c r="AD106" s="1163"/>
      <c r="AE106" s="1163"/>
      <c r="AF106" s="1163"/>
      <c r="AG106" s="1163"/>
      <c r="AH106" s="1163"/>
      <c r="AI106" s="1163"/>
      <c r="AJ106" s="1163"/>
      <c r="AK106" s="1163"/>
      <c r="AL106" s="1163"/>
      <c r="AM106" s="1163"/>
      <c r="AN106" s="1163"/>
      <c r="AO106" s="1163"/>
      <c r="AP106" s="1163"/>
      <c r="AQ106" s="1163"/>
      <c r="AR106" s="1163"/>
      <c r="AS106" s="1163"/>
      <c r="AT106" s="1163"/>
      <c r="AU106" s="1163"/>
      <c r="AV106" s="1163"/>
      <c r="AW106" s="1163"/>
      <c r="AX106" s="1163"/>
      <c r="AY106" s="1164"/>
    </row>
    <row r="107" spans="1:51" x14ac:dyDescent="0.3">
      <c r="A107" s="1165" t="s">
        <v>3660</v>
      </c>
      <c r="B107" s="1166"/>
      <c r="C107" s="1166"/>
      <c r="D107" s="1166"/>
      <c r="E107" s="1166"/>
      <c r="F107" s="1166"/>
      <c r="G107" s="1166"/>
      <c r="H107" s="1166"/>
      <c r="I107" s="1166"/>
      <c r="J107" s="1166"/>
      <c r="K107" s="1166"/>
      <c r="L107" s="1166"/>
      <c r="M107" s="1166"/>
      <c r="N107" s="1166"/>
      <c r="O107" s="1166"/>
      <c r="P107" s="1166"/>
      <c r="Q107" s="1166"/>
      <c r="R107" s="1166"/>
      <c r="S107" s="1166"/>
      <c r="T107" s="1166"/>
      <c r="U107" s="1166"/>
      <c r="V107" s="1166"/>
      <c r="W107" s="1166"/>
      <c r="X107" s="1166"/>
      <c r="Y107" s="1166"/>
      <c r="Z107" s="1166"/>
      <c r="AA107" s="1166"/>
      <c r="AB107" s="1166"/>
      <c r="AC107" s="1166"/>
      <c r="AD107" s="1166"/>
      <c r="AE107" s="1166"/>
      <c r="AF107" s="1166"/>
      <c r="AG107" s="1166"/>
      <c r="AH107" s="1166"/>
      <c r="AI107" s="1166"/>
      <c r="AJ107" s="1166"/>
      <c r="AK107" s="1166"/>
      <c r="AL107" s="1166"/>
      <c r="AM107" s="1166"/>
      <c r="AN107" s="1166"/>
      <c r="AO107" s="1166"/>
      <c r="AP107" s="1166"/>
      <c r="AQ107" s="1166"/>
      <c r="AR107" s="1166"/>
      <c r="AS107" s="1166"/>
      <c r="AT107" s="1166"/>
      <c r="AU107" s="1166"/>
      <c r="AV107" s="1166"/>
      <c r="AW107" s="1166"/>
      <c r="AX107" s="1166"/>
      <c r="AY107" s="1167"/>
    </row>
    <row r="108" spans="1:51" ht="15" thickBot="1" x14ac:dyDescent="0.35">
      <c r="A108" s="1168" t="s">
        <v>3661</v>
      </c>
      <c r="B108" s="1169"/>
      <c r="C108" s="1169"/>
      <c r="D108" s="1169"/>
      <c r="E108" s="1169"/>
      <c r="F108" s="1169"/>
      <c r="G108" s="1169"/>
      <c r="H108" s="1169"/>
      <c r="I108" s="1169"/>
      <c r="J108" s="1169"/>
      <c r="K108" s="1169"/>
      <c r="L108" s="1169"/>
      <c r="M108" s="1169"/>
      <c r="N108" s="1169"/>
      <c r="O108" s="1169"/>
      <c r="P108" s="1169"/>
      <c r="Q108" s="1169"/>
      <c r="R108" s="1169"/>
      <c r="S108" s="1169"/>
      <c r="T108" s="1169"/>
      <c r="U108" s="1169"/>
      <c r="V108" s="1169"/>
      <c r="W108" s="1169"/>
      <c r="X108" s="1169"/>
      <c r="Y108" s="1169"/>
      <c r="Z108" s="1169"/>
      <c r="AA108" s="1169"/>
      <c r="AB108" s="1169"/>
      <c r="AC108" s="1169"/>
      <c r="AD108" s="1169"/>
      <c r="AE108" s="1169"/>
      <c r="AF108" s="1169"/>
      <c r="AG108" s="1169"/>
      <c r="AH108" s="1169"/>
      <c r="AI108" s="1169"/>
      <c r="AJ108" s="1169"/>
      <c r="AK108" s="1169"/>
      <c r="AL108" s="1169"/>
      <c r="AM108" s="1169"/>
      <c r="AN108" s="1169"/>
      <c r="AO108" s="1169"/>
      <c r="AP108" s="1169"/>
      <c r="AQ108" s="1169"/>
      <c r="AR108" s="1169"/>
      <c r="AS108" s="1169"/>
      <c r="AT108" s="1169"/>
      <c r="AU108" s="1169"/>
      <c r="AV108" s="1169"/>
      <c r="AW108" s="1169"/>
      <c r="AX108" s="1169"/>
      <c r="AY108" s="1170"/>
    </row>
  </sheetData>
  <sheetProtection algorithmName="SHA-512" hashValue="ZM4N8XYos8a+M9JgRXHH/8es0et79r+XZ4yA4KCJuwIJsaUBHdFI30HInoup9zuLxajfGzaADGUa2aACUMEo/g==" saltValue="sEkYcX9qJTD9kki/nCYMYg=="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06" t="str">
        <f>template_label_unit_of_measurement_converter</f>
        <v>UNIT OF MEASUREMENT CONVERTER</v>
      </c>
      <c r="B1" s="1207"/>
      <c r="C1" s="1208"/>
    </row>
    <row r="2" spans="1:7" s="10" customFormat="1" ht="15" thickTop="1" x14ac:dyDescent="0.3">
      <c r="A2" s="18"/>
      <c r="B2" s="18"/>
      <c r="C2" s="18"/>
    </row>
    <row r="3" spans="1:7" ht="15" thickBot="1" x14ac:dyDescent="0.35">
      <c r="A3" s="10"/>
      <c r="B3" s="10"/>
      <c r="C3" s="10"/>
      <c r="D3" s="10"/>
    </row>
    <row r="4" spans="1:7" ht="15" thickBot="1" x14ac:dyDescent="0.35">
      <c r="A4" s="1203" t="str">
        <f>template_label_unit_of_measurement_of_mass_converter</f>
        <v>Unit of measurement of Mass Converter</v>
      </c>
      <c r="B4" s="1204"/>
      <c r="C4" s="1204"/>
      <c r="D4" s="1204"/>
      <c r="E4" s="50"/>
      <c r="G4" s="459" t="str">
        <f>template_label_usage_of_unit_of_measurement_converter</f>
        <v>Usage of Unit of Measurement Converter</v>
      </c>
    </row>
    <row r="5" spans="1:7" ht="15" thickBot="1" x14ac:dyDescent="0.35">
      <c r="A5" s="43" t="str">
        <f>template_label_from_capital_case</f>
        <v xml:space="preserve">From </v>
      </c>
      <c r="B5" s="176"/>
      <c r="C5" s="44" t="str">
        <f>template_label_to</f>
        <v>to</v>
      </c>
      <c r="D5" s="176"/>
      <c r="G5" s="400" t="str">
        <f>template_label_steps_to_follow_for_the_mass_table</f>
        <v>Steps to follow for the Mass table:</v>
      </c>
    </row>
    <row r="6" spans="1:7" ht="15" thickBot="1" x14ac:dyDescent="0.35">
      <c r="A6" s="10"/>
      <c r="B6" s="19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8"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58" t="str">
        <f>template_label_2_then_in_the_cell_b6_the_amount_of_mass_can_be_inserted</f>
        <v>2. Then in the cell B6 the amount of mass can be inserted.</v>
      </c>
    </row>
    <row r="8" spans="1:7" s="10" customFormat="1" ht="15" thickBot="1" x14ac:dyDescent="0.35">
      <c r="A8" s="1203" t="str">
        <f>template_label_unit_of_measurement_of_volume_converter</f>
        <v>Unit of measurement of Volume Converter</v>
      </c>
      <c r="B8" s="1204"/>
      <c r="C8" s="1204"/>
      <c r="D8" s="1205"/>
      <c r="G8" s="458"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6"/>
      <c r="C9" s="44" t="str">
        <f>template_label_to</f>
        <v>to</v>
      </c>
      <c r="D9" s="176"/>
      <c r="G9" s="458" t="str">
        <f>template_label_4_the_outcome_of_the_conversion_will_be_displayed_in_the_cell_d6</f>
        <v>4. The outcome of the conversion will be displayed in the cell D6.</v>
      </c>
    </row>
    <row r="10" spans="1:7" s="10" customFormat="1" ht="15" thickBot="1" x14ac:dyDescent="0.35">
      <c r="B10" s="19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03" t="str">
        <f>template_label_unit_of_measurement_of_energy_consumption_per_hour</f>
        <v>Unit of measurement of Energy Consumption per Hour</v>
      </c>
      <c r="B12" s="1204"/>
      <c r="C12" s="1204"/>
      <c r="D12" s="1205"/>
      <c r="G12" s="400" t="str">
        <f>template_label_unit_of_measurement_of_mass_converter_list</f>
        <v>▪ Unit of measurement of Mass Converter:</v>
      </c>
    </row>
    <row r="13" spans="1:7" s="10" customFormat="1" ht="15" thickBot="1" x14ac:dyDescent="0.35">
      <c r="A13" s="43" t="str">
        <f>template_label_from_capital_case</f>
        <v xml:space="preserve">From </v>
      </c>
      <c r="B13" s="176"/>
      <c r="C13" s="44" t="str">
        <f>template_label_to</f>
        <v>to</v>
      </c>
      <c r="D13" s="176"/>
      <c r="G13" s="458" t="s">
        <v>4521</v>
      </c>
    </row>
    <row r="14" spans="1:7" s="10" customFormat="1" ht="15" thickBot="1" x14ac:dyDescent="0.35">
      <c r="B14" s="191"/>
      <c r="D14" s="21" t="str">
        <f>IF(OR(B13="",B14="",D13=""),"-",
IF(AND(B13="MWh - Megawatt hours",D13="MWh - Megawatt hours"),B14*1,
IF(AND(B13="TJ - Terajoule",D13="TJ - Terajoule"),B14*1,
IF(AND(B13="TJ - Terajoule",D13="MWh - Megawatt hours"),B14*277.778,
IF(AND(B13="MWh - Megawatt hours",D13="MWh - Megawatt hours"),B14/277.778,
"")))))</f>
        <v>-</v>
      </c>
      <c r="G14" s="458" t="s">
        <v>4522</v>
      </c>
    </row>
    <row r="15" spans="1:7" s="10" customFormat="1" ht="15" thickBot="1" x14ac:dyDescent="0.35">
      <c r="G15" s="458" t="s">
        <v>4523</v>
      </c>
    </row>
    <row r="16" spans="1:7" s="10" customFormat="1" ht="15" thickBot="1" x14ac:dyDescent="0.35">
      <c r="A16" s="1203" t="str">
        <f>template_label_unit_of_measurement_of_density_converter</f>
        <v>Unit of measurement of Density Converter</v>
      </c>
      <c r="B16" s="1204"/>
      <c r="C16" s="1204"/>
      <c r="D16" s="1205"/>
      <c r="G16" s="458" t="s">
        <v>4524</v>
      </c>
    </row>
    <row r="17" spans="1:7" s="10" customFormat="1" ht="15" thickBot="1" x14ac:dyDescent="0.35">
      <c r="A17" s="43" t="str">
        <f>template_label_from_capital_case</f>
        <v xml:space="preserve">From </v>
      </c>
      <c r="B17" s="176"/>
      <c r="C17" s="44" t="str">
        <f>template_label_to</f>
        <v>to</v>
      </c>
      <c r="D17" s="176"/>
      <c r="G17" s="400" t="str">
        <f>template_label_unit_of_measurement_of_volume_converter_list</f>
        <v>▪ Unit of measurement of Volume Converter:</v>
      </c>
    </row>
    <row r="18" spans="1:7" s="10" customFormat="1" ht="15" thickBot="1" x14ac:dyDescent="0.35">
      <c r="B18" s="191"/>
      <c r="D18" s="21" t="str">
        <f>IF(OR(B17="",B16="",D17=""), "-", B18 * INDEX('Fuel Conversion Parameters'!L2:S9, MATCH(B17, 'Fuel Conversion Parameters'!K2:K9, 0), MATCH(D17, 'Fuel Conversion Parameters'!L1:S1, 0)))</f>
        <v>-</v>
      </c>
      <c r="G18" s="458" t="s">
        <v>4525</v>
      </c>
    </row>
    <row r="19" spans="1:7" s="10" customFormat="1" ht="15" thickBot="1" x14ac:dyDescent="0.35">
      <c r="G19" s="458" t="s">
        <v>4526</v>
      </c>
    </row>
    <row r="20" spans="1:7" s="10" customFormat="1" ht="15" customHeight="1" thickBot="1" x14ac:dyDescent="0.35">
      <c r="A20" s="1203" t="str">
        <f>template_label_unit_of_measurement_of_ncv_converter</f>
        <v>Unit of measurement of NCV Converter</v>
      </c>
      <c r="B20" s="1204"/>
      <c r="C20" s="1204"/>
      <c r="D20" s="1205"/>
      <c r="G20" s="400" t="str">
        <f>template_label_unit_of_measurement_of_energy_converter_list</f>
        <v>▪ Unit of measurement of Energy Converter:</v>
      </c>
    </row>
    <row r="21" spans="1:7" s="10" customFormat="1" ht="15" thickBot="1" x14ac:dyDescent="0.35">
      <c r="A21" s="43" t="str">
        <f>template_label_from_capital_case</f>
        <v xml:space="preserve">From </v>
      </c>
      <c r="B21" s="176"/>
      <c r="C21" s="44" t="str">
        <f>template_label_to</f>
        <v>to</v>
      </c>
      <c r="D21" s="176"/>
      <c r="G21" s="458" t="s">
        <v>4527</v>
      </c>
    </row>
    <row r="22" spans="1:7" s="10" customFormat="1" ht="15" thickBot="1" x14ac:dyDescent="0.35">
      <c r="B22" s="191"/>
      <c r="D22" s="24" t="str">
        <f>IF(OR(B21="",B22="",D21=""), "-", B22 * INDEX('Fuel Conversion Parameters'!V2:AK13, MATCH(B21, 'Fuel Conversion Parameters'!U2:U13, 0), MATCH(D21, 'Fuel Conversion Parameters'!V1:AK1, 0)))</f>
        <v>-</v>
      </c>
      <c r="G22" s="458" t="s">
        <v>4528</v>
      </c>
    </row>
    <row r="23" spans="1:7" s="10" customFormat="1" x14ac:dyDescent="0.3">
      <c r="G23" s="400" t="str">
        <f>template_label_unit_of_measurement_of_density_converter_list</f>
        <v>▪ Unit of measurement of Density Converter:</v>
      </c>
    </row>
    <row r="24" spans="1:7" s="10" customFormat="1" x14ac:dyDescent="0.3">
      <c r="G24" s="458" t="s">
        <v>2940</v>
      </c>
    </row>
    <row r="25" spans="1:7" s="10" customFormat="1" x14ac:dyDescent="0.3">
      <c r="G25" s="458" t="s">
        <v>2941</v>
      </c>
    </row>
    <row r="26" spans="1:7" s="10" customFormat="1" x14ac:dyDescent="0.3">
      <c r="G26" s="458" t="s">
        <v>2942</v>
      </c>
    </row>
    <row r="27" spans="1:7" s="10" customFormat="1" x14ac:dyDescent="0.3">
      <c r="G27" s="458" t="s">
        <v>2943</v>
      </c>
    </row>
    <row r="28" spans="1:7" s="10" customFormat="1" x14ac:dyDescent="0.3">
      <c r="G28" s="458" t="s">
        <v>2944</v>
      </c>
    </row>
    <row r="29" spans="1:7" s="10" customFormat="1" x14ac:dyDescent="0.3">
      <c r="G29" s="458" t="s">
        <v>2945</v>
      </c>
    </row>
    <row r="30" spans="1:7" s="10" customFormat="1" x14ac:dyDescent="0.3">
      <c r="G30" s="458" t="s">
        <v>2946</v>
      </c>
    </row>
    <row r="31" spans="1:7" s="10" customFormat="1" x14ac:dyDescent="0.3">
      <c r="G31" s="458" t="s">
        <v>2947</v>
      </c>
    </row>
    <row r="32" spans="1:7" s="10" customFormat="1" x14ac:dyDescent="0.3">
      <c r="G32" s="400" t="str">
        <f>template_label_unit_of_measurement_of_ncv_converter_list</f>
        <v>▪ Unit of measurement of NCV Converter:</v>
      </c>
    </row>
    <row r="33" spans="7:7" s="10" customFormat="1" x14ac:dyDescent="0.3">
      <c r="G33" s="458" t="s">
        <v>2948</v>
      </c>
    </row>
    <row r="34" spans="7:7" s="10" customFormat="1" x14ac:dyDescent="0.3">
      <c r="G34" s="458" t="s">
        <v>2949</v>
      </c>
    </row>
    <row r="35" spans="7:7" s="10" customFormat="1" x14ac:dyDescent="0.3">
      <c r="G35" s="458" t="s">
        <v>2950</v>
      </c>
    </row>
    <row r="36" spans="7:7" s="10" customFormat="1" x14ac:dyDescent="0.3">
      <c r="G36" s="458" t="s">
        <v>2951</v>
      </c>
    </row>
    <row r="37" spans="7:7" s="10" customFormat="1" x14ac:dyDescent="0.3">
      <c r="G37" s="458" t="s">
        <v>3020</v>
      </c>
    </row>
    <row r="38" spans="7:7" s="10" customFormat="1" x14ac:dyDescent="0.3">
      <c r="G38" s="458" t="s">
        <v>3021</v>
      </c>
    </row>
    <row r="39" spans="7:7" s="10" customFormat="1" x14ac:dyDescent="0.3">
      <c r="G39" s="458" t="s">
        <v>3022</v>
      </c>
    </row>
    <row r="40" spans="7:7" s="10" customFormat="1" x14ac:dyDescent="0.3">
      <c r="G40" s="458" t="s">
        <v>3023</v>
      </c>
    </row>
    <row r="41" spans="7:7" s="10" customFormat="1" x14ac:dyDescent="0.3">
      <c r="G41" s="458" t="s">
        <v>2952</v>
      </c>
    </row>
    <row r="42" spans="7:7" s="10" customFormat="1" x14ac:dyDescent="0.3">
      <c r="G42" s="458" t="s">
        <v>2953</v>
      </c>
    </row>
    <row r="43" spans="7:7" s="10" customFormat="1" x14ac:dyDescent="0.3">
      <c r="G43" s="458" t="s">
        <v>2954</v>
      </c>
    </row>
    <row r="44" spans="7:7" s="10" customFormat="1" x14ac:dyDescent="0.3">
      <c r="G44" s="458" t="s">
        <v>2955</v>
      </c>
    </row>
    <row r="45" spans="7:7" s="10" customFormat="1" x14ac:dyDescent="0.3">
      <c r="G45" s="458" t="s">
        <v>2956</v>
      </c>
    </row>
    <row r="46" spans="7:7" s="10" customFormat="1" x14ac:dyDescent="0.3">
      <c r="G46" s="458" t="s">
        <v>2957</v>
      </c>
    </row>
    <row r="47" spans="7:7" s="10" customFormat="1" x14ac:dyDescent="0.3">
      <c r="G47" s="458" t="s">
        <v>2958</v>
      </c>
    </row>
    <row r="48" spans="7:7" s="10" customFormat="1" x14ac:dyDescent="0.3">
      <c r="G48" s="458" t="s">
        <v>2959</v>
      </c>
    </row>
    <row r="49" spans="7:7" s="10" customFormat="1" x14ac:dyDescent="0.3"/>
    <row r="50" spans="7:7" s="10" customFormat="1" x14ac:dyDescent="0.3">
      <c r="G50" s="457"/>
    </row>
    <row r="51" spans="7:7" s="10" customFormat="1" x14ac:dyDescent="0.3"/>
    <row r="52" spans="7:7" s="10" customFormat="1" x14ac:dyDescent="0.3">
      <c r="G52" s="457"/>
    </row>
    <row r="53" spans="7:7" s="10" customFormat="1" x14ac:dyDescent="0.3"/>
    <row r="54" spans="7:7" s="10" customFormat="1" x14ac:dyDescent="0.3">
      <c r="G54" s="457"/>
    </row>
    <row r="55" spans="7:7" s="10" customFormat="1" x14ac:dyDescent="0.3"/>
    <row r="56" spans="7:7" s="10" customFormat="1" x14ac:dyDescent="0.3">
      <c r="G56" s="457"/>
    </row>
    <row r="57" spans="7:7" s="10" customFormat="1" x14ac:dyDescent="0.3"/>
    <row r="58" spans="7:7" s="10" customFormat="1" x14ac:dyDescent="0.3">
      <c r="G58" s="457"/>
    </row>
    <row r="59" spans="7:7" s="10" customFormat="1" x14ac:dyDescent="0.3"/>
    <row r="60" spans="7:7" s="10" customFormat="1" x14ac:dyDescent="0.3">
      <c r="G60" s="457"/>
    </row>
    <row r="61" spans="7:7" s="10" customFormat="1" x14ac:dyDescent="0.3"/>
    <row r="62" spans="7:7" s="10" customFormat="1" x14ac:dyDescent="0.3">
      <c r="G62" s="457"/>
    </row>
    <row r="63" spans="7:7" s="10" customFormat="1" x14ac:dyDescent="0.3"/>
    <row r="64" spans="7:7" s="10" customFormat="1" x14ac:dyDescent="0.3">
      <c r="G64" s="457"/>
    </row>
    <row r="65" spans="7:7" s="10" customFormat="1" x14ac:dyDescent="0.3"/>
    <row r="66" spans="7:7" s="10" customFormat="1" x14ac:dyDescent="0.3">
      <c r="G66" s="457"/>
    </row>
    <row r="67" spans="7:7" s="10" customFormat="1" x14ac:dyDescent="0.3"/>
    <row r="68" spans="7:7" s="10" customFormat="1" x14ac:dyDescent="0.3">
      <c r="G68" s="457"/>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DKw6TgEJ4/n2ftKx4C/yhA5uJZ/L56sZMzlG8GvCaESpYwoP2wGthRceYJgGNKmHqW4x5DgAHAS+b14CGkFDTQ==" saltValue="PKJkVWnnp3tRdDWlO+gjrA=="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5" t="s">
        <v>3707</v>
      </c>
    </row>
    <row r="2" spans="1:1" x14ac:dyDescent="0.3">
      <c r="A2" s="256"/>
    </row>
    <row r="3" spans="1:1" x14ac:dyDescent="0.3">
      <c r="A3" s="256" t="s">
        <v>3708</v>
      </c>
    </row>
    <row r="4" spans="1:1" x14ac:dyDescent="0.3">
      <c r="A4" s="256"/>
    </row>
    <row r="5" spans="1:1" x14ac:dyDescent="0.3">
      <c r="A5" s="256" t="s">
        <v>3709</v>
      </c>
    </row>
    <row r="6" spans="1:1" x14ac:dyDescent="0.3">
      <c r="A6" s="256" t="s">
        <v>3710</v>
      </c>
    </row>
    <row r="7" spans="1:1" x14ac:dyDescent="0.3">
      <c r="A7" s="256" t="s">
        <v>3711</v>
      </c>
    </row>
    <row r="8" spans="1:1" x14ac:dyDescent="0.3">
      <c r="A8" s="256" t="s">
        <v>3712</v>
      </c>
    </row>
    <row r="9" spans="1:1" x14ac:dyDescent="0.3">
      <c r="A9" s="256" t="s">
        <v>3713</v>
      </c>
    </row>
    <row r="10" spans="1:1" x14ac:dyDescent="0.3">
      <c r="A10" s="256" t="s">
        <v>3714</v>
      </c>
    </row>
    <row r="11" spans="1:1" x14ac:dyDescent="0.3">
      <c r="A11" s="256"/>
    </row>
    <row r="12" spans="1:1" x14ac:dyDescent="0.3">
      <c r="A12" s="256" t="s">
        <v>3715</v>
      </c>
    </row>
    <row r="13" spans="1:1" x14ac:dyDescent="0.3">
      <c r="A13" s="256" t="s">
        <v>3716</v>
      </c>
    </row>
    <row r="14" spans="1:1" x14ac:dyDescent="0.3">
      <c r="A14" s="256"/>
    </row>
    <row r="15" spans="1:1" x14ac:dyDescent="0.3">
      <c r="A15" s="256" t="s">
        <v>3717</v>
      </c>
    </row>
    <row r="16" spans="1:1" x14ac:dyDescent="0.3">
      <c r="A16" s="256" t="s">
        <v>3718</v>
      </c>
    </row>
    <row r="17" spans="1:1" x14ac:dyDescent="0.3">
      <c r="A17" s="256" t="s">
        <v>3719</v>
      </c>
    </row>
    <row r="18" spans="1:1" x14ac:dyDescent="0.3">
      <c r="A18" s="256" t="s">
        <v>3720</v>
      </c>
    </row>
    <row r="19" spans="1:1" x14ac:dyDescent="0.3">
      <c r="A19" s="256" t="s">
        <v>3721</v>
      </c>
    </row>
    <row r="20" spans="1:1" x14ac:dyDescent="0.3">
      <c r="A20" s="256" t="s">
        <v>3722</v>
      </c>
    </row>
    <row r="21" spans="1:1" ht="15" thickBot="1" x14ac:dyDescent="0.35">
      <c r="A21" s="257" t="s">
        <v>3723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7" t="s">
        <v>3575</v>
      </c>
      <c r="B1" s="318" t="s">
        <v>40</v>
      </c>
      <c r="C1" s="319" t="s">
        <v>3508</v>
      </c>
      <c r="D1" s="318" t="s">
        <v>2655</v>
      </c>
      <c r="E1" s="6" t="s">
        <v>41</v>
      </c>
      <c r="F1" s="6" t="s">
        <v>42</v>
      </c>
      <c r="G1" s="6" t="s">
        <v>2657</v>
      </c>
      <c r="H1" s="6" t="s">
        <v>3047</v>
      </c>
      <c r="I1" s="294" t="s">
        <v>3778</v>
      </c>
      <c r="J1" s="294" t="s">
        <v>2729</v>
      </c>
      <c r="K1" s="294" t="s">
        <v>4639</v>
      </c>
      <c r="L1" s="6" t="s">
        <v>2755</v>
      </c>
      <c r="M1" s="6" t="s">
        <v>2756</v>
      </c>
      <c r="N1" s="6" t="s">
        <v>16</v>
      </c>
      <c r="O1" s="6" t="s">
        <v>2890</v>
      </c>
      <c r="P1" s="6" t="s">
        <v>2899</v>
      </c>
      <c r="Q1" s="294" t="s">
        <v>2905</v>
      </c>
      <c r="R1" s="6" t="s">
        <v>2888</v>
      </c>
      <c r="S1" s="6" t="s">
        <v>3025</v>
      </c>
      <c r="T1" s="6" t="s">
        <v>3026</v>
      </c>
      <c r="U1" s="6" t="s">
        <v>3045</v>
      </c>
      <c r="V1" s="6" t="s">
        <v>3048</v>
      </c>
      <c r="W1" s="6" t="s">
        <v>3064</v>
      </c>
      <c r="X1" s="6" t="s">
        <v>3026</v>
      </c>
      <c r="Y1" s="320" t="s">
        <v>3070</v>
      </c>
      <c r="Z1" s="321" t="s">
        <v>3096</v>
      </c>
      <c r="AA1" s="320" t="s">
        <v>3561</v>
      </c>
      <c r="AB1" s="322" t="s">
        <v>3099</v>
      </c>
      <c r="AC1" s="11" t="s">
        <v>3678</v>
      </c>
      <c r="AD1" s="11" t="s">
        <v>3680</v>
      </c>
    </row>
    <row r="2" spans="1:30" x14ac:dyDescent="0.3">
      <c r="A2" s="323" t="s">
        <v>43</v>
      </c>
      <c r="B2" t="s">
        <v>2653</v>
      </c>
      <c r="C2" s="324" t="s">
        <v>3111</v>
      </c>
      <c r="D2" t="str">
        <f t="shared" ref="D2:D65" si="0">_xlfn.CONCAT("NACE ", A2)</f>
        <v>NACE All Economic Activities (NACE) / NA [member]</v>
      </c>
      <c r="E2" s="325" t="s">
        <v>44</v>
      </c>
      <c r="F2" t="s">
        <v>45</v>
      </c>
      <c r="G2" t="str">
        <f>RIGHT(F2,2)</f>
        <v>AD</v>
      </c>
      <c r="H2" t="s">
        <v>2656</v>
      </c>
      <c r="I2" t="s">
        <v>2728</v>
      </c>
      <c r="J2" t="s">
        <v>2730</v>
      </c>
      <c r="K2" t="s">
        <v>4640</v>
      </c>
      <c r="L2" t="s">
        <v>2751</v>
      </c>
      <c r="M2" t="s">
        <v>2757</v>
      </c>
      <c r="N2" t="s">
        <v>2877</v>
      </c>
      <c r="O2" t="s">
        <v>2891</v>
      </c>
      <c r="P2" t="s">
        <v>3553</v>
      </c>
      <c r="Q2" t="s">
        <v>2906</v>
      </c>
      <c r="R2" t="s">
        <v>2650</v>
      </c>
      <c r="S2">
        <v>2000</v>
      </c>
      <c r="T2">
        <v>1</v>
      </c>
      <c r="U2" t="s">
        <v>3576</v>
      </c>
      <c r="V2" t="s">
        <v>6494</v>
      </c>
      <c r="W2" s="326">
        <v>1</v>
      </c>
      <c r="X2" t="s">
        <v>3027</v>
      </c>
      <c r="Y2" t="s">
        <v>2757</v>
      </c>
      <c r="Z2" s="38" t="s">
        <v>2732</v>
      </c>
      <c r="AA2" t="s">
        <v>3779</v>
      </c>
      <c r="AB2" s="2" t="s">
        <v>3100</v>
      </c>
      <c r="AC2">
        <v>1</v>
      </c>
      <c r="AD2" t="s">
        <v>3681</v>
      </c>
    </row>
    <row r="3" spans="1:30" ht="28.8" x14ac:dyDescent="0.3">
      <c r="A3" s="325" t="s">
        <v>46</v>
      </c>
      <c r="B3" t="s">
        <v>47</v>
      </c>
      <c r="C3" s="327" t="s">
        <v>3112</v>
      </c>
      <c r="D3" s="325" t="str">
        <f t="shared" si="0"/>
        <v>NACE A - AGRICULTURE, FORESTRY AND FISHING</v>
      </c>
      <c r="E3" s="325" t="s">
        <v>48</v>
      </c>
      <c r="F3" t="s">
        <v>49</v>
      </c>
      <c r="G3" t="str">
        <f t="shared" ref="G3:G66" si="1">RIGHT(F3,2)</f>
        <v>AE</v>
      </c>
      <c r="H3" t="s">
        <v>6494</v>
      </c>
      <c r="I3" t="s">
        <v>2727</v>
      </c>
      <c r="J3" t="s">
        <v>2731</v>
      </c>
      <c r="K3" t="s">
        <v>4661</v>
      </c>
      <c r="L3" t="s">
        <v>2654</v>
      </c>
      <c r="M3" t="s">
        <v>2761</v>
      </c>
      <c r="N3" t="s">
        <v>2878</v>
      </c>
      <c r="O3" t="s">
        <v>2892</v>
      </c>
      <c r="P3" t="s">
        <v>3555</v>
      </c>
      <c r="Q3" t="s">
        <v>2907</v>
      </c>
      <c r="R3" t="s">
        <v>2651</v>
      </c>
      <c r="S3">
        <v>2001</v>
      </c>
      <c r="T3">
        <v>2</v>
      </c>
      <c r="U3" t="s">
        <v>3044</v>
      </c>
      <c r="V3" t="s">
        <v>6495</v>
      </c>
      <c r="W3" s="326">
        <v>2</v>
      </c>
      <c r="X3" t="s">
        <v>3028</v>
      </c>
      <c r="Y3" t="s">
        <v>2761</v>
      </c>
      <c r="Z3" t="s">
        <v>2764</v>
      </c>
      <c r="AA3" t="s">
        <v>3780</v>
      </c>
      <c r="AB3" s="2" t="s">
        <v>3101</v>
      </c>
      <c r="AC3">
        <v>2</v>
      </c>
      <c r="AD3" t="s">
        <v>3682</v>
      </c>
    </row>
    <row r="4" spans="1:30" x14ac:dyDescent="0.3">
      <c r="A4" s="324" t="s">
        <v>50</v>
      </c>
      <c r="B4" t="s">
        <v>51</v>
      </c>
      <c r="C4" s="327" t="s">
        <v>3113</v>
      </c>
      <c r="D4" s="324" t="str">
        <f t="shared" si="0"/>
        <v>NACE A - 01 Crop and animal production, hunting and related service activities</v>
      </c>
      <c r="E4" s="325" t="s">
        <v>52</v>
      </c>
      <c r="F4" t="s">
        <v>53</v>
      </c>
      <c r="G4" t="str">
        <f t="shared" si="1"/>
        <v>AF</v>
      </c>
      <c r="H4" t="s">
        <v>6495</v>
      </c>
      <c r="I4" t="s">
        <v>2726</v>
      </c>
      <c r="K4" t="s">
        <v>4662</v>
      </c>
      <c r="L4" t="s">
        <v>2752</v>
      </c>
      <c r="M4" t="s">
        <v>3554</v>
      </c>
      <c r="N4" t="s">
        <v>2879</v>
      </c>
      <c r="O4" t="s">
        <v>2893</v>
      </c>
      <c r="R4" t="s">
        <v>2908</v>
      </c>
      <c r="S4">
        <v>2002</v>
      </c>
      <c r="T4">
        <v>3</v>
      </c>
      <c r="V4" t="s">
        <v>6496</v>
      </c>
      <c r="W4" s="326">
        <v>3</v>
      </c>
      <c r="X4" t="s">
        <v>3029</v>
      </c>
      <c r="Z4" t="s">
        <v>2765</v>
      </c>
      <c r="AA4" t="s">
        <v>3781</v>
      </c>
      <c r="AC4">
        <v>3</v>
      </c>
      <c r="AD4" t="s">
        <v>3683</v>
      </c>
    </row>
    <row r="5" spans="1:30" x14ac:dyDescent="0.3">
      <c r="A5" s="327" t="s">
        <v>54</v>
      </c>
      <c r="B5" t="s">
        <v>55</v>
      </c>
      <c r="C5" s="327" t="s">
        <v>3114</v>
      </c>
      <c r="D5" s="327" t="str">
        <f t="shared" si="0"/>
        <v>NACE A - 01.1 Growing of non-perennial crops</v>
      </c>
      <c r="E5" s="325" t="s">
        <v>56</v>
      </c>
      <c r="F5" t="s">
        <v>57</v>
      </c>
      <c r="G5" t="str">
        <f t="shared" si="1"/>
        <v>AG</v>
      </c>
      <c r="H5" t="s">
        <v>6496</v>
      </c>
      <c r="I5" t="s">
        <v>2725</v>
      </c>
      <c r="K5" t="s">
        <v>4663</v>
      </c>
      <c r="L5" t="s">
        <v>2753</v>
      </c>
      <c r="O5" t="s">
        <v>2894</v>
      </c>
      <c r="S5">
        <v>2003</v>
      </c>
      <c r="T5">
        <v>4</v>
      </c>
      <c r="V5" t="s">
        <v>6497</v>
      </c>
      <c r="W5" s="326">
        <v>4</v>
      </c>
      <c r="X5" t="s">
        <v>3030</v>
      </c>
      <c r="Z5" t="s">
        <v>2766</v>
      </c>
      <c r="AA5" t="s">
        <v>3782</v>
      </c>
      <c r="AC5">
        <v>4</v>
      </c>
      <c r="AD5" t="s">
        <v>3684</v>
      </c>
    </row>
    <row r="6" spans="1:30" x14ac:dyDescent="0.3">
      <c r="A6" s="328" t="s">
        <v>58</v>
      </c>
      <c r="B6" t="s">
        <v>59</v>
      </c>
      <c r="C6" s="327" t="s">
        <v>3115</v>
      </c>
      <c r="D6" s="328" t="str">
        <f t="shared" si="0"/>
        <v>NACE A - 01.11 Growing of cereals, other than rice, leguminous crops and oil seeds</v>
      </c>
      <c r="E6" s="325" t="s">
        <v>60</v>
      </c>
      <c r="F6" t="s">
        <v>61</v>
      </c>
      <c r="G6" t="str">
        <f t="shared" si="1"/>
        <v>AI</v>
      </c>
      <c r="H6" t="s">
        <v>6497</v>
      </c>
      <c r="I6" t="s">
        <v>3509</v>
      </c>
      <c r="K6" t="s">
        <v>4664</v>
      </c>
      <c r="L6" t="s">
        <v>2754</v>
      </c>
      <c r="O6" t="s">
        <v>2895</v>
      </c>
      <c r="S6">
        <v>2004</v>
      </c>
      <c r="T6">
        <v>5</v>
      </c>
      <c r="V6" t="s">
        <v>6498</v>
      </c>
      <c r="W6" s="326">
        <v>5</v>
      </c>
      <c r="X6" t="s">
        <v>3031</v>
      </c>
      <c r="Z6" t="s">
        <v>2767</v>
      </c>
      <c r="AA6" t="s">
        <v>3783</v>
      </c>
      <c r="AC6">
        <v>5</v>
      </c>
    </row>
    <row r="7" spans="1:30" x14ac:dyDescent="0.3">
      <c r="A7" s="328" t="s">
        <v>62</v>
      </c>
      <c r="B7" t="s">
        <v>63</v>
      </c>
      <c r="C7" s="327" t="s">
        <v>3116</v>
      </c>
      <c r="D7" s="328" t="str">
        <f t="shared" si="0"/>
        <v>NACE A - 01.12 Growing of rice</v>
      </c>
      <c r="E7" s="325" t="s">
        <v>64</v>
      </c>
      <c r="F7" t="s">
        <v>65</v>
      </c>
      <c r="G7" t="str">
        <f t="shared" si="1"/>
        <v>AL</v>
      </c>
      <c r="H7" t="s">
        <v>6498</v>
      </c>
      <c r="I7" t="s">
        <v>2724</v>
      </c>
      <c r="K7" t="s">
        <v>4665</v>
      </c>
      <c r="O7" t="s">
        <v>2896</v>
      </c>
      <c r="S7">
        <v>2005</v>
      </c>
      <c r="T7">
        <v>6</v>
      </c>
      <c r="V7" t="s">
        <v>6499</v>
      </c>
      <c r="W7" s="326">
        <v>6</v>
      </c>
      <c r="X7" t="s">
        <v>3032</v>
      </c>
      <c r="Z7" t="s">
        <v>2768</v>
      </c>
      <c r="AA7" t="s">
        <v>3784</v>
      </c>
      <c r="AC7">
        <v>6</v>
      </c>
    </row>
    <row r="8" spans="1:30" x14ac:dyDescent="0.3">
      <c r="A8" s="328" t="s">
        <v>66</v>
      </c>
      <c r="B8" t="s">
        <v>67</v>
      </c>
      <c r="C8" s="327" t="s">
        <v>3117</v>
      </c>
      <c r="D8" s="328" t="str">
        <f t="shared" si="0"/>
        <v>NACE A - 01.13 Growing of vegetables and melons, roots and tubers</v>
      </c>
      <c r="E8" s="325" t="s">
        <v>68</v>
      </c>
      <c r="F8" t="s">
        <v>69</v>
      </c>
      <c r="G8" t="str">
        <f t="shared" si="1"/>
        <v>AM</v>
      </c>
      <c r="H8" t="s">
        <v>6499</v>
      </c>
      <c r="I8" t="s">
        <v>2723</v>
      </c>
      <c r="K8" t="s">
        <v>4666</v>
      </c>
      <c r="O8" t="s">
        <v>2652</v>
      </c>
      <c r="S8">
        <v>2006</v>
      </c>
      <c r="T8">
        <v>7</v>
      </c>
      <c r="V8" t="s">
        <v>6500</v>
      </c>
      <c r="W8" s="326">
        <v>7</v>
      </c>
      <c r="X8" t="s">
        <v>3033</v>
      </c>
      <c r="Z8" t="s">
        <v>2733</v>
      </c>
      <c r="AA8" t="s">
        <v>3785</v>
      </c>
      <c r="AC8">
        <v>7</v>
      </c>
    </row>
    <row r="9" spans="1:30" x14ac:dyDescent="0.3">
      <c r="A9" s="328" t="s">
        <v>70</v>
      </c>
      <c r="B9" t="s">
        <v>71</v>
      </c>
      <c r="C9" s="327" t="s">
        <v>3118</v>
      </c>
      <c r="D9" s="328" t="str">
        <f t="shared" si="0"/>
        <v>NACE A - 01.14 Growing of sugar cane</v>
      </c>
      <c r="E9" s="325" t="s">
        <v>72</v>
      </c>
      <c r="F9" t="s">
        <v>73</v>
      </c>
      <c r="G9" t="str">
        <f t="shared" si="1"/>
        <v>AN</v>
      </c>
      <c r="H9" t="s">
        <v>6500</v>
      </c>
      <c r="I9" t="s">
        <v>2722</v>
      </c>
      <c r="K9" t="s">
        <v>4667</v>
      </c>
      <c r="O9" t="s">
        <v>2897</v>
      </c>
      <c r="S9">
        <v>2007</v>
      </c>
      <c r="T9">
        <v>8</v>
      </c>
      <c r="V9" t="s">
        <v>6501</v>
      </c>
      <c r="W9" s="326">
        <v>8</v>
      </c>
      <c r="X9" t="s">
        <v>3034</v>
      </c>
      <c r="Z9" t="s">
        <v>2769</v>
      </c>
      <c r="AA9" t="s">
        <v>3786</v>
      </c>
      <c r="AC9">
        <v>8</v>
      </c>
    </row>
    <row r="10" spans="1:30" x14ac:dyDescent="0.3">
      <c r="A10" s="328" t="s">
        <v>74</v>
      </c>
      <c r="B10" t="s">
        <v>75</v>
      </c>
      <c r="C10" s="324" t="s">
        <v>3119</v>
      </c>
      <c r="D10" s="328" t="str">
        <f t="shared" si="0"/>
        <v>NACE A - 01.15 Growing of tobacco</v>
      </c>
      <c r="E10" s="325" t="s">
        <v>76</v>
      </c>
      <c r="F10" t="s">
        <v>77</v>
      </c>
      <c r="G10" t="str">
        <f t="shared" si="1"/>
        <v>AO</v>
      </c>
      <c r="H10" t="s">
        <v>6501</v>
      </c>
      <c r="I10" t="s">
        <v>2721</v>
      </c>
      <c r="K10" t="s">
        <v>4668</v>
      </c>
      <c r="O10" t="s">
        <v>2898</v>
      </c>
      <c r="S10">
        <v>2008</v>
      </c>
      <c r="T10">
        <v>9</v>
      </c>
      <c r="V10" t="s">
        <v>31</v>
      </c>
      <c r="W10" s="326">
        <v>9</v>
      </c>
      <c r="X10" t="s">
        <v>3035</v>
      </c>
      <c r="Z10" t="s">
        <v>2770</v>
      </c>
      <c r="AA10" t="s">
        <v>3787</v>
      </c>
      <c r="AC10">
        <v>9</v>
      </c>
    </row>
    <row r="11" spans="1:30" x14ac:dyDescent="0.3">
      <c r="A11" s="328" t="s">
        <v>78</v>
      </c>
      <c r="B11" t="s">
        <v>79</v>
      </c>
      <c r="C11" s="327" t="s">
        <v>3120</v>
      </c>
      <c r="D11" s="328" t="str">
        <f t="shared" si="0"/>
        <v>NACE A - 01.16 Growing of fibre crops</v>
      </c>
      <c r="E11" s="325" t="s">
        <v>80</v>
      </c>
      <c r="F11" t="s">
        <v>81</v>
      </c>
      <c r="G11" t="str">
        <f t="shared" si="1"/>
        <v>AQ</v>
      </c>
      <c r="H11" t="s">
        <v>31</v>
      </c>
      <c r="I11" t="s">
        <v>2720</v>
      </c>
      <c r="K11" t="s">
        <v>4669</v>
      </c>
      <c r="O11" t="s">
        <v>2889</v>
      </c>
      <c r="S11">
        <v>2009</v>
      </c>
      <c r="T11">
        <v>10</v>
      </c>
      <c r="V11" t="s">
        <v>6502</v>
      </c>
      <c r="W11" s="326">
        <v>10</v>
      </c>
      <c r="X11" t="s">
        <v>3036</v>
      </c>
      <c r="Z11" t="s">
        <v>2771</v>
      </c>
      <c r="AA11" t="s">
        <v>3788</v>
      </c>
      <c r="AC11">
        <v>10</v>
      </c>
    </row>
    <row r="12" spans="1:30" x14ac:dyDescent="0.3">
      <c r="A12" s="328" t="s">
        <v>82</v>
      </c>
      <c r="B12" t="s">
        <v>83</v>
      </c>
      <c r="C12" s="327" t="s">
        <v>3121</v>
      </c>
      <c r="D12" s="328" t="str">
        <f t="shared" si="0"/>
        <v>NACE A - 01.19 Growing of other non-perennial crops</v>
      </c>
      <c r="E12" s="325" t="s">
        <v>84</v>
      </c>
      <c r="F12" t="s">
        <v>85</v>
      </c>
      <c r="G12" t="str">
        <f t="shared" si="1"/>
        <v>AR</v>
      </c>
      <c r="H12" t="s">
        <v>6502</v>
      </c>
      <c r="I12" t="s">
        <v>3510</v>
      </c>
      <c r="K12" t="s">
        <v>4670</v>
      </c>
      <c r="O12" t="s">
        <v>28</v>
      </c>
      <c r="S12">
        <v>2010</v>
      </c>
      <c r="T12">
        <v>11</v>
      </c>
      <c r="V12" t="s">
        <v>38</v>
      </c>
      <c r="W12" s="326">
        <v>11</v>
      </c>
      <c r="X12" t="s">
        <v>3037</v>
      </c>
      <c r="Z12" t="s">
        <v>2772</v>
      </c>
      <c r="AA12" t="s">
        <v>3789</v>
      </c>
      <c r="AC12">
        <v>11</v>
      </c>
    </row>
    <row r="13" spans="1:30" x14ac:dyDescent="0.3">
      <c r="A13" s="327" t="s">
        <v>86</v>
      </c>
      <c r="B13" t="s">
        <v>87</v>
      </c>
      <c r="C13" s="327" t="s">
        <v>3122</v>
      </c>
      <c r="D13" s="327" t="str">
        <f t="shared" si="0"/>
        <v>NACE A - 01.2 Growing of perennial crops</v>
      </c>
      <c r="E13" s="325" t="s">
        <v>88</v>
      </c>
      <c r="F13" t="s">
        <v>89</v>
      </c>
      <c r="G13" t="str">
        <f t="shared" si="1"/>
        <v>AS</v>
      </c>
      <c r="H13" t="s">
        <v>38</v>
      </c>
      <c r="I13" t="s">
        <v>2719</v>
      </c>
      <c r="K13" t="s">
        <v>4671</v>
      </c>
      <c r="S13">
        <v>2011</v>
      </c>
      <c r="T13">
        <v>12</v>
      </c>
      <c r="V13" t="s">
        <v>12</v>
      </c>
      <c r="W13" s="326">
        <v>12</v>
      </c>
      <c r="X13" t="s">
        <v>3038</v>
      </c>
      <c r="Z13" t="s">
        <v>2773</v>
      </c>
      <c r="AA13" t="s">
        <v>3790</v>
      </c>
      <c r="AC13">
        <v>12</v>
      </c>
    </row>
    <row r="14" spans="1:30" x14ac:dyDescent="0.3">
      <c r="A14" s="328" t="s">
        <v>90</v>
      </c>
      <c r="B14" t="s">
        <v>91</v>
      </c>
      <c r="C14" s="327" t="s">
        <v>3123</v>
      </c>
      <c r="D14" s="328" t="str">
        <f t="shared" si="0"/>
        <v>NACE A - 01.21 Growing of grapes</v>
      </c>
      <c r="E14" s="325" t="s">
        <v>92</v>
      </c>
      <c r="F14" t="s">
        <v>93</v>
      </c>
      <c r="G14" t="str">
        <f t="shared" si="1"/>
        <v>AT</v>
      </c>
      <c r="H14" t="s">
        <v>12</v>
      </c>
      <c r="I14" t="s">
        <v>2718</v>
      </c>
      <c r="K14" t="s">
        <v>4672</v>
      </c>
      <c r="S14">
        <v>2012</v>
      </c>
      <c r="V14" t="s">
        <v>6503</v>
      </c>
      <c r="Z14" t="s">
        <v>2774</v>
      </c>
      <c r="AA14" t="s">
        <v>3791</v>
      </c>
      <c r="AC14">
        <v>13</v>
      </c>
    </row>
    <row r="15" spans="1:30" x14ac:dyDescent="0.3">
      <c r="A15" s="328" t="s">
        <v>94</v>
      </c>
      <c r="B15" t="s">
        <v>95</v>
      </c>
      <c r="C15" s="324" t="s">
        <v>3124</v>
      </c>
      <c r="D15" s="328" t="str">
        <f t="shared" si="0"/>
        <v>NACE A - 01.22 Growing of tropical and subtropical fruits</v>
      </c>
      <c r="E15" s="325" t="s">
        <v>96</v>
      </c>
      <c r="F15" t="s">
        <v>97</v>
      </c>
      <c r="G15" t="str">
        <f t="shared" si="1"/>
        <v>AU</v>
      </c>
      <c r="H15" t="s">
        <v>6503</v>
      </c>
      <c r="I15" t="s">
        <v>2717</v>
      </c>
      <c r="K15" t="s">
        <v>4673</v>
      </c>
      <c r="S15">
        <v>2013</v>
      </c>
      <c r="V15" t="s">
        <v>6504</v>
      </c>
      <c r="Z15" t="s">
        <v>2775</v>
      </c>
      <c r="AA15" t="s">
        <v>3792</v>
      </c>
      <c r="AC15">
        <v>14</v>
      </c>
    </row>
    <row r="16" spans="1:30" x14ac:dyDescent="0.3">
      <c r="A16" s="328" t="s">
        <v>98</v>
      </c>
      <c r="B16" t="s">
        <v>99</v>
      </c>
      <c r="C16" s="327" t="s">
        <v>3125</v>
      </c>
      <c r="D16" s="328" t="str">
        <f t="shared" si="0"/>
        <v>NACE A - 01.23 Growing of citrus fruits</v>
      </c>
      <c r="E16" s="325" t="s">
        <v>100</v>
      </c>
      <c r="F16" t="s">
        <v>101</v>
      </c>
      <c r="G16" t="str">
        <f t="shared" si="1"/>
        <v>AW</v>
      </c>
      <c r="H16" t="s">
        <v>6504</v>
      </c>
      <c r="I16" t="s">
        <v>2716</v>
      </c>
      <c r="K16" t="s">
        <v>4674</v>
      </c>
      <c r="S16">
        <v>2014</v>
      </c>
      <c r="V16" t="s">
        <v>20</v>
      </c>
      <c r="Z16" t="s">
        <v>2734</v>
      </c>
      <c r="AA16" t="s">
        <v>3793</v>
      </c>
      <c r="AC16">
        <v>15</v>
      </c>
    </row>
    <row r="17" spans="1:29" x14ac:dyDescent="0.3">
      <c r="A17" s="328" t="s">
        <v>102</v>
      </c>
      <c r="B17" t="s">
        <v>103</v>
      </c>
      <c r="C17" s="327" t="s">
        <v>3126</v>
      </c>
      <c r="D17" s="328" t="str">
        <f t="shared" si="0"/>
        <v>NACE A - 01.24 Growing of pome fruits and stone fruits</v>
      </c>
      <c r="E17" s="325" t="s">
        <v>104</v>
      </c>
      <c r="F17" t="s">
        <v>105</v>
      </c>
      <c r="G17" t="str">
        <f t="shared" si="1"/>
        <v>AX</v>
      </c>
      <c r="H17" t="s">
        <v>20</v>
      </c>
      <c r="I17" t="s">
        <v>2715</v>
      </c>
      <c r="K17" t="s">
        <v>4675</v>
      </c>
      <c r="S17">
        <v>2015</v>
      </c>
      <c r="V17" t="s">
        <v>33</v>
      </c>
      <c r="Z17" t="s">
        <v>2776</v>
      </c>
      <c r="AA17" t="s">
        <v>3794</v>
      </c>
      <c r="AC17">
        <v>16</v>
      </c>
    </row>
    <row r="18" spans="1:29" x14ac:dyDescent="0.3">
      <c r="A18" s="328" t="s">
        <v>106</v>
      </c>
      <c r="B18" t="s">
        <v>107</v>
      </c>
      <c r="C18" s="327" t="s">
        <v>3127</v>
      </c>
      <c r="D18" s="328" t="str">
        <f t="shared" si="0"/>
        <v>NACE A - 01.25 Growing of other tree and bush fruits and nuts</v>
      </c>
      <c r="E18" s="325" t="s">
        <v>108</v>
      </c>
      <c r="F18" t="s">
        <v>109</v>
      </c>
      <c r="G18" t="str">
        <f t="shared" si="1"/>
        <v>AZ</v>
      </c>
      <c r="H18" t="s">
        <v>33</v>
      </c>
      <c r="I18" t="s">
        <v>3524</v>
      </c>
      <c r="K18" t="s">
        <v>4676</v>
      </c>
      <c r="S18">
        <v>2016</v>
      </c>
      <c r="V18" t="s">
        <v>35</v>
      </c>
      <c r="Z18" t="s">
        <v>2777</v>
      </c>
      <c r="AA18" t="s">
        <v>3795</v>
      </c>
      <c r="AC18">
        <v>17</v>
      </c>
    </row>
    <row r="19" spans="1:29" x14ac:dyDescent="0.3">
      <c r="A19" s="328" t="s">
        <v>110</v>
      </c>
      <c r="B19" t="s">
        <v>111</v>
      </c>
      <c r="C19" s="325" t="s">
        <v>3110</v>
      </c>
      <c r="D19" s="328" t="str">
        <f t="shared" si="0"/>
        <v>NACE A - 01.26 Growing of oleaginous fruits</v>
      </c>
      <c r="E19" s="325" t="s">
        <v>112</v>
      </c>
      <c r="F19" t="s">
        <v>113</v>
      </c>
      <c r="G19" t="str">
        <f t="shared" si="1"/>
        <v>BA</v>
      </c>
      <c r="H19" t="s">
        <v>35</v>
      </c>
      <c r="I19" t="s">
        <v>3511</v>
      </c>
      <c r="K19" t="s">
        <v>4677</v>
      </c>
      <c r="S19">
        <v>2017</v>
      </c>
      <c r="V19" t="s">
        <v>37</v>
      </c>
      <c r="Z19" t="s">
        <v>2778</v>
      </c>
      <c r="AA19" t="s">
        <v>3796</v>
      </c>
      <c r="AC19">
        <v>18</v>
      </c>
    </row>
    <row r="20" spans="1:29" x14ac:dyDescent="0.3">
      <c r="A20" s="328" t="s">
        <v>114</v>
      </c>
      <c r="B20" t="s">
        <v>115</v>
      </c>
      <c r="C20" s="324" t="s">
        <v>3129</v>
      </c>
      <c r="D20" s="328" t="str">
        <f t="shared" si="0"/>
        <v>NACE A - 01.27 Growing of beverage crops</v>
      </c>
      <c r="E20" s="325" t="s">
        <v>116</v>
      </c>
      <c r="F20" t="s">
        <v>117</v>
      </c>
      <c r="G20" t="str">
        <f t="shared" si="1"/>
        <v>BB</v>
      </c>
      <c r="H20" t="s">
        <v>37</v>
      </c>
      <c r="I20" t="s">
        <v>2714</v>
      </c>
      <c r="K20" t="s">
        <v>4678</v>
      </c>
      <c r="S20">
        <v>2018</v>
      </c>
      <c r="V20" t="s">
        <v>6505</v>
      </c>
      <c r="Z20" t="s">
        <v>2735</v>
      </c>
      <c r="AA20" t="s">
        <v>3797</v>
      </c>
      <c r="AC20">
        <v>19</v>
      </c>
    </row>
    <row r="21" spans="1:29" x14ac:dyDescent="0.3">
      <c r="A21" s="328" t="s">
        <v>118</v>
      </c>
      <c r="B21" t="s">
        <v>119</v>
      </c>
      <c r="C21" s="324" t="s">
        <v>3132</v>
      </c>
      <c r="D21" s="328" t="str">
        <f t="shared" si="0"/>
        <v>NACE A - 01.28 Growing of spices, aromatic, drug and pharmaceutical crops</v>
      </c>
      <c r="E21" s="325" t="s">
        <v>120</v>
      </c>
      <c r="F21" t="s">
        <v>121</v>
      </c>
      <c r="G21" t="str">
        <f t="shared" si="1"/>
        <v>BD</v>
      </c>
      <c r="H21" t="s">
        <v>6505</v>
      </c>
      <c r="I21" t="s">
        <v>2713</v>
      </c>
      <c r="K21" t="s">
        <v>4679</v>
      </c>
      <c r="S21">
        <v>2019</v>
      </c>
      <c r="V21" t="s">
        <v>39</v>
      </c>
      <c r="Z21" t="s">
        <v>2779</v>
      </c>
      <c r="AA21" t="s">
        <v>3798</v>
      </c>
      <c r="AC21">
        <v>20</v>
      </c>
    </row>
    <row r="22" spans="1:29" x14ac:dyDescent="0.3">
      <c r="A22" s="328" t="s">
        <v>122</v>
      </c>
      <c r="B22" t="s">
        <v>123</v>
      </c>
      <c r="C22" s="327" t="s">
        <v>3130</v>
      </c>
      <c r="D22" s="328" t="str">
        <f t="shared" si="0"/>
        <v>NACE A - 01.29 Growing of other perennial crops</v>
      </c>
      <c r="E22" s="325" t="s">
        <v>124</v>
      </c>
      <c r="F22" t="s">
        <v>125</v>
      </c>
      <c r="G22" t="str">
        <f t="shared" si="1"/>
        <v>BE</v>
      </c>
      <c r="H22" t="s">
        <v>39</v>
      </c>
      <c r="I22" t="s">
        <v>2712</v>
      </c>
      <c r="K22" t="s">
        <v>4680</v>
      </c>
      <c r="S22">
        <v>2020</v>
      </c>
      <c r="V22" s="90"/>
      <c r="Z22" t="s">
        <v>2780</v>
      </c>
      <c r="AA22" t="s">
        <v>3799</v>
      </c>
      <c r="AC22">
        <v>21</v>
      </c>
    </row>
    <row r="23" spans="1:29" x14ac:dyDescent="0.3">
      <c r="A23" s="327" t="s">
        <v>126</v>
      </c>
      <c r="B23" t="s">
        <v>127</v>
      </c>
      <c r="C23" s="327" t="s">
        <v>3131</v>
      </c>
      <c r="D23" s="327" t="str">
        <f t="shared" si="0"/>
        <v>NACE A - 01.3 Plant propagation</v>
      </c>
      <c r="E23" s="325" t="s">
        <v>128</v>
      </c>
      <c r="F23" t="s">
        <v>129</v>
      </c>
      <c r="G23" t="str">
        <f t="shared" si="1"/>
        <v>BF</v>
      </c>
      <c r="H23" s="90"/>
      <c r="I23" t="s">
        <v>3512</v>
      </c>
      <c r="K23" t="s">
        <v>4681</v>
      </c>
      <c r="S23">
        <v>2021</v>
      </c>
      <c r="V23" s="483"/>
      <c r="Z23" t="s">
        <v>2736</v>
      </c>
      <c r="AA23" t="s">
        <v>3800</v>
      </c>
      <c r="AC23">
        <v>22</v>
      </c>
    </row>
    <row r="24" spans="1:29" x14ac:dyDescent="0.3">
      <c r="A24" s="328" t="s">
        <v>130</v>
      </c>
      <c r="B24" t="s">
        <v>131</v>
      </c>
      <c r="C24" s="324" t="s">
        <v>3135</v>
      </c>
      <c r="D24" s="328" t="str">
        <f t="shared" si="0"/>
        <v>NACE A - 01.30 Plant propagation</v>
      </c>
      <c r="E24" s="325" t="s">
        <v>132</v>
      </c>
      <c r="F24" t="s">
        <v>133</v>
      </c>
      <c r="G24" t="str">
        <f t="shared" si="1"/>
        <v>BG</v>
      </c>
      <c r="H24" s="483"/>
      <c r="I24" t="s">
        <v>3513</v>
      </c>
      <c r="K24" t="s">
        <v>4682</v>
      </c>
      <c r="S24">
        <v>2022</v>
      </c>
      <c r="V24" s="483"/>
      <c r="Z24" t="s">
        <v>2781</v>
      </c>
      <c r="AA24" t="s">
        <v>3801</v>
      </c>
      <c r="AC24">
        <v>23</v>
      </c>
    </row>
    <row r="25" spans="1:29" x14ac:dyDescent="0.3">
      <c r="A25" s="327" t="s">
        <v>134</v>
      </c>
      <c r="B25" t="s">
        <v>135</v>
      </c>
      <c r="C25" s="327" t="s">
        <v>3133</v>
      </c>
      <c r="D25" s="327" t="str">
        <f t="shared" si="0"/>
        <v>NACE A - 01.4 Animal production</v>
      </c>
      <c r="E25" s="325" t="s">
        <v>136</v>
      </c>
      <c r="F25" t="s">
        <v>137</v>
      </c>
      <c r="G25" t="str">
        <f t="shared" si="1"/>
        <v>BH</v>
      </c>
      <c r="H25" s="483"/>
      <c r="I25" t="s">
        <v>3525</v>
      </c>
      <c r="K25" t="s">
        <v>4683</v>
      </c>
      <c r="S25">
        <v>2023</v>
      </c>
      <c r="V25" s="483"/>
      <c r="Z25" t="s">
        <v>2782</v>
      </c>
      <c r="AA25" t="s">
        <v>3802</v>
      </c>
      <c r="AC25">
        <v>24</v>
      </c>
    </row>
    <row r="26" spans="1:29" x14ac:dyDescent="0.3">
      <c r="A26" s="328" t="s">
        <v>138</v>
      </c>
      <c r="B26" t="s">
        <v>139</v>
      </c>
      <c r="C26" s="327" t="s">
        <v>3134</v>
      </c>
      <c r="D26" s="328" t="str">
        <f t="shared" si="0"/>
        <v>NACE A - 01.41 Raising of dairy cattle</v>
      </c>
      <c r="E26" s="325" t="s">
        <v>140</v>
      </c>
      <c r="F26" t="s">
        <v>141</v>
      </c>
      <c r="G26" t="str">
        <f t="shared" si="1"/>
        <v>BI</v>
      </c>
      <c r="H26" s="483"/>
      <c r="I26" t="s">
        <v>2711</v>
      </c>
      <c r="K26" t="s">
        <v>4684</v>
      </c>
      <c r="S26">
        <v>2024</v>
      </c>
      <c r="V26" s="483"/>
      <c r="Z26" t="s">
        <v>2783</v>
      </c>
      <c r="AA26" t="s">
        <v>3803</v>
      </c>
      <c r="AC26">
        <v>25</v>
      </c>
    </row>
    <row r="27" spans="1:29" x14ac:dyDescent="0.3">
      <c r="A27" s="328" t="s">
        <v>142</v>
      </c>
      <c r="B27" t="s">
        <v>143</v>
      </c>
      <c r="C27" s="324" t="s">
        <v>3138</v>
      </c>
      <c r="D27" s="328" t="str">
        <f t="shared" si="0"/>
        <v>NACE A - 01.42 Raising of other cattle and buffaloes</v>
      </c>
      <c r="E27" s="325" t="s">
        <v>144</v>
      </c>
      <c r="F27" t="s">
        <v>145</v>
      </c>
      <c r="G27" t="str">
        <f t="shared" si="1"/>
        <v>BJ</v>
      </c>
      <c r="H27" s="483"/>
      <c r="I27" t="s">
        <v>2710</v>
      </c>
      <c r="K27" t="s">
        <v>4685</v>
      </c>
      <c r="S27">
        <v>2025</v>
      </c>
      <c r="V27" s="483"/>
      <c r="Z27" t="s">
        <v>2784</v>
      </c>
      <c r="AA27" t="s">
        <v>3804</v>
      </c>
      <c r="AC27">
        <v>26</v>
      </c>
    </row>
    <row r="28" spans="1:29" x14ac:dyDescent="0.3">
      <c r="A28" s="328" t="s">
        <v>146</v>
      </c>
      <c r="B28" t="s">
        <v>147</v>
      </c>
      <c r="C28" s="327" t="s">
        <v>3136</v>
      </c>
      <c r="D28" s="328" t="str">
        <f t="shared" si="0"/>
        <v>NACE A - 01.43 Raising of horses and other equines</v>
      </c>
      <c r="E28" s="325" t="s">
        <v>148</v>
      </c>
      <c r="F28" t="s">
        <v>149</v>
      </c>
      <c r="G28" t="str">
        <f t="shared" si="1"/>
        <v>BL</v>
      </c>
      <c r="H28" s="483"/>
      <c r="I28" t="s">
        <v>3527</v>
      </c>
      <c r="K28" t="s">
        <v>4686</v>
      </c>
      <c r="S28">
        <v>2026</v>
      </c>
      <c r="V28" s="483"/>
      <c r="Z28" t="s">
        <v>2785</v>
      </c>
      <c r="AA28" t="s">
        <v>3805</v>
      </c>
      <c r="AC28">
        <v>27</v>
      </c>
    </row>
    <row r="29" spans="1:29" x14ac:dyDescent="0.3">
      <c r="A29" s="328" t="s">
        <v>150</v>
      </c>
      <c r="B29" t="s">
        <v>151</v>
      </c>
      <c r="C29" s="327" t="s">
        <v>3137</v>
      </c>
      <c r="D29" s="328" t="str">
        <f t="shared" si="0"/>
        <v>NACE A - 01.44 Raising of camels and camelids</v>
      </c>
      <c r="E29" s="325" t="s">
        <v>152</v>
      </c>
      <c r="F29" t="s">
        <v>153</v>
      </c>
      <c r="G29" t="str">
        <f t="shared" si="1"/>
        <v>BM</v>
      </c>
      <c r="H29" s="483"/>
      <c r="I29" t="s">
        <v>2709</v>
      </c>
      <c r="K29" t="s">
        <v>4687</v>
      </c>
      <c r="S29">
        <v>2027</v>
      </c>
      <c r="V29" s="90"/>
      <c r="Z29" t="s">
        <v>2786</v>
      </c>
      <c r="AA29" t="s">
        <v>3806</v>
      </c>
      <c r="AC29">
        <v>28</v>
      </c>
    </row>
    <row r="30" spans="1:29" x14ac:dyDescent="0.3">
      <c r="A30" s="328" t="s">
        <v>154</v>
      </c>
      <c r="B30" t="s">
        <v>155</v>
      </c>
      <c r="C30" s="324" t="s">
        <v>3141</v>
      </c>
      <c r="D30" s="328" t="str">
        <f t="shared" si="0"/>
        <v>NACE A - 01.45 Raising of sheep and goats</v>
      </c>
      <c r="E30" s="325" t="s">
        <v>156</v>
      </c>
      <c r="F30" t="s">
        <v>157</v>
      </c>
      <c r="G30" t="str">
        <f t="shared" si="1"/>
        <v>BN</v>
      </c>
      <c r="H30" s="90"/>
      <c r="I30" t="s">
        <v>2708</v>
      </c>
      <c r="K30" t="s">
        <v>4688</v>
      </c>
      <c r="S30">
        <v>2028</v>
      </c>
      <c r="V30" s="483"/>
      <c r="Z30" t="s">
        <v>2787</v>
      </c>
      <c r="AA30" t="s">
        <v>3807</v>
      </c>
      <c r="AC30">
        <v>29</v>
      </c>
    </row>
    <row r="31" spans="1:29" x14ac:dyDescent="0.3">
      <c r="A31" s="328" t="s">
        <v>158</v>
      </c>
      <c r="B31" t="s">
        <v>159</v>
      </c>
      <c r="C31" s="327" t="s">
        <v>3139</v>
      </c>
      <c r="D31" s="328" t="str">
        <f t="shared" si="0"/>
        <v>NACE A - 01.46 Raising of swine and pigs</v>
      </c>
      <c r="E31" s="325" t="s">
        <v>160</v>
      </c>
      <c r="F31" t="s">
        <v>161</v>
      </c>
      <c r="G31" t="str">
        <f t="shared" si="1"/>
        <v>BO</v>
      </c>
      <c r="H31" s="483"/>
      <c r="I31" t="s">
        <v>2707</v>
      </c>
      <c r="K31" t="s">
        <v>4641</v>
      </c>
      <c r="S31">
        <v>2029</v>
      </c>
      <c r="V31" s="482"/>
      <c r="Z31" t="s">
        <v>2737</v>
      </c>
      <c r="AA31" t="s">
        <v>3808</v>
      </c>
      <c r="AC31">
        <v>30</v>
      </c>
    </row>
    <row r="32" spans="1:29" x14ac:dyDescent="0.3">
      <c r="A32" s="328" t="s">
        <v>162</v>
      </c>
      <c r="B32" t="s">
        <v>163</v>
      </c>
      <c r="C32" s="327" t="s">
        <v>3140</v>
      </c>
      <c r="D32" s="328" t="str">
        <f t="shared" si="0"/>
        <v>NACE A - 01.47 Raising of poultry</v>
      </c>
      <c r="E32" s="325" t="s">
        <v>164</v>
      </c>
      <c r="F32" t="s">
        <v>165</v>
      </c>
      <c r="G32" t="str">
        <f t="shared" si="1"/>
        <v>BQ</v>
      </c>
      <c r="H32" s="482"/>
      <c r="I32" t="s">
        <v>2706</v>
      </c>
      <c r="K32" t="s">
        <v>4689</v>
      </c>
      <c r="S32">
        <v>2030</v>
      </c>
      <c r="V32" s="482"/>
      <c r="Z32" t="s">
        <v>2788</v>
      </c>
      <c r="AA32" t="s">
        <v>3809</v>
      </c>
      <c r="AC32">
        <v>31</v>
      </c>
    </row>
    <row r="33" spans="1:27" x14ac:dyDescent="0.3">
      <c r="A33" s="328" t="s">
        <v>166</v>
      </c>
      <c r="B33" t="s">
        <v>167</v>
      </c>
      <c r="C33" s="327" t="s">
        <v>3142</v>
      </c>
      <c r="D33" s="328" t="str">
        <f t="shared" si="0"/>
        <v>NACE A - 01.48 Raising of other animals</v>
      </c>
      <c r="E33" s="325" t="s">
        <v>168</v>
      </c>
      <c r="F33" t="s">
        <v>169</v>
      </c>
      <c r="G33" t="str">
        <f t="shared" si="1"/>
        <v>BR</v>
      </c>
      <c r="H33" s="482"/>
      <c r="I33" t="s">
        <v>2705</v>
      </c>
      <c r="K33" t="s">
        <v>4690</v>
      </c>
      <c r="S33">
        <v>2031</v>
      </c>
      <c r="V33" s="482"/>
      <c r="Z33" t="s">
        <v>2789</v>
      </c>
      <c r="AA33" t="s">
        <v>3810</v>
      </c>
    </row>
    <row r="34" spans="1:27" x14ac:dyDescent="0.3">
      <c r="A34" s="327" t="s">
        <v>170</v>
      </c>
      <c r="B34" t="s">
        <v>171</v>
      </c>
      <c r="C34" s="327" t="s">
        <v>3143</v>
      </c>
      <c r="D34" s="327" t="str">
        <f t="shared" si="0"/>
        <v>NACE A - 01.5 Mixed farming</v>
      </c>
      <c r="E34" s="325" t="s">
        <v>172</v>
      </c>
      <c r="F34" t="s">
        <v>173</v>
      </c>
      <c r="G34" t="str">
        <f t="shared" si="1"/>
        <v>BS</v>
      </c>
      <c r="H34" s="482"/>
      <c r="I34" t="s">
        <v>2704</v>
      </c>
      <c r="K34" t="s">
        <v>4691</v>
      </c>
      <c r="S34">
        <v>2032</v>
      </c>
      <c r="V34" s="483"/>
      <c r="Z34" t="s">
        <v>2790</v>
      </c>
      <c r="AA34" t="s">
        <v>3811</v>
      </c>
    </row>
    <row r="35" spans="1:27" x14ac:dyDescent="0.3">
      <c r="A35" s="328" t="s">
        <v>174</v>
      </c>
      <c r="B35" t="s">
        <v>175</v>
      </c>
      <c r="C35" s="325" t="s">
        <v>3128</v>
      </c>
      <c r="D35" s="328" t="str">
        <f t="shared" si="0"/>
        <v>NACE A - 01.50 Mixed farming</v>
      </c>
      <c r="E35" s="325" t="s">
        <v>176</v>
      </c>
      <c r="F35" t="s">
        <v>177</v>
      </c>
      <c r="G35" t="str">
        <f t="shared" si="1"/>
        <v>BT</v>
      </c>
      <c r="H35" s="483"/>
      <c r="I35" t="s">
        <v>2703</v>
      </c>
      <c r="K35" t="s">
        <v>4692</v>
      </c>
      <c r="S35">
        <v>2033</v>
      </c>
      <c r="V35" s="483"/>
      <c r="Z35" t="s">
        <v>2791</v>
      </c>
      <c r="AA35" t="s">
        <v>3812</v>
      </c>
    </row>
    <row r="36" spans="1:27" x14ac:dyDescent="0.3">
      <c r="A36" s="327" t="s">
        <v>178</v>
      </c>
      <c r="B36" t="s">
        <v>179</v>
      </c>
      <c r="C36" s="324" t="s">
        <v>3145</v>
      </c>
      <c r="D36" s="327" t="str">
        <f t="shared" si="0"/>
        <v>NACE A - 01.6 Support activities to agriculture and post-harvest crop activities</v>
      </c>
      <c r="E36" s="325" t="s">
        <v>180</v>
      </c>
      <c r="F36" t="s">
        <v>181</v>
      </c>
      <c r="G36" t="str">
        <f t="shared" si="1"/>
        <v>BU</v>
      </c>
      <c r="H36" s="483"/>
      <c r="I36" t="s">
        <v>2702</v>
      </c>
      <c r="K36" t="s">
        <v>4693</v>
      </c>
      <c r="S36">
        <v>2034</v>
      </c>
      <c r="V36" s="483"/>
      <c r="Z36" t="s">
        <v>2792</v>
      </c>
      <c r="AA36" t="s">
        <v>3813</v>
      </c>
    </row>
    <row r="37" spans="1:27" x14ac:dyDescent="0.3">
      <c r="A37" s="328" t="s">
        <v>182</v>
      </c>
      <c r="B37" t="s">
        <v>183</v>
      </c>
      <c r="C37" s="327" t="s">
        <v>3146</v>
      </c>
      <c r="D37" s="328" t="str">
        <f t="shared" si="0"/>
        <v>NACE A - 01.61 Support activities for crop production</v>
      </c>
      <c r="E37" s="325" t="s">
        <v>184</v>
      </c>
      <c r="F37" t="s">
        <v>185</v>
      </c>
      <c r="G37" t="str">
        <f t="shared" si="1"/>
        <v>BV</v>
      </c>
      <c r="H37" s="483"/>
      <c r="I37" t="s">
        <v>2701</v>
      </c>
      <c r="K37" t="s">
        <v>4694</v>
      </c>
      <c r="S37">
        <v>2035</v>
      </c>
      <c r="V37" s="483"/>
      <c r="Z37" t="s">
        <v>2793</v>
      </c>
      <c r="AA37" t="s">
        <v>3814</v>
      </c>
    </row>
    <row r="38" spans="1:27" x14ac:dyDescent="0.3">
      <c r="A38" s="328" t="s">
        <v>186</v>
      </c>
      <c r="B38" t="s">
        <v>187</v>
      </c>
      <c r="C38" s="327" t="s">
        <v>3147</v>
      </c>
      <c r="D38" s="328" t="str">
        <f t="shared" si="0"/>
        <v>NACE A - 01.62 Support activities for animal production</v>
      </c>
      <c r="E38" s="325" t="s">
        <v>188</v>
      </c>
      <c r="F38" t="s">
        <v>189</v>
      </c>
      <c r="G38" t="str">
        <f t="shared" si="1"/>
        <v>BW</v>
      </c>
      <c r="H38" s="483"/>
      <c r="I38" t="s">
        <v>3526</v>
      </c>
      <c r="K38" t="s">
        <v>4695</v>
      </c>
      <c r="S38">
        <v>2036</v>
      </c>
      <c r="V38" s="483"/>
      <c r="Z38" t="s">
        <v>2794</v>
      </c>
      <c r="AA38" t="s">
        <v>3815</v>
      </c>
    </row>
    <row r="39" spans="1:27" x14ac:dyDescent="0.3">
      <c r="A39" s="328" t="s">
        <v>190</v>
      </c>
      <c r="B39" t="s">
        <v>191</v>
      </c>
      <c r="C39" s="327" t="s">
        <v>3148</v>
      </c>
      <c r="D39" s="328" t="str">
        <f t="shared" si="0"/>
        <v>NACE A - 01.63 Post-harvest crop activities and seed processing for propagation</v>
      </c>
      <c r="E39" s="325" t="s">
        <v>192</v>
      </c>
      <c r="F39" t="s">
        <v>193</v>
      </c>
      <c r="G39" t="str">
        <f t="shared" si="1"/>
        <v>BY</v>
      </c>
      <c r="H39" s="483"/>
      <c r="I39" t="s">
        <v>3514</v>
      </c>
      <c r="K39" t="s">
        <v>4696</v>
      </c>
      <c r="S39">
        <v>2037</v>
      </c>
      <c r="V39" s="483"/>
      <c r="Z39" t="s">
        <v>2795</v>
      </c>
      <c r="AA39" t="s">
        <v>3816</v>
      </c>
    </row>
    <row r="40" spans="1:27" x14ac:dyDescent="0.3">
      <c r="A40" s="327" t="s">
        <v>194</v>
      </c>
      <c r="B40" t="s">
        <v>195</v>
      </c>
      <c r="C40" s="327" t="s">
        <v>3149</v>
      </c>
      <c r="D40" s="327" t="str">
        <f t="shared" si="0"/>
        <v>NACE A - 01.7 Hunting, trapping and related service activities</v>
      </c>
      <c r="E40" s="325" t="s">
        <v>196</v>
      </c>
      <c r="F40" t="s">
        <v>197</v>
      </c>
      <c r="G40" t="str">
        <f t="shared" si="1"/>
        <v>BZ</v>
      </c>
      <c r="H40" s="483"/>
      <c r="I40" t="s">
        <v>3515</v>
      </c>
      <c r="K40" t="s">
        <v>4697</v>
      </c>
      <c r="S40">
        <v>2038</v>
      </c>
      <c r="V40" s="483"/>
      <c r="Z40" t="s">
        <v>2796</v>
      </c>
      <c r="AA40" t="s">
        <v>3817</v>
      </c>
    </row>
    <row r="41" spans="1:27" x14ac:dyDescent="0.3">
      <c r="A41" s="328" t="s">
        <v>198</v>
      </c>
      <c r="B41" t="s">
        <v>199</v>
      </c>
      <c r="C41" s="327" t="s">
        <v>3150</v>
      </c>
      <c r="D41" s="328" t="str">
        <f t="shared" si="0"/>
        <v>NACE A - 01.70 Hunting, trapping and related service activities</v>
      </c>
      <c r="E41" s="325" t="s">
        <v>200</v>
      </c>
      <c r="F41" t="s">
        <v>201</v>
      </c>
      <c r="G41" t="str">
        <f t="shared" si="1"/>
        <v>CA</v>
      </c>
      <c r="H41" s="483"/>
      <c r="I41" t="s">
        <v>2700</v>
      </c>
      <c r="K41" t="s">
        <v>4698</v>
      </c>
      <c r="S41">
        <v>2039</v>
      </c>
      <c r="V41" s="483"/>
      <c r="Z41" t="s">
        <v>2797</v>
      </c>
      <c r="AA41" t="s">
        <v>3818</v>
      </c>
    </row>
    <row r="42" spans="1:27" x14ac:dyDescent="0.3">
      <c r="A42" s="324" t="s">
        <v>202</v>
      </c>
      <c r="B42" t="s">
        <v>203</v>
      </c>
      <c r="C42" s="327" t="s">
        <v>3151</v>
      </c>
      <c r="D42" s="324" t="str">
        <f t="shared" si="0"/>
        <v>NACE A - 02 Forestry and logging</v>
      </c>
      <c r="E42" s="325" t="s">
        <v>204</v>
      </c>
      <c r="F42" t="s">
        <v>205</v>
      </c>
      <c r="G42" t="str">
        <f t="shared" si="1"/>
        <v>CC</v>
      </c>
      <c r="H42" s="483"/>
      <c r="I42" t="s">
        <v>2699</v>
      </c>
      <c r="K42" t="s">
        <v>4699</v>
      </c>
      <c r="S42">
        <v>2040</v>
      </c>
      <c r="V42" s="483"/>
      <c r="Z42" t="s">
        <v>2798</v>
      </c>
      <c r="AA42" t="s">
        <v>3819</v>
      </c>
    </row>
    <row r="43" spans="1:27" x14ac:dyDescent="0.3">
      <c r="A43" s="327" t="s">
        <v>206</v>
      </c>
      <c r="B43" t="s">
        <v>207</v>
      </c>
      <c r="C43" s="327" t="s">
        <v>3152</v>
      </c>
      <c r="D43" s="327" t="str">
        <f t="shared" si="0"/>
        <v>NACE A - 02.1 Silviculture and other forestry activities</v>
      </c>
      <c r="E43" s="325" t="s">
        <v>208</v>
      </c>
      <c r="F43" t="s">
        <v>209</v>
      </c>
      <c r="G43" t="str">
        <f t="shared" si="1"/>
        <v>CD</v>
      </c>
      <c r="H43" s="483"/>
      <c r="I43" t="s">
        <v>2698</v>
      </c>
      <c r="K43" t="s">
        <v>4700</v>
      </c>
      <c r="S43">
        <v>2041</v>
      </c>
      <c r="V43" s="483"/>
      <c r="Z43" t="s">
        <v>2799</v>
      </c>
      <c r="AA43" t="s">
        <v>3820</v>
      </c>
    </row>
    <row r="44" spans="1:27" x14ac:dyDescent="0.3">
      <c r="A44" s="328" t="s">
        <v>210</v>
      </c>
      <c r="B44" t="s">
        <v>211</v>
      </c>
      <c r="C44" s="327" t="s">
        <v>3153</v>
      </c>
      <c r="D44" s="328" t="str">
        <f t="shared" si="0"/>
        <v>NACE A - 02.10 Silviculture and other forestry activities</v>
      </c>
      <c r="E44" s="325" t="s">
        <v>212</v>
      </c>
      <c r="F44" t="s">
        <v>213</v>
      </c>
      <c r="G44" t="str">
        <f t="shared" si="1"/>
        <v>CF</v>
      </c>
      <c r="H44" s="483"/>
      <c r="I44" t="s">
        <v>2697</v>
      </c>
      <c r="K44" t="s">
        <v>4701</v>
      </c>
      <c r="S44">
        <v>2042</v>
      </c>
      <c r="V44" s="483"/>
      <c r="Z44" t="s">
        <v>2738</v>
      </c>
      <c r="AA44" t="s">
        <v>3821</v>
      </c>
    </row>
    <row r="45" spans="1:27" x14ac:dyDescent="0.3">
      <c r="A45" s="327" t="s">
        <v>214</v>
      </c>
      <c r="B45" t="s">
        <v>215</v>
      </c>
      <c r="C45" s="327" t="s">
        <v>3154</v>
      </c>
      <c r="D45" s="327" t="str">
        <f t="shared" si="0"/>
        <v>NACE A - 02.2 Logging</v>
      </c>
      <c r="E45" s="325" t="s">
        <v>216</v>
      </c>
      <c r="F45" t="s">
        <v>217</v>
      </c>
      <c r="G45" t="str">
        <f t="shared" si="1"/>
        <v>CG</v>
      </c>
      <c r="H45" s="483"/>
      <c r="I45" t="s">
        <v>2696</v>
      </c>
      <c r="K45" t="s">
        <v>4702</v>
      </c>
      <c r="S45">
        <v>2043</v>
      </c>
      <c r="V45" s="483"/>
      <c r="Z45" t="s">
        <v>2800</v>
      </c>
      <c r="AA45" t="s">
        <v>3822</v>
      </c>
    </row>
    <row r="46" spans="1:27" x14ac:dyDescent="0.3">
      <c r="A46" s="328" t="s">
        <v>218</v>
      </c>
      <c r="B46" t="s">
        <v>219</v>
      </c>
      <c r="C46" s="324" t="s">
        <v>3155</v>
      </c>
      <c r="D46" s="328" t="str">
        <f t="shared" si="0"/>
        <v>NACE A - 02.20 Logging</v>
      </c>
      <c r="E46" s="325" t="s">
        <v>220</v>
      </c>
      <c r="F46" t="s">
        <v>221</v>
      </c>
      <c r="G46" t="str">
        <f t="shared" si="1"/>
        <v>CH</v>
      </c>
      <c r="H46" s="483"/>
      <c r="I46" t="s">
        <v>3528</v>
      </c>
      <c r="K46" t="s">
        <v>4703</v>
      </c>
      <c r="S46">
        <v>2044</v>
      </c>
      <c r="V46" s="90"/>
      <c r="Z46" t="s">
        <v>2801</v>
      </c>
      <c r="AA46" t="s">
        <v>3823</v>
      </c>
    </row>
    <row r="47" spans="1:27" x14ac:dyDescent="0.3">
      <c r="A47" s="327" t="s">
        <v>222</v>
      </c>
      <c r="B47" t="s">
        <v>223</v>
      </c>
      <c r="C47" s="327" t="s">
        <v>3156</v>
      </c>
      <c r="D47" s="327" t="str">
        <f t="shared" si="0"/>
        <v>NACE A - 02.3 Gathering of wild growing non-wood products</v>
      </c>
      <c r="E47" s="325" t="s">
        <v>224</v>
      </c>
      <c r="F47" t="s">
        <v>225</v>
      </c>
      <c r="G47" t="str">
        <f t="shared" si="1"/>
        <v>CI</v>
      </c>
      <c r="H47" s="90"/>
      <c r="I47" t="s">
        <v>2695</v>
      </c>
      <c r="K47" t="s">
        <v>4704</v>
      </c>
      <c r="S47">
        <v>2045</v>
      </c>
      <c r="V47" s="483"/>
      <c r="Z47" t="s">
        <v>2802</v>
      </c>
      <c r="AA47" t="s">
        <v>3824</v>
      </c>
    </row>
    <row r="48" spans="1:27" x14ac:dyDescent="0.3">
      <c r="A48" s="328" t="s">
        <v>226</v>
      </c>
      <c r="B48" t="s">
        <v>227</v>
      </c>
      <c r="C48" s="324" t="s">
        <v>3157</v>
      </c>
      <c r="D48" s="328" t="str">
        <f t="shared" si="0"/>
        <v>NACE A - 02.30 Gathering of wild growing non-wood products</v>
      </c>
      <c r="E48" s="325" t="s">
        <v>228</v>
      </c>
      <c r="F48" t="s">
        <v>229</v>
      </c>
      <c r="G48" t="str">
        <f t="shared" si="1"/>
        <v>CK</v>
      </c>
      <c r="H48" s="483"/>
      <c r="I48" t="s">
        <v>2694</v>
      </c>
      <c r="K48" t="s">
        <v>4705</v>
      </c>
      <c r="S48">
        <v>2046</v>
      </c>
      <c r="V48" s="482"/>
      <c r="Z48" t="s">
        <v>2803</v>
      </c>
      <c r="AA48" t="s">
        <v>3825</v>
      </c>
    </row>
    <row r="49" spans="1:27" x14ac:dyDescent="0.3">
      <c r="A49" s="327" t="s">
        <v>230</v>
      </c>
      <c r="B49" t="s">
        <v>231</v>
      </c>
      <c r="C49" s="327" t="s">
        <v>3158</v>
      </c>
      <c r="D49" s="327" t="str">
        <f t="shared" si="0"/>
        <v>NACE A - 02.4 Support services to forestry</v>
      </c>
      <c r="E49" s="325" t="s">
        <v>232</v>
      </c>
      <c r="F49" t="s">
        <v>233</v>
      </c>
      <c r="G49" t="str">
        <f t="shared" si="1"/>
        <v>CL</v>
      </c>
      <c r="H49" s="482"/>
      <c r="I49" t="s">
        <v>2693</v>
      </c>
      <c r="K49" t="s">
        <v>4706</v>
      </c>
      <c r="S49">
        <v>2047</v>
      </c>
      <c r="V49" s="483"/>
      <c r="Z49" t="s">
        <v>2804</v>
      </c>
      <c r="AA49" t="s">
        <v>3826</v>
      </c>
    </row>
    <row r="50" spans="1:27" x14ac:dyDescent="0.3">
      <c r="A50" s="328" t="s">
        <v>234</v>
      </c>
      <c r="B50" t="s">
        <v>235</v>
      </c>
      <c r="C50" s="324" t="s">
        <v>3159</v>
      </c>
      <c r="D50" s="328" t="str">
        <f t="shared" si="0"/>
        <v>NACE A - 02.40 Support services to forestry</v>
      </c>
      <c r="E50" s="325" t="s">
        <v>236</v>
      </c>
      <c r="F50" t="s">
        <v>237</v>
      </c>
      <c r="G50" t="str">
        <f t="shared" si="1"/>
        <v>CM</v>
      </c>
      <c r="H50" s="483"/>
      <c r="I50" t="s">
        <v>2692</v>
      </c>
      <c r="K50" t="s">
        <v>4707</v>
      </c>
      <c r="S50">
        <v>2048</v>
      </c>
      <c r="V50" s="483"/>
      <c r="Z50" t="s">
        <v>2805</v>
      </c>
      <c r="AA50" t="s">
        <v>3827</v>
      </c>
    </row>
    <row r="51" spans="1:27" x14ac:dyDescent="0.3">
      <c r="A51" s="324" t="s">
        <v>238</v>
      </c>
      <c r="B51" t="s">
        <v>239</v>
      </c>
      <c r="C51" s="327" t="s">
        <v>3160</v>
      </c>
      <c r="D51" s="324" t="str">
        <f t="shared" si="0"/>
        <v>NACE A - 03 Fishing and aquaculture</v>
      </c>
      <c r="E51" s="325" t="s">
        <v>240</v>
      </c>
      <c r="F51" t="s">
        <v>241</v>
      </c>
      <c r="G51" t="str">
        <f t="shared" si="1"/>
        <v>CN</v>
      </c>
      <c r="H51" s="483"/>
      <c r="I51" t="s">
        <v>2691</v>
      </c>
      <c r="K51" t="s">
        <v>4708</v>
      </c>
      <c r="S51">
        <v>2049</v>
      </c>
      <c r="V51" s="483"/>
      <c r="Z51" t="s">
        <v>2806</v>
      </c>
      <c r="AA51" t="s">
        <v>3828</v>
      </c>
    </row>
    <row r="52" spans="1:27" x14ac:dyDescent="0.3">
      <c r="A52" s="327" t="s">
        <v>242</v>
      </c>
      <c r="B52" t="s">
        <v>243</v>
      </c>
      <c r="C52" s="327" t="s">
        <v>3161</v>
      </c>
      <c r="D52" s="327" t="str">
        <f t="shared" si="0"/>
        <v>NACE A - 03.1 Fishing</v>
      </c>
      <c r="E52" s="325" t="s">
        <v>244</v>
      </c>
      <c r="F52" t="s">
        <v>245</v>
      </c>
      <c r="G52" t="str">
        <f t="shared" si="1"/>
        <v>CO</v>
      </c>
      <c r="H52" s="483"/>
      <c r="I52" t="s">
        <v>3516</v>
      </c>
      <c r="K52" t="s">
        <v>4709</v>
      </c>
      <c r="S52">
        <v>2050</v>
      </c>
      <c r="V52" s="90"/>
      <c r="Z52" t="s">
        <v>2739</v>
      </c>
      <c r="AA52" t="s">
        <v>3829</v>
      </c>
    </row>
    <row r="53" spans="1:27" x14ac:dyDescent="0.3">
      <c r="A53" s="328" t="s">
        <v>246</v>
      </c>
      <c r="B53" t="s">
        <v>247</v>
      </c>
      <c r="C53" s="327" t="s">
        <v>3162</v>
      </c>
      <c r="D53" s="328" t="str">
        <f t="shared" si="0"/>
        <v>NACE A - 03.11 Marine fishing</v>
      </c>
      <c r="E53" s="325" t="s">
        <v>248</v>
      </c>
      <c r="F53" t="s">
        <v>249</v>
      </c>
      <c r="G53" t="str">
        <f t="shared" si="1"/>
        <v>CR</v>
      </c>
      <c r="H53" s="90"/>
      <c r="I53" t="s">
        <v>2690</v>
      </c>
      <c r="K53" t="s">
        <v>4710</v>
      </c>
      <c r="S53">
        <v>2051</v>
      </c>
      <c r="V53" s="483"/>
      <c r="Z53" t="s">
        <v>2807</v>
      </c>
      <c r="AA53" t="s">
        <v>3830</v>
      </c>
    </row>
    <row r="54" spans="1:27" x14ac:dyDescent="0.3">
      <c r="A54" s="328" t="s">
        <v>250</v>
      </c>
      <c r="B54" t="s">
        <v>251</v>
      </c>
      <c r="C54" s="327" t="s">
        <v>3163</v>
      </c>
      <c r="D54" s="328" t="str">
        <f t="shared" si="0"/>
        <v>NACE A - 03.12 Freshwater fishing</v>
      </c>
      <c r="E54" s="325" t="s">
        <v>252</v>
      </c>
      <c r="F54" t="s">
        <v>253</v>
      </c>
      <c r="G54" t="str">
        <f t="shared" si="1"/>
        <v>CS</v>
      </c>
      <c r="H54" s="483"/>
      <c r="I54" t="s">
        <v>3517</v>
      </c>
      <c r="K54" t="s">
        <v>4711</v>
      </c>
      <c r="S54">
        <v>2052</v>
      </c>
      <c r="V54" s="483"/>
      <c r="Z54" t="s">
        <v>2808</v>
      </c>
      <c r="AA54" t="s">
        <v>3831</v>
      </c>
    </row>
    <row r="55" spans="1:27" x14ac:dyDescent="0.3">
      <c r="A55" s="327" t="s">
        <v>254</v>
      </c>
      <c r="B55" t="s">
        <v>255</v>
      </c>
      <c r="C55" s="324" t="s">
        <v>3164</v>
      </c>
      <c r="D55" s="327" t="str">
        <f t="shared" si="0"/>
        <v>NACE A - 03.2 Aquaculture</v>
      </c>
      <c r="E55" s="325" t="s">
        <v>256</v>
      </c>
      <c r="F55" t="s">
        <v>257</v>
      </c>
      <c r="G55" t="str">
        <f t="shared" si="1"/>
        <v>CU</v>
      </c>
      <c r="H55" s="483"/>
      <c r="I55" t="s">
        <v>2689</v>
      </c>
      <c r="K55" t="s">
        <v>4712</v>
      </c>
      <c r="S55">
        <v>2053</v>
      </c>
      <c r="V55" s="483"/>
      <c r="Z55" t="s">
        <v>2809</v>
      </c>
      <c r="AA55" t="s">
        <v>3832</v>
      </c>
    </row>
    <row r="56" spans="1:27" x14ac:dyDescent="0.3">
      <c r="A56" s="328" t="s">
        <v>258</v>
      </c>
      <c r="B56" t="s">
        <v>259</v>
      </c>
      <c r="C56" s="327" t="s">
        <v>3165</v>
      </c>
      <c r="D56" s="328" t="str">
        <f t="shared" si="0"/>
        <v>NACE A - 03.21 Marine aquaculture</v>
      </c>
      <c r="E56" s="325" t="s">
        <v>260</v>
      </c>
      <c r="F56" t="s">
        <v>261</v>
      </c>
      <c r="G56" t="str">
        <f t="shared" si="1"/>
        <v>CV</v>
      </c>
      <c r="H56" s="483"/>
      <c r="I56" t="s">
        <v>2688</v>
      </c>
      <c r="K56" t="s">
        <v>4713</v>
      </c>
      <c r="S56">
        <v>2054</v>
      </c>
      <c r="V56" s="483"/>
      <c r="Z56" t="s">
        <v>2810</v>
      </c>
      <c r="AA56" t="s">
        <v>3833</v>
      </c>
    </row>
    <row r="57" spans="1:27" x14ac:dyDescent="0.3">
      <c r="A57" s="328" t="s">
        <v>262</v>
      </c>
      <c r="B57" t="s">
        <v>263</v>
      </c>
      <c r="C57" s="327" t="s">
        <v>3166</v>
      </c>
      <c r="D57" s="328" t="str">
        <f t="shared" si="0"/>
        <v>NACE A - 03.22 Freshwater aquaculture</v>
      </c>
      <c r="E57" s="325" t="s">
        <v>264</v>
      </c>
      <c r="F57" t="s">
        <v>265</v>
      </c>
      <c r="G57" t="str">
        <f t="shared" si="1"/>
        <v>CW</v>
      </c>
      <c r="H57" s="483"/>
      <c r="I57" t="s">
        <v>2687</v>
      </c>
      <c r="K57" t="s">
        <v>4714</v>
      </c>
      <c r="S57">
        <v>2055</v>
      </c>
      <c r="V57" s="483"/>
      <c r="Z57" t="s">
        <v>2811</v>
      </c>
      <c r="AA57" t="s">
        <v>3834</v>
      </c>
    </row>
    <row r="58" spans="1:27" x14ac:dyDescent="0.3">
      <c r="A58" s="327" t="s">
        <v>266</v>
      </c>
      <c r="B58" t="s">
        <v>267</v>
      </c>
      <c r="C58" s="324" t="s">
        <v>3167</v>
      </c>
      <c r="D58" s="327" t="str">
        <f t="shared" si="0"/>
        <v>NACE A - 03.3 Support activities for fishing and aquaculture</v>
      </c>
      <c r="E58" s="325" t="s">
        <v>268</v>
      </c>
      <c r="F58" t="s">
        <v>269</v>
      </c>
      <c r="G58" t="str">
        <f t="shared" si="1"/>
        <v>CX</v>
      </c>
      <c r="H58" s="483"/>
      <c r="I58" t="s">
        <v>3518</v>
      </c>
      <c r="K58" t="s">
        <v>4715</v>
      </c>
      <c r="S58">
        <v>2056</v>
      </c>
      <c r="V58" s="483"/>
      <c r="Z58" t="s">
        <v>2740</v>
      </c>
      <c r="AA58" t="s">
        <v>3835</v>
      </c>
    </row>
    <row r="59" spans="1:27" x14ac:dyDescent="0.3">
      <c r="A59" s="328" t="s">
        <v>270</v>
      </c>
      <c r="B59" t="s">
        <v>271</v>
      </c>
      <c r="C59" s="327" t="s">
        <v>3168</v>
      </c>
      <c r="D59" s="328" t="str">
        <f t="shared" si="0"/>
        <v>NACE A - 03.30 Support activities for fishing and aquaculture</v>
      </c>
      <c r="E59" s="325" t="s">
        <v>272</v>
      </c>
      <c r="F59" t="s">
        <v>273</v>
      </c>
      <c r="G59" t="str">
        <f t="shared" si="1"/>
        <v>CY</v>
      </c>
      <c r="H59" s="483"/>
      <c r="I59" t="s">
        <v>2686</v>
      </c>
      <c r="K59" t="s">
        <v>4716</v>
      </c>
      <c r="S59">
        <v>2057</v>
      </c>
      <c r="V59" s="483"/>
      <c r="Z59" t="s">
        <v>2812</v>
      </c>
      <c r="AA59" t="s">
        <v>3836</v>
      </c>
    </row>
    <row r="60" spans="1:27" x14ac:dyDescent="0.3">
      <c r="A60" s="325" t="s">
        <v>274</v>
      </c>
      <c r="B60" t="s">
        <v>275</v>
      </c>
      <c r="C60" s="327" t="s">
        <v>3169</v>
      </c>
      <c r="D60" s="325" t="str">
        <f t="shared" si="0"/>
        <v>NACE B - MINING AND QUARRYING</v>
      </c>
      <c r="E60" s="325" t="s">
        <v>276</v>
      </c>
      <c r="F60" t="s">
        <v>277</v>
      </c>
      <c r="G60" t="str">
        <f t="shared" si="1"/>
        <v>CZ</v>
      </c>
      <c r="H60" s="483"/>
      <c r="I60" t="s">
        <v>2685</v>
      </c>
      <c r="K60" t="s">
        <v>4717</v>
      </c>
      <c r="S60">
        <v>2058</v>
      </c>
      <c r="V60" s="90"/>
      <c r="Z60" t="s">
        <v>2741</v>
      </c>
      <c r="AA60" t="s">
        <v>3837</v>
      </c>
    </row>
    <row r="61" spans="1:27" x14ac:dyDescent="0.3">
      <c r="A61" s="324" t="s">
        <v>278</v>
      </c>
      <c r="B61" t="s">
        <v>279</v>
      </c>
      <c r="C61" s="328" t="s">
        <v>3170</v>
      </c>
      <c r="D61" s="324" t="str">
        <f t="shared" si="0"/>
        <v>NACE B - 04 Mining of coal and lignite</v>
      </c>
      <c r="E61" s="325" t="s">
        <v>280</v>
      </c>
      <c r="F61" t="s">
        <v>281</v>
      </c>
      <c r="G61" t="str">
        <f t="shared" si="1"/>
        <v>DE</v>
      </c>
      <c r="H61" s="90"/>
      <c r="I61" t="s">
        <v>2684</v>
      </c>
      <c r="K61" t="s">
        <v>4718</v>
      </c>
      <c r="S61">
        <v>2059</v>
      </c>
      <c r="V61" s="483"/>
      <c r="Z61" t="s">
        <v>2813</v>
      </c>
      <c r="AA61" t="s">
        <v>3838</v>
      </c>
    </row>
    <row r="62" spans="1:27" x14ac:dyDescent="0.3">
      <c r="A62" s="327" t="s">
        <v>282</v>
      </c>
      <c r="B62" t="s">
        <v>283</v>
      </c>
      <c r="C62" s="324" t="s">
        <v>3171</v>
      </c>
      <c r="D62" s="327" t="str">
        <f t="shared" si="0"/>
        <v>NACE B - 05.1 Mining of hard coal</v>
      </c>
      <c r="E62" s="325" t="s">
        <v>284</v>
      </c>
      <c r="F62" t="s">
        <v>285</v>
      </c>
      <c r="G62" t="str">
        <f t="shared" si="1"/>
        <v>DJ</v>
      </c>
      <c r="H62" s="483"/>
      <c r="I62" t="s">
        <v>2683</v>
      </c>
      <c r="K62" t="s">
        <v>4719</v>
      </c>
      <c r="S62">
        <v>2060</v>
      </c>
      <c r="V62" s="483"/>
      <c r="Z62" t="s">
        <v>2814</v>
      </c>
      <c r="AA62" t="s">
        <v>3839</v>
      </c>
    </row>
    <row r="63" spans="1:27" x14ac:dyDescent="0.3">
      <c r="A63" s="328" t="s">
        <v>286</v>
      </c>
      <c r="B63" t="s">
        <v>287</v>
      </c>
      <c r="C63" s="327" t="s">
        <v>3172</v>
      </c>
      <c r="D63" s="328" t="str">
        <f t="shared" si="0"/>
        <v>NACE B - 05.10 Mining of hard coal</v>
      </c>
      <c r="E63" s="325" t="s">
        <v>288</v>
      </c>
      <c r="F63" t="s">
        <v>289</v>
      </c>
      <c r="G63" t="str">
        <f t="shared" si="1"/>
        <v>DK</v>
      </c>
      <c r="H63" s="483"/>
      <c r="I63" t="s">
        <v>2682</v>
      </c>
      <c r="K63" t="s">
        <v>4720</v>
      </c>
      <c r="S63">
        <v>2061</v>
      </c>
      <c r="V63" s="483"/>
      <c r="Z63" t="s">
        <v>2815</v>
      </c>
      <c r="AA63" t="s">
        <v>3840</v>
      </c>
    </row>
    <row r="64" spans="1:27" x14ac:dyDescent="0.3">
      <c r="A64" s="327" t="s">
        <v>290</v>
      </c>
      <c r="B64" t="s">
        <v>291</v>
      </c>
      <c r="C64" s="327" t="s">
        <v>3173</v>
      </c>
      <c r="D64" s="327" t="str">
        <f t="shared" si="0"/>
        <v>NACE B - 05.2 Mining of lignite</v>
      </c>
      <c r="E64" s="325" t="s">
        <v>292</v>
      </c>
      <c r="F64" t="s">
        <v>293</v>
      </c>
      <c r="G64" t="str">
        <f t="shared" si="1"/>
        <v>DM</v>
      </c>
      <c r="H64" s="483"/>
      <c r="I64" t="s">
        <v>3519</v>
      </c>
      <c r="K64" t="s">
        <v>4721</v>
      </c>
      <c r="S64">
        <v>2062</v>
      </c>
      <c r="V64" s="483"/>
      <c r="Z64" t="s">
        <v>2816</v>
      </c>
      <c r="AA64" t="s">
        <v>3841</v>
      </c>
    </row>
    <row r="65" spans="1:27" x14ac:dyDescent="0.3">
      <c r="A65" s="328" t="s">
        <v>294</v>
      </c>
      <c r="B65" t="s">
        <v>295</v>
      </c>
      <c r="C65" s="324" t="s">
        <v>3174</v>
      </c>
      <c r="D65" s="328" t="str">
        <f t="shared" si="0"/>
        <v>NACE B - 05.20 Mining of lignite</v>
      </c>
      <c r="E65" s="325" t="s">
        <v>296</v>
      </c>
      <c r="F65" t="s">
        <v>297</v>
      </c>
      <c r="G65" t="str">
        <f t="shared" si="1"/>
        <v>DO</v>
      </c>
      <c r="H65" s="483"/>
      <c r="I65" t="s">
        <v>3068</v>
      </c>
      <c r="K65" t="s">
        <v>4722</v>
      </c>
      <c r="S65">
        <v>2063</v>
      </c>
      <c r="V65" s="90"/>
      <c r="Z65" t="s">
        <v>2817</v>
      </c>
      <c r="AA65" t="s">
        <v>3842</v>
      </c>
    </row>
    <row r="66" spans="1:27" x14ac:dyDescent="0.3">
      <c r="A66" s="324" t="s">
        <v>298</v>
      </c>
      <c r="B66" t="s">
        <v>299</v>
      </c>
      <c r="C66" s="327" t="s">
        <v>3175</v>
      </c>
      <c r="D66" s="324" t="str">
        <f t="shared" ref="D66:D129" si="2">_xlfn.CONCAT("NACE ", A66)</f>
        <v>NACE B - 05 Extraction of crude petroleum and natural gas</v>
      </c>
      <c r="E66" s="325" t="s">
        <v>300</v>
      </c>
      <c r="F66" t="s">
        <v>301</v>
      </c>
      <c r="G66" t="str">
        <f t="shared" si="1"/>
        <v>DZ</v>
      </c>
      <c r="H66" s="90"/>
      <c r="I66" t="s">
        <v>3520</v>
      </c>
      <c r="K66" t="s">
        <v>4723</v>
      </c>
      <c r="S66">
        <v>2064</v>
      </c>
      <c r="V66" s="483"/>
      <c r="Z66" t="s">
        <v>2818</v>
      </c>
      <c r="AA66" t="s">
        <v>3843</v>
      </c>
    </row>
    <row r="67" spans="1:27" x14ac:dyDescent="0.3">
      <c r="A67" s="327" t="s">
        <v>302</v>
      </c>
      <c r="B67" t="s">
        <v>303</v>
      </c>
      <c r="C67" s="327" t="s">
        <v>3176</v>
      </c>
      <c r="D67" s="327" t="str">
        <f t="shared" si="2"/>
        <v>NACE B - 06.1 Extraction of crude petroleum</v>
      </c>
      <c r="E67" s="325" t="s">
        <v>304</v>
      </c>
      <c r="F67" t="s">
        <v>305</v>
      </c>
      <c r="G67" t="str">
        <f t="shared" ref="G67:G130" si="3">RIGHT(F67,2)</f>
        <v>EC</v>
      </c>
      <c r="H67" s="483"/>
      <c r="I67" t="s">
        <v>2681</v>
      </c>
      <c r="K67" t="s">
        <v>4724</v>
      </c>
      <c r="S67">
        <v>2065</v>
      </c>
      <c r="V67" s="483"/>
      <c r="Z67" t="s">
        <v>2819</v>
      </c>
      <c r="AA67" t="s">
        <v>3844</v>
      </c>
    </row>
    <row r="68" spans="1:27" x14ac:dyDescent="0.3">
      <c r="A68" s="328" t="s">
        <v>306</v>
      </c>
      <c r="B68" t="s">
        <v>307</v>
      </c>
      <c r="C68" s="324" t="s">
        <v>3177</v>
      </c>
      <c r="D68" s="328" t="str">
        <f t="shared" si="2"/>
        <v>NACE B - 06.10 Extraction of crude petroleum</v>
      </c>
      <c r="E68" s="325" t="s">
        <v>308</v>
      </c>
      <c r="F68" t="s">
        <v>309</v>
      </c>
      <c r="G68" t="str">
        <f t="shared" si="3"/>
        <v>EE</v>
      </c>
      <c r="H68" s="483"/>
      <c r="I68" t="s">
        <v>2680</v>
      </c>
      <c r="K68" t="s">
        <v>4725</v>
      </c>
      <c r="S68">
        <v>2066</v>
      </c>
      <c r="V68" s="482"/>
      <c r="Z68" t="s">
        <v>2820</v>
      </c>
      <c r="AA68" t="s">
        <v>3845</v>
      </c>
    </row>
    <row r="69" spans="1:27" x14ac:dyDescent="0.3">
      <c r="A69" s="327" t="s">
        <v>310</v>
      </c>
      <c r="B69" t="s">
        <v>311</v>
      </c>
      <c r="C69" s="327" t="s">
        <v>3178</v>
      </c>
      <c r="D69" s="327" t="str">
        <f t="shared" si="2"/>
        <v>NACE B - 06.2 Extraction of natural gas</v>
      </c>
      <c r="E69" s="325" t="s">
        <v>312</v>
      </c>
      <c r="F69" t="s">
        <v>313</v>
      </c>
      <c r="G69" t="str">
        <f t="shared" si="3"/>
        <v>EG</v>
      </c>
      <c r="H69" s="482"/>
      <c r="I69" t="s">
        <v>2679</v>
      </c>
      <c r="K69" t="s">
        <v>4726</v>
      </c>
      <c r="S69">
        <v>2067</v>
      </c>
      <c r="V69" s="482"/>
      <c r="Z69" t="s">
        <v>2821</v>
      </c>
      <c r="AA69" t="s">
        <v>3846</v>
      </c>
    </row>
    <row r="70" spans="1:27" x14ac:dyDescent="0.3">
      <c r="A70" s="328" t="s">
        <v>314</v>
      </c>
      <c r="B70" t="s">
        <v>315</v>
      </c>
      <c r="C70" s="327" t="s">
        <v>3179</v>
      </c>
      <c r="D70" s="328" t="str">
        <f t="shared" si="2"/>
        <v>NACE B - 06.20 Extraction of natural gas</v>
      </c>
      <c r="E70" s="325" t="s">
        <v>316</v>
      </c>
      <c r="F70" t="s">
        <v>317</v>
      </c>
      <c r="G70" t="str">
        <f t="shared" si="3"/>
        <v>EH</v>
      </c>
      <c r="H70" s="482"/>
      <c r="I70" t="s">
        <v>2678</v>
      </c>
      <c r="K70" t="s">
        <v>4727</v>
      </c>
      <c r="S70">
        <v>2068</v>
      </c>
      <c r="V70" s="482"/>
      <c r="Z70" t="s">
        <v>2822</v>
      </c>
      <c r="AA70" t="s">
        <v>3847</v>
      </c>
    </row>
    <row r="71" spans="1:27" x14ac:dyDescent="0.3">
      <c r="A71" s="324" t="s">
        <v>318</v>
      </c>
      <c r="B71" t="s">
        <v>319</v>
      </c>
      <c r="C71" s="324" t="s">
        <v>3180</v>
      </c>
      <c r="D71" s="324" t="str">
        <f t="shared" si="2"/>
        <v>NACE B - 06 Mining of metal ores</v>
      </c>
      <c r="E71" s="325" t="s">
        <v>320</v>
      </c>
      <c r="F71" t="s">
        <v>321</v>
      </c>
      <c r="G71" t="str">
        <f t="shared" si="3"/>
        <v>ER</v>
      </c>
      <c r="H71" s="482"/>
      <c r="I71" t="s">
        <v>2677</v>
      </c>
      <c r="K71" t="s">
        <v>4728</v>
      </c>
      <c r="S71">
        <v>2069</v>
      </c>
      <c r="V71" s="482"/>
      <c r="Z71" t="s">
        <v>2823</v>
      </c>
      <c r="AA71" t="s">
        <v>3848</v>
      </c>
    </row>
    <row r="72" spans="1:27" x14ac:dyDescent="0.3">
      <c r="A72" s="327" t="s">
        <v>322</v>
      </c>
      <c r="B72" t="s">
        <v>323</v>
      </c>
      <c r="C72" s="327" t="s">
        <v>3181</v>
      </c>
      <c r="D72" s="327" t="str">
        <f t="shared" si="2"/>
        <v>NACE B - 07.1 Mining of iron ores</v>
      </c>
      <c r="E72" s="325" t="s">
        <v>324</v>
      </c>
      <c r="F72" t="s">
        <v>325</v>
      </c>
      <c r="G72" t="str">
        <f t="shared" si="3"/>
        <v>ES</v>
      </c>
      <c r="H72" s="482"/>
      <c r="I72" t="s">
        <v>3521</v>
      </c>
      <c r="K72" t="s">
        <v>4729</v>
      </c>
      <c r="S72">
        <v>2070</v>
      </c>
      <c r="V72" s="482"/>
      <c r="Z72" t="s">
        <v>2824</v>
      </c>
      <c r="AA72" t="s">
        <v>3849</v>
      </c>
    </row>
    <row r="73" spans="1:27" x14ac:dyDescent="0.3">
      <c r="A73" s="328" t="s">
        <v>326</v>
      </c>
      <c r="B73" t="s">
        <v>327</v>
      </c>
      <c r="C73" s="327" t="s">
        <v>3182</v>
      </c>
      <c r="D73" s="328" t="str">
        <f t="shared" si="2"/>
        <v>NACE B - 07.10 Mining of iron ores</v>
      </c>
      <c r="E73" s="325" t="s">
        <v>328</v>
      </c>
      <c r="F73" t="s">
        <v>329</v>
      </c>
      <c r="G73" t="str">
        <f t="shared" si="3"/>
        <v>ET</v>
      </c>
      <c r="H73" s="482"/>
      <c r="I73" t="s">
        <v>2676</v>
      </c>
      <c r="K73" t="s">
        <v>4730</v>
      </c>
      <c r="S73">
        <v>2071</v>
      </c>
      <c r="V73" s="482"/>
      <c r="Z73" t="s">
        <v>2825</v>
      </c>
      <c r="AA73" t="s">
        <v>3850</v>
      </c>
    </row>
    <row r="74" spans="1:27" x14ac:dyDescent="0.3">
      <c r="A74" s="327" t="s">
        <v>330</v>
      </c>
      <c r="B74" t="s">
        <v>331</v>
      </c>
      <c r="C74" s="324" t="s">
        <v>3183</v>
      </c>
      <c r="D74" s="327" t="str">
        <f t="shared" si="2"/>
        <v>NACE B - 07.2 Mining of non-ferrous metal ores</v>
      </c>
      <c r="E74" s="325" t="s">
        <v>332</v>
      </c>
      <c r="F74" t="s">
        <v>333</v>
      </c>
      <c r="G74" t="str">
        <f t="shared" si="3"/>
        <v>FI</v>
      </c>
      <c r="H74" s="482"/>
      <c r="I74" t="s">
        <v>2675</v>
      </c>
      <c r="K74" t="s">
        <v>4731</v>
      </c>
      <c r="S74">
        <v>2072</v>
      </c>
      <c r="V74" s="483"/>
      <c r="Z74" t="s">
        <v>2742</v>
      </c>
      <c r="AA74" t="s">
        <v>3851</v>
      </c>
    </row>
    <row r="75" spans="1:27" x14ac:dyDescent="0.3">
      <c r="A75" s="328" t="s">
        <v>334</v>
      </c>
      <c r="B75" t="s">
        <v>335</v>
      </c>
      <c r="C75" s="327" t="s">
        <v>3184</v>
      </c>
      <c r="D75" s="328" t="str">
        <f t="shared" si="2"/>
        <v>NACE B - 07.21 Mining of uranium and thorium ores</v>
      </c>
      <c r="E75" s="325" t="s">
        <v>336</v>
      </c>
      <c r="F75" t="s">
        <v>337</v>
      </c>
      <c r="G75" t="str">
        <f t="shared" si="3"/>
        <v>FJ</v>
      </c>
      <c r="H75" s="483"/>
      <c r="I75" t="s">
        <v>2674</v>
      </c>
      <c r="K75" t="s">
        <v>4732</v>
      </c>
      <c r="S75">
        <v>2073</v>
      </c>
      <c r="V75" s="483"/>
      <c r="Z75" t="s">
        <v>2826</v>
      </c>
      <c r="AA75" t="s">
        <v>3852</v>
      </c>
    </row>
    <row r="76" spans="1:27" x14ac:dyDescent="0.3">
      <c r="A76" s="328" t="s">
        <v>338</v>
      </c>
      <c r="B76" t="s">
        <v>339</v>
      </c>
      <c r="C76" s="327" t="s">
        <v>3185</v>
      </c>
      <c r="D76" s="328" t="str">
        <f t="shared" si="2"/>
        <v>NACE B - 07.29 Mining of other non-ferrous metal ores</v>
      </c>
      <c r="E76" s="325" t="s">
        <v>340</v>
      </c>
      <c r="F76" t="s">
        <v>341</v>
      </c>
      <c r="G76" t="str">
        <f t="shared" si="3"/>
        <v>FK</v>
      </c>
      <c r="H76" s="483"/>
      <c r="I76" t="s">
        <v>2673</v>
      </c>
      <c r="K76" t="s">
        <v>4733</v>
      </c>
      <c r="S76">
        <v>2074</v>
      </c>
      <c r="V76" s="483"/>
      <c r="Z76" t="s">
        <v>2827</v>
      </c>
      <c r="AA76" t="s">
        <v>3853</v>
      </c>
    </row>
    <row r="77" spans="1:27" x14ac:dyDescent="0.3">
      <c r="A77" s="324" t="s">
        <v>342</v>
      </c>
      <c r="B77" t="s">
        <v>343</v>
      </c>
      <c r="C77" s="327" t="s">
        <v>3186</v>
      </c>
      <c r="D77" s="324" t="str">
        <f t="shared" si="2"/>
        <v>NACE B - 07 Other mining and quarrying</v>
      </c>
      <c r="E77" s="325" t="s">
        <v>344</v>
      </c>
      <c r="F77" t="s">
        <v>345</v>
      </c>
      <c r="G77" t="str">
        <f t="shared" si="3"/>
        <v>FM</v>
      </c>
      <c r="H77" s="483"/>
      <c r="I77" t="s">
        <v>2672</v>
      </c>
      <c r="K77" t="s">
        <v>4642</v>
      </c>
      <c r="S77">
        <v>2075</v>
      </c>
      <c r="V77" s="483"/>
      <c r="Z77" t="s">
        <v>2828</v>
      </c>
      <c r="AA77" t="s">
        <v>3854</v>
      </c>
    </row>
    <row r="78" spans="1:27" x14ac:dyDescent="0.3">
      <c r="A78" s="327" t="s">
        <v>346</v>
      </c>
      <c r="B78" t="s">
        <v>347</v>
      </c>
      <c r="C78" s="327" t="s">
        <v>3187</v>
      </c>
      <c r="D78" s="327" t="str">
        <f t="shared" si="2"/>
        <v>NACE B - 08.1 Quarrying of stone, sand and clay</v>
      </c>
      <c r="E78" s="325" t="s">
        <v>348</v>
      </c>
      <c r="F78" t="s">
        <v>349</v>
      </c>
      <c r="G78" t="str">
        <f t="shared" si="3"/>
        <v>FO</v>
      </c>
      <c r="H78" s="483"/>
      <c r="I78" t="s">
        <v>2671</v>
      </c>
      <c r="K78" t="s">
        <v>4734</v>
      </c>
      <c r="S78">
        <v>2076</v>
      </c>
      <c r="V78" s="483"/>
      <c r="Z78" t="s">
        <v>2829</v>
      </c>
      <c r="AA78" t="s">
        <v>3855</v>
      </c>
    </row>
    <row r="79" spans="1:27" x14ac:dyDescent="0.3">
      <c r="A79" s="328" t="s">
        <v>350</v>
      </c>
      <c r="B79" t="s">
        <v>351</v>
      </c>
      <c r="C79" s="327" t="s">
        <v>3188</v>
      </c>
      <c r="D79" s="328" t="str">
        <f t="shared" si="2"/>
        <v>NACE B - 08.11 Quarrying of ornamental stone, limestone, gypsum, slate and other stone</v>
      </c>
      <c r="E79" s="325" t="s">
        <v>352</v>
      </c>
      <c r="F79" t="s">
        <v>353</v>
      </c>
      <c r="G79" t="str">
        <f t="shared" si="3"/>
        <v>FR</v>
      </c>
      <c r="H79" s="483"/>
      <c r="I79" t="s">
        <v>2670</v>
      </c>
      <c r="K79" t="s">
        <v>4735</v>
      </c>
      <c r="S79">
        <v>2077</v>
      </c>
      <c r="V79" s="483"/>
      <c r="Z79" t="s">
        <v>2743</v>
      </c>
      <c r="AA79" t="s">
        <v>3856</v>
      </c>
    </row>
    <row r="80" spans="1:27" x14ac:dyDescent="0.3">
      <c r="A80" s="328" t="s">
        <v>354</v>
      </c>
      <c r="B80" t="s">
        <v>355</v>
      </c>
      <c r="C80" s="327" t="s">
        <v>3189</v>
      </c>
      <c r="D80" s="328" t="str">
        <f t="shared" si="2"/>
        <v>NACE B - 08.12 Operation of gravel and sand pits and mining of clay and kaolin</v>
      </c>
      <c r="E80" s="325" t="s">
        <v>356</v>
      </c>
      <c r="F80" t="s">
        <v>357</v>
      </c>
      <c r="G80" t="str">
        <f t="shared" si="3"/>
        <v>GA</v>
      </c>
      <c r="H80" s="483"/>
      <c r="I80" t="s">
        <v>3529</v>
      </c>
      <c r="K80" t="s">
        <v>4736</v>
      </c>
      <c r="S80">
        <v>2078</v>
      </c>
      <c r="V80" s="482"/>
      <c r="Z80" t="s">
        <v>2830</v>
      </c>
      <c r="AA80" t="s">
        <v>3857</v>
      </c>
    </row>
    <row r="81" spans="1:27" x14ac:dyDescent="0.3">
      <c r="A81" s="327" t="s">
        <v>358</v>
      </c>
      <c r="B81" t="s">
        <v>359</v>
      </c>
      <c r="C81" s="324" t="s">
        <v>3190</v>
      </c>
      <c r="D81" s="327" t="str">
        <f t="shared" si="2"/>
        <v>NACE B - 08.9 Mining and quarrying n.e.c.</v>
      </c>
      <c r="E81" s="325" t="s">
        <v>360</v>
      </c>
      <c r="F81" t="s">
        <v>361</v>
      </c>
      <c r="G81" t="str">
        <f t="shared" si="3"/>
        <v>GB</v>
      </c>
      <c r="H81" s="482"/>
      <c r="I81" t="s">
        <v>2669</v>
      </c>
      <c r="K81" t="s">
        <v>4737</v>
      </c>
      <c r="S81">
        <v>2079</v>
      </c>
      <c r="V81" s="482"/>
      <c r="Z81" t="s">
        <v>2831</v>
      </c>
      <c r="AA81" t="s">
        <v>3858</v>
      </c>
    </row>
    <row r="82" spans="1:27" x14ac:dyDescent="0.3">
      <c r="A82" s="328" t="s">
        <v>362</v>
      </c>
      <c r="B82" t="s">
        <v>363</v>
      </c>
      <c r="C82" s="327" t="s">
        <v>3191</v>
      </c>
      <c r="D82" s="328" t="str">
        <f t="shared" si="2"/>
        <v>NACE B - 08.91 Mining of chemical and fertiliser minerals</v>
      </c>
      <c r="E82" s="325" t="s">
        <v>364</v>
      </c>
      <c r="F82" t="s">
        <v>365</v>
      </c>
      <c r="G82" t="str">
        <f t="shared" si="3"/>
        <v>GD</v>
      </c>
      <c r="H82" s="482"/>
      <c r="I82" t="s">
        <v>2668</v>
      </c>
      <c r="K82" t="s">
        <v>4738</v>
      </c>
      <c r="S82">
        <v>2080</v>
      </c>
      <c r="V82" s="482"/>
      <c r="Z82" t="s">
        <v>2832</v>
      </c>
      <c r="AA82" t="s">
        <v>3859</v>
      </c>
    </row>
    <row r="83" spans="1:27" x14ac:dyDescent="0.3">
      <c r="A83" s="328" t="s">
        <v>366</v>
      </c>
      <c r="B83" t="s">
        <v>367</v>
      </c>
      <c r="C83" s="327" t="s">
        <v>3192</v>
      </c>
      <c r="D83" s="328" t="str">
        <f t="shared" si="2"/>
        <v>NACE B - 08.92 Extraction of peat</v>
      </c>
      <c r="E83" s="325" t="s">
        <v>368</v>
      </c>
      <c r="F83" t="s">
        <v>369</v>
      </c>
      <c r="G83" t="str">
        <f t="shared" si="3"/>
        <v>GE</v>
      </c>
      <c r="H83" s="482"/>
      <c r="I83" t="s">
        <v>3522</v>
      </c>
      <c r="K83" t="s">
        <v>4739</v>
      </c>
      <c r="S83">
        <v>2081</v>
      </c>
      <c r="V83" s="483"/>
      <c r="Z83" t="s">
        <v>2744</v>
      </c>
      <c r="AA83" t="s">
        <v>3860</v>
      </c>
    </row>
    <row r="84" spans="1:27" x14ac:dyDescent="0.3">
      <c r="A84" s="328" t="s">
        <v>370</v>
      </c>
      <c r="B84" t="s">
        <v>371</v>
      </c>
      <c r="C84" s="324" t="s">
        <v>3193</v>
      </c>
      <c r="D84" s="328" t="str">
        <f t="shared" si="2"/>
        <v>NACE B - 08.93 Extraction of salt</v>
      </c>
      <c r="E84" s="325" t="s">
        <v>372</v>
      </c>
      <c r="F84" t="s">
        <v>373</v>
      </c>
      <c r="G84" t="str">
        <f t="shared" si="3"/>
        <v>GF</v>
      </c>
      <c r="H84" s="483"/>
      <c r="I84" t="s">
        <v>2667</v>
      </c>
      <c r="K84" t="s">
        <v>4740</v>
      </c>
      <c r="S84">
        <v>2082</v>
      </c>
      <c r="V84" s="483"/>
      <c r="Z84" t="s">
        <v>2833</v>
      </c>
      <c r="AA84" t="s">
        <v>3861</v>
      </c>
    </row>
    <row r="85" spans="1:27" x14ac:dyDescent="0.3">
      <c r="A85" s="328" t="s">
        <v>374</v>
      </c>
      <c r="B85" t="s">
        <v>375</v>
      </c>
      <c r="C85" s="327" t="s">
        <v>3194</v>
      </c>
      <c r="D85" s="328" t="str">
        <f t="shared" si="2"/>
        <v>NACE B - 08.99 Other mining and quarrying n.e.c.</v>
      </c>
      <c r="E85" s="325" t="s">
        <v>376</v>
      </c>
      <c r="F85" t="s">
        <v>377</v>
      </c>
      <c r="G85" t="str">
        <f t="shared" si="3"/>
        <v>GG</v>
      </c>
      <c r="H85" s="483"/>
      <c r="I85" t="s">
        <v>2666</v>
      </c>
      <c r="K85" t="s">
        <v>4741</v>
      </c>
      <c r="S85">
        <v>2083</v>
      </c>
      <c r="V85" s="90"/>
      <c r="Z85" t="s">
        <v>2834</v>
      </c>
      <c r="AA85" t="s">
        <v>3862</v>
      </c>
    </row>
    <row r="86" spans="1:27" x14ac:dyDescent="0.3">
      <c r="A86" s="324" t="s">
        <v>378</v>
      </c>
      <c r="B86" t="s">
        <v>379</v>
      </c>
      <c r="C86" s="327" t="s">
        <v>3195</v>
      </c>
      <c r="D86" s="324" t="str">
        <f t="shared" si="2"/>
        <v>NACE B - 08 Mining support service activities</v>
      </c>
      <c r="E86" s="325" t="s">
        <v>380</v>
      </c>
      <c r="F86" t="s">
        <v>381</v>
      </c>
      <c r="G86" t="str">
        <f t="shared" si="3"/>
        <v>GH</v>
      </c>
      <c r="H86" s="90"/>
      <c r="I86" t="s">
        <v>2665</v>
      </c>
      <c r="K86" t="s">
        <v>4742</v>
      </c>
      <c r="S86">
        <v>2084</v>
      </c>
      <c r="V86" s="483"/>
      <c r="Z86" t="s">
        <v>2835</v>
      </c>
      <c r="AA86" t="s">
        <v>3863</v>
      </c>
    </row>
    <row r="87" spans="1:27" x14ac:dyDescent="0.3">
      <c r="A87" s="327" t="s">
        <v>382</v>
      </c>
      <c r="B87" t="s">
        <v>383</v>
      </c>
      <c r="C87" s="324" t="s">
        <v>3196</v>
      </c>
      <c r="D87" s="327" t="str">
        <f t="shared" si="2"/>
        <v>NACE B - 09.1 Support activities for petroleum and natural gas extraction</v>
      </c>
      <c r="E87" s="325" t="s">
        <v>384</v>
      </c>
      <c r="F87" t="s">
        <v>385</v>
      </c>
      <c r="G87" t="str">
        <f t="shared" si="3"/>
        <v>GI</v>
      </c>
      <c r="H87" s="483"/>
      <c r="I87" t="s">
        <v>2664</v>
      </c>
      <c r="K87" t="s">
        <v>4743</v>
      </c>
      <c r="S87">
        <v>2085</v>
      </c>
      <c r="V87" s="483"/>
      <c r="Z87" t="s">
        <v>2836</v>
      </c>
      <c r="AA87" t="s">
        <v>3864</v>
      </c>
    </row>
    <row r="88" spans="1:27" x14ac:dyDescent="0.3">
      <c r="A88" s="328" t="s">
        <v>386</v>
      </c>
      <c r="B88" t="s">
        <v>387</v>
      </c>
      <c r="C88" s="327" t="s">
        <v>3197</v>
      </c>
      <c r="D88" s="328" t="str">
        <f t="shared" si="2"/>
        <v>NACE B - 09.10 Support activities for petroleum and natural gas extraction</v>
      </c>
      <c r="E88" s="325" t="s">
        <v>388</v>
      </c>
      <c r="F88" t="s">
        <v>389</v>
      </c>
      <c r="G88" t="str">
        <f t="shared" si="3"/>
        <v>GL</v>
      </c>
      <c r="H88" s="483"/>
      <c r="I88" t="s">
        <v>3530</v>
      </c>
      <c r="K88" t="s">
        <v>4744</v>
      </c>
      <c r="S88">
        <v>2086</v>
      </c>
      <c r="V88" s="483"/>
      <c r="Z88" t="s">
        <v>2837</v>
      </c>
      <c r="AA88" t="s">
        <v>3865</v>
      </c>
    </row>
    <row r="89" spans="1:27" x14ac:dyDescent="0.3">
      <c r="A89" s="327" t="s">
        <v>390</v>
      </c>
      <c r="B89" t="s">
        <v>391</v>
      </c>
      <c r="C89" s="327" t="s">
        <v>3198</v>
      </c>
      <c r="D89" s="327" t="str">
        <f t="shared" si="2"/>
        <v>NACE B - 09.9 Support activities for other mining and quarrying</v>
      </c>
      <c r="E89" s="325" t="s">
        <v>392</v>
      </c>
      <c r="F89" t="s">
        <v>393</v>
      </c>
      <c r="G89" t="str">
        <f t="shared" si="3"/>
        <v>GM</v>
      </c>
      <c r="H89" s="483"/>
      <c r="I89" t="s">
        <v>2663</v>
      </c>
      <c r="K89" t="s">
        <v>4745</v>
      </c>
      <c r="S89">
        <v>2087</v>
      </c>
      <c r="V89" s="483"/>
      <c r="Z89" t="s">
        <v>2838</v>
      </c>
      <c r="AA89" t="s">
        <v>3866</v>
      </c>
    </row>
    <row r="90" spans="1:27" x14ac:dyDescent="0.3">
      <c r="A90" s="328" t="s">
        <v>394</v>
      </c>
      <c r="B90" t="s">
        <v>395</v>
      </c>
      <c r="C90" s="327" t="s">
        <v>3199</v>
      </c>
      <c r="D90" s="328" t="str">
        <f t="shared" si="2"/>
        <v>NACE B - 09.90 Support activities for other mining and quarrying</v>
      </c>
      <c r="E90" s="325" t="s">
        <v>396</v>
      </c>
      <c r="F90" t="s">
        <v>397</v>
      </c>
      <c r="G90" t="str">
        <f t="shared" si="3"/>
        <v>GN</v>
      </c>
      <c r="H90" s="483"/>
      <c r="I90" t="s">
        <v>2662</v>
      </c>
      <c r="K90" t="s">
        <v>4746</v>
      </c>
      <c r="S90">
        <v>2088</v>
      </c>
      <c r="V90" s="483"/>
      <c r="Z90" t="s">
        <v>2904</v>
      </c>
      <c r="AA90" t="s">
        <v>3867</v>
      </c>
    </row>
    <row r="91" spans="1:27" x14ac:dyDescent="0.3">
      <c r="A91" s="325" t="s">
        <v>398</v>
      </c>
      <c r="B91" t="s">
        <v>399</v>
      </c>
      <c r="C91" s="327" t="s">
        <v>3200</v>
      </c>
      <c r="D91" s="325" t="str">
        <f t="shared" si="2"/>
        <v>NACE C - MANUFACTURING</v>
      </c>
      <c r="E91" s="325" t="s">
        <v>400</v>
      </c>
      <c r="F91" t="s">
        <v>401</v>
      </c>
      <c r="G91" t="str">
        <f t="shared" si="3"/>
        <v>GP</v>
      </c>
      <c r="H91" s="483"/>
      <c r="I91" t="s">
        <v>2661</v>
      </c>
      <c r="K91" t="s">
        <v>4747</v>
      </c>
      <c r="S91">
        <v>2089</v>
      </c>
      <c r="V91" s="483"/>
      <c r="Z91" t="s">
        <v>2839</v>
      </c>
      <c r="AA91" t="s">
        <v>3868</v>
      </c>
    </row>
    <row r="92" spans="1:27" x14ac:dyDescent="0.3">
      <c r="A92" s="324" t="s">
        <v>402</v>
      </c>
      <c r="B92" t="s">
        <v>403</v>
      </c>
      <c r="C92" s="327" t="s">
        <v>3201</v>
      </c>
      <c r="D92" s="324" t="str">
        <f t="shared" si="2"/>
        <v>NACE C - 10 Manufacture of food products</v>
      </c>
      <c r="E92" s="325" t="s">
        <v>404</v>
      </c>
      <c r="F92" t="s">
        <v>405</v>
      </c>
      <c r="G92" t="str">
        <f t="shared" si="3"/>
        <v>GQ</v>
      </c>
      <c r="H92" s="483"/>
      <c r="I92" t="s">
        <v>2660</v>
      </c>
      <c r="K92" t="s">
        <v>4748</v>
      </c>
      <c r="S92">
        <v>2090</v>
      </c>
      <c r="V92" s="483"/>
      <c r="Z92" t="s">
        <v>2840</v>
      </c>
      <c r="AA92" t="s">
        <v>3869</v>
      </c>
    </row>
    <row r="93" spans="1:27" x14ac:dyDescent="0.3">
      <c r="A93" s="327" t="s">
        <v>406</v>
      </c>
      <c r="B93" t="s">
        <v>407</v>
      </c>
      <c r="C93" s="327" t="s">
        <v>3202</v>
      </c>
      <c r="D93" s="327" t="str">
        <f t="shared" si="2"/>
        <v>NACE C - 10.1 Processing and preserving of meat and production of meat products</v>
      </c>
      <c r="E93" s="325" t="s">
        <v>408</v>
      </c>
      <c r="F93" t="s">
        <v>409</v>
      </c>
      <c r="G93" t="str">
        <f t="shared" si="3"/>
        <v>GR</v>
      </c>
      <c r="H93" s="483"/>
      <c r="I93" t="s">
        <v>2659</v>
      </c>
      <c r="K93" t="s">
        <v>4749</v>
      </c>
      <c r="S93">
        <v>2091</v>
      </c>
      <c r="V93" s="483"/>
      <c r="Z93" t="s">
        <v>2841</v>
      </c>
      <c r="AA93" t="s">
        <v>3870</v>
      </c>
    </row>
    <row r="94" spans="1:27" x14ac:dyDescent="0.3">
      <c r="A94" s="328" t="s">
        <v>410</v>
      </c>
      <c r="B94" t="s">
        <v>411</v>
      </c>
      <c r="C94" s="327" t="s">
        <v>3203</v>
      </c>
      <c r="D94" s="328" t="str">
        <f t="shared" si="2"/>
        <v>NACE C - 10.11 Processing and preserving of meat, except of poultry meat</v>
      </c>
      <c r="E94" s="325" t="s">
        <v>412</v>
      </c>
      <c r="F94" t="s">
        <v>413</v>
      </c>
      <c r="G94" t="str">
        <f t="shared" si="3"/>
        <v>GS</v>
      </c>
      <c r="H94" s="483"/>
      <c r="I94" t="s">
        <v>2658</v>
      </c>
      <c r="K94" t="s">
        <v>4750</v>
      </c>
      <c r="S94">
        <v>2092</v>
      </c>
      <c r="V94" s="90"/>
      <c r="Z94" t="s">
        <v>2842</v>
      </c>
      <c r="AA94" t="s">
        <v>3871</v>
      </c>
    </row>
    <row r="95" spans="1:27" x14ac:dyDescent="0.3">
      <c r="A95" s="328" t="s">
        <v>414</v>
      </c>
      <c r="B95" t="s">
        <v>415</v>
      </c>
      <c r="C95" s="327" t="s">
        <v>3204</v>
      </c>
      <c r="D95" s="328" t="str">
        <f t="shared" si="2"/>
        <v>NACE C - 10.12 Processing and preserving of poultry meat</v>
      </c>
      <c r="E95" s="325" t="s">
        <v>416</v>
      </c>
      <c r="F95" t="s">
        <v>417</v>
      </c>
      <c r="G95" t="str">
        <f t="shared" si="3"/>
        <v>GT</v>
      </c>
      <c r="H95" s="90"/>
      <c r="I95" t="s">
        <v>3523</v>
      </c>
      <c r="K95" t="s">
        <v>4751</v>
      </c>
      <c r="S95">
        <v>2093</v>
      </c>
      <c r="V95" s="483"/>
      <c r="Z95" t="s">
        <v>2843</v>
      </c>
      <c r="AA95" t="s">
        <v>3872</v>
      </c>
    </row>
    <row r="96" spans="1:27" x14ac:dyDescent="0.3">
      <c r="A96" s="328" t="s">
        <v>418</v>
      </c>
      <c r="B96" t="s">
        <v>419</v>
      </c>
      <c r="C96" s="324" t="s">
        <v>3205</v>
      </c>
      <c r="D96" s="328" t="str">
        <f t="shared" si="2"/>
        <v>NACE C - 10.13 Production of meat and poultry meat products</v>
      </c>
      <c r="E96" s="325" t="s">
        <v>420</v>
      </c>
      <c r="F96" t="s">
        <v>421</v>
      </c>
      <c r="G96" t="str">
        <f t="shared" si="3"/>
        <v>GU</v>
      </c>
      <c r="H96" s="483"/>
      <c r="K96" t="s">
        <v>4752</v>
      </c>
      <c r="S96">
        <v>2094</v>
      </c>
      <c r="V96" s="483"/>
      <c r="Z96" t="s">
        <v>2745</v>
      </c>
      <c r="AA96" t="s">
        <v>3873</v>
      </c>
    </row>
    <row r="97" spans="1:27" x14ac:dyDescent="0.3">
      <c r="A97" s="327" t="s">
        <v>422</v>
      </c>
      <c r="B97" t="s">
        <v>423</v>
      </c>
      <c r="C97" s="327" t="s">
        <v>3206</v>
      </c>
      <c r="D97" s="327" t="str">
        <f t="shared" si="2"/>
        <v>NACE C - 10.2 Processing and preserving of fish, crustaceans and molluscs</v>
      </c>
      <c r="E97" s="325" t="s">
        <v>424</v>
      </c>
      <c r="F97" t="s">
        <v>425</v>
      </c>
      <c r="G97" t="str">
        <f t="shared" si="3"/>
        <v>GW</v>
      </c>
      <c r="H97" s="483"/>
      <c r="K97" t="s">
        <v>4753</v>
      </c>
      <c r="S97">
        <v>2095</v>
      </c>
      <c r="V97" s="483"/>
      <c r="Z97" t="s">
        <v>2844</v>
      </c>
      <c r="AA97" t="s">
        <v>3874</v>
      </c>
    </row>
    <row r="98" spans="1:27" x14ac:dyDescent="0.3">
      <c r="A98" s="328" t="s">
        <v>426</v>
      </c>
      <c r="B98" t="s">
        <v>427</v>
      </c>
      <c r="C98" s="327" t="s">
        <v>3207</v>
      </c>
      <c r="D98" s="328" t="str">
        <f t="shared" si="2"/>
        <v>NACE C - 10.20 Processing and preserving of fish, crustaceans and molluscs</v>
      </c>
      <c r="E98" s="325" t="s">
        <v>428</v>
      </c>
      <c r="F98" t="s">
        <v>429</v>
      </c>
      <c r="G98" t="str">
        <f t="shared" si="3"/>
        <v>GY</v>
      </c>
      <c r="H98" s="483"/>
      <c r="K98" t="s">
        <v>4754</v>
      </c>
      <c r="S98">
        <v>2096</v>
      </c>
      <c r="V98" s="90"/>
      <c r="Z98" t="s">
        <v>2845</v>
      </c>
      <c r="AA98" t="s">
        <v>3875</v>
      </c>
    </row>
    <row r="99" spans="1:27" x14ac:dyDescent="0.3">
      <c r="A99" s="327" t="s">
        <v>430</v>
      </c>
      <c r="B99" t="s">
        <v>431</v>
      </c>
      <c r="C99" s="327" t="s">
        <v>3208</v>
      </c>
      <c r="D99" s="327" t="str">
        <f t="shared" si="2"/>
        <v>NACE C - 10.3 Processing and preserving of fruit and vegetables</v>
      </c>
      <c r="E99" s="325" t="s">
        <v>432</v>
      </c>
      <c r="F99" t="s">
        <v>433</v>
      </c>
      <c r="G99" t="str">
        <f t="shared" si="3"/>
        <v>HK</v>
      </c>
      <c r="H99" s="90"/>
      <c r="K99" t="s">
        <v>4755</v>
      </c>
      <c r="S99">
        <v>2097</v>
      </c>
      <c r="V99" s="483"/>
      <c r="Z99" t="s">
        <v>2746</v>
      </c>
      <c r="AA99" t="s">
        <v>3876</v>
      </c>
    </row>
    <row r="100" spans="1:27" x14ac:dyDescent="0.3">
      <c r="A100" s="328" t="s">
        <v>434</v>
      </c>
      <c r="B100" t="s">
        <v>435</v>
      </c>
      <c r="C100" s="327" t="s">
        <v>3209</v>
      </c>
      <c r="D100" s="328" t="str">
        <f t="shared" si="2"/>
        <v>NACE C - 10.31 Processing and preserving of potatoes</v>
      </c>
      <c r="E100" s="325" t="s">
        <v>436</v>
      </c>
      <c r="F100" t="s">
        <v>437</v>
      </c>
      <c r="G100" t="str">
        <f t="shared" si="3"/>
        <v>HM</v>
      </c>
      <c r="H100" s="483"/>
      <c r="K100" t="s">
        <v>4643</v>
      </c>
      <c r="S100">
        <v>2098</v>
      </c>
      <c r="V100" s="483"/>
      <c r="Z100" t="s">
        <v>2846</v>
      </c>
      <c r="AA100" t="s">
        <v>3877</v>
      </c>
    </row>
    <row r="101" spans="1:27" x14ac:dyDescent="0.3">
      <c r="A101" s="328" t="s">
        <v>438</v>
      </c>
      <c r="B101" t="s">
        <v>439</v>
      </c>
      <c r="C101" s="327" t="s">
        <v>3210</v>
      </c>
      <c r="D101" s="328" t="str">
        <f t="shared" si="2"/>
        <v>NACE C - 10.32 Manufacture of fruit and vegetable juice</v>
      </c>
      <c r="E101" s="325" t="s">
        <v>440</v>
      </c>
      <c r="F101" t="s">
        <v>441</v>
      </c>
      <c r="G101" t="str">
        <f t="shared" si="3"/>
        <v>HN</v>
      </c>
      <c r="H101" s="483"/>
      <c r="K101" t="s">
        <v>4756</v>
      </c>
      <c r="S101">
        <v>2099</v>
      </c>
      <c r="V101" s="483"/>
      <c r="Z101" t="s">
        <v>2847</v>
      </c>
      <c r="AA101" t="s">
        <v>3878</v>
      </c>
    </row>
    <row r="102" spans="1:27" x14ac:dyDescent="0.3">
      <c r="A102" s="328" t="s">
        <v>442</v>
      </c>
      <c r="B102" t="s">
        <v>443</v>
      </c>
      <c r="C102" s="324" t="s">
        <v>3211</v>
      </c>
      <c r="D102" s="328" t="str">
        <f t="shared" si="2"/>
        <v>NACE C - 10.39 Other processing and preserving of fruit and vegetables</v>
      </c>
      <c r="E102" s="325" t="s">
        <v>444</v>
      </c>
      <c r="F102" t="s">
        <v>445</v>
      </c>
      <c r="G102" t="str">
        <f t="shared" si="3"/>
        <v>HR</v>
      </c>
      <c r="H102" s="483"/>
      <c r="K102" t="s">
        <v>4757</v>
      </c>
      <c r="S102">
        <v>2100</v>
      </c>
      <c r="V102" s="483"/>
      <c r="Z102" t="s">
        <v>2848</v>
      </c>
      <c r="AA102" t="s">
        <v>3879</v>
      </c>
    </row>
    <row r="103" spans="1:27" x14ac:dyDescent="0.3">
      <c r="A103" s="327" t="s">
        <v>446</v>
      </c>
      <c r="B103" t="s">
        <v>447</v>
      </c>
      <c r="C103" s="327" t="s">
        <v>3212</v>
      </c>
      <c r="D103" s="327" t="str">
        <f t="shared" si="2"/>
        <v>NACE C - 10.4 Manufacture of vegetable and animal oils and fats</v>
      </c>
      <c r="E103" s="325" t="s">
        <v>448</v>
      </c>
      <c r="F103" t="s">
        <v>449</v>
      </c>
      <c r="G103" t="str">
        <f t="shared" si="3"/>
        <v>HT</v>
      </c>
      <c r="H103" s="483"/>
      <c r="K103" t="s">
        <v>4758</v>
      </c>
      <c r="V103" s="483"/>
      <c r="Z103" t="s">
        <v>2849</v>
      </c>
      <c r="AA103" t="s">
        <v>3880</v>
      </c>
    </row>
    <row r="104" spans="1:27" x14ac:dyDescent="0.3">
      <c r="A104" s="328" t="s">
        <v>450</v>
      </c>
      <c r="B104" t="s">
        <v>451</v>
      </c>
      <c r="C104" s="327" t="s">
        <v>3213</v>
      </c>
      <c r="D104" s="328" t="str">
        <f t="shared" si="2"/>
        <v>NACE C - 10.41 Manufacture of oils and fats</v>
      </c>
      <c r="E104" s="325" t="s">
        <v>452</v>
      </c>
      <c r="F104" t="s">
        <v>453</v>
      </c>
      <c r="G104" t="str">
        <f t="shared" si="3"/>
        <v>HU</v>
      </c>
      <c r="H104" s="483"/>
      <c r="K104" t="s">
        <v>4759</v>
      </c>
      <c r="V104" s="483"/>
      <c r="Z104" t="s">
        <v>2850</v>
      </c>
      <c r="AA104" t="s">
        <v>3881</v>
      </c>
    </row>
    <row r="105" spans="1:27" x14ac:dyDescent="0.3">
      <c r="A105" s="328" t="s">
        <v>454</v>
      </c>
      <c r="B105" t="s">
        <v>455</v>
      </c>
      <c r="C105" s="327" t="s">
        <v>3214</v>
      </c>
      <c r="D105" s="328" t="str">
        <f t="shared" si="2"/>
        <v>NACE C - 10.42 Manufacture of margarine and similar edible fats</v>
      </c>
      <c r="E105" s="325" t="s">
        <v>456</v>
      </c>
      <c r="F105" t="s">
        <v>457</v>
      </c>
      <c r="G105" t="str">
        <f t="shared" si="3"/>
        <v>ID</v>
      </c>
      <c r="H105" s="483"/>
      <c r="K105" t="s">
        <v>4760</v>
      </c>
      <c r="V105" s="483"/>
      <c r="Z105" t="s">
        <v>2851</v>
      </c>
      <c r="AA105" t="s">
        <v>3882</v>
      </c>
    </row>
    <row r="106" spans="1:27" x14ac:dyDescent="0.3">
      <c r="A106" s="327" t="s">
        <v>458</v>
      </c>
      <c r="B106" t="s">
        <v>459</v>
      </c>
      <c r="C106" s="327" t="s">
        <v>3215</v>
      </c>
      <c r="D106" s="327" t="str">
        <f t="shared" si="2"/>
        <v>NACE C - 10.5 Manufacture of dairy products and edible ice</v>
      </c>
      <c r="E106" s="325" t="s">
        <v>460</v>
      </c>
      <c r="F106" t="s">
        <v>461</v>
      </c>
      <c r="G106" t="str">
        <f t="shared" si="3"/>
        <v>IE</v>
      </c>
      <c r="H106" s="483"/>
      <c r="K106" t="s">
        <v>4761</v>
      </c>
      <c r="V106" s="90"/>
      <c r="Z106" t="s">
        <v>2852</v>
      </c>
      <c r="AA106" t="s">
        <v>3883</v>
      </c>
    </row>
    <row r="107" spans="1:27" x14ac:dyDescent="0.3">
      <c r="A107" s="328" t="s">
        <v>462</v>
      </c>
      <c r="B107" t="s">
        <v>463</v>
      </c>
      <c r="C107" s="327" t="s">
        <v>3216</v>
      </c>
      <c r="D107" s="328" t="str">
        <f t="shared" si="2"/>
        <v>NACE C - 10.51 Manufacture of dairy products</v>
      </c>
      <c r="E107" s="325" t="s">
        <v>464</v>
      </c>
      <c r="F107" t="s">
        <v>465</v>
      </c>
      <c r="G107" t="str">
        <f t="shared" si="3"/>
        <v>IL</v>
      </c>
      <c r="H107" s="90"/>
      <c r="K107" t="s">
        <v>4762</v>
      </c>
      <c r="V107" s="483"/>
      <c r="Z107" t="s">
        <v>2853</v>
      </c>
      <c r="AA107" t="s">
        <v>3884</v>
      </c>
    </row>
    <row r="108" spans="1:27" x14ac:dyDescent="0.3">
      <c r="A108" s="328" t="s">
        <v>466</v>
      </c>
      <c r="B108" t="s">
        <v>467</v>
      </c>
      <c r="C108" s="327" t="s">
        <v>3217</v>
      </c>
      <c r="D108" s="328" t="str">
        <f t="shared" si="2"/>
        <v>NACE C - 10.52 Manufacture of ice cream and other edible ice</v>
      </c>
      <c r="E108" s="325" t="s">
        <v>468</v>
      </c>
      <c r="F108" t="s">
        <v>469</v>
      </c>
      <c r="G108" t="str">
        <f t="shared" si="3"/>
        <v>IM</v>
      </c>
      <c r="H108" s="483"/>
      <c r="K108" t="s">
        <v>4763</v>
      </c>
      <c r="V108" s="483"/>
      <c r="Z108" t="s">
        <v>2747</v>
      </c>
      <c r="AA108" t="s">
        <v>3885</v>
      </c>
    </row>
    <row r="109" spans="1:27" x14ac:dyDescent="0.3">
      <c r="A109" s="327" t="s">
        <v>470</v>
      </c>
      <c r="B109" t="s">
        <v>471</v>
      </c>
      <c r="C109" s="327" t="s">
        <v>3218</v>
      </c>
      <c r="D109" s="327" t="str">
        <f t="shared" si="2"/>
        <v>NACE C - 10.6 Manufacture of grain mill products, starches and starch products</v>
      </c>
      <c r="E109" s="325" t="s">
        <v>472</v>
      </c>
      <c r="F109" t="s">
        <v>473</v>
      </c>
      <c r="G109" t="str">
        <f t="shared" si="3"/>
        <v>IN</v>
      </c>
      <c r="H109" s="483"/>
      <c r="K109" t="s">
        <v>4764</v>
      </c>
      <c r="V109" s="90"/>
      <c r="Z109" t="s">
        <v>2854</v>
      </c>
      <c r="AA109" t="s">
        <v>3886</v>
      </c>
    </row>
    <row r="110" spans="1:27" x14ac:dyDescent="0.3">
      <c r="A110" s="328" t="s">
        <v>474</v>
      </c>
      <c r="B110" t="s">
        <v>475</v>
      </c>
      <c r="C110" s="324" t="s">
        <v>3219</v>
      </c>
      <c r="D110" s="328" t="str">
        <f t="shared" si="2"/>
        <v>NACE C - 10.61 Manufacture of grain mill products</v>
      </c>
      <c r="E110" s="325" t="s">
        <v>476</v>
      </c>
      <c r="F110" t="s">
        <v>477</v>
      </c>
      <c r="G110" t="str">
        <f t="shared" si="3"/>
        <v>IO</v>
      </c>
      <c r="H110" s="90"/>
      <c r="K110" t="s">
        <v>4765</v>
      </c>
      <c r="V110" s="483"/>
      <c r="Z110" t="s">
        <v>2855</v>
      </c>
      <c r="AA110" t="s">
        <v>3887</v>
      </c>
    </row>
    <row r="111" spans="1:27" x14ac:dyDescent="0.3">
      <c r="A111" s="328" t="s">
        <v>478</v>
      </c>
      <c r="B111" t="s">
        <v>479</v>
      </c>
      <c r="C111" s="327" t="s">
        <v>3220</v>
      </c>
      <c r="D111" s="328" t="str">
        <f t="shared" si="2"/>
        <v>NACE C - 10.62 Manufacture of starches and starch products</v>
      </c>
      <c r="E111" s="325" t="s">
        <v>480</v>
      </c>
      <c r="F111" t="s">
        <v>481</v>
      </c>
      <c r="G111" t="str">
        <f t="shared" si="3"/>
        <v>IQ</v>
      </c>
      <c r="H111" s="483"/>
      <c r="K111" t="s">
        <v>4766</v>
      </c>
      <c r="V111" s="483"/>
      <c r="Z111" t="s">
        <v>2856</v>
      </c>
      <c r="AA111" t="s">
        <v>3888</v>
      </c>
    </row>
    <row r="112" spans="1:27" x14ac:dyDescent="0.3">
      <c r="A112" s="327" t="s">
        <v>482</v>
      </c>
      <c r="B112" t="s">
        <v>483</v>
      </c>
      <c r="C112" s="327" t="s">
        <v>3221</v>
      </c>
      <c r="D112" s="327" t="str">
        <f t="shared" si="2"/>
        <v>NACE C - 10.7 Manufacture of bakery and farinaceous products</v>
      </c>
      <c r="E112" s="325" t="s">
        <v>484</v>
      </c>
      <c r="F112" t="s">
        <v>485</v>
      </c>
      <c r="G112" t="str">
        <f t="shared" si="3"/>
        <v>IR</v>
      </c>
      <c r="H112" s="483"/>
      <c r="K112" t="s">
        <v>4767</v>
      </c>
      <c r="V112" s="483"/>
      <c r="Z112" t="s">
        <v>2857</v>
      </c>
      <c r="AA112" t="s">
        <v>3889</v>
      </c>
    </row>
    <row r="113" spans="1:27" x14ac:dyDescent="0.3">
      <c r="A113" s="328" t="s">
        <v>486</v>
      </c>
      <c r="B113" t="s">
        <v>487</v>
      </c>
      <c r="C113" s="327" t="s">
        <v>3222</v>
      </c>
      <c r="D113" s="328" t="str">
        <f t="shared" si="2"/>
        <v>NACE C - 10.71 Manufacture of bread; manufacture of fresh pastry goods and cakes</v>
      </c>
      <c r="E113" s="325" t="s">
        <v>488</v>
      </c>
      <c r="F113" t="s">
        <v>489</v>
      </c>
      <c r="G113" t="str">
        <f t="shared" si="3"/>
        <v>IS</v>
      </c>
      <c r="H113" s="483"/>
      <c r="K113" t="s">
        <v>4768</v>
      </c>
      <c r="V113" s="483"/>
      <c r="Z113" t="s">
        <v>2858</v>
      </c>
      <c r="AA113" t="s">
        <v>3890</v>
      </c>
    </row>
    <row r="114" spans="1:27" x14ac:dyDescent="0.3">
      <c r="A114" s="328" t="s">
        <v>490</v>
      </c>
      <c r="B114" t="s">
        <v>491</v>
      </c>
      <c r="C114" s="327" t="s">
        <v>3223</v>
      </c>
      <c r="D114" s="328" t="str">
        <f t="shared" si="2"/>
        <v>NACE C - 10.72 Manufacture of rusks, biscuits, preserved pastries and cakes</v>
      </c>
      <c r="E114" s="325" t="s">
        <v>492</v>
      </c>
      <c r="F114" t="s">
        <v>493</v>
      </c>
      <c r="G114" t="str">
        <f t="shared" si="3"/>
        <v>IT</v>
      </c>
      <c r="H114" s="483"/>
      <c r="K114" t="s">
        <v>4769</v>
      </c>
      <c r="V114" s="90"/>
      <c r="Z114" t="s">
        <v>2859</v>
      </c>
      <c r="AA114" t="s">
        <v>3891</v>
      </c>
    </row>
    <row r="115" spans="1:27" x14ac:dyDescent="0.3">
      <c r="A115" s="328" t="s">
        <v>494</v>
      </c>
      <c r="B115" t="s">
        <v>495</v>
      </c>
      <c r="C115" s="327" t="s">
        <v>3224</v>
      </c>
      <c r="D115" s="328" t="str">
        <f t="shared" si="2"/>
        <v>NACE C - 10.73 Manufacture of farinaceous products</v>
      </c>
      <c r="E115" s="325" t="s">
        <v>496</v>
      </c>
      <c r="F115" t="s">
        <v>497</v>
      </c>
      <c r="G115" t="str">
        <f t="shared" si="3"/>
        <v>JE</v>
      </c>
      <c r="H115" s="90"/>
      <c r="K115" t="s">
        <v>4770</v>
      </c>
      <c r="V115" s="483"/>
      <c r="Z115" t="s">
        <v>2860</v>
      </c>
      <c r="AA115" t="s">
        <v>3892</v>
      </c>
    </row>
    <row r="116" spans="1:27" x14ac:dyDescent="0.3">
      <c r="A116" s="327" t="s">
        <v>498</v>
      </c>
      <c r="B116" t="s">
        <v>499</v>
      </c>
      <c r="C116" s="327" t="s">
        <v>3225</v>
      </c>
      <c r="D116" s="327" t="str">
        <f t="shared" si="2"/>
        <v>NACE C - 10.8 Manufacture of other food products</v>
      </c>
      <c r="E116" s="325" t="s">
        <v>500</v>
      </c>
      <c r="F116" t="s">
        <v>501</v>
      </c>
      <c r="G116" t="str">
        <f t="shared" si="3"/>
        <v>JM</v>
      </c>
      <c r="H116" s="483"/>
      <c r="K116" t="s">
        <v>4771</v>
      </c>
      <c r="V116" s="483"/>
      <c r="Z116" t="s">
        <v>2748</v>
      </c>
      <c r="AA116" t="s">
        <v>3893</v>
      </c>
    </row>
    <row r="117" spans="1:27" x14ac:dyDescent="0.3">
      <c r="A117" s="328" t="s">
        <v>502</v>
      </c>
      <c r="B117" t="s">
        <v>503</v>
      </c>
      <c r="C117" s="327" t="s">
        <v>3226</v>
      </c>
      <c r="D117" s="328" t="str">
        <f t="shared" si="2"/>
        <v>NACE C - 10.81 Manufacture of sugar</v>
      </c>
      <c r="E117" s="325" t="s">
        <v>504</v>
      </c>
      <c r="F117" t="s">
        <v>505</v>
      </c>
      <c r="G117" t="str">
        <f t="shared" si="3"/>
        <v>JO</v>
      </c>
      <c r="H117" s="483"/>
      <c r="K117" t="s">
        <v>4772</v>
      </c>
      <c r="V117" s="483"/>
      <c r="Z117" t="s">
        <v>2861</v>
      </c>
      <c r="AA117" t="s">
        <v>3894</v>
      </c>
    </row>
    <row r="118" spans="1:27" x14ac:dyDescent="0.3">
      <c r="A118" s="328" t="s">
        <v>506</v>
      </c>
      <c r="B118" t="s">
        <v>507</v>
      </c>
      <c r="C118" s="324" t="s">
        <v>3227</v>
      </c>
      <c r="D118" s="328" t="str">
        <f t="shared" si="2"/>
        <v>NACE C - 10.82 Manufacture of cocoa, chocolate and sugar confectionery</v>
      </c>
      <c r="E118" s="325" t="s">
        <v>508</v>
      </c>
      <c r="F118" t="s">
        <v>509</v>
      </c>
      <c r="G118" t="str">
        <f t="shared" si="3"/>
        <v>JP</v>
      </c>
      <c r="H118" s="483"/>
      <c r="K118" t="s">
        <v>4773</v>
      </c>
      <c r="V118" s="90"/>
      <c r="Z118" t="s">
        <v>2862</v>
      </c>
      <c r="AA118" t="s">
        <v>3895</v>
      </c>
    </row>
    <row r="119" spans="1:27" x14ac:dyDescent="0.3">
      <c r="A119" s="328" t="s">
        <v>510</v>
      </c>
      <c r="B119" t="s">
        <v>511</v>
      </c>
      <c r="C119" s="327" t="s">
        <v>3228</v>
      </c>
      <c r="D119" s="328" t="str">
        <f t="shared" si="2"/>
        <v>NACE C - 10.83 Processing of tea and coffee</v>
      </c>
      <c r="E119" s="325" t="s">
        <v>512</v>
      </c>
      <c r="F119" t="s">
        <v>513</v>
      </c>
      <c r="G119" t="str">
        <f t="shared" si="3"/>
        <v>KE</v>
      </c>
      <c r="H119" s="90"/>
      <c r="K119" t="s">
        <v>4774</v>
      </c>
      <c r="V119" s="483"/>
      <c r="Z119" t="s">
        <v>2749</v>
      </c>
      <c r="AA119" t="s">
        <v>3896</v>
      </c>
    </row>
    <row r="120" spans="1:27" x14ac:dyDescent="0.3">
      <c r="A120" s="328" t="s">
        <v>514</v>
      </c>
      <c r="B120" t="s">
        <v>515</v>
      </c>
      <c r="C120" s="327" t="s">
        <v>3229</v>
      </c>
      <c r="D120" s="328" t="str">
        <f t="shared" si="2"/>
        <v>NACE C - 10.84 Manufacture of condiments and seasonings</v>
      </c>
      <c r="E120" s="325" t="s">
        <v>516</v>
      </c>
      <c r="F120" t="s">
        <v>517</v>
      </c>
      <c r="G120" t="str">
        <f t="shared" si="3"/>
        <v>KG</v>
      </c>
      <c r="H120" s="483"/>
      <c r="K120" t="s">
        <v>4775</v>
      </c>
      <c r="V120" s="483"/>
      <c r="Z120" t="s">
        <v>2863</v>
      </c>
      <c r="AA120" t="s">
        <v>3897</v>
      </c>
    </row>
    <row r="121" spans="1:27" x14ac:dyDescent="0.3">
      <c r="A121" s="328" t="s">
        <v>518</v>
      </c>
      <c r="B121" t="s">
        <v>519</v>
      </c>
      <c r="C121" s="327" t="s">
        <v>3230</v>
      </c>
      <c r="D121" s="328" t="str">
        <f t="shared" si="2"/>
        <v>NACE C - 10.85 Manufacture of prepared meals and dishes</v>
      </c>
      <c r="E121" s="325" t="s">
        <v>520</v>
      </c>
      <c r="F121" t="s">
        <v>521</v>
      </c>
      <c r="G121" t="str">
        <f t="shared" si="3"/>
        <v>KH</v>
      </c>
      <c r="H121" s="483"/>
      <c r="K121" t="s">
        <v>4776</v>
      </c>
      <c r="V121" s="483"/>
      <c r="Z121" t="s">
        <v>2864</v>
      </c>
      <c r="AA121" t="s">
        <v>3898</v>
      </c>
    </row>
    <row r="122" spans="1:27" x14ac:dyDescent="0.3">
      <c r="A122" s="328" t="s">
        <v>522</v>
      </c>
      <c r="B122" t="s">
        <v>523</v>
      </c>
      <c r="C122" s="327" t="s">
        <v>3231</v>
      </c>
      <c r="D122" s="328" t="str">
        <f t="shared" si="2"/>
        <v>NACE C - 10.86 Manufacture of homogenised food preparations and dietetic food</v>
      </c>
      <c r="E122" s="325" t="s">
        <v>524</v>
      </c>
      <c r="F122" t="s">
        <v>525</v>
      </c>
      <c r="G122" t="str">
        <f t="shared" si="3"/>
        <v>KI</v>
      </c>
      <c r="H122" s="483"/>
      <c r="K122" t="s">
        <v>4777</v>
      </c>
      <c r="V122" s="483"/>
      <c r="Z122" t="s">
        <v>2865</v>
      </c>
      <c r="AA122" t="s">
        <v>3899</v>
      </c>
    </row>
    <row r="123" spans="1:27" x14ac:dyDescent="0.3">
      <c r="A123" s="328" t="s">
        <v>526</v>
      </c>
      <c r="B123" t="s">
        <v>527</v>
      </c>
      <c r="C123" s="327" t="s">
        <v>3232</v>
      </c>
      <c r="D123" s="328" t="str">
        <f t="shared" si="2"/>
        <v>NACE C - 10.89 Manufacture of other food products n.e.c.</v>
      </c>
      <c r="E123" s="325" t="s">
        <v>528</v>
      </c>
      <c r="F123" t="s">
        <v>529</v>
      </c>
      <c r="G123" t="str">
        <f t="shared" si="3"/>
        <v>KM</v>
      </c>
      <c r="H123" s="483"/>
      <c r="K123" t="s">
        <v>4778</v>
      </c>
      <c r="V123" s="483"/>
      <c r="Z123" t="s">
        <v>2866</v>
      </c>
      <c r="AA123" t="s">
        <v>3900</v>
      </c>
    </row>
    <row r="124" spans="1:27" x14ac:dyDescent="0.3">
      <c r="A124" s="327" t="s">
        <v>530</v>
      </c>
      <c r="B124" t="s">
        <v>531</v>
      </c>
      <c r="C124" s="327" t="s">
        <v>3233</v>
      </c>
      <c r="D124" s="327" t="str">
        <f t="shared" si="2"/>
        <v>NACE C - 10.9 Manufacture of prepared animal feeds</v>
      </c>
      <c r="E124" s="325" t="s">
        <v>532</v>
      </c>
      <c r="F124" t="s">
        <v>533</v>
      </c>
      <c r="G124" t="str">
        <f t="shared" si="3"/>
        <v>KN</v>
      </c>
      <c r="H124" s="483"/>
      <c r="K124" t="s">
        <v>4644</v>
      </c>
      <c r="V124" s="90"/>
      <c r="Z124" t="s">
        <v>2867</v>
      </c>
      <c r="AA124" t="s">
        <v>3901</v>
      </c>
    </row>
    <row r="125" spans="1:27" x14ac:dyDescent="0.3">
      <c r="A125" s="328" t="s">
        <v>534</v>
      </c>
      <c r="B125" t="s">
        <v>535</v>
      </c>
      <c r="C125" s="324" t="s">
        <v>3234</v>
      </c>
      <c r="D125" s="328" t="str">
        <f t="shared" si="2"/>
        <v>NACE C - 10.91 Manufacture of prepared feeds for farm animals</v>
      </c>
      <c r="E125" s="325" t="s">
        <v>536</v>
      </c>
      <c r="F125" t="s">
        <v>537</v>
      </c>
      <c r="G125" t="str">
        <f t="shared" si="3"/>
        <v>KP</v>
      </c>
      <c r="H125" s="90"/>
      <c r="K125" t="s">
        <v>4779</v>
      </c>
      <c r="V125" s="483"/>
      <c r="Z125" t="s">
        <v>2868</v>
      </c>
      <c r="AA125" t="s">
        <v>3902</v>
      </c>
    </row>
    <row r="126" spans="1:27" x14ac:dyDescent="0.3">
      <c r="A126" s="328" t="s">
        <v>538</v>
      </c>
      <c r="B126" t="s">
        <v>539</v>
      </c>
      <c r="C126" s="327" t="s">
        <v>3235</v>
      </c>
      <c r="D126" s="328" t="str">
        <f t="shared" si="2"/>
        <v>NACE C - 10.92 Manufacture of prepared pet foods</v>
      </c>
      <c r="E126" s="325" t="s">
        <v>540</v>
      </c>
      <c r="F126" t="s">
        <v>541</v>
      </c>
      <c r="G126" t="str">
        <f t="shared" si="3"/>
        <v>KR</v>
      </c>
      <c r="H126" s="483"/>
      <c r="K126" t="s">
        <v>4780</v>
      </c>
      <c r="V126" s="483"/>
      <c r="Z126" t="s">
        <v>2869</v>
      </c>
      <c r="AA126" t="s">
        <v>3903</v>
      </c>
    </row>
    <row r="127" spans="1:27" x14ac:dyDescent="0.3">
      <c r="A127" s="324" t="s">
        <v>542</v>
      </c>
      <c r="B127" t="s">
        <v>543</v>
      </c>
      <c r="C127" s="327" t="s">
        <v>3236</v>
      </c>
      <c r="D127" s="324" t="str">
        <f t="shared" si="2"/>
        <v>NACE C - 11 Manufacture of beverages</v>
      </c>
      <c r="E127" s="325" t="s">
        <v>544</v>
      </c>
      <c r="F127" t="s">
        <v>545</v>
      </c>
      <c r="G127" t="str">
        <f t="shared" si="3"/>
        <v>KW</v>
      </c>
      <c r="H127" s="483"/>
      <c r="K127" t="s">
        <v>4781</v>
      </c>
      <c r="V127" s="483"/>
      <c r="Z127" t="s">
        <v>2870</v>
      </c>
      <c r="AA127" t="s">
        <v>3904</v>
      </c>
    </row>
    <row r="128" spans="1:27" x14ac:dyDescent="0.3">
      <c r="A128" s="327" t="s">
        <v>546</v>
      </c>
      <c r="B128" t="s">
        <v>547</v>
      </c>
      <c r="C128" s="327" t="s">
        <v>3237</v>
      </c>
      <c r="D128" s="327" t="str">
        <f t="shared" si="2"/>
        <v>NACE C - 11.0 Manufacture of beverages</v>
      </c>
      <c r="E128" s="325" t="s">
        <v>548</v>
      </c>
      <c r="F128" t="s">
        <v>549</v>
      </c>
      <c r="G128" t="str">
        <f t="shared" si="3"/>
        <v>KY</v>
      </c>
      <c r="H128" s="483"/>
      <c r="K128" t="s">
        <v>4782</v>
      </c>
      <c r="V128" s="483"/>
      <c r="Z128" t="s">
        <v>2871</v>
      </c>
      <c r="AA128" t="s">
        <v>3905</v>
      </c>
    </row>
    <row r="129" spans="1:27" x14ac:dyDescent="0.3">
      <c r="A129" s="328" t="s">
        <v>550</v>
      </c>
      <c r="B129" t="s">
        <v>551</v>
      </c>
      <c r="C129" s="327" t="s">
        <v>3238</v>
      </c>
      <c r="D129" s="328" t="str">
        <f t="shared" si="2"/>
        <v>NACE C - 11.01 Distilling, rectifying and blending of spirits</v>
      </c>
      <c r="E129" s="325" t="s">
        <v>552</v>
      </c>
      <c r="F129" t="s">
        <v>553</v>
      </c>
      <c r="G129" t="str">
        <f t="shared" si="3"/>
        <v>KZ</v>
      </c>
      <c r="H129" s="483"/>
      <c r="K129" t="s">
        <v>4783</v>
      </c>
      <c r="V129" s="483"/>
      <c r="Z129" t="s">
        <v>2872</v>
      </c>
      <c r="AA129" t="s">
        <v>3906</v>
      </c>
    </row>
    <row r="130" spans="1:27" x14ac:dyDescent="0.3">
      <c r="A130" s="328" t="s">
        <v>554</v>
      </c>
      <c r="B130" t="s">
        <v>555</v>
      </c>
      <c r="C130" s="327" t="s">
        <v>3239</v>
      </c>
      <c r="D130" s="328" t="str">
        <f t="shared" ref="D130:D193" si="4">_xlfn.CONCAT("NACE ", A130)</f>
        <v>NACE C - 11.02 Manufacture of wine from grape</v>
      </c>
      <c r="E130" s="325" t="s">
        <v>556</v>
      </c>
      <c r="F130" t="s">
        <v>557</v>
      </c>
      <c r="G130" t="str">
        <f t="shared" si="3"/>
        <v>LA</v>
      </c>
      <c r="H130" s="483"/>
      <c r="K130" t="s">
        <v>4784</v>
      </c>
      <c r="V130" s="90"/>
      <c r="Z130" t="s">
        <v>2750</v>
      </c>
      <c r="AA130" t="s">
        <v>3907</v>
      </c>
    </row>
    <row r="131" spans="1:27" x14ac:dyDescent="0.3">
      <c r="A131" s="328" t="s">
        <v>558</v>
      </c>
      <c r="B131" t="s">
        <v>559</v>
      </c>
      <c r="C131" s="324" t="s">
        <v>3240</v>
      </c>
      <c r="D131" s="328" t="str">
        <f t="shared" si="4"/>
        <v>NACE C - 11.03 Manufacture of cider and other fermented fruit beverages</v>
      </c>
      <c r="E131" s="325" t="s">
        <v>560</v>
      </c>
      <c r="F131" t="s">
        <v>561</v>
      </c>
      <c r="G131" t="str">
        <f t="shared" ref="G131:G194" si="5">RIGHT(F131,2)</f>
        <v>LB</v>
      </c>
      <c r="H131" s="90"/>
      <c r="K131" t="s">
        <v>4785</v>
      </c>
      <c r="V131" s="483"/>
      <c r="Z131" t="s">
        <v>2873</v>
      </c>
      <c r="AA131" t="s">
        <v>3908</v>
      </c>
    </row>
    <row r="132" spans="1:27" x14ac:dyDescent="0.3">
      <c r="A132" s="328" t="s">
        <v>562</v>
      </c>
      <c r="B132" t="s">
        <v>563</v>
      </c>
      <c r="C132" s="327" t="s">
        <v>3241</v>
      </c>
      <c r="D132" s="328" t="str">
        <f t="shared" si="4"/>
        <v>NACE C - 11.04 Manufacture of other non-distilled fermented beverages</v>
      </c>
      <c r="E132" s="325" t="s">
        <v>564</v>
      </c>
      <c r="F132" t="s">
        <v>565</v>
      </c>
      <c r="G132" t="str">
        <f t="shared" si="5"/>
        <v>LC</v>
      </c>
      <c r="H132" s="483"/>
      <c r="K132" t="s">
        <v>4786</v>
      </c>
      <c r="V132" s="483"/>
      <c r="Z132" t="s">
        <v>2874</v>
      </c>
      <c r="AA132" t="s">
        <v>3909</v>
      </c>
    </row>
    <row r="133" spans="1:27" x14ac:dyDescent="0.3">
      <c r="A133" s="328" t="s">
        <v>566</v>
      </c>
      <c r="B133" t="s">
        <v>567</v>
      </c>
      <c r="C133" s="327" t="s">
        <v>3242</v>
      </c>
      <c r="D133" s="328" t="str">
        <f t="shared" si="4"/>
        <v>NACE C - 11.05 Manufacture of beer</v>
      </c>
      <c r="E133" s="325" t="s">
        <v>568</v>
      </c>
      <c r="F133" t="s">
        <v>569</v>
      </c>
      <c r="G133" t="str">
        <f t="shared" si="5"/>
        <v>LI</v>
      </c>
      <c r="H133" s="483"/>
      <c r="K133" t="s">
        <v>4787</v>
      </c>
      <c r="V133" s="483"/>
      <c r="Z133" t="s">
        <v>2875</v>
      </c>
      <c r="AA133" t="s">
        <v>3910</v>
      </c>
    </row>
    <row r="134" spans="1:27" x14ac:dyDescent="0.3">
      <c r="A134" s="328" t="s">
        <v>570</v>
      </c>
      <c r="B134" t="s">
        <v>571</v>
      </c>
      <c r="C134" s="327" t="s">
        <v>3243</v>
      </c>
      <c r="D134" s="328" t="str">
        <f t="shared" si="4"/>
        <v>NACE C - 11.06 Manufacture of malt</v>
      </c>
      <c r="E134" s="325" t="s">
        <v>572</v>
      </c>
      <c r="F134" t="s">
        <v>573</v>
      </c>
      <c r="G134" t="str">
        <f t="shared" si="5"/>
        <v>LK</v>
      </c>
      <c r="H134" s="483"/>
      <c r="K134" t="s">
        <v>4788</v>
      </c>
      <c r="V134" s="90"/>
      <c r="AA134" t="s">
        <v>3911</v>
      </c>
    </row>
    <row r="135" spans="1:27" x14ac:dyDescent="0.3">
      <c r="A135" s="328" t="s">
        <v>574</v>
      </c>
      <c r="B135" t="s">
        <v>575</v>
      </c>
      <c r="C135" s="324" t="s">
        <v>3244</v>
      </c>
      <c r="D135" s="328" t="str">
        <f t="shared" si="4"/>
        <v>NACE C - 11.07 Manufacture of soft drinks and bottled waters</v>
      </c>
      <c r="E135" s="325" t="s">
        <v>576</v>
      </c>
      <c r="F135" t="s">
        <v>577</v>
      </c>
      <c r="G135" t="str">
        <f t="shared" si="5"/>
        <v>LR</v>
      </c>
      <c r="H135" s="90"/>
      <c r="K135" t="s">
        <v>4789</v>
      </c>
      <c r="V135" s="483"/>
      <c r="AA135" t="s">
        <v>3912</v>
      </c>
    </row>
    <row r="136" spans="1:27" x14ac:dyDescent="0.3">
      <c r="A136" s="324" t="s">
        <v>578</v>
      </c>
      <c r="B136" t="s">
        <v>579</v>
      </c>
      <c r="C136" s="327" t="s">
        <v>3245</v>
      </c>
      <c r="D136" s="324" t="str">
        <f t="shared" si="4"/>
        <v>NACE C - 12 Manufacture of tobacco products</v>
      </c>
      <c r="E136" s="325" t="s">
        <v>580</v>
      </c>
      <c r="F136" t="s">
        <v>581</v>
      </c>
      <c r="G136" t="str">
        <f t="shared" si="5"/>
        <v>LS</v>
      </c>
      <c r="H136" s="483"/>
      <c r="K136" t="s">
        <v>4790</v>
      </c>
      <c r="V136" s="483"/>
      <c r="AA136" t="s">
        <v>3913</v>
      </c>
    </row>
    <row r="137" spans="1:27" x14ac:dyDescent="0.3">
      <c r="A137" s="327" t="s">
        <v>582</v>
      </c>
      <c r="B137" t="s">
        <v>583</v>
      </c>
      <c r="C137" s="327" t="s">
        <v>3246</v>
      </c>
      <c r="D137" s="327" t="str">
        <f t="shared" si="4"/>
        <v>NACE C - 12.0 Manufacture of tobacco products</v>
      </c>
      <c r="E137" s="325" t="s">
        <v>584</v>
      </c>
      <c r="F137" t="s">
        <v>585</v>
      </c>
      <c r="G137" t="str">
        <f t="shared" si="5"/>
        <v>LT</v>
      </c>
      <c r="H137" s="483"/>
      <c r="K137" t="s">
        <v>4791</v>
      </c>
      <c r="V137" s="482"/>
      <c r="AA137" t="s">
        <v>3914</v>
      </c>
    </row>
    <row r="138" spans="1:27" x14ac:dyDescent="0.3">
      <c r="A138" s="328" t="s">
        <v>586</v>
      </c>
      <c r="B138" t="s">
        <v>587</v>
      </c>
      <c r="C138" s="327" t="s">
        <v>3247</v>
      </c>
      <c r="D138" s="328" t="str">
        <f t="shared" si="4"/>
        <v>NACE C - 12.00 Manufacture of tobacco products</v>
      </c>
      <c r="E138" s="325" t="s">
        <v>588</v>
      </c>
      <c r="F138" t="s">
        <v>589</v>
      </c>
      <c r="G138" t="str">
        <f t="shared" si="5"/>
        <v>LU</v>
      </c>
      <c r="H138" s="482"/>
      <c r="K138" t="s">
        <v>4792</v>
      </c>
      <c r="V138" s="483"/>
      <c r="AA138" t="s">
        <v>3915</v>
      </c>
    </row>
    <row r="139" spans="1:27" x14ac:dyDescent="0.3">
      <c r="A139" s="324" t="s">
        <v>590</v>
      </c>
      <c r="B139" t="s">
        <v>591</v>
      </c>
      <c r="C139" s="327" t="s">
        <v>3248</v>
      </c>
      <c r="D139" s="324" t="str">
        <f t="shared" si="4"/>
        <v>NACE C - 13 Manufacture of textiles</v>
      </c>
      <c r="E139" s="325" t="s">
        <v>592</v>
      </c>
      <c r="F139" t="s">
        <v>593</v>
      </c>
      <c r="G139" t="str">
        <f t="shared" si="5"/>
        <v>LV</v>
      </c>
      <c r="H139" s="483"/>
      <c r="K139" t="s">
        <v>4793</v>
      </c>
      <c r="V139" s="90"/>
      <c r="AA139" t="s">
        <v>3916</v>
      </c>
    </row>
    <row r="140" spans="1:27" x14ac:dyDescent="0.3">
      <c r="A140" s="327" t="s">
        <v>594</v>
      </c>
      <c r="B140" t="s">
        <v>595</v>
      </c>
      <c r="C140" s="327" t="s">
        <v>3249</v>
      </c>
      <c r="D140" s="327" t="str">
        <f t="shared" si="4"/>
        <v>NACE C - 13.1 Preparation and spinning of textile fibres</v>
      </c>
      <c r="E140" s="325" t="s">
        <v>596</v>
      </c>
      <c r="F140" t="s">
        <v>597</v>
      </c>
      <c r="G140" t="str">
        <f t="shared" si="5"/>
        <v>LY</v>
      </c>
      <c r="H140" s="90"/>
      <c r="K140" t="s">
        <v>4794</v>
      </c>
      <c r="V140" s="483"/>
      <c r="AA140" t="s">
        <v>3917</v>
      </c>
    </row>
    <row r="141" spans="1:27" x14ac:dyDescent="0.3">
      <c r="A141" s="328" t="s">
        <v>598</v>
      </c>
      <c r="B141" t="s">
        <v>599</v>
      </c>
      <c r="C141" s="324" t="s">
        <v>3250</v>
      </c>
      <c r="D141" s="328" t="str">
        <f t="shared" si="4"/>
        <v>NACE C - 13.10 Preparation and spinning of textile fibres</v>
      </c>
      <c r="E141" s="325" t="s">
        <v>600</v>
      </c>
      <c r="F141" t="s">
        <v>601</v>
      </c>
      <c r="G141" t="str">
        <f t="shared" si="5"/>
        <v>MA</v>
      </c>
      <c r="H141" s="483"/>
      <c r="K141" t="s">
        <v>4795</v>
      </c>
      <c r="V141" s="483"/>
      <c r="AA141" t="s">
        <v>3918</v>
      </c>
    </row>
    <row r="142" spans="1:27" x14ac:dyDescent="0.3">
      <c r="A142" s="327" t="s">
        <v>602</v>
      </c>
      <c r="B142" t="s">
        <v>603</v>
      </c>
      <c r="C142" s="327" t="s">
        <v>3251</v>
      </c>
      <c r="D142" s="327" t="str">
        <f t="shared" si="4"/>
        <v>NACE C - 13.2 Weaving of textiles</v>
      </c>
      <c r="E142" s="325" t="s">
        <v>604</v>
      </c>
      <c r="F142" t="s">
        <v>605</v>
      </c>
      <c r="G142" t="str">
        <f t="shared" si="5"/>
        <v>MC</v>
      </c>
      <c r="H142" s="483"/>
      <c r="K142" t="s">
        <v>4796</v>
      </c>
      <c r="V142" s="482"/>
      <c r="AA142" t="s">
        <v>3919</v>
      </c>
    </row>
    <row r="143" spans="1:27" x14ac:dyDescent="0.3">
      <c r="A143" s="328" t="s">
        <v>606</v>
      </c>
      <c r="B143" t="s">
        <v>607</v>
      </c>
      <c r="C143" s="324" t="s">
        <v>3252</v>
      </c>
      <c r="D143" s="328" t="str">
        <f t="shared" si="4"/>
        <v>NACE C - 13.20 Weaving of textiles</v>
      </c>
      <c r="E143" s="325" t="s">
        <v>608</v>
      </c>
      <c r="F143" t="s">
        <v>609</v>
      </c>
      <c r="G143" t="str">
        <f t="shared" si="5"/>
        <v>MD</v>
      </c>
      <c r="H143" s="482"/>
      <c r="K143" t="s">
        <v>4797</v>
      </c>
      <c r="V143" s="483"/>
      <c r="AA143" t="s">
        <v>3920</v>
      </c>
    </row>
    <row r="144" spans="1:27" x14ac:dyDescent="0.3">
      <c r="A144" s="327" t="s">
        <v>610</v>
      </c>
      <c r="B144" t="s">
        <v>611</v>
      </c>
      <c r="C144" s="327" t="s">
        <v>3253</v>
      </c>
      <c r="D144" s="327" t="str">
        <f t="shared" si="4"/>
        <v>NACE C - 13.3 Finishing of textiles</v>
      </c>
      <c r="E144" s="325" t="s">
        <v>612</v>
      </c>
      <c r="F144" t="s">
        <v>613</v>
      </c>
      <c r="G144" t="str">
        <f t="shared" si="5"/>
        <v>ME</v>
      </c>
      <c r="H144" s="483"/>
      <c r="K144" t="s">
        <v>4798</v>
      </c>
      <c r="V144" s="483"/>
      <c r="AA144" t="s">
        <v>3921</v>
      </c>
    </row>
    <row r="145" spans="1:27" x14ac:dyDescent="0.3">
      <c r="A145" s="328" t="s">
        <v>614</v>
      </c>
      <c r="B145" t="s">
        <v>615</v>
      </c>
      <c r="C145" s="327" t="s">
        <v>3254</v>
      </c>
      <c r="D145" s="328" t="str">
        <f t="shared" si="4"/>
        <v>NACE C - 13.30 Finishing of textiles</v>
      </c>
      <c r="E145" s="325" t="s">
        <v>616</v>
      </c>
      <c r="F145" t="s">
        <v>617</v>
      </c>
      <c r="G145" t="str">
        <f t="shared" si="5"/>
        <v>MF</v>
      </c>
      <c r="H145" s="483"/>
      <c r="K145" t="s">
        <v>4799</v>
      </c>
      <c r="V145" s="482"/>
      <c r="AA145" t="s">
        <v>3922</v>
      </c>
    </row>
    <row r="146" spans="1:27" x14ac:dyDescent="0.3">
      <c r="A146" s="327" t="s">
        <v>618</v>
      </c>
      <c r="B146" t="s">
        <v>619</v>
      </c>
      <c r="C146" s="327" t="s">
        <v>3255</v>
      </c>
      <c r="D146" s="327" t="str">
        <f t="shared" si="4"/>
        <v>NACE C - 13.9 Manufacture of other textiles</v>
      </c>
      <c r="E146" s="325" t="s">
        <v>620</v>
      </c>
      <c r="F146" t="s">
        <v>621</v>
      </c>
      <c r="G146" t="str">
        <f t="shared" si="5"/>
        <v>MG</v>
      </c>
      <c r="H146" s="482"/>
      <c r="K146" t="s">
        <v>4800</v>
      </c>
      <c r="V146" s="90"/>
      <c r="AA146" t="s">
        <v>3923</v>
      </c>
    </row>
    <row r="147" spans="1:27" x14ac:dyDescent="0.3">
      <c r="A147" s="328" t="s">
        <v>622</v>
      </c>
      <c r="B147" t="s">
        <v>623</v>
      </c>
      <c r="C147" s="327" t="s">
        <v>3256</v>
      </c>
      <c r="D147" s="328" t="str">
        <f t="shared" si="4"/>
        <v>NACE C - 13.91 Manufacture of knitted and crocheted fabrics</v>
      </c>
      <c r="E147" s="325" t="s">
        <v>624</v>
      </c>
      <c r="F147" t="s">
        <v>625</v>
      </c>
      <c r="G147" t="str">
        <f t="shared" si="5"/>
        <v>MH</v>
      </c>
      <c r="H147" s="90"/>
      <c r="K147" t="s">
        <v>4801</v>
      </c>
      <c r="V147" s="483"/>
      <c r="AA147" t="s">
        <v>3924</v>
      </c>
    </row>
    <row r="148" spans="1:27" x14ac:dyDescent="0.3">
      <c r="A148" s="328" t="s">
        <v>626</v>
      </c>
      <c r="B148" t="s">
        <v>627</v>
      </c>
      <c r="C148" s="327" t="s">
        <v>3257</v>
      </c>
      <c r="D148" s="328" t="str">
        <f t="shared" si="4"/>
        <v>NACE C - 13.92 Manufacture of household textiles and made-up furnishing articles</v>
      </c>
      <c r="E148" s="325" t="s">
        <v>628</v>
      </c>
      <c r="F148" t="s">
        <v>629</v>
      </c>
      <c r="G148" t="str">
        <f t="shared" si="5"/>
        <v>MK</v>
      </c>
      <c r="H148" s="483"/>
      <c r="K148" t="s">
        <v>4802</v>
      </c>
      <c r="V148" s="483"/>
      <c r="AA148" t="s">
        <v>3925</v>
      </c>
    </row>
    <row r="149" spans="1:27" x14ac:dyDescent="0.3">
      <c r="A149" s="328" t="s">
        <v>630</v>
      </c>
      <c r="B149" t="s">
        <v>631</v>
      </c>
      <c r="C149" s="327" t="s">
        <v>3258</v>
      </c>
      <c r="D149" s="328" t="str">
        <f t="shared" si="4"/>
        <v>NACE C - 13.93 Manufacture of carpets and rugs</v>
      </c>
      <c r="E149" s="325" t="s">
        <v>632</v>
      </c>
      <c r="F149" t="s">
        <v>633</v>
      </c>
      <c r="G149" t="str">
        <f t="shared" si="5"/>
        <v>ML</v>
      </c>
      <c r="H149" s="483"/>
      <c r="K149" t="s">
        <v>4803</v>
      </c>
      <c r="V149" s="483"/>
      <c r="AA149" t="s">
        <v>3926</v>
      </c>
    </row>
    <row r="150" spans="1:27" x14ac:dyDescent="0.3">
      <c r="A150" s="328" t="s">
        <v>634</v>
      </c>
      <c r="B150" t="s">
        <v>635</v>
      </c>
      <c r="C150" s="324" t="s">
        <v>3259</v>
      </c>
      <c r="D150" s="328" t="str">
        <f t="shared" si="4"/>
        <v>NACE C - 13.94 Manufacture of cordage, rope, twine and netting</v>
      </c>
      <c r="E150" s="325" t="s">
        <v>636</v>
      </c>
      <c r="F150" t="s">
        <v>637</v>
      </c>
      <c r="G150" t="str">
        <f t="shared" si="5"/>
        <v>MM</v>
      </c>
      <c r="H150" s="483"/>
      <c r="K150" t="s">
        <v>4804</v>
      </c>
      <c r="V150" s="482"/>
      <c r="AA150" t="s">
        <v>3927</v>
      </c>
    </row>
    <row r="151" spans="1:27" x14ac:dyDescent="0.3">
      <c r="A151" s="328" t="s">
        <v>638</v>
      </c>
      <c r="B151" t="s">
        <v>639</v>
      </c>
      <c r="C151" s="327" t="s">
        <v>3260</v>
      </c>
      <c r="D151" s="328" t="str">
        <f t="shared" si="4"/>
        <v>NACE C - 13.95 Manufacture of non-wovens and non-woven articles</v>
      </c>
      <c r="E151" s="325" t="s">
        <v>640</v>
      </c>
      <c r="F151" t="s">
        <v>641</v>
      </c>
      <c r="G151" t="str">
        <f t="shared" si="5"/>
        <v>MN</v>
      </c>
      <c r="H151" s="482"/>
      <c r="K151" t="s">
        <v>4805</v>
      </c>
      <c r="V151" s="482"/>
      <c r="AA151" t="s">
        <v>3928</v>
      </c>
    </row>
    <row r="152" spans="1:27" x14ac:dyDescent="0.3">
      <c r="A152" s="328" t="s">
        <v>642</v>
      </c>
      <c r="B152" t="s">
        <v>643</v>
      </c>
      <c r="C152" s="327" t="s">
        <v>3261</v>
      </c>
      <c r="D152" s="328" t="str">
        <f t="shared" si="4"/>
        <v>NACE C - 13.96 Manufacture of other technical and industrial textiles</v>
      </c>
      <c r="E152" s="325" t="s">
        <v>644</v>
      </c>
      <c r="F152" t="s">
        <v>645</v>
      </c>
      <c r="G152" t="str">
        <f t="shared" si="5"/>
        <v>MO</v>
      </c>
      <c r="H152" s="482"/>
      <c r="K152" t="s">
        <v>4645</v>
      </c>
      <c r="V152" s="482"/>
      <c r="AA152" t="s">
        <v>3929</v>
      </c>
    </row>
    <row r="153" spans="1:27" x14ac:dyDescent="0.3">
      <c r="A153" s="328" t="s">
        <v>646</v>
      </c>
      <c r="B153" t="s">
        <v>647</v>
      </c>
      <c r="C153" s="325" t="s">
        <v>3144</v>
      </c>
      <c r="D153" s="328" t="str">
        <f t="shared" si="4"/>
        <v>NACE C - 13.99 Manufacture of other textiles n.e.c.</v>
      </c>
      <c r="E153" s="325" t="s">
        <v>648</v>
      </c>
      <c r="F153" t="s">
        <v>649</v>
      </c>
      <c r="G153" t="str">
        <f t="shared" si="5"/>
        <v>MP</v>
      </c>
      <c r="H153" s="482"/>
      <c r="K153" t="s">
        <v>4806</v>
      </c>
      <c r="V153" s="483"/>
      <c r="AA153" t="s">
        <v>3930</v>
      </c>
    </row>
    <row r="154" spans="1:27" x14ac:dyDescent="0.3">
      <c r="A154" s="324" t="s">
        <v>650</v>
      </c>
      <c r="B154" t="s">
        <v>651</v>
      </c>
      <c r="C154" s="324" t="s">
        <v>3263</v>
      </c>
      <c r="D154" s="324" t="str">
        <f t="shared" si="4"/>
        <v>NACE C - 14 Manufacture of wearing apparel</v>
      </c>
      <c r="E154" s="325" t="s">
        <v>652</v>
      </c>
      <c r="F154" t="s">
        <v>653</v>
      </c>
      <c r="G154" t="str">
        <f t="shared" si="5"/>
        <v>MQ</v>
      </c>
      <c r="H154" s="483"/>
      <c r="K154" t="s">
        <v>4807</v>
      </c>
      <c r="V154" s="483"/>
      <c r="AA154" t="s">
        <v>3931</v>
      </c>
    </row>
    <row r="155" spans="1:27" x14ac:dyDescent="0.3">
      <c r="A155" s="327" t="s">
        <v>654</v>
      </c>
      <c r="B155" t="s">
        <v>655</v>
      </c>
      <c r="C155" s="327" t="s">
        <v>3264</v>
      </c>
      <c r="D155" s="327" t="str">
        <f t="shared" si="4"/>
        <v>NACE C - 14.1 Manufacture of knitted and crocheted apparel</v>
      </c>
      <c r="E155" s="325" t="s">
        <v>656</v>
      </c>
      <c r="F155" t="s">
        <v>657</v>
      </c>
      <c r="G155" t="str">
        <f t="shared" si="5"/>
        <v>MR</v>
      </c>
      <c r="H155" s="483"/>
      <c r="K155" t="s">
        <v>4808</v>
      </c>
      <c r="V155" s="90"/>
      <c r="AA155" t="s">
        <v>3932</v>
      </c>
    </row>
    <row r="156" spans="1:27" x14ac:dyDescent="0.3">
      <c r="A156" s="328" t="s">
        <v>658</v>
      </c>
      <c r="B156" t="s">
        <v>659</v>
      </c>
      <c r="C156" s="327" t="s">
        <v>3265</v>
      </c>
      <c r="D156" s="328" t="str">
        <f t="shared" si="4"/>
        <v>NACE C - 14.10 Manufacture of knitted and crocheted apparel</v>
      </c>
      <c r="E156" s="325" t="s">
        <v>660</v>
      </c>
      <c r="F156" t="s">
        <v>661</v>
      </c>
      <c r="G156" t="str">
        <f t="shared" si="5"/>
        <v>MS</v>
      </c>
      <c r="H156" s="90"/>
      <c r="K156" t="s">
        <v>4809</v>
      </c>
      <c r="V156" s="483"/>
      <c r="AA156" t="s">
        <v>3933</v>
      </c>
    </row>
    <row r="157" spans="1:27" x14ac:dyDescent="0.3">
      <c r="A157" s="327" t="s">
        <v>662</v>
      </c>
      <c r="B157" t="s">
        <v>663</v>
      </c>
      <c r="C157" s="327" t="s">
        <v>3266</v>
      </c>
      <c r="D157" s="327" t="str">
        <f t="shared" si="4"/>
        <v>NACE C - 14.2 Manufacture of other wearing apparel and accessories</v>
      </c>
      <c r="E157" s="325" t="s">
        <v>664</v>
      </c>
      <c r="F157" t="s">
        <v>665</v>
      </c>
      <c r="G157" t="str">
        <f t="shared" si="5"/>
        <v>MT</v>
      </c>
      <c r="H157" s="483"/>
      <c r="K157" t="s">
        <v>4810</v>
      </c>
      <c r="V157" s="90"/>
      <c r="AA157" t="s">
        <v>3934</v>
      </c>
    </row>
    <row r="158" spans="1:27" x14ac:dyDescent="0.3">
      <c r="A158" s="328" t="s">
        <v>666</v>
      </c>
      <c r="B158" t="s">
        <v>667</v>
      </c>
      <c r="C158" s="327" t="s">
        <v>3267</v>
      </c>
      <c r="D158" s="328" t="str">
        <f t="shared" si="4"/>
        <v>NACE C - 14.21 Manufacture of outerwear</v>
      </c>
      <c r="E158" s="325" t="s">
        <v>668</v>
      </c>
      <c r="F158" t="s">
        <v>669</v>
      </c>
      <c r="G158" t="str">
        <f t="shared" si="5"/>
        <v>MU</v>
      </c>
      <c r="H158" s="90"/>
      <c r="K158" t="s">
        <v>4811</v>
      </c>
      <c r="V158" s="90"/>
      <c r="AA158" t="s">
        <v>3935</v>
      </c>
    </row>
    <row r="159" spans="1:27" x14ac:dyDescent="0.3">
      <c r="A159" s="328" t="s">
        <v>670</v>
      </c>
      <c r="B159" t="s">
        <v>671</v>
      </c>
      <c r="C159" s="325" t="s">
        <v>3262</v>
      </c>
      <c r="D159" s="328" t="str">
        <f t="shared" si="4"/>
        <v>NACE C - 14.22 Manufacture of underwear</v>
      </c>
      <c r="E159" s="325" t="s">
        <v>672</v>
      </c>
      <c r="F159" t="s">
        <v>673</v>
      </c>
      <c r="G159" t="str">
        <f t="shared" si="5"/>
        <v>MV</v>
      </c>
      <c r="H159" s="90"/>
      <c r="K159" t="s">
        <v>4812</v>
      </c>
      <c r="V159" s="90"/>
      <c r="AA159" t="s">
        <v>3936</v>
      </c>
    </row>
    <row r="160" spans="1:27" x14ac:dyDescent="0.3">
      <c r="A160" s="328" t="s">
        <v>674</v>
      </c>
      <c r="B160" t="s">
        <v>675</v>
      </c>
      <c r="C160" s="324" t="s">
        <v>3269</v>
      </c>
      <c r="D160" s="328" t="str">
        <f t="shared" si="4"/>
        <v>NACE C - 14.23 Manufacture of workwear</v>
      </c>
      <c r="E160" s="325" t="s">
        <v>676</v>
      </c>
      <c r="F160" t="s">
        <v>677</v>
      </c>
      <c r="G160" t="str">
        <f t="shared" si="5"/>
        <v>MW</v>
      </c>
      <c r="H160" s="90"/>
      <c r="K160" t="s">
        <v>4813</v>
      </c>
      <c r="V160" s="90"/>
      <c r="AA160" t="s">
        <v>3937</v>
      </c>
    </row>
    <row r="161" spans="1:27" x14ac:dyDescent="0.3">
      <c r="A161" s="328" t="s">
        <v>678</v>
      </c>
      <c r="B161" t="s">
        <v>679</v>
      </c>
      <c r="C161" s="327" t="s">
        <v>3270</v>
      </c>
      <c r="D161" s="328" t="str">
        <f t="shared" si="4"/>
        <v>NACE C - 14.24 Manufacture of leather clothes and fur apparel</v>
      </c>
      <c r="E161" s="325" t="s">
        <v>680</v>
      </c>
      <c r="F161" t="s">
        <v>681</v>
      </c>
      <c r="G161" t="str">
        <f t="shared" si="5"/>
        <v>MX</v>
      </c>
      <c r="H161" s="90"/>
      <c r="K161" t="s">
        <v>4814</v>
      </c>
      <c r="AA161" t="s">
        <v>3938</v>
      </c>
    </row>
    <row r="162" spans="1:27" x14ac:dyDescent="0.3">
      <c r="A162" s="328" t="s">
        <v>682</v>
      </c>
      <c r="B162" t="s">
        <v>683</v>
      </c>
      <c r="C162" s="324" t="s">
        <v>3271</v>
      </c>
      <c r="D162" s="328" t="str">
        <f t="shared" si="4"/>
        <v>NACE C - 14.29 Manufacture of other wearing apparel and accessories n.e.c.</v>
      </c>
      <c r="E162" s="325" t="s">
        <v>684</v>
      </c>
      <c r="F162" t="s">
        <v>685</v>
      </c>
      <c r="G162" t="str">
        <f t="shared" si="5"/>
        <v>MY</v>
      </c>
      <c r="K162" t="s">
        <v>4815</v>
      </c>
      <c r="AA162" t="s">
        <v>3939</v>
      </c>
    </row>
    <row r="163" spans="1:27" x14ac:dyDescent="0.3">
      <c r="A163" s="324" t="s">
        <v>686</v>
      </c>
      <c r="B163" t="s">
        <v>687</v>
      </c>
      <c r="C163" s="327" t="s">
        <v>3272</v>
      </c>
      <c r="D163" s="324" t="str">
        <f t="shared" si="4"/>
        <v>NACE C - 15 Manufacture of leather and related products of other materials</v>
      </c>
      <c r="E163" s="325" t="s">
        <v>688</v>
      </c>
      <c r="F163" t="s">
        <v>689</v>
      </c>
      <c r="G163" t="str">
        <f t="shared" si="5"/>
        <v>MZ</v>
      </c>
      <c r="K163" t="s">
        <v>4816</v>
      </c>
      <c r="AA163" t="s">
        <v>3940</v>
      </c>
    </row>
    <row r="164" spans="1:27" x14ac:dyDescent="0.3">
      <c r="A164" s="327" t="s">
        <v>690</v>
      </c>
      <c r="B164" t="s">
        <v>691</v>
      </c>
      <c r="C164" s="324" t="s">
        <v>3273</v>
      </c>
      <c r="D164" s="327" t="str">
        <f t="shared" si="4"/>
        <v>NACE C - 15.1 Tanning, dyeing, dressing of leather and fur; manufacture of luggage, handbags, saddlery and harness</v>
      </c>
      <c r="E164" s="325" t="s">
        <v>692</v>
      </c>
      <c r="F164" t="s">
        <v>693</v>
      </c>
      <c r="G164" t="str">
        <f t="shared" si="5"/>
        <v>NA</v>
      </c>
      <c r="K164" t="s">
        <v>4817</v>
      </c>
      <c r="AA164" t="s">
        <v>3941</v>
      </c>
    </row>
    <row r="165" spans="1:27" x14ac:dyDescent="0.3">
      <c r="A165" s="328" t="s">
        <v>694</v>
      </c>
      <c r="B165" t="s">
        <v>695</v>
      </c>
      <c r="C165" s="327" t="s">
        <v>3274</v>
      </c>
      <c r="D165" s="328" t="str">
        <f t="shared" si="4"/>
        <v>NACE C - 15.11 Tanning, dressing, dyeing of leather and fur</v>
      </c>
      <c r="E165" s="325" t="s">
        <v>696</v>
      </c>
      <c r="F165" t="s">
        <v>697</v>
      </c>
      <c r="G165" t="str">
        <f t="shared" si="5"/>
        <v>NC</v>
      </c>
      <c r="K165" t="s">
        <v>4818</v>
      </c>
      <c r="AA165" t="s">
        <v>3942</v>
      </c>
    </row>
    <row r="166" spans="1:27" x14ac:dyDescent="0.3">
      <c r="A166" s="328" t="s">
        <v>698</v>
      </c>
      <c r="B166" t="s">
        <v>699</v>
      </c>
      <c r="C166" s="327" t="s">
        <v>3275</v>
      </c>
      <c r="D166" s="328" t="str">
        <f t="shared" si="4"/>
        <v>NACE C - 15.12 Manufacture of luggage, handbags, saddlery and harness of any material</v>
      </c>
      <c r="E166" s="325" t="s">
        <v>700</v>
      </c>
      <c r="F166" t="s">
        <v>701</v>
      </c>
      <c r="G166" t="str">
        <f t="shared" si="5"/>
        <v>NE</v>
      </c>
      <c r="K166" t="s">
        <v>4819</v>
      </c>
      <c r="AA166" t="s">
        <v>3943</v>
      </c>
    </row>
    <row r="167" spans="1:27" x14ac:dyDescent="0.3">
      <c r="A167" s="327" t="s">
        <v>702</v>
      </c>
      <c r="B167" t="s">
        <v>703</v>
      </c>
      <c r="C167" s="327" t="s">
        <v>3276</v>
      </c>
      <c r="D167" s="327" t="str">
        <f t="shared" si="4"/>
        <v>NACE C - 15.2 Manufacture of footwear</v>
      </c>
      <c r="E167" s="325" t="s">
        <v>704</v>
      </c>
      <c r="F167" t="s">
        <v>705</v>
      </c>
      <c r="G167" t="str">
        <f t="shared" si="5"/>
        <v>NF</v>
      </c>
      <c r="K167" t="s">
        <v>4820</v>
      </c>
      <c r="AA167" t="s">
        <v>3944</v>
      </c>
    </row>
    <row r="168" spans="1:27" x14ac:dyDescent="0.3">
      <c r="A168" s="328" t="s">
        <v>706</v>
      </c>
      <c r="B168" t="s">
        <v>707</v>
      </c>
      <c r="C168" s="324" t="s">
        <v>3277</v>
      </c>
      <c r="D168" s="328" t="str">
        <f t="shared" si="4"/>
        <v>NACE C - 15.20 Manufacture of footwear</v>
      </c>
      <c r="E168" s="325" t="s">
        <v>708</v>
      </c>
      <c r="F168" t="s">
        <v>709</v>
      </c>
      <c r="G168" t="str">
        <f t="shared" si="5"/>
        <v>NG</v>
      </c>
      <c r="K168" t="s">
        <v>4821</v>
      </c>
      <c r="AA168" t="s">
        <v>3945</v>
      </c>
    </row>
    <row r="169" spans="1:27" x14ac:dyDescent="0.3">
      <c r="A169" s="324" t="s">
        <v>710</v>
      </c>
      <c r="B169" t="s">
        <v>711</v>
      </c>
      <c r="C169" s="327" t="s">
        <v>3278</v>
      </c>
      <c r="D169" s="324" t="str">
        <f t="shared" si="4"/>
        <v>NACE C - 16 Manufacture of wood and of products of wood and cork, except furniture; manufacture of articles of straw and plaiting materials</v>
      </c>
      <c r="E169" s="325" t="s">
        <v>712</v>
      </c>
      <c r="F169" t="s">
        <v>713</v>
      </c>
      <c r="G169" t="str">
        <f t="shared" si="5"/>
        <v>NI</v>
      </c>
      <c r="K169" t="s">
        <v>4822</v>
      </c>
      <c r="AA169" t="s">
        <v>3946</v>
      </c>
    </row>
    <row r="170" spans="1:27" x14ac:dyDescent="0.3">
      <c r="A170" s="327" t="s">
        <v>714</v>
      </c>
      <c r="B170" t="s">
        <v>715</v>
      </c>
      <c r="C170" s="325" t="s">
        <v>3268</v>
      </c>
      <c r="D170" s="327" t="str">
        <f t="shared" si="4"/>
        <v>NACE C - 16.1 Sawmilling and planing of wood; processing and finishing of wood</v>
      </c>
      <c r="E170" s="325" t="s">
        <v>716</v>
      </c>
      <c r="F170" t="s">
        <v>717</v>
      </c>
      <c r="G170" t="str">
        <f t="shared" si="5"/>
        <v>NL</v>
      </c>
      <c r="K170" t="s">
        <v>4823</v>
      </c>
      <c r="AA170" t="s">
        <v>3947</v>
      </c>
    </row>
    <row r="171" spans="1:27" x14ac:dyDescent="0.3">
      <c r="A171" s="328" t="s">
        <v>718</v>
      </c>
      <c r="B171" t="s">
        <v>719</v>
      </c>
      <c r="C171" s="324" t="s">
        <v>3280</v>
      </c>
      <c r="D171" s="328" t="str">
        <f t="shared" si="4"/>
        <v>NACE C - 16.11 Sawmilling and planing of wood</v>
      </c>
      <c r="E171" s="325" t="s">
        <v>720</v>
      </c>
      <c r="F171" t="s">
        <v>721</v>
      </c>
      <c r="G171" t="str">
        <f t="shared" si="5"/>
        <v>NO</v>
      </c>
      <c r="K171" t="s">
        <v>4824</v>
      </c>
    </row>
    <row r="172" spans="1:27" x14ac:dyDescent="0.3">
      <c r="A172" s="328" t="s">
        <v>722</v>
      </c>
      <c r="B172" t="s">
        <v>723</v>
      </c>
      <c r="C172" s="327" t="s">
        <v>3281</v>
      </c>
      <c r="D172" s="328" t="str">
        <f t="shared" si="4"/>
        <v>NACE C - 16.12 Processing and finishing of wood</v>
      </c>
      <c r="E172" s="325" t="s">
        <v>724</v>
      </c>
      <c r="F172" t="s">
        <v>725</v>
      </c>
      <c r="G172" t="str">
        <f t="shared" si="5"/>
        <v>NP</v>
      </c>
      <c r="K172" t="s">
        <v>4825</v>
      </c>
    </row>
    <row r="173" spans="1:27" x14ac:dyDescent="0.3">
      <c r="A173" s="327" t="s">
        <v>726</v>
      </c>
      <c r="B173" t="s">
        <v>727</v>
      </c>
      <c r="C173" s="324" t="s">
        <v>3282</v>
      </c>
      <c r="D173" s="327" t="str">
        <f t="shared" si="4"/>
        <v>NACE C - 16.2 Manufacture of products of wood, cork, straw and plaiting materials</v>
      </c>
      <c r="E173" s="325" t="s">
        <v>728</v>
      </c>
      <c r="F173" t="s">
        <v>729</v>
      </c>
      <c r="G173" t="str">
        <f t="shared" si="5"/>
        <v>NR</v>
      </c>
      <c r="K173" t="s">
        <v>4826</v>
      </c>
    </row>
    <row r="174" spans="1:27" x14ac:dyDescent="0.3">
      <c r="A174" s="328" t="s">
        <v>730</v>
      </c>
      <c r="B174" t="s">
        <v>731</v>
      </c>
      <c r="C174" s="327" t="s">
        <v>3283</v>
      </c>
      <c r="D174" s="328" t="str">
        <f t="shared" si="4"/>
        <v>NACE C - 16.21 Manufacture of veneer sheets and wood-based panels</v>
      </c>
      <c r="E174" s="325" t="s">
        <v>732</v>
      </c>
      <c r="F174" t="s">
        <v>733</v>
      </c>
      <c r="G174" t="str">
        <f t="shared" si="5"/>
        <v>NT</v>
      </c>
      <c r="K174" t="s">
        <v>4827</v>
      </c>
    </row>
    <row r="175" spans="1:27" x14ac:dyDescent="0.3">
      <c r="A175" s="328" t="s">
        <v>734</v>
      </c>
      <c r="B175" t="s">
        <v>735</v>
      </c>
      <c r="C175" s="327" t="s">
        <v>3284</v>
      </c>
      <c r="D175" s="328" t="str">
        <f t="shared" si="4"/>
        <v>NACE C - 16.22 Manufacture of assembled parquet floors</v>
      </c>
      <c r="E175" s="325" t="s">
        <v>736</v>
      </c>
      <c r="F175" t="s">
        <v>737</v>
      </c>
      <c r="G175" t="str">
        <f t="shared" si="5"/>
        <v>NU</v>
      </c>
      <c r="K175" t="s">
        <v>4828</v>
      </c>
    </row>
    <row r="176" spans="1:27" x14ac:dyDescent="0.3">
      <c r="A176" s="328" t="s">
        <v>738</v>
      </c>
      <c r="B176" t="s">
        <v>739</v>
      </c>
      <c r="C176" s="327" t="s">
        <v>3285</v>
      </c>
      <c r="D176" s="328" t="str">
        <f t="shared" si="4"/>
        <v>NACE C - 16.23 Manufacture of other builders’ carpentry and joinery</v>
      </c>
      <c r="E176" s="325" t="s">
        <v>740</v>
      </c>
      <c r="F176" t="s">
        <v>741</v>
      </c>
      <c r="G176" t="str">
        <f t="shared" si="5"/>
        <v>NZ</v>
      </c>
      <c r="K176" t="s">
        <v>4829</v>
      </c>
    </row>
    <row r="177" spans="1:11" x14ac:dyDescent="0.3">
      <c r="A177" s="328" t="s">
        <v>742</v>
      </c>
      <c r="B177" t="s">
        <v>743</v>
      </c>
      <c r="C177" s="324" t="s">
        <v>3286</v>
      </c>
      <c r="D177" s="328" t="str">
        <f t="shared" si="4"/>
        <v>NACE C - 16.24 Manufacture of wooden containers</v>
      </c>
      <c r="E177" s="325" t="s">
        <v>744</v>
      </c>
      <c r="F177" t="s">
        <v>745</v>
      </c>
      <c r="G177" t="str">
        <f t="shared" si="5"/>
        <v>OM</v>
      </c>
      <c r="K177" t="s">
        <v>4830</v>
      </c>
    </row>
    <row r="178" spans="1:11" x14ac:dyDescent="0.3">
      <c r="A178" s="328" t="s">
        <v>746</v>
      </c>
      <c r="B178" t="s">
        <v>747</v>
      </c>
      <c r="C178" s="327" t="s">
        <v>3287</v>
      </c>
      <c r="D178" s="328" t="str">
        <f t="shared" si="4"/>
        <v>NACE C - 16.25 Manufacture of doors and windows of wood</v>
      </c>
      <c r="E178" s="325" t="s">
        <v>748</v>
      </c>
      <c r="F178" t="s">
        <v>749</v>
      </c>
      <c r="G178" t="str">
        <f t="shared" si="5"/>
        <v>PA</v>
      </c>
      <c r="K178" t="s">
        <v>4831</v>
      </c>
    </row>
    <row r="179" spans="1:11" x14ac:dyDescent="0.3">
      <c r="A179" s="328" t="s">
        <v>750</v>
      </c>
      <c r="B179" t="s">
        <v>751</v>
      </c>
      <c r="C179" s="327" t="s">
        <v>3288</v>
      </c>
      <c r="D179" s="328" t="str">
        <f t="shared" si="4"/>
        <v>NACE C - 16.26 Manufacture of solid fuels from vegetable biomass</v>
      </c>
      <c r="E179" s="325" t="s">
        <v>752</v>
      </c>
      <c r="F179" t="s">
        <v>753</v>
      </c>
      <c r="G179" t="str">
        <f t="shared" si="5"/>
        <v>PE</v>
      </c>
      <c r="K179" t="s">
        <v>4832</v>
      </c>
    </row>
    <row r="180" spans="1:11" x14ac:dyDescent="0.3">
      <c r="A180" s="328" t="s">
        <v>754</v>
      </c>
      <c r="B180" t="s">
        <v>755</v>
      </c>
      <c r="C180" s="327" t="s">
        <v>3289</v>
      </c>
      <c r="D180" s="328" t="str">
        <f t="shared" si="4"/>
        <v>NACE C - 16.27 Finishing of wooden products</v>
      </c>
      <c r="E180" s="325" t="s">
        <v>756</v>
      </c>
      <c r="F180" t="s">
        <v>757</v>
      </c>
      <c r="G180" t="str">
        <f t="shared" si="5"/>
        <v>PF</v>
      </c>
      <c r="K180" t="s">
        <v>4833</v>
      </c>
    </row>
    <row r="181" spans="1:11" x14ac:dyDescent="0.3">
      <c r="A181" s="328" t="s">
        <v>758</v>
      </c>
      <c r="B181" t="s">
        <v>759</v>
      </c>
      <c r="C181" s="327" t="s">
        <v>3290</v>
      </c>
      <c r="D181" s="328" t="str">
        <f t="shared" si="4"/>
        <v>NACE C - 16.28 Manufacture of other products of wood and articles of cork, straw and plaiting materials</v>
      </c>
      <c r="E181" s="325" t="s">
        <v>760</v>
      </c>
      <c r="F181" t="s">
        <v>761</v>
      </c>
      <c r="G181" t="str">
        <f t="shared" si="5"/>
        <v>PG</v>
      </c>
      <c r="K181" t="s">
        <v>4834</v>
      </c>
    </row>
    <row r="182" spans="1:11" x14ac:dyDescent="0.3">
      <c r="A182" s="324" t="s">
        <v>762</v>
      </c>
      <c r="B182" t="s">
        <v>763</v>
      </c>
      <c r="C182" s="327" t="s">
        <v>3291</v>
      </c>
      <c r="D182" s="324" t="str">
        <f t="shared" si="4"/>
        <v>NACE C - 17 Manufacture of paper and paper products</v>
      </c>
      <c r="E182" s="325" t="s">
        <v>764</v>
      </c>
      <c r="F182" t="s">
        <v>765</v>
      </c>
      <c r="G182" t="str">
        <f t="shared" si="5"/>
        <v>PH</v>
      </c>
      <c r="K182" t="s">
        <v>4835</v>
      </c>
    </row>
    <row r="183" spans="1:11" x14ac:dyDescent="0.3">
      <c r="A183" s="327" t="s">
        <v>766</v>
      </c>
      <c r="B183" t="s">
        <v>767</v>
      </c>
      <c r="C183" s="327" t="s">
        <v>3292</v>
      </c>
      <c r="D183" s="327" t="str">
        <f t="shared" si="4"/>
        <v>NACE C - 17.1 Manufacture of pulp, paper and paperboard</v>
      </c>
      <c r="E183" s="325" t="s">
        <v>768</v>
      </c>
      <c r="F183" t="s">
        <v>769</v>
      </c>
      <c r="G183" t="str">
        <f t="shared" si="5"/>
        <v>PK</v>
      </c>
      <c r="K183" t="s">
        <v>4836</v>
      </c>
    </row>
    <row r="184" spans="1:11" x14ac:dyDescent="0.3">
      <c r="A184" s="328" t="s">
        <v>770</v>
      </c>
      <c r="B184" t="s">
        <v>771</v>
      </c>
      <c r="C184" s="327" t="s">
        <v>3293</v>
      </c>
      <c r="D184" s="328" t="str">
        <f t="shared" si="4"/>
        <v>NACE C - 17.11 Manufacture of pulp</v>
      </c>
      <c r="E184" s="325" t="s">
        <v>772</v>
      </c>
      <c r="F184" t="s">
        <v>773</v>
      </c>
      <c r="G184" t="str">
        <f t="shared" si="5"/>
        <v>PL</v>
      </c>
      <c r="K184" t="s">
        <v>4837</v>
      </c>
    </row>
    <row r="185" spans="1:11" x14ac:dyDescent="0.3">
      <c r="A185" s="328" t="s">
        <v>774</v>
      </c>
      <c r="B185" t="s">
        <v>775</v>
      </c>
      <c r="C185" s="325" t="s">
        <v>3279</v>
      </c>
      <c r="D185" s="328" t="str">
        <f t="shared" si="4"/>
        <v>NACE C - 17.12 Manufacture of paper and paperboard</v>
      </c>
      <c r="E185" s="325" t="s">
        <v>776</v>
      </c>
      <c r="F185" t="s">
        <v>777</v>
      </c>
      <c r="G185" t="str">
        <f t="shared" si="5"/>
        <v>PM</v>
      </c>
      <c r="K185" t="s">
        <v>4838</v>
      </c>
    </row>
    <row r="186" spans="1:11" x14ac:dyDescent="0.3">
      <c r="A186" s="327" t="s">
        <v>778</v>
      </c>
      <c r="B186" t="s">
        <v>779</v>
      </c>
      <c r="C186" s="324" t="s">
        <v>3295</v>
      </c>
      <c r="D186" s="327" t="str">
        <f t="shared" si="4"/>
        <v>NACE C - 17.2 Manufacture of articles of paper and paperboard</v>
      </c>
      <c r="E186" s="325" t="s">
        <v>780</v>
      </c>
      <c r="F186" t="s">
        <v>781</v>
      </c>
      <c r="G186" t="str">
        <f t="shared" si="5"/>
        <v>PN</v>
      </c>
      <c r="K186" t="s">
        <v>4839</v>
      </c>
    </row>
    <row r="187" spans="1:11" x14ac:dyDescent="0.3">
      <c r="A187" s="328" t="s">
        <v>782</v>
      </c>
      <c r="B187" t="s">
        <v>783</v>
      </c>
      <c r="C187" s="327" t="s">
        <v>3296</v>
      </c>
      <c r="D187" s="328" t="str">
        <f t="shared" si="4"/>
        <v>NACE C - 17.21 Manufacture of corrugated paper, paperboard and containers of paper and paperboard</v>
      </c>
      <c r="E187" s="325" t="s">
        <v>784</v>
      </c>
      <c r="F187" t="s">
        <v>785</v>
      </c>
      <c r="G187" t="str">
        <f t="shared" si="5"/>
        <v>PR</v>
      </c>
      <c r="K187" t="s">
        <v>4840</v>
      </c>
    </row>
    <row r="188" spans="1:11" x14ac:dyDescent="0.3">
      <c r="A188" s="328" t="s">
        <v>786</v>
      </c>
      <c r="B188" t="s">
        <v>787</v>
      </c>
      <c r="C188" s="327" t="s">
        <v>3297</v>
      </c>
      <c r="D188" s="328" t="str">
        <f t="shared" si="4"/>
        <v>NACE C - 17.22 Manufacture of household and sanitary goods and of toilet requisites</v>
      </c>
      <c r="E188" s="325" t="s">
        <v>788</v>
      </c>
      <c r="F188" t="s">
        <v>789</v>
      </c>
      <c r="G188" t="str">
        <f t="shared" si="5"/>
        <v>PS</v>
      </c>
      <c r="K188" t="s">
        <v>4841</v>
      </c>
    </row>
    <row r="189" spans="1:11" x14ac:dyDescent="0.3">
      <c r="A189" s="328" t="s">
        <v>790</v>
      </c>
      <c r="B189" t="s">
        <v>791</v>
      </c>
      <c r="C189" s="327" t="s">
        <v>3298</v>
      </c>
      <c r="D189" s="328" t="str">
        <f t="shared" si="4"/>
        <v>NACE C - 17.23 Manufacture of paper stationery</v>
      </c>
      <c r="E189" s="325" t="s">
        <v>792</v>
      </c>
      <c r="F189" t="s">
        <v>793</v>
      </c>
      <c r="G189" t="str">
        <f t="shared" si="5"/>
        <v>PT</v>
      </c>
      <c r="K189" t="s">
        <v>4842</v>
      </c>
    </row>
    <row r="190" spans="1:11" x14ac:dyDescent="0.3">
      <c r="A190" s="328" t="s">
        <v>794</v>
      </c>
      <c r="B190" t="s">
        <v>795</v>
      </c>
      <c r="C190" s="327" t="s">
        <v>3299</v>
      </c>
      <c r="D190" s="328" t="str">
        <f t="shared" si="4"/>
        <v>NACE C - 17.24 Manufacture of wallpaper</v>
      </c>
      <c r="E190" s="325" t="s">
        <v>796</v>
      </c>
      <c r="F190" t="s">
        <v>797</v>
      </c>
      <c r="G190" t="str">
        <f t="shared" si="5"/>
        <v>PW</v>
      </c>
      <c r="K190" t="s">
        <v>4843</v>
      </c>
    </row>
    <row r="191" spans="1:11" x14ac:dyDescent="0.3">
      <c r="A191" s="328" t="s">
        <v>798</v>
      </c>
      <c r="B191" t="s">
        <v>799</v>
      </c>
      <c r="C191" s="327" t="s">
        <v>3300</v>
      </c>
      <c r="D191" s="328" t="str">
        <f t="shared" si="4"/>
        <v>NACE C - 17.25 Manufacture of other articles of paper and paperboard</v>
      </c>
      <c r="E191" s="325" t="s">
        <v>800</v>
      </c>
      <c r="F191" t="s">
        <v>801</v>
      </c>
      <c r="G191" t="str">
        <f t="shared" si="5"/>
        <v>PY</v>
      </c>
      <c r="K191" t="s">
        <v>4844</v>
      </c>
    </row>
    <row r="192" spans="1:11" x14ac:dyDescent="0.3">
      <c r="A192" s="324" t="s">
        <v>802</v>
      </c>
      <c r="B192" t="s">
        <v>803</v>
      </c>
      <c r="C192" s="327" t="s">
        <v>3301</v>
      </c>
      <c r="D192" s="324" t="str">
        <f t="shared" si="4"/>
        <v>NACE C - 18 Printing and reproduction of recorded media</v>
      </c>
      <c r="E192" s="325" t="s">
        <v>804</v>
      </c>
      <c r="F192" t="s">
        <v>805</v>
      </c>
      <c r="G192" t="str">
        <f t="shared" si="5"/>
        <v>QA</v>
      </c>
      <c r="K192" t="s">
        <v>4845</v>
      </c>
    </row>
    <row r="193" spans="1:11" x14ac:dyDescent="0.3">
      <c r="A193" s="327" t="s">
        <v>806</v>
      </c>
      <c r="B193" t="s">
        <v>807</v>
      </c>
      <c r="C193" s="327" t="s">
        <v>3302</v>
      </c>
      <c r="D193" s="327" t="str">
        <f t="shared" si="4"/>
        <v>NACE C - 18.1 Printing and service activities related to printing</v>
      </c>
      <c r="E193" s="325" t="s">
        <v>808</v>
      </c>
      <c r="F193" t="s">
        <v>809</v>
      </c>
      <c r="G193" t="str">
        <f t="shared" si="5"/>
        <v>RE</v>
      </c>
      <c r="K193" t="s">
        <v>4846</v>
      </c>
    </row>
    <row r="194" spans="1:11" x14ac:dyDescent="0.3">
      <c r="A194" s="328" t="s">
        <v>810</v>
      </c>
      <c r="B194" t="s">
        <v>811</v>
      </c>
      <c r="C194" s="327" t="s">
        <v>3303</v>
      </c>
      <c r="D194" s="328" t="str">
        <f t="shared" ref="D194:D257" si="6">_xlfn.CONCAT("NACE ", A194)</f>
        <v>NACE C - 18.11 Printing of newspapers</v>
      </c>
      <c r="E194" s="325" t="s">
        <v>812</v>
      </c>
      <c r="F194" t="s">
        <v>813</v>
      </c>
      <c r="G194" t="str">
        <f t="shared" si="5"/>
        <v>RO</v>
      </c>
      <c r="K194" t="s">
        <v>4847</v>
      </c>
    </row>
    <row r="195" spans="1:11" x14ac:dyDescent="0.3">
      <c r="A195" s="328" t="s">
        <v>814</v>
      </c>
      <c r="B195" t="s">
        <v>815</v>
      </c>
      <c r="C195" s="327" t="s">
        <v>3304</v>
      </c>
      <c r="D195" s="328" t="str">
        <f t="shared" si="6"/>
        <v>NACE C - 18.12 Other printing</v>
      </c>
      <c r="E195" s="325" t="s">
        <v>816</v>
      </c>
      <c r="F195" t="s">
        <v>817</v>
      </c>
      <c r="G195" t="str">
        <f t="shared" ref="G195:G257" si="7">RIGHT(F195,2)</f>
        <v>RS</v>
      </c>
      <c r="K195" t="s">
        <v>4848</v>
      </c>
    </row>
    <row r="196" spans="1:11" x14ac:dyDescent="0.3">
      <c r="A196" s="328" t="s">
        <v>818</v>
      </c>
      <c r="B196" t="s">
        <v>819</v>
      </c>
      <c r="C196" s="324" t="s">
        <v>3305</v>
      </c>
      <c r="D196" s="328" t="str">
        <f t="shared" si="6"/>
        <v>NACE C - 18.13 Pre-press and pre-media services</v>
      </c>
      <c r="E196" s="325" t="s">
        <v>820</v>
      </c>
      <c r="F196" t="s">
        <v>821</v>
      </c>
      <c r="G196" t="str">
        <f t="shared" si="7"/>
        <v>RU</v>
      </c>
      <c r="K196" t="s">
        <v>4849</v>
      </c>
    </row>
    <row r="197" spans="1:11" x14ac:dyDescent="0.3">
      <c r="A197" s="328" t="s">
        <v>822</v>
      </c>
      <c r="B197" t="s">
        <v>823</v>
      </c>
      <c r="C197" s="327" t="s">
        <v>3306</v>
      </c>
      <c r="D197" s="328" t="str">
        <f t="shared" si="6"/>
        <v>NACE C - 18.14 Binding and related services</v>
      </c>
      <c r="E197" s="325" t="s">
        <v>824</v>
      </c>
      <c r="F197" t="s">
        <v>825</v>
      </c>
      <c r="G197" t="str">
        <f t="shared" si="7"/>
        <v>RW</v>
      </c>
      <c r="K197" t="s">
        <v>4850</v>
      </c>
    </row>
    <row r="198" spans="1:11" x14ac:dyDescent="0.3">
      <c r="A198" s="327" t="s">
        <v>826</v>
      </c>
      <c r="B198" t="s">
        <v>827</v>
      </c>
      <c r="C198" s="327" t="s">
        <v>3307</v>
      </c>
      <c r="D198" s="327" t="str">
        <f t="shared" si="6"/>
        <v>NACE C - 18.2 Reproduction of recorded media</v>
      </c>
      <c r="E198" s="325" t="s">
        <v>828</v>
      </c>
      <c r="F198" t="s">
        <v>829</v>
      </c>
      <c r="G198" t="str">
        <f t="shared" si="7"/>
        <v>SA</v>
      </c>
      <c r="K198" t="s">
        <v>4851</v>
      </c>
    </row>
    <row r="199" spans="1:11" x14ac:dyDescent="0.3">
      <c r="A199" s="328" t="s">
        <v>830</v>
      </c>
      <c r="B199" t="s">
        <v>831</v>
      </c>
      <c r="C199" s="327" t="s">
        <v>3308</v>
      </c>
      <c r="D199" s="328" t="str">
        <f t="shared" si="6"/>
        <v>NACE C - 18.20 Reproduction of recorded media</v>
      </c>
      <c r="E199" s="325" t="s">
        <v>832</v>
      </c>
      <c r="F199" t="s">
        <v>833</v>
      </c>
      <c r="G199" t="str">
        <f t="shared" si="7"/>
        <v>SB</v>
      </c>
      <c r="K199" t="s">
        <v>4852</v>
      </c>
    </row>
    <row r="200" spans="1:11" x14ac:dyDescent="0.3">
      <c r="A200" s="324" t="s">
        <v>834</v>
      </c>
      <c r="B200" t="s">
        <v>835</v>
      </c>
      <c r="C200" s="327" t="s">
        <v>3309</v>
      </c>
      <c r="D200" s="324" t="str">
        <f t="shared" si="6"/>
        <v>NACE C - 19 Manufacture of coke and refined petroleum products</v>
      </c>
      <c r="E200" s="325" t="s">
        <v>836</v>
      </c>
      <c r="F200" t="s">
        <v>837</v>
      </c>
      <c r="G200" t="str">
        <f t="shared" si="7"/>
        <v>SC</v>
      </c>
      <c r="K200" t="s">
        <v>4853</v>
      </c>
    </row>
    <row r="201" spans="1:11" x14ac:dyDescent="0.3">
      <c r="A201" s="327" t="s">
        <v>838</v>
      </c>
      <c r="B201" t="s">
        <v>839</v>
      </c>
      <c r="C201" s="327" t="s">
        <v>3310</v>
      </c>
      <c r="D201" s="327" t="str">
        <f t="shared" si="6"/>
        <v>NACE C - 19.1 Manufacture of coke oven products</v>
      </c>
      <c r="E201" s="325" t="s">
        <v>840</v>
      </c>
      <c r="F201" t="s">
        <v>841</v>
      </c>
      <c r="G201" t="str">
        <f t="shared" si="7"/>
        <v>SD</v>
      </c>
      <c r="K201" t="s">
        <v>4854</v>
      </c>
    </row>
    <row r="202" spans="1:11" x14ac:dyDescent="0.3">
      <c r="A202" s="328" t="s">
        <v>842</v>
      </c>
      <c r="B202" t="s">
        <v>843</v>
      </c>
      <c r="C202" s="327" t="s">
        <v>3311</v>
      </c>
      <c r="D202" s="328" t="str">
        <f t="shared" si="6"/>
        <v>NACE C - 19.10 Manufacture of coke oven products</v>
      </c>
      <c r="E202" s="325" t="s">
        <v>844</v>
      </c>
      <c r="F202" t="s">
        <v>845</v>
      </c>
      <c r="G202" t="str">
        <f t="shared" si="7"/>
        <v>SE</v>
      </c>
      <c r="K202" t="s">
        <v>4855</v>
      </c>
    </row>
    <row r="203" spans="1:11" x14ac:dyDescent="0.3">
      <c r="A203" s="327" t="s">
        <v>846</v>
      </c>
      <c r="B203" t="s">
        <v>847</v>
      </c>
      <c r="C203" s="327" t="s">
        <v>3312</v>
      </c>
      <c r="D203" s="327" t="str">
        <f t="shared" si="6"/>
        <v>NACE C - 19.2 Manufacture of refined petroleum products and fossil fuel products</v>
      </c>
      <c r="E203" s="325" t="s">
        <v>848</v>
      </c>
      <c r="F203" t="s">
        <v>849</v>
      </c>
      <c r="G203" t="str">
        <f t="shared" si="7"/>
        <v>SG</v>
      </c>
      <c r="K203" t="s">
        <v>4856</v>
      </c>
    </row>
    <row r="204" spans="1:11" x14ac:dyDescent="0.3">
      <c r="A204" s="328" t="s">
        <v>850</v>
      </c>
      <c r="B204" t="s">
        <v>851</v>
      </c>
      <c r="C204" s="327" t="s">
        <v>3313</v>
      </c>
      <c r="D204" s="328" t="str">
        <f t="shared" si="6"/>
        <v>NACE C - 19.20 Manufacture of refined petroleum products and fossil fuel products</v>
      </c>
      <c r="E204" s="325" t="s">
        <v>852</v>
      </c>
      <c r="F204" t="s">
        <v>853</v>
      </c>
      <c r="G204" t="str">
        <f t="shared" si="7"/>
        <v>SH</v>
      </c>
      <c r="K204" t="s">
        <v>4857</v>
      </c>
    </row>
    <row r="205" spans="1:11" x14ac:dyDescent="0.3">
      <c r="A205" s="324" t="s">
        <v>854</v>
      </c>
      <c r="B205" t="s">
        <v>855</v>
      </c>
      <c r="C205" s="327" t="s">
        <v>3314</v>
      </c>
      <c r="D205" s="324" t="str">
        <f t="shared" si="6"/>
        <v>NACE C - 20 Manufacture of chemicals and chemical products</v>
      </c>
      <c r="E205" s="325" t="s">
        <v>856</v>
      </c>
      <c r="F205" t="s">
        <v>857</v>
      </c>
      <c r="G205" t="str">
        <f t="shared" si="7"/>
        <v>SI</v>
      </c>
      <c r="K205" t="s">
        <v>4858</v>
      </c>
    </row>
    <row r="206" spans="1:11" x14ac:dyDescent="0.3">
      <c r="A206" s="327" t="s">
        <v>858</v>
      </c>
      <c r="B206" t="s">
        <v>859</v>
      </c>
      <c r="C206" s="325" t="s">
        <v>3294</v>
      </c>
      <c r="D206" s="327" t="str">
        <f t="shared" si="6"/>
        <v>NACE C - 20.1 Manufacture of basic chemicals, fertilisers and nitrogen compounds, plastics and synthetic rubber in primary forms</v>
      </c>
      <c r="E206" s="325" t="s">
        <v>860</v>
      </c>
      <c r="F206" t="s">
        <v>861</v>
      </c>
      <c r="G206" t="str">
        <f t="shared" si="7"/>
        <v>SJ</v>
      </c>
      <c r="K206" t="s">
        <v>4859</v>
      </c>
    </row>
    <row r="207" spans="1:11" x14ac:dyDescent="0.3">
      <c r="A207" s="328" t="s">
        <v>862</v>
      </c>
      <c r="B207" t="s">
        <v>863</v>
      </c>
      <c r="C207" s="324" t="s">
        <v>3316</v>
      </c>
      <c r="D207" s="328" t="str">
        <f t="shared" si="6"/>
        <v>NACE C - 20.11 Manufacture of industrial gases</v>
      </c>
      <c r="E207" s="325" t="s">
        <v>864</v>
      </c>
      <c r="F207" t="s">
        <v>865</v>
      </c>
      <c r="G207" t="str">
        <f t="shared" si="7"/>
        <v>SK</v>
      </c>
      <c r="K207" t="s">
        <v>4860</v>
      </c>
    </row>
    <row r="208" spans="1:11" x14ac:dyDescent="0.3">
      <c r="A208" s="328" t="s">
        <v>866</v>
      </c>
      <c r="B208" t="s">
        <v>867</v>
      </c>
      <c r="C208" s="327" t="s">
        <v>3317</v>
      </c>
      <c r="D208" s="328" t="str">
        <f t="shared" si="6"/>
        <v>NACE C - 20.12 Manufacture of dyes and pigments</v>
      </c>
      <c r="E208" s="325" t="s">
        <v>868</v>
      </c>
      <c r="F208" t="s">
        <v>869</v>
      </c>
      <c r="G208" t="str">
        <f t="shared" si="7"/>
        <v>SL</v>
      </c>
      <c r="K208" t="s">
        <v>4861</v>
      </c>
    </row>
    <row r="209" spans="1:11" x14ac:dyDescent="0.3">
      <c r="A209" s="328" t="s">
        <v>870</v>
      </c>
      <c r="B209" t="s">
        <v>871</v>
      </c>
      <c r="C209" s="327" t="s">
        <v>3318</v>
      </c>
      <c r="D209" s="328" t="str">
        <f t="shared" si="6"/>
        <v>NACE C - 20.13 Manufacture of other inorganic basic chemicals</v>
      </c>
      <c r="E209" s="325" t="s">
        <v>872</v>
      </c>
      <c r="F209" t="s">
        <v>873</v>
      </c>
      <c r="G209" t="str">
        <f t="shared" si="7"/>
        <v>SM</v>
      </c>
      <c r="K209" t="s">
        <v>4862</v>
      </c>
    </row>
    <row r="210" spans="1:11" x14ac:dyDescent="0.3">
      <c r="A210" s="328" t="s">
        <v>874</v>
      </c>
      <c r="B210" t="s">
        <v>875</v>
      </c>
      <c r="C210" s="327" t="s">
        <v>3319</v>
      </c>
      <c r="D210" s="328" t="str">
        <f t="shared" si="6"/>
        <v>NACE C - 20.14 Manufacture of other organic basic chemicals</v>
      </c>
      <c r="E210" s="325" t="s">
        <v>876</v>
      </c>
      <c r="F210" t="s">
        <v>877</v>
      </c>
      <c r="G210" t="str">
        <f t="shared" si="7"/>
        <v>SN</v>
      </c>
      <c r="K210" t="s">
        <v>4863</v>
      </c>
    </row>
    <row r="211" spans="1:11" x14ac:dyDescent="0.3">
      <c r="A211" s="328" t="s">
        <v>878</v>
      </c>
      <c r="B211" t="s">
        <v>879</v>
      </c>
      <c r="C211" s="327" t="s">
        <v>3320</v>
      </c>
      <c r="D211" s="328" t="str">
        <f t="shared" si="6"/>
        <v>NACE C - 20.15 Manufacture of fertilisers and nitrogen compounds</v>
      </c>
      <c r="E211" s="325" t="s">
        <v>880</v>
      </c>
      <c r="F211" t="s">
        <v>881</v>
      </c>
      <c r="G211" t="str">
        <f t="shared" si="7"/>
        <v>SO</v>
      </c>
      <c r="K211" t="s">
        <v>4864</v>
      </c>
    </row>
    <row r="212" spans="1:11" x14ac:dyDescent="0.3">
      <c r="A212" s="328" t="s">
        <v>882</v>
      </c>
      <c r="B212" t="s">
        <v>883</v>
      </c>
      <c r="C212" s="327" t="s">
        <v>3321</v>
      </c>
      <c r="D212" s="328" t="str">
        <f t="shared" si="6"/>
        <v>NACE C - 20.16 Manufacture of plastics in primary forms</v>
      </c>
      <c r="E212" s="325" t="s">
        <v>884</v>
      </c>
      <c r="F212" t="s">
        <v>885</v>
      </c>
      <c r="G212" t="str">
        <f t="shared" si="7"/>
        <v>SR</v>
      </c>
      <c r="K212" t="s">
        <v>4865</v>
      </c>
    </row>
    <row r="213" spans="1:11" x14ac:dyDescent="0.3">
      <c r="A213" s="328" t="s">
        <v>886</v>
      </c>
      <c r="B213" t="s">
        <v>887</v>
      </c>
      <c r="C213" s="324" t="s">
        <v>3322</v>
      </c>
      <c r="D213" s="328" t="str">
        <f t="shared" si="6"/>
        <v>NACE C - 20.17 Manufacture of synthetic rubber in primary forms</v>
      </c>
      <c r="E213" s="325" t="s">
        <v>888</v>
      </c>
      <c r="F213" t="s">
        <v>889</v>
      </c>
      <c r="G213" t="str">
        <f t="shared" si="7"/>
        <v>SS</v>
      </c>
      <c r="K213" t="s">
        <v>4646</v>
      </c>
    </row>
    <row r="214" spans="1:11" x14ac:dyDescent="0.3">
      <c r="A214" s="327" t="s">
        <v>890</v>
      </c>
      <c r="B214" t="s">
        <v>891</v>
      </c>
      <c r="C214" s="327" t="s">
        <v>3323</v>
      </c>
      <c r="D214" s="327" t="str">
        <f t="shared" si="6"/>
        <v>NACE C - 20.2 Manufacture of pesticides, disinfectants and other agrochemical products</v>
      </c>
      <c r="E214" s="325" t="s">
        <v>892</v>
      </c>
      <c r="F214" t="s">
        <v>893</v>
      </c>
      <c r="G214" t="str">
        <f t="shared" si="7"/>
        <v>ST</v>
      </c>
      <c r="K214" t="s">
        <v>4866</v>
      </c>
    </row>
    <row r="215" spans="1:11" x14ac:dyDescent="0.3">
      <c r="A215" s="328" t="s">
        <v>894</v>
      </c>
      <c r="B215" t="s">
        <v>895</v>
      </c>
      <c r="C215" s="327" t="s">
        <v>3324</v>
      </c>
      <c r="D215" s="328" t="str">
        <f t="shared" si="6"/>
        <v>NACE C - 20.20 Manufacture of pesticides, disinfectants and other agrochemical products</v>
      </c>
      <c r="E215" s="325" t="s">
        <v>896</v>
      </c>
      <c r="F215" t="s">
        <v>897</v>
      </c>
      <c r="G215" t="str">
        <f t="shared" si="7"/>
        <v>SV</v>
      </c>
      <c r="K215" t="s">
        <v>4867</v>
      </c>
    </row>
    <row r="216" spans="1:11" x14ac:dyDescent="0.3">
      <c r="A216" s="327" t="s">
        <v>898</v>
      </c>
      <c r="B216" t="s">
        <v>899</v>
      </c>
      <c r="C216" s="327" t="s">
        <v>3325</v>
      </c>
      <c r="D216" s="327" t="str">
        <f t="shared" si="6"/>
        <v>NACE C - 20.3 Manufacture of paints, varnishes and similar coatings, printing ink and mastics</v>
      </c>
      <c r="E216" s="325" t="s">
        <v>900</v>
      </c>
      <c r="F216" t="s">
        <v>901</v>
      </c>
      <c r="G216" t="str">
        <f t="shared" si="7"/>
        <v>SX</v>
      </c>
      <c r="K216" t="s">
        <v>4868</v>
      </c>
    </row>
    <row r="217" spans="1:11" x14ac:dyDescent="0.3">
      <c r="A217" s="328" t="s">
        <v>902</v>
      </c>
      <c r="B217" t="s">
        <v>903</v>
      </c>
      <c r="C217" s="327" t="s">
        <v>3326</v>
      </c>
      <c r="D217" s="328" t="str">
        <f t="shared" si="6"/>
        <v>NACE C - 20.30 Manufacture of paints, varnishes and similar coatings, printing ink and mastics</v>
      </c>
      <c r="E217" s="325" t="s">
        <v>904</v>
      </c>
      <c r="F217" t="s">
        <v>905</v>
      </c>
      <c r="G217" t="str">
        <f t="shared" si="7"/>
        <v>SY</v>
      </c>
      <c r="K217" t="s">
        <v>4869</v>
      </c>
    </row>
    <row r="218" spans="1:11" x14ac:dyDescent="0.3">
      <c r="A218" s="327" t="s">
        <v>906</v>
      </c>
      <c r="B218" t="s">
        <v>907</v>
      </c>
      <c r="C218" s="324" t="s">
        <v>3327</v>
      </c>
      <c r="D218" s="327" t="str">
        <f t="shared" si="6"/>
        <v>NACE C - 20.4 Manufacture of washing, cleaning and polishing preparations</v>
      </c>
      <c r="E218" s="325" t="s">
        <v>908</v>
      </c>
      <c r="F218" t="s">
        <v>909</v>
      </c>
      <c r="G218" t="str">
        <f t="shared" si="7"/>
        <v>SZ</v>
      </c>
      <c r="K218" t="s">
        <v>4870</v>
      </c>
    </row>
    <row r="219" spans="1:11" x14ac:dyDescent="0.3">
      <c r="A219" s="328" t="s">
        <v>910</v>
      </c>
      <c r="B219" t="s">
        <v>911</v>
      </c>
      <c r="C219" s="327" t="s">
        <v>3328</v>
      </c>
      <c r="D219" s="328" t="str">
        <f t="shared" si="6"/>
        <v>NACE C - 20.41 Manufacture of soap and detergents, cleaning and polishing preparations</v>
      </c>
      <c r="E219" s="325" t="s">
        <v>912</v>
      </c>
      <c r="F219" t="s">
        <v>913</v>
      </c>
      <c r="G219" t="str">
        <f t="shared" si="7"/>
        <v>TC</v>
      </c>
      <c r="K219" t="s">
        <v>4871</v>
      </c>
    </row>
    <row r="220" spans="1:11" x14ac:dyDescent="0.3">
      <c r="A220" s="328" t="s">
        <v>914</v>
      </c>
      <c r="B220" t="s">
        <v>915</v>
      </c>
      <c r="C220" s="327" t="s">
        <v>3329</v>
      </c>
      <c r="D220" s="328" t="str">
        <f t="shared" si="6"/>
        <v>NACE C - 20.42 Manufacture of perfume and toilet preparations</v>
      </c>
      <c r="E220" s="325" t="s">
        <v>916</v>
      </c>
      <c r="F220" t="s">
        <v>917</v>
      </c>
      <c r="G220" t="str">
        <f t="shared" si="7"/>
        <v>TD</v>
      </c>
      <c r="K220" t="s">
        <v>4872</v>
      </c>
    </row>
    <row r="221" spans="1:11" x14ac:dyDescent="0.3">
      <c r="A221" s="327" t="s">
        <v>918</v>
      </c>
      <c r="B221" t="s">
        <v>919</v>
      </c>
      <c r="C221" s="324" t="s">
        <v>3330</v>
      </c>
      <c r="D221" s="327" t="str">
        <f t="shared" si="6"/>
        <v>NACE C - 20.5 Manufacture of other chemical products</v>
      </c>
      <c r="E221" s="325" t="s">
        <v>920</v>
      </c>
      <c r="F221" t="s">
        <v>921</v>
      </c>
      <c r="G221" t="str">
        <f t="shared" si="7"/>
        <v>TF</v>
      </c>
      <c r="K221" t="s">
        <v>4873</v>
      </c>
    </row>
    <row r="222" spans="1:11" x14ac:dyDescent="0.3">
      <c r="A222" s="328" t="s">
        <v>922</v>
      </c>
      <c r="B222" t="s">
        <v>923</v>
      </c>
      <c r="C222" s="327" t="s">
        <v>3331</v>
      </c>
      <c r="D222" s="328" t="str">
        <f t="shared" si="6"/>
        <v>NACE C - 20.51 Manufacture of liquid biofuels</v>
      </c>
      <c r="E222" s="325" t="s">
        <v>924</v>
      </c>
      <c r="F222" t="s">
        <v>925</v>
      </c>
      <c r="G222" t="str">
        <f t="shared" si="7"/>
        <v>TG</v>
      </c>
      <c r="K222" t="s">
        <v>4874</v>
      </c>
    </row>
    <row r="223" spans="1:11" x14ac:dyDescent="0.3">
      <c r="A223" s="328" t="s">
        <v>926</v>
      </c>
      <c r="B223" t="s">
        <v>927</v>
      </c>
      <c r="C223" s="327" t="s">
        <v>3332</v>
      </c>
      <c r="D223" s="328" t="str">
        <f t="shared" si="6"/>
        <v>NACE C - 20.59 Manufacture of other chemical products n.e.c.</v>
      </c>
      <c r="E223" s="325" t="s">
        <v>928</v>
      </c>
      <c r="F223" t="s">
        <v>929</v>
      </c>
      <c r="G223" t="str">
        <f t="shared" si="7"/>
        <v>TH</v>
      </c>
      <c r="K223" t="s">
        <v>4875</v>
      </c>
    </row>
    <row r="224" spans="1:11" x14ac:dyDescent="0.3">
      <c r="A224" s="327" t="s">
        <v>930</v>
      </c>
      <c r="B224" t="s">
        <v>931</v>
      </c>
      <c r="C224" s="327" t="s">
        <v>3333</v>
      </c>
      <c r="D224" s="327" t="str">
        <f t="shared" si="6"/>
        <v>NACE C - 20.6 Manufacture of man-made fibres</v>
      </c>
      <c r="E224" s="325" t="s">
        <v>932</v>
      </c>
      <c r="F224" t="s">
        <v>933</v>
      </c>
      <c r="G224" t="str">
        <f t="shared" si="7"/>
        <v>TJ</v>
      </c>
      <c r="K224" t="s">
        <v>4876</v>
      </c>
    </row>
    <row r="225" spans="1:11" x14ac:dyDescent="0.3">
      <c r="A225" s="328" t="s">
        <v>934</v>
      </c>
      <c r="B225" t="s">
        <v>935</v>
      </c>
      <c r="C225" s="324" t="s">
        <v>3334</v>
      </c>
      <c r="D225" s="328" t="str">
        <f t="shared" si="6"/>
        <v>NACE C - 20.60 Manufacture of man-made fibres</v>
      </c>
      <c r="E225" s="325" t="s">
        <v>936</v>
      </c>
      <c r="F225" t="s">
        <v>937</v>
      </c>
      <c r="G225" t="str">
        <f t="shared" si="7"/>
        <v>TK</v>
      </c>
      <c r="K225" t="s">
        <v>4877</v>
      </c>
    </row>
    <row r="226" spans="1:11" x14ac:dyDescent="0.3">
      <c r="A226" s="324" t="s">
        <v>938</v>
      </c>
      <c r="B226" t="s">
        <v>939</v>
      </c>
      <c r="C226" s="327" t="s">
        <v>3335</v>
      </c>
      <c r="D226" s="324" t="str">
        <f t="shared" si="6"/>
        <v>NACE C - 21 Manufacture of basic pharmaceutical products and pharmaceutical preparations</v>
      </c>
      <c r="E226" s="325" t="s">
        <v>940</v>
      </c>
      <c r="F226" t="s">
        <v>941</v>
      </c>
      <c r="G226" t="str">
        <f t="shared" si="7"/>
        <v>TL</v>
      </c>
      <c r="K226" t="s">
        <v>4878</v>
      </c>
    </row>
    <row r="227" spans="1:11" x14ac:dyDescent="0.3">
      <c r="A227" s="327" t="s">
        <v>942</v>
      </c>
      <c r="B227" t="s">
        <v>943</v>
      </c>
      <c r="C227" s="327" t="s">
        <v>3336</v>
      </c>
      <c r="D227" s="327" t="str">
        <f t="shared" si="6"/>
        <v>NACE C - 21.1 Manufacture of basic pharmaceutical products</v>
      </c>
      <c r="E227" s="325" t="s">
        <v>944</v>
      </c>
      <c r="F227" t="s">
        <v>945</v>
      </c>
      <c r="G227" t="str">
        <f t="shared" si="7"/>
        <v>TM</v>
      </c>
      <c r="K227" t="s">
        <v>4879</v>
      </c>
    </row>
    <row r="228" spans="1:11" x14ac:dyDescent="0.3">
      <c r="A228" s="328" t="s">
        <v>946</v>
      </c>
      <c r="B228" t="s">
        <v>947</v>
      </c>
      <c r="C228" s="327" t="s">
        <v>3337</v>
      </c>
      <c r="D228" s="328" t="str">
        <f t="shared" si="6"/>
        <v>NACE C - 21.10 Manufacture of basic pharmaceutical products</v>
      </c>
      <c r="E228" s="325" t="s">
        <v>948</v>
      </c>
      <c r="F228" t="s">
        <v>949</v>
      </c>
      <c r="G228" t="str">
        <f t="shared" si="7"/>
        <v>TN</v>
      </c>
      <c r="K228" t="s">
        <v>4880</v>
      </c>
    </row>
    <row r="229" spans="1:11" x14ac:dyDescent="0.3">
      <c r="A229" s="327" t="s">
        <v>950</v>
      </c>
      <c r="B229" t="s">
        <v>951</v>
      </c>
      <c r="C229" s="325" t="s">
        <v>3315</v>
      </c>
      <c r="D229" s="327" t="str">
        <f t="shared" si="6"/>
        <v>NACE C - 21.2 Manufacture of pharmaceutical preparations</v>
      </c>
      <c r="E229" s="325" t="s">
        <v>952</v>
      </c>
      <c r="F229" t="s">
        <v>953</v>
      </c>
      <c r="G229" t="str">
        <f t="shared" si="7"/>
        <v>TO</v>
      </c>
      <c r="K229" t="s">
        <v>4881</v>
      </c>
    </row>
    <row r="230" spans="1:11" x14ac:dyDescent="0.3">
      <c r="A230" s="328" t="s">
        <v>954</v>
      </c>
      <c r="B230" t="s">
        <v>955</v>
      </c>
      <c r="C230" s="324" t="s">
        <v>3339</v>
      </c>
      <c r="D230" s="328" t="str">
        <f t="shared" si="6"/>
        <v>NACE C - 21.20 Manufacture of pharmaceutical preparations</v>
      </c>
      <c r="E230" s="325" t="s">
        <v>956</v>
      </c>
      <c r="F230" t="s">
        <v>957</v>
      </c>
      <c r="G230" t="str">
        <f t="shared" si="7"/>
        <v>TP</v>
      </c>
      <c r="K230" t="s">
        <v>4882</v>
      </c>
    </row>
    <row r="231" spans="1:11" x14ac:dyDescent="0.3">
      <c r="A231" s="324" t="s">
        <v>958</v>
      </c>
      <c r="B231" t="s">
        <v>959</v>
      </c>
      <c r="C231" s="327" t="s">
        <v>3340</v>
      </c>
      <c r="D231" s="324" t="str">
        <f t="shared" si="6"/>
        <v>NACE C - 22 Manufacture of rubber and plastic products</v>
      </c>
      <c r="E231" s="325" t="s">
        <v>960</v>
      </c>
      <c r="F231" t="s">
        <v>961</v>
      </c>
      <c r="G231" t="str">
        <f t="shared" si="7"/>
        <v>TR</v>
      </c>
      <c r="K231" t="s">
        <v>4883</v>
      </c>
    </row>
    <row r="232" spans="1:11" x14ac:dyDescent="0.3">
      <c r="A232" s="327" t="s">
        <v>962</v>
      </c>
      <c r="B232" t="s">
        <v>963</v>
      </c>
      <c r="C232" s="327" t="s">
        <v>3341</v>
      </c>
      <c r="D232" s="327" t="str">
        <f t="shared" si="6"/>
        <v>NACE C - 22.1 Manufacture of rubber products</v>
      </c>
      <c r="E232" s="325" t="s">
        <v>964</v>
      </c>
      <c r="F232" t="s">
        <v>965</v>
      </c>
      <c r="G232" t="str">
        <f t="shared" si="7"/>
        <v>TT</v>
      </c>
      <c r="K232" t="s">
        <v>4884</v>
      </c>
    </row>
    <row r="233" spans="1:11" x14ac:dyDescent="0.3">
      <c r="A233" s="328" t="s">
        <v>966</v>
      </c>
      <c r="B233" t="s">
        <v>967</v>
      </c>
      <c r="C233" s="327" t="s">
        <v>3342</v>
      </c>
      <c r="D233" s="328" t="str">
        <f t="shared" si="6"/>
        <v>NACE C - 22.11 Manufacture, retreading and rebuilding of rubber tyres and manufacture of tubes</v>
      </c>
      <c r="E233" s="325" t="s">
        <v>968</v>
      </c>
      <c r="F233" t="s">
        <v>969</v>
      </c>
      <c r="G233" t="str">
        <f t="shared" si="7"/>
        <v>TV</v>
      </c>
      <c r="K233" t="s">
        <v>4885</v>
      </c>
    </row>
    <row r="234" spans="1:11" x14ac:dyDescent="0.3">
      <c r="A234" s="328" t="s">
        <v>970</v>
      </c>
      <c r="B234" t="s">
        <v>971</v>
      </c>
      <c r="C234" s="327" t="s">
        <v>3343</v>
      </c>
      <c r="D234" s="328" t="str">
        <f t="shared" si="6"/>
        <v>NACE C - 22.12 Manufacture of other rubber products</v>
      </c>
      <c r="E234" s="325" t="s">
        <v>972</v>
      </c>
      <c r="F234" t="s">
        <v>973</v>
      </c>
      <c r="G234" t="str">
        <f t="shared" si="7"/>
        <v>TW</v>
      </c>
      <c r="K234" t="s">
        <v>4886</v>
      </c>
    </row>
    <row r="235" spans="1:11" x14ac:dyDescent="0.3">
      <c r="A235" s="327" t="s">
        <v>974</v>
      </c>
      <c r="B235" t="s">
        <v>975</v>
      </c>
      <c r="C235" s="327" t="s">
        <v>3344</v>
      </c>
      <c r="D235" s="327" t="str">
        <f t="shared" si="6"/>
        <v>NACE C - 22.2 Manufacture of plastic products</v>
      </c>
      <c r="E235" s="325" t="s">
        <v>976</v>
      </c>
      <c r="F235" t="s">
        <v>977</v>
      </c>
      <c r="G235" t="str">
        <f t="shared" si="7"/>
        <v>TZ</v>
      </c>
      <c r="K235" t="s">
        <v>4887</v>
      </c>
    </row>
    <row r="236" spans="1:11" x14ac:dyDescent="0.3">
      <c r="A236" s="328" t="s">
        <v>978</v>
      </c>
      <c r="B236" t="s">
        <v>979</v>
      </c>
      <c r="C236" s="324" t="s">
        <v>3345</v>
      </c>
      <c r="D236" s="328" t="str">
        <f t="shared" si="6"/>
        <v>NACE C - 22.21 Manufacture of plastic plates, sheets, tubes and profiles</v>
      </c>
      <c r="E236" s="325" t="s">
        <v>980</v>
      </c>
      <c r="F236" t="s">
        <v>981</v>
      </c>
      <c r="G236" t="str">
        <f t="shared" si="7"/>
        <v>UA</v>
      </c>
      <c r="K236" t="s">
        <v>4888</v>
      </c>
    </row>
    <row r="237" spans="1:11" x14ac:dyDescent="0.3">
      <c r="A237" s="328" t="s">
        <v>982</v>
      </c>
      <c r="B237" t="s">
        <v>983</v>
      </c>
      <c r="C237" s="327" t="s">
        <v>3346</v>
      </c>
      <c r="D237" s="328" t="str">
        <f t="shared" si="6"/>
        <v>NACE C - 22.22 Manufacture of plastic packing goods</v>
      </c>
      <c r="E237" s="325" t="s">
        <v>984</v>
      </c>
      <c r="F237" t="s">
        <v>985</v>
      </c>
      <c r="G237" t="str">
        <f t="shared" si="7"/>
        <v>UG</v>
      </c>
      <c r="K237" t="s">
        <v>4889</v>
      </c>
    </row>
    <row r="238" spans="1:11" x14ac:dyDescent="0.3">
      <c r="A238" s="328" t="s">
        <v>986</v>
      </c>
      <c r="B238" t="s">
        <v>987</v>
      </c>
      <c r="C238" s="327" t="s">
        <v>3347</v>
      </c>
      <c r="D238" s="328" t="str">
        <f t="shared" si="6"/>
        <v>NACE C - 22.23 Manufacture of doors and windows of plastic</v>
      </c>
      <c r="E238" s="325" t="s">
        <v>988</v>
      </c>
      <c r="F238" t="s">
        <v>989</v>
      </c>
      <c r="G238" t="str">
        <f t="shared" si="7"/>
        <v>UM</v>
      </c>
      <c r="K238" t="s">
        <v>4890</v>
      </c>
    </row>
    <row r="239" spans="1:11" x14ac:dyDescent="0.3">
      <c r="A239" s="328" t="s">
        <v>990</v>
      </c>
      <c r="B239" t="s">
        <v>991</v>
      </c>
      <c r="C239" s="328" t="s">
        <v>3348</v>
      </c>
      <c r="D239" s="328" t="str">
        <f t="shared" si="6"/>
        <v>NACE C - 22.24 Manufacture of builders’ ware of plastic</v>
      </c>
      <c r="E239" s="325" t="s">
        <v>992</v>
      </c>
      <c r="F239" t="s">
        <v>993</v>
      </c>
      <c r="G239" t="str">
        <f t="shared" si="7"/>
        <v>US</v>
      </c>
      <c r="K239" t="s">
        <v>4891</v>
      </c>
    </row>
    <row r="240" spans="1:11" x14ac:dyDescent="0.3">
      <c r="A240" s="328" t="s">
        <v>994</v>
      </c>
      <c r="B240" t="s">
        <v>995</v>
      </c>
      <c r="C240" s="327" t="s">
        <v>3349</v>
      </c>
      <c r="D240" s="328" t="str">
        <f t="shared" si="6"/>
        <v>NACE C - 22.25 Processing and finishing of plastic products</v>
      </c>
      <c r="E240" s="325" t="s">
        <v>996</v>
      </c>
      <c r="F240" t="s">
        <v>997</v>
      </c>
      <c r="G240" t="str">
        <f t="shared" si="7"/>
        <v>UY</v>
      </c>
      <c r="K240" t="s">
        <v>4892</v>
      </c>
    </row>
    <row r="241" spans="1:11" x14ac:dyDescent="0.3">
      <c r="A241" s="328" t="s">
        <v>998</v>
      </c>
      <c r="B241" t="s">
        <v>999</v>
      </c>
      <c r="C241" s="327" t="s">
        <v>3350</v>
      </c>
      <c r="D241" s="328" t="str">
        <f t="shared" si="6"/>
        <v>NACE C - 22.26 Manufacture of other plastic products</v>
      </c>
      <c r="E241" s="325" t="s">
        <v>1000</v>
      </c>
      <c r="F241" t="s">
        <v>1001</v>
      </c>
      <c r="G241" t="str">
        <f t="shared" si="7"/>
        <v>UZ</v>
      </c>
      <c r="K241" t="s">
        <v>4893</v>
      </c>
    </row>
    <row r="242" spans="1:11" x14ac:dyDescent="0.3">
      <c r="A242" s="324" t="s">
        <v>1002</v>
      </c>
      <c r="B242" t="s">
        <v>1003</v>
      </c>
      <c r="C242" s="325" t="s">
        <v>3338</v>
      </c>
      <c r="D242" s="324" t="str">
        <f t="shared" si="6"/>
        <v>NACE C - 23 Manufacture of other non-metallic mineral products</v>
      </c>
      <c r="E242" s="325" t="s">
        <v>1004</v>
      </c>
      <c r="F242" t="s">
        <v>1005</v>
      </c>
      <c r="G242" t="str">
        <f t="shared" si="7"/>
        <v>VA</v>
      </c>
      <c r="K242" t="s">
        <v>4894</v>
      </c>
    </row>
    <row r="243" spans="1:11" x14ac:dyDescent="0.3">
      <c r="A243" s="327" t="s">
        <v>1006</v>
      </c>
      <c r="B243" t="s">
        <v>1007</v>
      </c>
      <c r="C243" s="324" t="s">
        <v>3352</v>
      </c>
      <c r="D243" s="327" t="str">
        <f t="shared" si="6"/>
        <v>NACE C - 23.1 Manufacture of glass and glass products</v>
      </c>
      <c r="E243" s="325" t="s">
        <v>1008</v>
      </c>
      <c r="F243" t="s">
        <v>1009</v>
      </c>
      <c r="G243" t="str">
        <f t="shared" si="7"/>
        <v>VC</v>
      </c>
      <c r="K243" t="s">
        <v>4895</v>
      </c>
    </row>
    <row r="244" spans="1:11" x14ac:dyDescent="0.3">
      <c r="A244" s="328" t="s">
        <v>1010</v>
      </c>
      <c r="B244" t="s">
        <v>1011</v>
      </c>
      <c r="C244" s="327" t="s">
        <v>3353</v>
      </c>
      <c r="D244" s="328" t="str">
        <f t="shared" si="6"/>
        <v>NACE C - 23.11 Manufacture of flat glass</v>
      </c>
      <c r="E244" s="325" t="s">
        <v>1012</v>
      </c>
      <c r="F244" t="s">
        <v>1013</v>
      </c>
      <c r="G244" t="str">
        <f t="shared" si="7"/>
        <v>VE</v>
      </c>
      <c r="K244" t="s">
        <v>4896</v>
      </c>
    </row>
    <row r="245" spans="1:11" x14ac:dyDescent="0.3">
      <c r="A245" s="328" t="s">
        <v>1014</v>
      </c>
      <c r="B245" t="s">
        <v>1015</v>
      </c>
      <c r="C245" s="327" t="s">
        <v>3354</v>
      </c>
      <c r="D245" s="328" t="str">
        <f t="shared" si="6"/>
        <v>NACE C - 23.12 Shaping and processing of flat glass</v>
      </c>
      <c r="E245" s="325" t="s">
        <v>1016</v>
      </c>
      <c r="F245" t="s">
        <v>1017</v>
      </c>
      <c r="G245" t="str">
        <f t="shared" si="7"/>
        <v>VG</v>
      </c>
      <c r="K245" t="s">
        <v>4897</v>
      </c>
    </row>
    <row r="246" spans="1:11" x14ac:dyDescent="0.3">
      <c r="A246" s="328" t="s">
        <v>1018</v>
      </c>
      <c r="B246" t="s">
        <v>1019</v>
      </c>
      <c r="C246" s="324" t="s">
        <v>3355</v>
      </c>
      <c r="D246" s="328" t="str">
        <f t="shared" si="6"/>
        <v>NACE C - 23.13 Manufacture of hollow glass</v>
      </c>
      <c r="E246" s="325" t="s">
        <v>1020</v>
      </c>
      <c r="F246" t="s">
        <v>1021</v>
      </c>
      <c r="G246" t="str">
        <f t="shared" si="7"/>
        <v>VI</v>
      </c>
      <c r="K246" t="s">
        <v>4898</v>
      </c>
    </row>
    <row r="247" spans="1:11" x14ac:dyDescent="0.3">
      <c r="A247" s="328" t="s">
        <v>1022</v>
      </c>
      <c r="B247" t="s">
        <v>1023</v>
      </c>
      <c r="C247" s="327" t="s">
        <v>3356</v>
      </c>
      <c r="D247" s="328" t="str">
        <f t="shared" si="6"/>
        <v>NACE C - 23.14 Manufacture of glass fibres</v>
      </c>
      <c r="E247" s="325" t="s">
        <v>1024</v>
      </c>
      <c r="F247" t="s">
        <v>1025</v>
      </c>
      <c r="G247" t="str">
        <f t="shared" si="7"/>
        <v>VN</v>
      </c>
      <c r="K247" t="s">
        <v>4899</v>
      </c>
    </row>
    <row r="248" spans="1:11" x14ac:dyDescent="0.3">
      <c r="A248" s="328" t="s">
        <v>1026</v>
      </c>
      <c r="B248" t="s">
        <v>1027</v>
      </c>
      <c r="C248" s="327" t="s">
        <v>3357</v>
      </c>
      <c r="D248" s="328" t="str">
        <f t="shared" si="6"/>
        <v>NACE C - 23.15 Manufacture and processing of other glass, including technical glassware</v>
      </c>
      <c r="E248" s="325" t="s">
        <v>1028</v>
      </c>
      <c r="F248" t="s">
        <v>1029</v>
      </c>
      <c r="G248" t="str">
        <f t="shared" si="7"/>
        <v>VU</v>
      </c>
      <c r="K248" t="s">
        <v>4900</v>
      </c>
    </row>
    <row r="249" spans="1:11" x14ac:dyDescent="0.3">
      <c r="A249" s="327" t="s">
        <v>1030</v>
      </c>
      <c r="B249" t="s">
        <v>1031</v>
      </c>
      <c r="C249" s="324" t="s">
        <v>3358</v>
      </c>
      <c r="D249" s="327" t="str">
        <f t="shared" si="6"/>
        <v>NACE C - 23.2 Manufacture of refractory products</v>
      </c>
      <c r="E249" s="325" t="s">
        <v>1032</v>
      </c>
      <c r="F249" t="s">
        <v>1033</v>
      </c>
      <c r="G249" t="str">
        <f t="shared" si="7"/>
        <v>WF</v>
      </c>
      <c r="K249" t="s">
        <v>4901</v>
      </c>
    </row>
    <row r="250" spans="1:11" x14ac:dyDescent="0.3">
      <c r="A250" s="328" t="s">
        <v>1034</v>
      </c>
      <c r="B250" t="s">
        <v>1035</v>
      </c>
      <c r="C250" s="327" t="s">
        <v>3359</v>
      </c>
      <c r="D250" s="328" t="str">
        <f t="shared" si="6"/>
        <v>NACE C - 23.20 Manufacture of refractory products</v>
      </c>
      <c r="E250" s="325" t="s">
        <v>1036</v>
      </c>
      <c r="F250" t="s">
        <v>1037</v>
      </c>
      <c r="G250" t="str">
        <f t="shared" si="7"/>
        <v>WS</v>
      </c>
      <c r="K250" t="s">
        <v>4902</v>
      </c>
    </row>
    <row r="251" spans="1:11" x14ac:dyDescent="0.3">
      <c r="A251" s="327" t="s">
        <v>1038</v>
      </c>
      <c r="B251" t="s">
        <v>1039</v>
      </c>
      <c r="C251" s="327" t="s">
        <v>3360</v>
      </c>
      <c r="D251" s="327" t="str">
        <f t="shared" si="6"/>
        <v>NACE C - 23.3 Manufacture of clay building materials</v>
      </c>
      <c r="E251" s="325" t="s">
        <v>1040</v>
      </c>
      <c r="F251" t="s">
        <v>1041</v>
      </c>
      <c r="G251" t="str">
        <f t="shared" si="7"/>
        <v>YE</v>
      </c>
      <c r="K251" t="s">
        <v>4903</v>
      </c>
    </row>
    <row r="252" spans="1:11" x14ac:dyDescent="0.3">
      <c r="A252" s="328" t="s">
        <v>1042</v>
      </c>
      <c r="B252" t="s">
        <v>1043</v>
      </c>
      <c r="C252" s="327" t="s">
        <v>3361</v>
      </c>
      <c r="D252" s="328" t="str">
        <f t="shared" si="6"/>
        <v>NACE C - 23.31 Manufacture of ceramic tiles and flags</v>
      </c>
      <c r="E252" s="325" t="s">
        <v>1044</v>
      </c>
      <c r="F252" t="s">
        <v>1045</v>
      </c>
      <c r="G252" t="str">
        <f t="shared" si="7"/>
        <v>YT</v>
      </c>
      <c r="K252" t="s">
        <v>4904</v>
      </c>
    </row>
    <row r="253" spans="1:11" x14ac:dyDescent="0.3">
      <c r="A253" s="328" t="s">
        <v>1046</v>
      </c>
      <c r="B253" t="s">
        <v>1047</v>
      </c>
      <c r="C253" s="325" t="s">
        <v>3351</v>
      </c>
      <c r="D253" s="328" t="str">
        <f t="shared" si="6"/>
        <v>NACE C - 23.32 Manufacture of bricks, tiles and construction products, in baked clay</v>
      </c>
      <c r="E253" s="325" t="s">
        <v>1048</v>
      </c>
      <c r="F253" t="s">
        <v>1049</v>
      </c>
      <c r="G253" t="str">
        <f t="shared" si="7"/>
        <v>YU</v>
      </c>
      <c r="K253" t="s">
        <v>4905</v>
      </c>
    </row>
    <row r="254" spans="1:11" x14ac:dyDescent="0.3">
      <c r="A254" s="327" t="s">
        <v>1050</v>
      </c>
      <c r="B254" t="s">
        <v>1051</v>
      </c>
      <c r="C254" s="324" t="s">
        <v>3363</v>
      </c>
      <c r="D254" s="327" t="str">
        <f t="shared" si="6"/>
        <v>NACE C - 23.4 Manufacture of other porcelain and ceramic products</v>
      </c>
      <c r="E254" s="325" t="s">
        <v>1052</v>
      </c>
      <c r="F254" t="s">
        <v>1053</v>
      </c>
      <c r="G254" t="str">
        <f t="shared" si="7"/>
        <v>ZA</v>
      </c>
      <c r="K254" t="s">
        <v>4906</v>
      </c>
    </row>
    <row r="255" spans="1:11" x14ac:dyDescent="0.3">
      <c r="A255" s="328" t="s">
        <v>1054</v>
      </c>
      <c r="B255" t="s">
        <v>1055</v>
      </c>
      <c r="C255" s="327" t="s">
        <v>3364</v>
      </c>
      <c r="D255" s="328" t="str">
        <f t="shared" si="6"/>
        <v>NACE C - 23.41 Manufacture of ceramic household and ornamental articles</v>
      </c>
      <c r="E255" s="325" t="s">
        <v>1056</v>
      </c>
      <c r="F255" t="s">
        <v>1057</v>
      </c>
      <c r="G255" t="str">
        <f t="shared" si="7"/>
        <v>ZM</v>
      </c>
      <c r="K255" t="s">
        <v>4907</v>
      </c>
    </row>
    <row r="256" spans="1:11" x14ac:dyDescent="0.3">
      <c r="A256" s="328" t="s">
        <v>1058</v>
      </c>
      <c r="B256" t="s">
        <v>1059</v>
      </c>
      <c r="C256" s="327" t="s">
        <v>3365</v>
      </c>
      <c r="D256" s="328" t="str">
        <f t="shared" si="6"/>
        <v>NACE C - 23.42 Manufacture of ceramic sanitary fixtures</v>
      </c>
      <c r="E256" s="325" t="s">
        <v>1060</v>
      </c>
      <c r="F256" t="s">
        <v>1061</v>
      </c>
      <c r="G256" t="str">
        <f t="shared" si="7"/>
        <v>ZR</v>
      </c>
      <c r="K256" t="s">
        <v>4908</v>
      </c>
    </row>
    <row r="257" spans="1:11" x14ac:dyDescent="0.3">
      <c r="A257" s="328" t="s">
        <v>1062</v>
      </c>
      <c r="B257" t="s">
        <v>1063</v>
      </c>
      <c r="C257" s="327" t="s">
        <v>3366</v>
      </c>
      <c r="D257" s="328" t="str">
        <f t="shared" si="6"/>
        <v>NACE C - 23.43 Manufacture of ceramic insulators and insulating fittings</v>
      </c>
      <c r="E257" s="325" t="s">
        <v>1064</v>
      </c>
      <c r="F257" t="s">
        <v>1065</v>
      </c>
      <c r="G257" t="str">
        <f t="shared" si="7"/>
        <v>ZW</v>
      </c>
      <c r="K257" t="s">
        <v>4909</v>
      </c>
    </row>
    <row r="258" spans="1:11" x14ac:dyDescent="0.3">
      <c r="A258" s="328" t="s">
        <v>1066</v>
      </c>
      <c r="B258" t="s">
        <v>1067</v>
      </c>
      <c r="C258" s="324" t="s">
        <v>3367</v>
      </c>
      <c r="D258" s="328" t="str">
        <f t="shared" ref="D258:D321" si="8">_xlfn.CONCAT("NACE ", A258)</f>
        <v>NACE C - 23.44 Manufacture of other technical ceramic products</v>
      </c>
      <c r="K258" t="s">
        <v>4910</v>
      </c>
    </row>
    <row r="259" spans="1:11" x14ac:dyDescent="0.3">
      <c r="A259" s="328" t="s">
        <v>1068</v>
      </c>
      <c r="B259" t="s">
        <v>1069</v>
      </c>
      <c r="C259" s="327" t="s">
        <v>3368</v>
      </c>
      <c r="D259" s="328" t="str">
        <f t="shared" si="8"/>
        <v>NACE C - 23.45 Manufacture of other ceramic products</v>
      </c>
      <c r="K259" t="s">
        <v>4911</v>
      </c>
    </row>
    <row r="260" spans="1:11" x14ac:dyDescent="0.3">
      <c r="A260" s="327" t="s">
        <v>1070</v>
      </c>
      <c r="B260" t="s">
        <v>1071</v>
      </c>
      <c r="C260" s="327" t="s">
        <v>3369</v>
      </c>
      <c r="D260" s="327" t="str">
        <f t="shared" si="8"/>
        <v>NACE C - 23.5 Manufacture of cement, lime and plaster</v>
      </c>
      <c r="K260" t="s">
        <v>4912</v>
      </c>
    </row>
    <row r="261" spans="1:11" x14ac:dyDescent="0.3">
      <c r="A261" s="328" t="s">
        <v>1072</v>
      </c>
      <c r="B261" t="s">
        <v>1073</v>
      </c>
      <c r="C261" s="327" t="s">
        <v>3370</v>
      </c>
      <c r="D261" s="328" t="str">
        <f t="shared" si="8"/>
        <v>NACE C - 23.51 Manufacture of cement</v>
      </c>
      <c r="K261" t="s">
        <v>4913</v>
      </c>
    </row>
    <row r="262" spans="1:11" x14ac:dyDescent="0.3">
      <c r="A262" s="328" t="s">
        <v>1074</v>
      </c>
      <c r="B262" t="s">
        <v>1075</v>
      </c>
      <c r="C262" s="324" t="s">
        <v>3371</v>
      </c>
      <c r="D262" s="328" t="str">
        <f t="shared" si="8"/>
        <v>NACE C - 23.52 Manufacture of lime and plaster</v>
      </c>
      <c r="K262" t="s">
        <v>4914</v>
      </c>
    </row>
    <row r="263" spans="1:11" x14ac:dyDescent="0.3">
      <c r="A263" s="327" t="s">
        <v>1076</v>
      </c>
      <c r="B263" t="s">
        <v>1077</v>
      </c>
      <c r="C263" s="327" t="s">
        <v>3372</v>
      </c>
      <c r="D263" s="327" t="str">
        <f t="shared" si="8"/>
        <v>NACE C - 23.6 Manufacture of articles of concrete, cement and plaster</v>
      </c>
      <c r="K263" t="s">
        <v>4915</v>
      </c>
    </row>
    <row r="264" spans="1:11" x14ac:dyDescent="0.3">
      <c r="A264" s="328" t="s">
        <v>1078</v>
      </c>
      <c r="B264" t="s">
        <v>1079</v>
      </c>
      <c r="C264" s="327" t="s">
        <v>3373</v>
      </c>
      <c r="D264" s="328" t="str">
        <f t="shared" si="8"/>
        <v>NACE C - 23.61 Manufacture of concrete products for construction purposes</v>
      </c>
      <c r="K264" t="s">
        <v>4916</v>
      </c>
    </row>
    <row r="265" spans="1:11" x14ac:dyDescent="0.3">
      <c r="A265" s="328" t="s">
        <v>1080</v>
      </c>
      <c r="B265" t="s">
        <v>1081</v>
      </c>
      <c r="C265" s="325" t="s">
        <v>3362</v>
      </c>
      <c r="D265" s="328" t="str">
        <f t="shared" si="8"/>
        <v>NACE C - 23.62 Manufacture of plaster products for construction purposes</v>
      </c>
      <c r="K265" t="s">
        <v>4917</v>
      </c>
    </row>
    <row r="266" spans="1:11" x14ac:dyDescent="0.3">
      <c r="A266" s="328" t="s">
        <v>1082</v>
      </c>
      <c r="B266" t="s">
        <v>1083</v>
      </c>
      <c r="C266" s="324" t="s">
        <v>3375</v>
      </c>
      <c r="D266" s="328" t="str">
        <f t="shared" si="8"/>
        <v>NACE C - 23.63 Manufacture of ready-mixed concrete</v>
      </c>
      <c r="K266" t="s">
        <v>4918</v>
      </c>
    </row>
    <row r="267" spans="1:11" x14ac:dyDescent="0.3">
      <c r="A267" s="328" t="s">
        <v>1084</v>
      </c>
      <c r="B267" t="s">
        <v>1085</v>
      </c>
      <c r="C267" s="327" t="s">
        <v>3376</v>
      </c>
      <c r="D267" s="328" t="str">
        <f t="shared" si="8"/>
        <v>NACE C - 23.64 Manufacture of mortars</v>
      </c>
      <c r="K267" t="s">
        <v>4919</v>
      </c>
    </row>
    <row r="268" spans="1:11" x14ac:dyDescent="0.3">
      <c r="A268" s="328" t="s">
        <v>1086</v>
      </c>
      <c r="B268" t="s">
        <v>1087</v>
      </c>
      <c r="C268" s="327" t="s">
        <v>3377</v>
      </c>
      <c r="D268" s="328" t="str">
        <f t="shared" si="8"/>
        <v>NACE C - 23.65 Manufacture of fibre cement</v>
      </c>
      <c r="K268" t="s">
        <v>4920</v>
      </c>
    </row>
    <row r="269" spans="1:11" x14ac:dyDescent="0.3">
      <c r="A269" s="328" t="s">
        <v>1088</v>
      </c>
      <c r="B269" t="s">
        <v>1089</v>
      </c>
      <c r="C269" s="327" t="s">
        <v>3378</v>
      </c>
      <c r="D269" s="328" t="str">
        <f t="shared" si="8"/>
        <v>NACE C - 23.66 Manufacture of other articles of concrete, cement and plaster</v>
      </c>
      <c r="K269" t="s">
        <v>4921</v>
      </c>
    </row>
    <row r="270" spans="1:11" x14ac:dyDescent="0.3">
      <c r="A270" s="327" t="s">
        <v>1090</v>
      </c>
      <c r="B270" t="s">
        <v>1091</v>
      </c>
      <c r="C270" s="327" t="s">
        <v>3379</v>
      </c>
      <c r="D270" s="327" t="str">
        <f t="shared" si="8"/>
        <v>NACE C - 23.7 Cutting, shaping and finishing of stone</v>
      </c>
      <c r="K270" t="s">
        <v>4922</v>
      </c>
    </row>
    <row r="271" spans="1:11" x14ac:dyDescent="0.3">
      <c r="A271" s="328" t="s">
        <v>1092</v>
      </c>
      <c r="B271" t="s">
        <v>1093</v>
      </c>
      <c r="C271" s="324" t="s">
        <v>3380</v>
      </c>
      <c r="D271" s="328" t="str">
        <f t="shared" si="8"/>
        <v>NACE C - 23.70 Cutting, shaping and finishing of stone</v>
      </c>
      <c r="K271" t="s">
        <v>4923</v>
      </c>
    </row>
    <row r="272" spans="1:11" x14ac:dyDescent="0.3">
      <c r="A272" s="327" t="s">
        <v>1094</v>
      </c>
      <c r="B272" t="s">
        <v>1095</v>
      </c>
      <c r="C272" s="327" t="s">
        <v>3381</v>
      </c>
      <c r="D272" s="327" t="str">
        <f t="shared" si="8"/>
        <v>NACE C - 23.9 Manufacture of abrasive products and non-metallic mineral products n.e.c.</v>
      </c>
      <c r="K272" t="s">
        <v>4924</v>
      </c>
    </row>
    <row r="273" spans="1:11" x14ac:dyDescent="0.3">
      <c r="A273" s="328" t="s">
        <v>1096</v>
      </c>
      <c r="B273" t="s">
        <v>1097</v>
      </c>
      <c r="C273" s="327" t="s">
        <v>3382</v>
      </c>
      <c r="D273" s="328" t="str">
        <f t="shared" si="8"/>
        <v>NACE C - 23.91 Manufacture of abrasive products</v>
      </c>
      <c r="K273" t="s">
        <v>4925</v>
      </c>
    </row>
    <row r="274" spans="1:11" x14ac:dyDescent="0.3">
      <c r="A274" s="328" t="s">
        <v>1098</v>
      </c>
      <c r="B274" t="s">
        <v>1099</v>
      </c>
      <c r="C274" s="327" t="s">
        <v>3383</v>
      </c>
      <c r="D274" s="328" t="str">
        <f t="shared" si="8"/>
        <v>NACE C - 23.99 Manufacture of other non-metallic mineral products n.e.c.</v>
      </c>
      <c r="K274" t="s">
        <v>4926</v>
      </c>
    </row>
    <row r="275" spans="1:11" x14ac:dyDescent="0.3">
      <c r="A275" s="324" t="s">
        <v>1100</v>
      </c>
      <c r="B275" t="s">
        <v>1101</v>
      </c>
      <c r="C275" s="324" t="s">
        <v>3384</v>
      </c>
      <c r="D275" s="324" t="str">
        <f t="shared" si="8"/>
        <v>NACE C - 24 Manufacture of basic metals</v>
      </c>
      <c r="K275" t="s">
        <v>4927</v>
      </c>
    </row>
    <row r="276" spans="1:11" x14ac:dyDescent="0.3">
      <c r="A276" s="327" t="s">
        <v>1102</v>
      </c>
      <c r="B276" t="s">
        <v>1103</v>
      </c>
      <c r="C276" s="327" t="s">
        <v>3385</v>
      </c>
      <c r="D276" s="327" t="str">
        <f t="shared" si="8"/>
        <v>NACE C - 24.1 Manufacture of basic iron and steel and of ferro-alloys</v>
      </c>
      <c r="K276" t="s">
        <v>4928</v>
      </c>
    </row>
    <row r="277" spans="1:11" x14ac:dyDescent="0.3">
      <c r="A277" s="328" t="s">
        <v>1104</v>
      </c>
      <c r="B277" t="s">
        <v>1105</v>
      </c>
      <c r="C277" s="327" t="s">
        <v>3386</v>
      </c>
      <c r="D277" s="328" t="str">
        <f t="shared" si="8"/>
        <v>NACE C - 24.10 Manufacture of basic iron and steel and of ferro-alloys</v>
      </c>
      <c r="K277" t="s">
        <v>4929</v>
      </c>
    </row>
    <row r="278" spans="1:11" x14ac:dyDescent="0.3">
      <c r="A278" s="327" t="s">
        <v>1106</v>
      </c>
      <c r="B278" t="s">
        <v>1107</v>
      </c>
      <c r="C278" s="327" t="s">
        <v>3387</v>
      </c>
      <c r="D278" s="327" t="str">
        <f t="shared" si="8"/>
        <v>NACE C - 24.2 Manufacture of tubes, pipes, hollow profiles and related fittings, of steel</v>
      </c>
      <c r="K278" t="s">
        <v>4930</v>
      </c>
    </row>
    <row r="279" spans="1:11" x14ac:dyDescent="0.3">
      <c r="A279" s="328" t="s">
        <v>1108</v>
      </c>
      <c r="B279" t="s">
        <v>1109</v>
      </c>
      <c r="C279" s="325" t="s">
        <v>3374</v>
      </c>
      <c r="D279" s="328" t="str">
        <f t="shared" si="8"/>
        <v>NACE C - 24.20 Manufacture of tubes, pipes, hollow profiles and related fittings, of steel</v>
      </c>
      <c r="K279" t="s">
        <v>4931</v>
      </c>
    </row>
    <row r="280" spans="1:11" x14ac:dyDescent="0.3">
      <c r="A280" s="327" t="s">
        <v>1110</v>
      </c>
      <c r="B280" t="s">
        <v>1111</v>
      </c>
      <c r="C280" s="324" t="s">
        <v>3389</v>
      </c>
      <c r="D280" s="327" t="str">
        <f t="shared" si="8"/>
        <v>NACE C - 24.3 Manufacture of other products of first processing of steel</v>
      </c>
      <c r="K280" t="s">
        <v>4932</v>
      </c>
    </row>
    <row r="281" spans="1:11" x14ac:dyDescent="0.3">
      <c r="A281" s="328" t="s">
        <v>1112</v>
      </c>
      <c r="B281" t="s">
        <v>1113</v>
      </c>
      <c r="C281" s="327" t="s">
        <v>3390</v>
      </c>
      <c r="D281" s="328" t="str">
        <f t="shared" si="8"/>
        <v>NACE C - 24.31 Cold drawing of bars</v>
      </c>
      <c r="K281" t="s">
        <v>4933</v>
      </c>
    </row>
    <row r="282" spans="1:11" x14ac:dyDescent="0.3">
      <c r="A282" s="328" t="s">
        <v>1114</v>
      </c>
      <c r="B282" t="s">
        <v>1115</v>
      </c>
      <c r="C282" s="327" t="s">
        <v>3391</v>
      </c>
      <c r="D282" s="328" t="str">
        <f t="shared" si="8"/>
        <v>NACE C - 24.32 Cold rolling of narrow strip</v>
      </c>
      <c r="K282" t="s">
        <v>4934</v>
      </c>
    </row>
    <row r="283" spans="1:11" x14ac:dyDescent="0.3">
      <c r="A283" s="328" t="s">
        <v>1116</v>
      </c>
      <c r="B283" t="s">
        <v>1117</v>
      </c>
      <c r="C283" s="327" t="s">
        <v>3392</v>
      </c>
      <c r="D283" s="328" t="str">
        <f t="shared" si="8"/>
        <v>NACE C - 24.33 Cold forming or folding</v>
      </c>
      <c r="K283" t="s">
        <v>4935</v>
      </c>
    </row>
    <row r="284" spans="1:11" x14ac:dyDescent="0.3">
      <c r="A284" s="328" t="s">
        <v>1118</v>
      </c>
      <c r="B284" t="s">
        <v>1119</v>
      </c>
      <c r="C284" s="325" t="s">
        <v>3388</v>
      </c>
      <c r="D284" s="328" t="str">
        <f t="shared" si="8"/>
        <v>NACE C - 24.34 Cold drawing of wire</v>
      </c>
      <c r="K284" t="s">
        <v>4936</v>
      </c>
    </row>
    <row r="285" spans="1:11" x14ac:dyDescent="0.3">
      <c r="A285" s="327" t="s">
        <v>1120</v>
      </c>
      <c r="B285" t="s">
        <v>1121</v>
      </c>
      <c r="C285" s="324" t="s">
        <v>3394</v>
      </c>
      <c r="D285" s="327" t="str">
        <f t="shared" si="8"/>
        <v>NACE C - 24.4 Manufacture of basic precious and other non-ferrous metals</v>
      </c>
      <c r="K285" t="s">
        <v>4937</v>
      </c>
    </row>
    <row r="286" spans="1:11" x14ac:dyDescent="0.3">
      <c r="A286" s="328" t="s">
        <v>1122</v>
      </c>
      <c r="B286" t="s">
        <v>1123</v>
      </c>
      <c r="C286" s="327" t="s">
        <v>3395</v>
      </c>
      <c r="D286" s="328" t="str">
        <f t="shared" si="8"/>
        <v>NACE C - 24.41 Precious metals production</v>
      </c>
      <c r="K286" t="s">
        <v>4938</v>
      </c>
    </row>
    <row r="287" spans="1:11" x14ac:dyDescent="0.3">
      <c r="A287" s="328" t="s">
        <v>1124</v>
      </c>
      <c r="B287" t="s">
        <v>1125</v>
      </c>
      <c r="C287" s="327" t="s">
        <v>3396</v>
      </c>
      <c r="D287" s="328" t="str">
        <f t="shared" si="8"/>
        <v>NACE C - 24.42 Aluminium production</v>
      </c>
      <c r="K287" t="s">
        <v>4939</v>
      </c>
    </row>
    <row r="288" spans="1:11" x14ac:dyDescent="0.3">
      <c r="A288" s="328" t="s">
        <v>1126</v>
      </c>
      <c r="B288" t="s">
        <v>1127</v>
      </c>
      <c r="C288" s="324" t="s">
        <v>3397</v>
      </c>
      <c r="D288" s="328" t="str">
        <f t="shared" si="8"/>
        <v>NACE C - 24.43 Lead, zinc and tin production</v>
      </c>
      <c r="K288" t="s">
        <v>4940</v>
      </c>
    </row>
    <row r="289" spans="1:11" x14ac:dyDescent="0.3">
      <c r="A289" s="328" t="s">
        <v>1128</v>
      </c>
      <c r="B289" t="s">
        <v>1129</v>
      </c>
      <c r="C289" s="327" t="s">
        <v>3398</v>
      </c>
      <c r="D289" s="328" t="str">
        <f t="shared" si="8"/>
        <v>NACE C - 24.44 Copper production</v>
      </c>
      <c r="K289" t="s">
        <v>4941</v>
      </c>
    </row>
    <row r="290" spans="1:11" x14ac:dyDescent="0.3">
      <c r="A290" s="328" t="s">
        <v>1130</v>
      </c>
      <c r="B290" t="s">
        <v>1131</v>
      </c>
      <c r="C290" s="327" t="s">
        <v>3399</v>
      </c>
      <c r="D290" s="328" t="str">
        <f t="shared" si="8"/>
        <v>NACE C - 24.45 Other non-ferrous metal production</v>
      </c>
      <c r="K290" t="s">
        <v>4942</v>
      </c>
    </row>
    <row r="291" spans="1:11" x14ac:dyDescent="0.3">
      <c r="A291" s="328" t="s">
        <v>1132</v>
      </c>
      <c r="B291" t="s">
        <v>1133</v>
      </c>
      <c r="C291" s="324" t="s">
        <v>3400</v>
      </c>
      <c r="D291" s="328" t="str">
        <f t="shared" si="8"/>
        <v>NACE C - 24.46 Processing of nuclear fuel</v>
      </c>
      <c r="K291" t="s">
        <v>4943</v>
      </c>
    </row>
    <row r="292" spans="1:11" x14ac:dyDescent="0.3">
      <c r="A292" s="327" t="s">
        <v>1134</v>
      </c>
      <c r="B292" t="s">
        <v>1135</v>
      </c>
      <c r="C292" s="327" t="s">
        <v>3401</v>
      </c>
      <c r="D292" s="327" t="str">
        <f t="shared" si="8"/>
        <v>NACE C - 24.5 Casting of metals</v>
      </c>
      <c r="K292" t="s">
        <v>4944</v>
      </c>
    </row>
    <row r="293" spans="1:11" x14ac:dyDescent="0.3">
      <c r="A293" s="328" t="s">
        <v>1136</v>
      </c>
      <c r="B293" t="s">
        <v>1137</v>
      </c>
      <c r="C293" s="327" t="s">
        <v>3402</v>
      </c>
      <c r="D293" s="328" t="str">
        <f t="shared" si="8"/>
        <v>NACE C - 24.51 Casting of iron</v>
      </c>
      <c r="K293" t="s">
        <v>4945</v>
      </c>
    </row>
    <row r="294" spans="1:11" x14ac:dyDescent="0.3">
      <c r="A294" s="328" t="s">
        <v>1138</v>
      </c>
      <c r="B294" t="s">
        <v>1139</v>
      </c>
      <c r="C294" s="324" t="s">
        <v>3403</v>
      </c>
      <c r="D294" s="328" t="str">
        <f t="shared" si="8"/>
        <v>NACE C - 24.52 Casting of steel</v>
      </c>
      <c r="K294" t="s">
        <v>4946</v>
      </c>
    </row>
    <row r="295" spans="1:11" x14ac:dyDescent="0.3">
      <c r="A295" s="328" t="s">
        <v>1140</v>
      </c>
      <c r="B295" t="s">
        <v>1141</v>
      </c>
      <c r="C295" s="327" t="s">
        <v>3404</v>
      </c>
      <c r="D295" s="328" t="str">
        <f t="shared" si="8"/>
        <v>NACE C - 24.53 Casting of light metals</v>
      </c>
      <c r="K295" t="s">
        <v>4947</v>
      </c>
    </row>
    <row r="296" spans="1:11" x14ac:dyDescent="0.3">
      <c r="A296" s="328" t="s">
        <v>1142</v>
      </c>
      <c r="B296" t="s">
        <v>1143</v>
      </c>
      <c r="C296" s="327" t="s">
        <v>3405</v>
      </c>
      <c r="D296" s="328" t="str">
        <f t="shared" si="8"/>
        <v>NACE C - 24.54 Casting of other non-ferrous metals</v>
      </c>
      <c r="K296" t="s">
        <v>4948</v>
      </c>
    </row>
    <row r="297" spans="1:11" x14ac:dyDescent="0.3">
      <c r="A297" s="324" t="s">
        <v>1144</v>
      </c>
      <c r="B297" t="s">
        <v>1145</v>
      </c>
      <c r="C297" s="324" t="s">
        <v>3406</v>
      </c>
      <c r="D297" s="324" t="str">
        <f t="shared" si="8"/>
        <v>NACE C - 25 Manufacture of fabricated metal products, except machinery and equipment</v>
      </c>
      <c r="K297" t="s">
        <v>4949</v>
      </c>
    </row>
    <row r="298" spans="1:11" x14ac:dyDescent="0.3">
      <c r="A298" s="327" t="s">
        <v>1146</v>
      </c>
      <c r="B298" t="s">
        <v>1147</v>
      </c>
      <c r="C298" s="327" t="s">
        <v>3407</v>
      </c>
      <c r="D298" s="327" t="str">
        <f t="shared" si="8"/>
        <v>NACE C - 25.1 Manufacture of structural metal products</v>
      </c>
      <c r="K298" t="s">
        <v>4950</v>
      </c>
    </row>
    <row r="299" spans="1:11" x14ac:dyDescent="0.3">
      <c r="A299" s="328" t="s">
        <v>1148</v>
      </c>
      <c r="B299" t="s">
        <v>1149</v>
      </c>
      <c r="C299" s="327" t="s">
        <v>3408</v>
      </c>
      <c r="D299" s="328" t="str">
        <f t="shared" si="8"/>
        <v>NACE C - 25.11 Manufacture of metal structures and parts of structures</v>
      </c>
      <c r="K299" t="s">
        <v>4647</v>
      </c>
    </row>
    <row r="300" spans="1:11" x14ac:dyDescent="0.3">
      <c r="A300" s="328" t="s">
        <v>1150</v>
      </c>
      <c r="B300" t="s">
        <v>1151</v>
      </c>
      <c r="C300" s="327" t="s">
        <v>3409</v>
      </c>
      <c r="D300" s="328" t="str">
        <f t="shared" si="8"/>
        <v>NACE C - 25.12 Manufacture of doors and windows of metal</v>
      </c>
      <c r="K300" t="s">
        <v>4951</v>
      </c>
    </row>
    <row r="301" spans="1:11" x14ac:dyDescent="0.3">
      <c r="A301" s="327" t="s">
        <v>1152</v>
      </c>
      <c r="B301" t="s">
        <v>1153</v>
      </c>
      <c r="C301" s="324" t="s">
        <v>3410</v>
      </c>
      <c r="D301" s="327" t="str">
        <f t="shared" si="8"/>
        <v>NACE C - 25.2 Manufacture of tanks, reservoirs and containers of metal</v>
      </c>
      <c r="K301" t="s">
        <v>4952</v>
      </c>
    </row>
    <row r="302" spans="1:11" x14ac:dyDescent="0.3">
      <c r="A302" s="328" t="s">
        <v>1154</v>
      </c>
      <c r="B302" t="s">
        <v>1155</v>
      </c>
      <c r="C302" s="327" t="s">
        <v>3411</v>
      </c>
      <c r="D302" s="328" t="str">
        <f t="shared" si="8"/>
        <v>NACE C - 25.21 Manufacture of central heating radiators, steam generators and boilers</v>
      </c>
      <c r="K302" t="s">
        <v>4953</v>
      </c>
    </row>
    <row r="303" spans="1:11" x14ac:dyDescent="0.3">
      <c r="A303" s="328" t="s">
        <v>1156</v>
      </c>
      <c r="B303" t="s">
        <v>1157</v>
      </c>
      <c r="C303" s="327" t="s">
        <v>3412</v>
      </c>
      <c r="D303" s="328" t="str">
        <f t="shared" si="8"/>
        <v>NACE C - 25.22 Manufacture of other tanks, reservoirs and containers of metal</v>
      </c>
      <c r="K303" t="s">
        <v>4954</v>
      </c>
    </row>
    <row r="304" spans="1:11" x14ac:dyDescent="0.3">
      <c r="A304" s="327" t="s">
        <v>1158</v>
      </c>
      <c r="B304" t="s">
        <v>1159</v>
      </c>
      <c r="C304" s="327" t="s">
        <v>3413</v>
      </c>
      <c r="D304" s="327" t="str">
        <f t="shared" si="8"/>
        <v>NACE C - 25.3 Manufacture of weapons and ammunition</v>
      </c>
      <c r="K304" t="s">
        <v>4955</v>
      </c>
    </row>
    <row r="305" spans="1:11" x14ac:dyDescent="0.3">
      <c r="A305" s="328" t="s">
        <v>1160</v>
      </c>
      <c r="B305" t="s">
        <v>1161</v>
      </c>
      <c r="C305" s="327" t="s">
        <v>3414</v>
      </c>
      <c r="D305" s="328" t="str">
        <f t="shared" si="8"/>
        <v>NACE C - 25.30 Manufacture of weapons and ammunition</v>
      </c>
      <c r="K305" t="s">
        <v>4956</v>
      </c>
    </row>
    <row r="306" spans="1:11" x14ac:dyDescent="0.3">
      <c r="A306" s="327" t="s">
        <v>1162</v>
      </c>
      <c r="B306" t="s">
        <v>1163</v>
      </c>
      <c r="C306" s="324" t="s">
        <v>3415</v>
      </c>
      <c r="D306" s="327" t="str">
        <f t="shared" si="8"/>
        <v>NACE C - 25.4 Forging and shaping metal and powder metallurgy</v>
      </c>
      <c r="K306" t="s">
        <v>4957</v>
      </c>
    </row>
    <row r="307" spans="1:11" x14ac:dyDescent="0.3">
      <c r="A307" s="328" t="s">
        <v>1164</v>
      </c>
      <c r="B307" t="s">
        <v>1165</v>
      </c>
      <c r="C307" s="327" t="s">
        <v>3416</v>
      </c>
      <c r="D307" s="328" t="str">
        <f t="shared" si="8"/>
        <v>NACE C - 25.40 Forging and shaping metal and powder metallurgy</v>
      </c>
      <c r="K307" t="s">
        <v>4958</v>
      </c>
    </row>
    <row r="308" spans="1:11" x14ac:dyDescent="0.3">
      <c r="A308" s="327" t="s">
        <v>1166</v>
      </c>
      <c r="B308" t="s">
        <v>1167</v>
      </c>
      <c r="C308" s="325" t="s">
        <v>3393</v>
      </c>
      <c r="D308" s="327" t="str">
        <f t="shared" si="8"/>
        <v>NACE C - 25.5 Treatment and coating of metals; machining</v>
      </c>
      <c r="K308" t="s">
        <v>4959</v>
      </c>
    </row>
    <row r="309" spans="1:11" x14ac:dyDescent="0.3">
      <c r="A309" s="328" t="s">
        <v>1168</v>
      </c>
      <c r="B309" t="s">
        <v>1169</v>
      </c>
      <c r="C309" s="324" t="s">
        <v>3418</v>
      </c>
      <c r="D309" s="328" t="str">
        <f t="shared" si="8"/>
        <v>NACE C - 25.51 Coating of metals</v>
      </c>
      <c r="K309" t="s">
        <v>4960</v>
      </c>
    </row>
    <row r="310" spans="1:11" x14ac:dyDescent="0.3">
      <c r="A310" s="328" t="s">
        <v>1170</v>
      </c>
      <c r="B310" t="s">
        <v>1171</v>
      </c>
      <c r="C310" s="327" t="s">
        <v>3419</v>
      </c>
      <c r="D310" s="328" t="str">
        <f t="shared" si="8"/>
        <v>NACE C - 25.52 Heat treatment of metals</v>
      </c>
      <c r="K310" t="s">
        <v>4961</v>
      </c>
    </row>
    <row r="311" spans="1:11" x14ac:dyDescent="0.3">
      <c r="A311" s="328" t="s">
        <v>1172</v>
      </c>
      <c r="B311" t="s">
        <v>1173</v>
      </c>
      <c r="C311" s="327" t="s">
        <v>3420</v>
      </c>
      <c r="D311" s="328" t="str">
        <f t="shared" si="8"/>
        <v>NACE C - 25.53 Machining of metals</v>
      </c>
      <c r="K311" t="s">
        <v>4962</v>
      </c>
    </row>
    <row r="312" spans="1:11" x14ac:dyDescent="0.3">
      <c r="A312" s="327" t="s">
        <v>1174</v>
      </c>
      <c r="B312" t="s">
        <v>1175</v>
      </c>
      <c r="C312" s="327" t="s">
        <v>3421</v>
      </c>
      <c r="D312" s="327" t="str">
        <f t="shared" si="8"/>
        <v>NACE C - 25.6 Manufacture of cutlery, tools and general hardware</v>
      </c>
      <c r="K312" t="s">
        <v>4963</v>
      </c>
    </row>
    <row r="313" spans="1:11" x14ac:dyDescent="0.3">
      <c r="A313" s="328" t="s">
        <v>1176</v>
      </c>
      <c r="B313" t="s">
        <v>1177</v>
      </c>
      <c r="C313" s="327" t="s">
        <v>3422</v>
      </c>
      <c r="D313" s="328" t="str">
        <f t="shared" si="8"/>
        <v>NACE C - 25.61 Manufacture of cutlery</v>
      </c>
      <c r="K313" t="s">
        <v>4964</v>
      </c>
    </row>
    <row r="314" spans="1:11" x14ac:dyDescent="0.3">
      <c r="A314" s="328" t="s">
        <v>1178</v>
      </c>
      <c r="B314" t="s">
        <v>1179</v>
      </c>
      <c r="C314" s="327" t="s">
        <v>3423</v>
      </c>
      <c r="D314" s="328" t="str">
        <f t="shared" si="8"/>
        <v>NACE C - 25.62 Manufacture of locks and hinges</v>
      </c>
      <c r="K314" t="s">
        <v>4965</v>
      </c>
    </row>
    <row r="315" spans="1:11" x14ac:dyDescent="0.3">
      <c r="A315" s="328" t="s">
        <v>1180</v>
      </c>
      <c r="B315" t="s">
        <v>1181</v>
      </c>
      <c r="C315" s="324" t="s">
        <v>3424</v>
      </c>
      <c r="D315" s="328" t="str">
        <f t="shared" si="8"/>
        <v>NACE C - 25.63 Manufacture of tools</v>
      </c>
      <c r="K315" t="s">
        <v>4966</v>
      </c>
    </row>
    <row r="316" spans="1:11" x14ac:dyDescent="0.3">
      <c r="A316" s="327" t="s">
        <v>1182</v>
      </c>
      <c r="B316" t="s">
        <v>1183</v>
      </c>
      <c r="C316" s="327" t="s">
        <v>3425</v>
      </c>
      <c r="D316" s="327" t="str">
        <f t="shared" si="8"/>
        <v>NACE C - 25.9 Manufacture of other fabricated metal products</v>
      </c>
      <c r="K316" t="s">
        <v>4967</v>
      </c>
    </row>
    <row r="317" spans="1:11" x14ac:dyDescent="0.3">
      <c r="A317" s="328" t="s">
        <v>1184</v>
      </c>
      <c r="B317" t="s">
        <v>1185</v>
      </c>
      <c r="C317" s="327" t="s">
        <v>3426</v>
      </c>
      <c r="D317" s="328" t="str">
        <f t="shared" si="8"/>
        <v>NACE C - 25.91 Manufacture of steel drums and similar containers</v>
      </c>
      <c r="K317" t="s">
        <v>4968</v>
      </c>
    </row>
    <row r="318" spans="1:11" x14ac:dyDescent="0.3">
      <c r="A318" s="328" t="s">
        <v>1186</v>
      </c>
      <c r="B318" t="s">
        <v>1187</v>
      </c>
      <c r="C318" s="324" t="s">
        <v>3427</v>
      </c>
      <c r="D318" s="328" t="str">
        <f t="shared" si="8"/>
        <v>NACE C - 25.92 Manufacture of light metal packaging</v>
      </c>
      <c r="K318" t="s">
        <v>4969</v>
      </c>
    </row>
    <row r="319" spans="1:11" x14ac:dyDescent="0.3">
      <c r="A319" s="328" t="s">
        <v>1188</v>
      </c>
      <c r="B319" t="s">
        <v>1189</v>
      </c>
      <c r="C319" s="327" t="s">
        <v>3428</v>
      </c>
      <c r="D319" s="328" t="str">
        <f t="shared" si="8"/>
        <v>NACE C - 25.93 Manufacture of wire products, chain and springs</v>
      </c>
      <c r="K319" t="s">
        <v>4970</v>
      </c>
    </row>
    <row r="320" spans="1:11" x14ac:dyDescent="0.3">
      <c r="A320" s="328" t="s">
        <v>1190</v>
      </c>
      <c r="B320" t="s">
        <v>1191</v>
      </c>
      <c r="C320" s="327" t="s">
        <v>3429</v>
      </c>
      <c r="D320" s="328" t="str">
        <f t="shared" si="8"/>
        <v>NACE C - 25.94 Manufacture of fasteners and screw machine products</v>
      </c>
      <c r="K320" t="s">
        <v>4971</v>
      </c>
    </row>
    <row r="321" spans="1:11" x14ac:dyDescent="0.3">
      <c r="A321" s="328" t="s">
        <v>1192</v>
      </c>
      <c r="B321" t="s">
        <v>1193</v>
      </c>
      <c r="C321" s="324" t="s">
        <v>3430</v>
      </c>
      <c r="D321" s="328" t="str">
        <f t="shared" si="8"/>
        <v>NACE C - 25.99 Manufacture of other fabricated metal products n.e.c.</v>
      </c>
      <c r="K321" t="s">
        <v>4972</v>
      </c>
    </row>
    <row r="322" spans="1:11" x14ac:dyDescent="0.3">
      <c r="A322" s="324" t="s">
        <v>1194</v>
      </c>
      <c r="B322" t="s">
        <v>1195</v>
      </c>
      <c r="C322" s="327" t="s">
        <v>3431</v>
      </c>
      <c r="D322" s="324" t="str">
        <f t="shared" ref="D322:D385" si="9">_xlfn.CONCAT("NACE ", A322)</f>
        <v>NACE C - 26 Manufacture of computer, electronic and optical products</v>
      </c>
      <c r="K322" t="s">
        <v>4973</v>
      </c>
    </row>
    <row r="323" spans="1:11" x14ac:dyDescent="0.3">
      <c r="A323" s="327" t="s">
        <v>1196</v>
      </c>
      <c r="B323" t="s">
        <v>1197</v>
      </c>
      <c r="C323" s="324" t="s">
        <v>3432</v>
      </c>
      <c r="D323" s="327" t="str">
        <f t="shared" si="9"/>
        <v>NACE C - 26.1 Manufacture of electronic components and boards</v>
      </c>
      <c r="K323" t="s">
        <v>4974</v>
      </c>
    </row>
    <row r="324" spans="1:11" x14ac:dyDescent="0.3">
      <c r="A324" s="328" t="s">
        <v>1198</v>
      </c>
      <c r="B324" t="s">
        <v>1199</v>
      </c>
      <c r="C324" s="327" t="s">
        <v>3433</v>
      </c>
      <c r="D324" s="328" t="str">
        <f t="shared" si="9"/>
        <v>NACE C - 26.11 Manufacture of electronic components</v>
      </c>
      <c r="K324" t="s">
        <v>4975</v>
      </c>
    </row>
    <row r="325" spans="1:11" x14ac:dyDescent="0.3">
      <c r="A325" s="328" t="s">
        <v>1200</v>
      </c>
      <c r="B325" t="s">
        <v>1201</v>
      </c>
      <c r="C325" s="327" t="s">
        <v>3434</v>
      </c>
      <c r="D325" s="328" t="str">
        <f t="shared" si="9"/>
        <v>NACE C - 26.12 Manufacture of loaded electronic boards</v>
      </c>
      <c r="K325" t="s">
        <v>4976</v>
      </c>
    </row>
    <row r="326" spans="1:11" x14ac:dyDescent="0.3">
      <c r="A326" s="327" t="s">
        <v>1202</v>
      </c>
      <c r="B326" t="s">
        <v>1203</v>
      </c>
      <c r="C326" s="327" t="s">
        <v>3435</v>
      </c>
      <c r="D326" s="327" t="str">
        <f t="shared" si="9"/>
        <v>NACE C - 26.2 Manufacture of computers and peripheral equipment</v>
      </c>
      <c r="K326" t="s">
        <v>4977</v>
      </c>
    </row>
    <row r="327" spans="1:11" x14ac:dyDescent="0.3">
      <c r="A327" s="328" t="s">
        <v>1204</v>
      </c>
      <c r="B327" t="s">
        <v>1205</v>
      </c>
      <c r="C327" s="324" t="s">
        <v>3436</v>
      </c>
      <c r="D327" s="328" t="str">
        <f t="shared" si="9"/>
        <v>NACE C - 26.20 Manufacture of computers and peripheral equipment</v>
      </c>
      <c r="K327" t="s">
        <v>4978</v>
      </c>
    </row>
    <row r="328" spans="1:11" x14ac:dyDescent="0.3">
      <c r="A328" s="327" t="s">
        <v>1206</v>
      </c>
      <c r="B328" t="s">
        <v>1207</v>
      </c>
      <c r="C328" s="327" t="s">
        <v>3437</v>
      </c>
      <c r="D328" s="327" t="str">
        <f t="shared" si="9"/>
        <v>NACE C - 26.3 Manufacture of communication equipment</v>
      </c>
      <c r="K328" t="s">
        <v>4979</v>
      </c>
    </row>
    <row r="329" spans="1:11" x14ac:dyDescent="0.3">
      <c r="A329" s="328" t="s">
        <v>1208</v>
      </c>
      <c r="B329" t="s">
        <v>1209</v>
      </c>
      <c r="C329" s="327" t="s">
        <v>3438</v>
      </c>
      <c r="D329" s="328" t="str">
        <f t="shared" si="9"/>
        <v>NACE C - 26.30 Manufacture of communication equipment</v>
      </c>
      <c r="K329" t="s">
        <v>4980</v>
      </c>
    </row>
    <row r="330" spans="1:11" x14ac:dyDescent="0.3">
      <c r="A330" s="327" t="s">
        <v>1210</v>
      </c>
      <c r="B330" t="s">
        <v>1211</v>
      </c>
      <c r="C330" s="327" t="s">
        <v>3439</v>
      </c>
      <c r="D330" s="327" t="str">
        <f t="shared" si="9"/>
        <v>NACE C - 26.4 Manufacture of consumer electronics</v>
      </c>
      <c r="K330" t="s">
        <v>4981</v>
      </c>
    </row>
    <row r="331" spans="1:11" x14ac:dyDescent="0.3">
      <c r="A331" s="328" t="s">
        <v>1212</v>
      </c>
      <c r="B331" t="s">
        <v>1213</v>
      </c>
      <c r="C331" s="327" t="s">
        <v>3440</v>
      </c>
      <c r="D331" s="328" t="str">
        <f t="shared" si="9"/>
        <v>NACE C - 26.40 Manufacture of consumer electronics</v>
      </c>
      <c r="K331" t="s">
        <v>4982</v>
      </c>
    </row>
    <row r="332" spans="1:11" x14ac:dyDescent="0.3">
      <c r="A332" s="327" t="s">
        <v>1214</v>
      </c>
      <c r="B332" t="s">
        <v>1215</v>
      </c>
      <c r="C332" s="327" t="s">
        <v>3441</v>
      </c>
      <c r="D332" s="327" t="str">
        <f t="shared" si="9"/>
        <v>NACE C - 26.5 Manufacture of measuring testing instruments, clocks and watches</v>
      </c>
      <c r="K332" t="s">
        <v>4983</v>
      </c>
    </row>
    <row r="333" spans="1:11" x14ac:dyDescent="0.3">
      <c r="A333" s="328" t="s">
        <v>1216</v>
      </c>
      <c r="B333" t="s">
        <v>1217</v>
      </c>
      <c r="C333" s="325" t="s">
        <v>3417</v>
      </c>
      <c r="D333" s="328" t="str">
        <f t="shared" si="9"/>
        <v>NACE C - 26.51 Manufacture of instruments and appliances for measuring, testing and navigation</v>
      </c>
      <c r="K333" t="s">
        <v>4984</v>
      </c>
    </row>
    <row r="334" spans="1:11" x14ac:dyDescent="0.3">
      <c r="A334" s="328" t="s">
        <v>1218</v>
      </c>
      <c r="B334" t="s">
        <v>1219</v>
      </c>
      <c r="C334" s="324" t="s">
        <v>3443</v>
      </c>
      <c r="D334" s="328" t="str">
        <f t="shared" si="9"/>
        <v>NACE C - 26.52 Manufacture of watches and clocks</v>
      </c>
      <c r="K334" t="s">
        <v>4985</v>
      </c>
    </row>
    <row r="335" spans="1:11" x14ac:dyDescent="0.3">
      <c r="A335" s="327" t="s">
        <v>1220</v>
      </c>
      <c r="B335" t="s">
        <v>1221</v>
      </c>
      <c r="C335" s="327" t="s">
        <v>3444</v>
      </c>
      <c r="D335" s="327" t="str">
        <f t="shared" si="9"/>
        <v>NACE C - 26.6 Manufacture of irradiation, electromedical and electrotherapeutic equipment</v>
      </c>
      <c r="K335" t="s">
        <v>4986</v>
      </c>
    </row>
    <row r="336" spans="1:11" x14ac:dyDescent="0.3">
      <c r="A336" s="328" t="s">
        <v>1222</v>
      </c>
      <c r="B336" t="s">
        <v>1223</v>
      </c>
      <c r="C336" s="327" t="s">
        <v>3445</v>
      </c>
      <c r="D336" s="328" t="str">
        <f t="shared" si="9"/>
        <v>NACE C - 26.60 Manufacture of irradiation, electromedical and electrotherapeutic equipment</v>
      </c>
      <c r="K336" t="s">
        <v>4987</v>
      </c>
    </row>
    <row r="337" spans="1:11" x14ac:dyDescent="0.3">
      <c r="A337" s="327" t="s">
        <v>1224</v>
      </c>
      <c r="B337" t="s">
        <v>1225</v>
      </c>
      <c r="C337" s="327" t="s">
        <v>3446</v>
      </c>
      <c r="D337" s="327" t="str">
        <f t="shared" si="9"/>
        <v>NACE C - 26.7 Manufacture of optical instruments, magnetic and optical media and photographic equipment</v>
      </c>
      <c r="K337" t="s">
        <v>4988</v>
      </c>
    </row>
    <row r="338" spans="1:11" x14ac:dyDescent="0.3">
      <c r="A338" s="328" t="s">
        <v>1226</v>
      </c>
      <c r="B338" t="s">
        <v>1227</v>
      </c>
      <c r="C338" s="325" t="s">
        <v>3442</v>
      </c>
      <c r="D338" s="328" t="str">
        <f t="shared" si="9"/>
        <v>NACE C - 26.70 Manufacture of optical instruments, magnetic and optical media and photographic equipment</v>
      </c>
      <c r="K338" t="s">
        <v>4989</v>
      </c>
    </row>
    <row r="339" spans="1:11" x14ac:dyDescent="0.3">
      <c r="A339" s="324" t="s">
        <v>1228</v>
      </c>
      <c r="B339" t="s">
        <v>1229</v>
      </c>
      <c r="C339" s="324" t="s">
        <v>3448</v>
      </c>
      <c r="D339" s="324" t="str">
        <f t="shared" si="9"/>
        <v>NACE C - 27 Manufacture of electrical equipment</v>
      </c>
      <c r="K339" t="s">
        <v>4990</v>
      </c>
    </row>
    <row r="340" spans="1:11" x14ac:dyDescent="0.3">
      <c r="A340" s="327" t="s">
        <v>1230</v>
      </c>
      <c r="B340" t="s">
        <v>1231</v>
      </c>
      <c r="C340" s="327" t="s">
        <v>3449</v>
      </c>
      <c r="D340" s="327" t="str">
        <f t="shared" si="9"/>
        <v>NACE C - 27.1 Manufacture of electric motors, generators, transformers and electricity distribution and control apparatus</v>
      </c>
      <c r="K340" t="s">
        <v>4991</v>
      </c>
    </row>
    <row r="341" spans="1:11" x14ac:dyDescent="0.3">
      <c r="A341" s="328" t="s">
        <v>1232</v>
      </c>
      <c r="B341" t="s">
        <v>1233</v>
      </c>
      <c r="C341" s="327" t="s">
        <v>3450</v>
      </c>
      <c r="D341" s="328" t="str">
        <f t="shared" si="9"/>
        <v>NACE C - 27.11 Manufacture of electric motors, generators and transformers</v>
      </c>
      <c r="K341" t="s">
        <v>4992</v>
      </c>
    </row>
    <row r="342" spans="1:11" x14ac:dyDescent="0.3">
      <c r="A342" s="328" t="s">
        <v>1234</v>
      </c>
      <c r="B342" t="s">
        <v>1235</v>
      </c>
      <c r="C342" s="327" t="s">
        <v>3451</v>
      </c>
      <c r="D342" s="328" t="str">
        <f t="shared" si="9"/>
        <v>NACE C - 27.12 Manufacture of electricity distribution and control apparatus</v>
      </c>
      <c r="K342" t="s">
        <v>4993</v>
      </c>
    </row>
    <row r="343" spans="1:11" x14ac:dyDescent="0.3">
      <c r="A343" s="327" t="s">
        <v>1236</v>
      </c>
      <c r="B343" t="s">
        <v>1237</v>
      </c>
      <c r="C343" s="327" t="s">
        <v>3452</v>
      </c>
      <c r="D343" s="327" t="str">
        <f t="shared" si="9"/>
        <v>NACE C - 27.2 Manufacture of batteries and accumulators</v>
      </c>
      <c r="K343" t="s">
        <v>4648</v>
      </c>
    </row>
    <row r="344" spans="1:11" x14ac:dyDescent="0.3">
      <c r="A344" s="328" t="s">
        <v>1238</v>
      </c>
      <c r="B344" t="s">
        <v>1239</v>
      </c>
      <c r="C344" s="327" t="s">
        <v>3453</v>
      </c>
      <c r="D344" s="328" t="str">
        <f t="shared" si="9"/>
        <v>NACE C - 27.20 Manufacture of batteries and accumulators</v>
      </c>
      <c r="K344" t="s">
        <v>4994</v>
      </c>
    </row>
    <row r="345" spans="1:11" x14ac:dyDescent="0.3">
      <c r="A345" s="327" t="s">
        <v>1240</v>
      </c>
      <c r="B345" t="s">
        <v>1241</v>
      </c>
      <c r="C345" s="327" t="s">
        <v>3454</v>
      </c>
      <c r="D345" s="327" t="str">
        <f t="shared" si="9"/>
        <v>NACE C - 27.3 Manufacture of wiring and wiring devices</v>
      </c>
      <c r="K345" t="s">
        <v>4995</v>
      </c>
    </row>
    <row r="346" spans="1:11" x14ac:dyDescent="0.3">
      <c r="A346" s="328" t="s">
        <v>1242</v>
      </c>
      <c r="B346" t="s">
        <v>1243</v>
      </c>
      <c r="C346" s="325" t="s">
        <v>3447</v>
      </c>
      <c r="D346" s="328" t="str">
        <f t="shared" si="9"/>
        <v>NACE C - 27.31 Manufacture of fibre optic cables</v>
      </c>
      <c r="K346" t="s">
        <v>4996</v>
      </c>
    </row>
    <row r="347" spans="1:11" x14ac:dyDescent="0.3">
      <c r="A347" s="328" t="s">
        <v>1244</v>
      </c>
      <c r="B347" t="s">
        <v>1245</v>
      </c>
      <c r="C347" s="324" t="s">
        <v>3456</v>
      </c>
      <c r="D347" s="328" t="str">
        <f t="shared" si="9"/>
        <v>NACE C - 27.32 Manufacture of other electronic and electric wires and cables</v>
      </c>
      <c r="K347" t="s">
        <v>4997</v>
      </c>
    </row>
    <row r="348" spans="1:11" x14ac:dyDescent="0.3">
      <c r="A348" s="328" t="s">
        <v>1246</v>
      </c>
      <c r="B348" t="s">
        <v>1247</v>
      </c>
      <c r="C348" s="327" t="s">
        <v>3457</v>
      </c>
      <c r="D348" s="328" t="str">
        <f t="shared" si="9"/>
        <v>NACE C - 27.33 Manufacture of wiring devices</v>
      </c>
      <c r="K348" t="s">
        <v>4998</v>
      </c>
    </row>
    <row r="349" spans="1:11" x14ac:dyDescent="0.3">
      <c r="A349" s="327" t="s">
        <v>1248</v>
      </c>
      <c r="B349" t="s">
        <v>1249</v>
      </c>
      <c r="C349" s="327" t="s">
        <v>3458</v>
      </c>
      <c r="D349" s="327" t="str">
        <f t="shared" si="9"/>
        <v>NACE C - 27.4 Manufacture of lighting equipment</v>
      </c>
      <c r="K349" t="s">
        <v>4999</v>
      </c>
    </row>
    <row r="350" spans="1:11" x14ac:dyDescent="0.3">
      <c r="A350" s="328" t="s">
        <v>1250</v>
      </c>
      <c r="B350" t="s">
        <v>1251</v>
      </c>
      <c r="C350" s="327" t="s">
        <v>3459</v>
      </c>
      <c r="D350" s="328" t="str">
        <f t="shared" si="9"/>
        <v>NACE C - 27.40 Manufacture of lighting equipment</v>
      </c>
      <c r="K350" t="s">
        <v>5000</v>
      </c>
    </row>
    <row r="351" spans="1:11" x14ac:dyDescent="0.3">
      <c r="A351" s="327" t="s">
        <v>1252</v>
      </c>
      <c r="B351" t="s">
        <v>1253</v>
      </c>
      <c r="C351" s="324" t="s">
        <v>3460</v>
      </c>
      <c r="D351" s="327" t="str">
        <f t="shared" si="9"/>
        <v>NACE C - 27.5 Manufacture of domestic appliances</v>
      </c>
      <c r="K351" t="s">
        <v>5001</v>
      </c>
    </row>
    <row r="352" spans="1:11" x14ac:dyDescent="0.3">
      <c r="A352" s="328" t="s">
        <v>1254</v>
      </c>
      <c r="B352" t="s">
        <v>1255</v>
      </c>
      <c r="C352" s="327" t="s">
        <v>3461</v>
      </c>
      <c r="D352" s="328" t="str">
        <f t="shared" si="9"/>
        <v>NACE C - 27.51 Manufacture of electric domestic appliances</v>
      </c>
      <c r="K352" t="s">
        <v>5002</v>
      </c>
    </row>
    <row r="353" spans="1:11" x14ac:dyDescent="0.3">
      <c r="A353" s="328" t="s">
        <v>1256</v>
      </c>
      <c r="B353" t="s">
        <v>1257</v>
      </c>
      <c r="C353" s="327" t="s">
        <v>3462</v>
      </c>
      <c r="D353" s="328" t="str">
        <f t="shared" si="9"/>
        <v>NACE C - 27.52 Manufacture of non-electric domestic appliances</v>
      </c>
      <c r="K353" t="s">
        <v>5003</v>
      </c>
    </row>
    <row r="354" spans="1:11" x14ac:dyDescent="0.3">
      <c r="A354" s="327" t="s">
        <v>1258</v>
      </c>
      <c r="B354" t="s">
        <v>1259</v>
      </c>
      <c r="C354" s="327" t="s">
        <v>3463</v>
      </c>
      <c r="D354" s="327" t="str">
        <f t="shared" si="9"/>
        <v>NACE C - 27.9 Manufacture of other electrical equipment</v>
      </c>
      <c r="K354" t="s">
        <v>5004</v>
      </c>
    </row>
    <row r="355" spans="1:11" x14ac:dyDescent="0.3">
      <c r="A355" s="328" t="s">
        <v>1260</v>
      </c>
      <c r="B355" t="s">
        <v>1261</v>
      </c>
      <c r="C355" s="327" t="s">
        <v>3464</v>
      </c>
      <c r="D355" s="328" t="str">
        <f t="shared" si="9"/>
        <v>NACE C - 27.90 Manufacture of other electrical equipment</v>
      </c>
      <c r="K355" t="s">
        <v>5005</v>
      </c>
    </row>
    <row r="356" spans="1:11" x14ac:dyDescent="0.3">
      <c r="A356" s="324" t="s">
        <v>1262</v>
      </c>
      <c r="B356" t="s">
        <v>1263</v>
      </c>
      <c r="C356" s="324" t="s">
        <v>3465</v>
      </c>
      <c r="D356" s="324" t="str">
        <f t="shared" si="9"/>
        <v>NACE C - 28 Manufacture of machinery and equipment n.e.c.</v>
      </c>
      <c r="K356" t="s">
        <v>5006</v>
      </c>
    </row>
    <row r="357" spans="1:11" x14ac:dyDescent="0.3">
      <c r="A357" s="327" t="s">
        <v>1264</v>
      </c>
      <c r="B357" t="s">
        <v>1265</v>
      </c>
      <c r="C357" s="327" t="s">
        <v>3466</v>
      </c>
      <c r="D357" s="327" t="str">
        <f t="shared" si="9"/>
        <v>NACE C - 28.1 Manufacture of general-purpose machinery</v>
      </c>
      <c r="K357" t="s">
        <v>5007</v>
      </c>
    </row>
    <row r="358" spans="1:11" x14ac:dyDescent="0.3">
      <c r="A358" s="328" t="s">
        <v>1266</v>
      </c>
      <c r="B358" t="s">
        <v>1267</v>
      </c>
      <c r="C358" s="327" t="s">
        <v>3467</v>
      </c>
      <c r="D358" s="328" t="str">
        <f t="shared" si="9"/>
        <v>NACE C - 28.11 Manufacture of engines and turbines, except aircraft, vehicle and cycle engines</v>
      </c>
      <c r="K358" t="s">
        <v>4649</v>
      </c>
    </row>
    <row r="359" spans="1:11" x14ac:dyDescent="0.3">
      <c r="A359" s="328" t="s">
        <v>1268</v>
      </c>
      <c r="B359" t="s">
        <v>1269</v>
      </c>
      <c r="C359" s="325" t="s">
        <v>3455</v>
      </c>
      <c r="D359" s="328" t="str">
        <f t="shared" si="9"/>
        <v>NACE C - 28.12 Manufacture of fluid power equipment</v>
      </c>
      <c r="K359" t="s">
        <v>5008</v>
      </c>
    </row>
    <row r="360" spans="1:11" x14ac:dyDescent="0.3">
      <c r="A360" s="328" t="s">
        <v>1270</v>
      </c>
      <c r="B360" t="s">
        <v>1271</v>
      </c>
      <c r="C360" s="324" t="s">
        <v>3469</v>
      </c>
      <c r="D360" s="328" t="str">
        <f t="shared" si="9"/>
        <v>NACE C - 28.13 Manufacture of other pumps and compressors</v>
      </c>
      <c r="K360" t="s">
        <v>5009</v>
      </c>
    </row>
    <row r="361" spans="1:11" x14ac:dyDescent="0.3">
      <c r="A361" s="328" t="s">
        <v>1272</v>
      </c>
      <c r="B361" t="s">
        <v>1273</v>
      </c>
      <c r="C361" s="327" t="s">
        <v>3470</v>
      </c>
      <c r="D361" s="328" t="str">
        <f t="shared" si="9"/>
        <v>NACE C - 28.14 Manufacture of other taps and valves</v>
      </c>
      <c r="K361" t="s">
        <v>5010</v>
      </c>
    </row>
    <row r="362" spans="1:11" x14ac:dyDescent="0.3">
      <c r="A362" s="328" t="s">
        <v>1274</v>
      </c>
      <c r="B362" t="s">
        <v>1275</v>
      </c>
      <c r="C362" s="327" t="s">
        <v>3471</v>
      </c>
      <c r="D362" s="328" t="str">
        <f t="shared" si="9"/>
        <v>NACE C - 28.15 Manufacture of bearings, gears, gearing and driving elements</v>
      </c>
      <c r="K362" t="s">
        <v>5011</v>
      </c>
    </row>
    <row r="363" spans="1:11" x14ac:dyDescent="0.3">
      <c r="A363" s="327" t="s">
        <v>1276</v>
      </c>
      <c r="B363" t="s">
        <v>1277</v>
      </c>
      <c r="C363" s="327" t="s">
        <v>3472</v>
      </c>
      <c r="D363" s="327" t="str">
        <f t="shared" si="9"/>
        <v>NACE C - 28.2 Manufacture of other general-purpose machinery</v>
      </c>
      <c r="K363" t="s">
        <v>5012</v>
      </c>
    </row>
    <row r="364" spans="1:11" x14ac:dyDescent="0.3">
      <c r="A364" s="328" t="s">
        <v>1278</v>
      </c>
      <c r="B364" t="s">
        <v>1279</v>
      </c>
      <c r="C364" s="324" t="s">
        <v>3473</v>
      </c>
      <c r="D364" s="328" t="str">
        <f t="shared" si="9"/>
        <v>NACE C - 28.21 Manufacture of ovens, furnaces and permanent household heating equipment</v>
      </c>
      <c r="K364" t="s">
        <v>5013</v>
      </c>
    </row>
    <row r="365" spans="1:11" x14ac:dyDescent="0.3">
      <c r="A365" s="328" t="s">
        <v>1280</v>
      </c>
      <c r="B365" t="s">
        <v>1281</v>
      </c>
      <c r="C365" s="327" t="s">
        <v>3474</v>
      </c>
      <c r="D365" s="328" t="str">
        <f t="shared" si="9"/>
        <v>NACE C - 28.22 Manufacture of lifting and handling equipment</v>
      </c>
      <c r="K365" t="s">
        <v>5014</v>
      </c>
    </row>
    <row r="366" spans="1:11" x14ac:dyDescent="0.3">
      <c r="A366" s="328" t="s">
        <v>1282</v>
      </c>
      <c r="B366" t="s">
        <v>1283</v>
      </c>
      <c r="C366" s="327" t="s">
        <v>3475</v>
      </c>
      <c r="D366" s="328" t="str">
        <f t="shared" si="9"/>
        <v>NACE C - 28.23 Manufacture of office machinery and equipment, except computers and peripheral equipment</v>
      </c>
      <c r="K366" t="s">
        <v>5015</v>
      </c>
    </row>
    <row r="367" spans="1:11" x14ac:dyDescent="0.3">
      <c r="A367" s="328" t="s">
        <v>1284</v>
      </c>
      <c r="B367" t="s">
        <v>1285</v>
      </c>
      <c r="C367" s="327" t="s">
        <v>3476</v>
      </c>
      <c r="D367" s="328" t="str">
        <f t="shared" si="9"/>
        <v>NACE C - 28.24 Manufacture of power-driven hand tools</v>
      </c>
      <c r="K367" t="s">
        <v>5016</v>
      </c>
    </row>
    <row r="368" spans="1:11" x14ac:dyDescent="0.3">
      <c r="A368" s="328" t="s">
        <v>1286</v>
      </c>
      <c r="B368" t="s">
        <v>1287</v>
      </c>
      <c r="C368" s="327" t="s">
        <v>3477</v>
      </c>
      <c r="D368" s="328" t="str">
        <f t="shared" si="9"/>
        <v>NACE C - 28.25 Manufacture of non-domestic air conditioning equipment</v>
      </c>
      <c r="K368" t="s">
        <v>5017</v>
      </c>
    </row>
    <row r="369" spans="1:11" x14ac:dyDescent="0.3">
      <c r="A369" s="328" t="s">
        <v>1288</v>
      </c>
      <c r="B369" t="s">
        <v>1289</v>
      </c>
      <c r="C369" s="324" t="s">
        <v>3478</v>
      </c>
      <c r="D369" s="328" t="str">
        <f t="shared" si="9"/>
        <v>NACE C - 28.29 Manufacture of other general-purpose machinery n.e.c.</v>
      </c>
      <c r="K369" t="s">
        <v>5018</v>
      </c>
    </row>
    <row r="370" spans="1:11" x14ac:dyDescent="0.3">
      <c r="A370" s="327" t="s">
        <v>1290</v>
      </c>
      <c r="B370" t="s">
        <v>1291</v>
      </c>
      <c r="C370" s="327" t="s">
        <v>3479</v>
      </c>
      <c r="D370" s="327" t="str">
        <f t="shared" si="9"/>
        <v>NACE C - 28.3 Manufacture of agricultural and forestry machinery</v>
      </c>
      <c r="K370" t="s">
        <v>5019</v>
      </c>
    </row>
    <row r="371" spans="1:11" x14ac:dyDescent="0.3">
      <c r="A371" s="328" t="s">
        <v>1292</v>
      </c>
      <c r="B371" t="s">
        <v>1293</v>
      </c>
      <c r="C371" s="324" t="s">
        <v>3480</v>
      </c>
      <c r="D371" s="328" t="str">
        <f t="shared" si="9"/>
        <v>NACE C - 28.30 Manufacture of agricultural and forestry machinery</v>
      </c>
      <c r="K371" t="s">
        <v>5020</v>
      </c>
    </row>
    <row r="372" spans="1:11" x14ac:dyDescent="0.3">
      <c r="A372" s="327" t="s">
        <v>1294</v>
      </c>
      <c r="B372" t="s">
        <v>1295</v>
      </c>
      <c r="C372" s="327" t="s">
        <v>3481</v>
      </c>
      <c r="D372" s="327" t="str">
        <f t="shared" si="9"/>
        <v>NACE C - 28.4 Manufacture of metal forming machinery and machine tools</v>
      </c>
      <c r="K372" t="s">
        <v>5021</v>
      </c>
    </row>
    <row r="373" spans="1:11" x14ac:dyDescent="0.3">
      <c r="A373" s="328" t="s">
        <v>1296</v>
      </c>
      <c r="B373" t="s">
        <v>1297</v>
      </c>
      <c r="C373" s="327" t="s">
        <v>3482</v>
      </c>
      <c r="D373" s="328" t="str">
        <f t="shared" si="9"/>
        <v>NACE C - 28.41 Manufacture of metal forming machinery and machine tools for metal work</v>
      </c>
      <c r="K373" t="s">
        <v>5022</v>
      </c>
    </row>
    <row r="374" spans="1:11" x14ac:dyDescent="0.3">
      <c r="A374" s="328" t="s">
        <v>1298</v>
      </c>
      <c r="B374" t="s">
        <v>1299</v>
      </c>
      <c r="C374" s="325" t="s">
        <v>3468</v>
      </c>
      <c r="D374" s="328" t="str">
        <f t="shared" si="9"/>
        <v>NACE C - 28.42 Manufacture of other machine tools</v>
      </c>
      <c r="K374" t="s">
        <v>5023</v>
      </c>
    </row>
    <row r="375" spans="1:11" x14ac:dyDescent="0.3">
      <c r="A375" s="327" t="s">
        <v>1300</v>
      </c>
      <c r="B375" t="s">
        <v>1301</v>
      </c>
      <c r="C375" s="324" t="s">
        <v>3484</v>
      </c>
      <c r="D375" s="327" t="str">
        <f t="shared" si="9"/>
        <v>NACE C - 28.9 Manufacture of other special-purpose machinery</v>
      </c>
      <c r="K375" t="s">
        <v>5024</v>
      </c>
    </row>
    <row r="376" spans="1:11" x14ac:dyDescent="0.3">
      <c r="A376" s="328" t="s">
        <v>1302</v>
      </c>
      <c r="B376" t="s">
        <v>1303</v>
      </c>
      <c r="C376" s="327" t="s">
        <v>3485</v>
      </c>
      <c r="D376" s="328" t="str">
        <f t="shared" si="9"/>
        <v>NACE C - 28.91 Manufacture of machinery for metallurgy</v>
      </c>
      <c r="K376" t="s">
        <v>5025</v>
      </c>
    </row>
    <row r="377" spans="1:11" x14ac:dyDescent="0.3">
      <c r="A377" s="328" t="s">
        <v>1304</v>
      </c>
      <c r="B377" t="s">
        <v>1305</v>
      </c>
      <c r="C377" s="327" t="s">
        <v>3486</v>
      </c>
      <c r="D377" s="328" t="str">
        <f t="shared" si="9"/>
        <v>NACE C - 28.92 Manufacture of machinery for mining, quarrying and construction</v>
      </c>
      <c r="K377" t="s">
        <v>5026</v>
      </c>
    </row>
    <row r="378" spans="1:11" x14ac:dyDescent="0.3">
      <c r="A378" s="328" t="s">
        <v>1306</v>
      </c>
      <c r="B378" t="s">
        <v>1307</v>
      </c>
      <c r="C378" s="327" t="s">
        <v>3487</v>
      </c>
      <c r="D378" s="328" t="str">
        <f t="shared" si="9"/>
        <v>NACE C - 28.93 Manufacture of machinery for food, beverage and tobacco processing</v>
      </c>
      <c r="K378" t="s">
        <v>5027</v>
      </c>
    </row>
    <row r="379" spans="1:11" x14ac:dyDescent="0.3">
      <c r="A379" s="328" t="s">
        <v>1308</v>
      </c>
      <c r="B379" t="s">
        <v>1309</v>
      </c>
      <c r="C379" s="324" t="s">
        <v>3488</v>
      </c>
      <c r="D379" s="328" t="str">
        <f t="shared" si="9"/>
        <v>NACE C - 28.94 Manufacture of machinery for textile, apparel and leather production</v>
      </c>
      <c r="K379" t="s">
        <v>5028</v>
      </c>
    </row>
    <row r="380" spans="1:11" x14ac:dyDescent="0.3">
      <c r="A380" s="328" t="s">
        <v>1310</v>
      </c>
      <c r="B380" t="s">
        <v>1311</v>
      </c>
      <c r="C380" s="327" t="s">
        <v>3489</v>
      </c>
      <c r="D380" s="328" t="str">
        <f t="shared" si="9"/>
        <v>NACE C - 28.95 Manufacture of machinery for paper and paperboard production</v>
      </c>
      <c r="K380" t="s">
        <v>5029</v>
      </c>
    </row>
    <row r="381" spans="1:11" x14ac:dyDescent="0.3">
      <c r="A381" s="328" t="s">
        <v>1312</v>
      </c>
      <c r="B381" t="s">
        <v>1313</v>
      </c>
      <c r="C381" s="327" t="s">
        <v>3490</v>
      </c>
      <c r="D381" s="328" t="str">
        <f t="shared" si="9"/>
        <v>NACE C - 28.96 Manufacture of plastics and rubber machinery</v>
      </c>
      <c r="K381" t="s">
        <v>5030</v>
      </c>
    </row>
    <row r="382" spans="1:11" x14ac:dyDescent="0.3">
      <c r="A382" s="328" t="s">
        <v>1314</v>
      </c>
      <c r="B382" t="s">
        <v>1315</v>
      </c>
      <c r="C382" s="327" t="s">
        <v>3491</v>
      </c>
      <c r="D382" s="328" t="str">
        <f t="shared" si="9"/>
        <v>NACE C - 28.97 Manufacture of additive manufacturing machinery</v>
      </c>
      <c r="K382" t="s">
        <v>5031</v>
      </c>
    </row>
    <row r="383" spans="1:11" x14ac:dyDescent="0.3">
      <c r="A383" s="328" t="s">
        <v>1316</v>
      </c>
      <c r="B383" t="s">
        <v>1317</v>
      </c>
      <c r="C383" s="327" t="s">
        <v>3492</v>
      </c>
      <c r="D383" s="328" t="str">
        <f t="shared" si="9"/>
        <v>NACE C - 28.99 Manufacture of other special-purpose machinery n.e.c.</v>
      </c>
      <c r="K383" t="s">
        <v>5032</v>
      </c>
    </row>
    <row r="384" spans="1:11" x14ac:dyDescent="0.3">
      <c r="A384" s="324" t="s">
        <v>1318</v>
      </c>
      <c r="B384" t="s">
        <v>1319</v>
      </c>
      <c r="C384" s="324" t="s">
        <v>3493</v>
      </c>
      <c r="D384" s="324" t="str">
        <f t="shared" si="9"/>
        <v>NACE C - 29 Manufacture of motor vehicles, trailers and semi-trailers</v>
      </c>
      <c r="K384" t="s">
        <v>5033</v>
      </c>
    </row>
    <row r="385" spans="1:11" x14ac:dyDescent="0.3">
      <c r="A385" s="327" t="s">
        <v>1320</v>
      </c>
      <c r="B385" t="s">
        <v>1321</v>
      </c>
      <c r="C385" s="327" t="s">
        <v>3494</v>
      </c>
      <c r="D385" s="327" t="str">
        <f t="shared" si="9"/>
        <v>NACE C - 29.1 Manufacture of motor vehicles</v>
      </c>
      <c r="K385" t="s">
        <v>5034</v>
      </c>
    </row>
    <row r="386" spans="1:11" x14ac:dyDescent="0.3">
      <c r="A386" s="328" t="s">
        <v>1322</v>
      </c>
      <c r="B386" t="s">
        <v>1323</v>
      </c>
      <c r="C386" s="327" t="s">
        <v>3495</v>
      </c>
      <c r="D386" s="328" t="str">
        <f t="shared" ref="D386:D449" si="10">_xlfn.CONCAT("NACE ", A386)</f>
        <v>NACE C - 29.10 Manufacture of motor vehicles</v>
      </c>
      <c r="K386" t="s">
        <v>5035</v>
      </c>
    </row>
    <row r="387" spans="1:11" x14ac:dyDescent="0.3">
      <c r="A387" s="327" t="s">
        <v>1324</v>
      </c>
      <c r="B387" t="s">
        <v>1325</v>
      </c>
      <c r="C387" s="327" t="s">
        <v>3496</v>
      </c>
      <c r="D387" s="327" t="str">
        <f t="shared" si="10"/>
        <v>NACE C - 29.2 Manufacture of bodies and coachwork for motor vehicles; manufacture of trailers and semi-trailers</v>
      </c>
      <c r="K387" t="s">
        <v>5036</v>
      </c>
    </row>
    <row r="388" spans="1:11" x14ac:dyDescent="0.3">
      <c r="A388" s="328" t="s">
        <v>1326</v>
      </c>
      <c r="B388" t="s">
        <v>1327</v>
      </c>
      <c r="C388" s="327" t="s">
        <v>3497</v>
      </c>
      <c r="D388" s="328" t="str">
        <f t="shared" si="10"/>
        <v>NACE C - 29.20 Manufacture of bodies and coachwork for motor vehicles; manufacture of trailers and semi-trailers</v>
      </c>
      <c r="K388" t="s">
        <v>5037</v>
      </c>
    </row>
    <row r="389" spans="1:11" x14ac:dyDescent="0.3">
      <c r="A389" s="327" t="s">
        <v>1328</v>
      </c>
      <c r="B389" t="s">
        <v>1329</v>
      </c>
      <c r="C389" s="327" t="s">
        <v>3498</v>
      </c>
      <c r="D389" s="327" t="str">
        <f t="shared" si="10"/>
        <v>NACE C - 29.3 Manufacture of motor vehicle parts and accessories</v>
      </c>
      <c r="K389" t="s">
        <v>5038</v>
      </c>
    </row>
    <row r="390" spans="1:11" x14ac:dyDescent="0.3">
      <c r="A390" s="328" t="s">
        <v>1330</v>
      </c>
      <c r="B390" t="s">
        <v>1331</v>
      </c>
      <c r="C390" s="325" t="s">
        <v>3483</v>
      </c>
      <c r="D390" s="328" t="str">
        <f t="shared" si="10"/>
        <v>NACE C - 29.31 Manufacture of electrical and electronic equipment for motor vehicles</v>
      </c>
      <c r="K390" t="s">
        <v>5039</v>
      </c>
    </row>
    <row r="391" spans="1:11" x14ac:dyDescent="0.3">
      <c r="A391" s="328" t="s">
        <v>1332</v>
      </c>
      <c r="B391" t="s">
        <v>1333</v>
      </c>
      <c r="C391" s="324" t="s">
        <v>3500</v>
      </c>
      <c r="D391" s="328" t="str">
        <f t="shared" si="10"/>
        <v>NACE C - 29.32 Manufacture of other parts and accessories for motor vehicles</v>
      </c>
      <c r="K391" t="s">
        <v>5040</v>
      </c>
    </row>
    <row r="392" spans="1:11" x14ac:dyDescent="0.3">
      <c r="A392" s="324" t="s">
        <v>1334</v>
      </c>
      <c r="B392" t="s">
        <v>1335</v>
      </c>
      <c r="C392" s="327" t="s">
        <v>3501</v>
      </c>
      <c r="D392" s="324" t="str">
        <f t="shared" si="10"/>
        <v>NACE C - 30 Manufacture of other transport equipment</v>
      </c>
      <c r="K392" t="s">
        <v>5041</v>
      </c>
    </row>
    <row r="393" spans="1:11" x14ac:dyDescent="0.3">
      <c r="A393" s="327" t="s">
        <v>1336</v>
      </c>
      <c r="B393" t="s">
        <v>1337</v>
      </c>
      <c r="C393" s="324" t="s">
        <v>3502</v>
      </c>
      <c r="D393" s="327" t="str">
        <f t="shared" si="10"/>
        <v>NACE C - 30.1 Building of ships and boats</v>
      </c>
      <c r="K393" t="s">
        <v>5042</v>
      </c>
    </row>
    <row r="394" spans="1:11" x14ac:dyDescent="0.3">
      <c r="A394" s="328" t="s">
        <v>1338</v>
      </c>
      <c r="B394" t="s">
        <v>1339</v>
      </c>
      <c r="C394" s="327" t="s">
        <v>3503</v>
      </c>
      <c r="D394" s="328" t="str">
        <f t="shared" si="10"/>
        <v>NACE C - 30.11 Building of civilian ships and floating structures</v>
      </c>
      <c r="K394" t="s">
        <v>5043</v>
      </c>
    </row>
    <row r="395" spans="1:11" x14ac:dyDescent="0.3">
      <c r="A395" s="328" t="s">
        <v>1340</v>
      </c>
      <c r="B395" t="s">
        <v>1341</v>
      </c>
      <c r="C395" s="327" t="s">
        <v>3504</v>
      </c>
      <c r="D395" s="328" t="str">
        <f t="shared" si="10"/>
        <v>NACE C - 30.12 Building of pleasure and sporting boats</v>
      </c>
      <c r="K395" t="s">
        <v>5044</v>
      </c>
    </row>
    <row r="396" spans="1:11" x14ac:dyDescent="0.3">
      <c r="A396" s="328" t="s">
        <v>1342</v>
      </c>
      <c r="B396" t="s">
        <v>1343</v>
      </c>
      <c r="C396" s="325" t="s">
        <v>3499</v>
      </c>
      <c r="D396" s="328" t="str">
        <f t="shared" si="10"/>
        <v>NACE C - 30.13 Building of military ships and vessels</v>
      </c>
      <c r="K396" t="s">
        <v>5045</v>
      </c>
    </row>
    <row r="397" spans="1:11" x14ac:dyDescent="0.3">
      <c r="A397" s="327" t="s">
        <v>1344</v>
      </c>
      <c r="B397" t="s">
        <v>1345</v>
      </c>
      <c r="C397" s="324" t="s">
        <v>3506</v>
      </c>
      <c r="D397" s="327" t="str">
        <f t="shared" si="10"/>
        <v>NACE C - 30.2 Manufacture of railway locomotives and rolling stock</v>
      </c>
      <c r="K397" t="s">
        <v>5046</v>
      </c>
    </row>
    <row r="398" spans="1:11" x14ac:dyDescent="0.3">
      <c r="A398" s="328" t="s">
        <v>1346</v>
      </c>
      <c r="B398" t="s">
        <v>1347</v>
      </c>
      <c r="C398" s="327" t="s">
        <v>3507</v>
      </c>
      <c r="D398" s="328" t="str">
        <f t="shared" si="10"/>
        <v>NACE C - 30.20 Manufacture of railway locomotives and rolling stock</v>
      </c>
      <c r="K398" t="s">
        <v>5047</v>
      </c>
    </row>
    <row r="399" spans="1:11" x14ac:dyDescent="0.3">
      <c r="A399" s="327" t="s">
        <v>1348</v>
      </c>
      <c r="B399" t="s">
        <v>1349</v>
      </c>
      <c r="C399" s="325" t="s">
        <v>3505</v>
      </c>
      <c r="D399" s="327" t="str">
        <f t="shared" si="10"/>
        <v>NACE C - 30.3 Manufacture of air and spacecraft and related machinery</v>
      </c>
      <c r="K399" t="s">
        <v>5048</v>
      </c>
    </row>
    <row r="400" spans="1:11" x14ac:dyDescent="0.3">
      <c r="A400" s="328" t="s">
        <v>1350</v>
      </c>
      <c r="B400" t="s">
        <v>1351</v>
      </c>
      <c r="D400" s="328" t="str">
        <f t="shared" si="10"/>
        <v>NACE C - 30.31 Manufacture of civilian air and spacecraft and related machinery</v>
      </c>
      <c r="K400" t="s">
        <v>5049</v>
      </c>
    </row>
    <row r="401" spans="1:11" x14ac:dyDescent="0.3">
      <c r="A401" s="328" t="s">
        <v>1352</v>
      </c>
      <c r="B401" t="s">
        <v>1353</v>
      </c>
      <c r="C401" s="328"/>
      <c r="D401" s="328" t="str">
        <f t="shared" si="10"/>
        <v>NACE C - 30.32 Manufacture of military air and spacecraft and related machinery</v>
      </c>
      <c r="K401" t="s">
        <v>5050</v>
      </c>
    </row>
    <row r="402" spans="1:11" x14ac:dyDescent="0.3">
      <c r="A402" s="327" t="s">
        <v>1354</v>
      </c>
      <c r="B402" t="s">
        <v>1355</v>
      </c>
      <c r="C402" s="328"/>
      <c r="D402" s="327" t="str">
        <f t="shared" si="10"/>
        <v>NACE C - 30.4 Manufacture of military fighting vehicles</v>
      </c>
      <c r="K402" t="s">
        <v>5051</v>
      </c>
    </row>
    <row r="403" spans="1:11" x14ac:dyDescent="0.3">
      <c r="A403" s="328" t="s">
        <v>1356</v>
      </c>
      <c r="B403" t="s">
        <v>1357</v>
      </c>
      <c r="C403" s="328"/>
      <c r="D403" s="328" t="str">
        <f t="shared" si="10"/>
        <v>NACE C - 30.40 Manufacture of military fighting vehicles</v>
      </c>
      <c r="K403" t="s">
        <v>5052</v>
      </c>
    </row>
    <row r="404" spans="1:11" x14ac:dyDescent="0.3">
      <c r="A404" s="327" t="s">
        <v>1358</v>
      </c>
      <c r="B404" t="s">
        <v>1359</v>
      </c>
      <c r="C404" s="328"/>
      <c r="D404" s="327" t="str">
        <f t="shared" si="10"/>
        <v>NACE C - 30.9 Manufacture of transport equipment n.e.c.</v>
      </c>
      <c r="K404" t="s">
        <v>5053</v>
      </c>
    </row>
    <row r="405" spans="1:11" x14ac:dyDescent="0.3">
      <c r="A405" s="328" t="s">
        <v>1360</v>
      </c>
      <c r="B405" t="s">
        <v>1361</v>
      </c>
      <c r="C405" s="328"/>
      <c r="D405" s="328" t="str">
        <f t="shared" si="10"/>
        <v>NACE C - 30.91 Manufacture of motorcycles</v>
      </c>
      <c r="K405" t="s">
        <v>5054</v>
      </c>
    </row>
    <row r="406" spans="1:11" x14ac:dyDescent="0.3">
      <c r="A406" s="328" t="s">
        <v>1362</v>
      </c>
      <c r="B406" t="s">
        <v>1363</v>
      </c>
      <c r="C406" s="328"/>
      <c r="D406" s="328" t="str">
        <f t="shared" si="10"/>
        <v>NACE C - 30.92 Manufacture of bicycles and invalid carriages</v>
      </c>
      <c r="K406" t="s">
        <v>5055</v>
      </c>
    </row>
    <row r="407" spans="1:11" x14ac:dyDescent="0.3">
      <c r="A407" s="328" t="s">
        <v>1364</v>
      </c>
      <c r="B407" t="s">
        <v>1365</v>
      </c>
      <c r="C407" s="328"/>
      <c r="D407" s="328" t="str">
        <f t="shared" si="10"/>
        <v>NACE C - 30.99 Manufacture of other transport equipment n.e.c.</v>
      </c>
      <c r="K407" t="s">
        <v>5056</v>
      </c>
    </row>
    <row r="408" spans="1:11" x14ac:dyDescent="0.3">
      <c r="A408" s="324" t="s">
        <v>1366</v>
      </c>
      <c r="B408" t="s">
        <v>1367</v>
      </c>
      <c r="C408" s="328"/>
      <c r="D408" s="324" t="str">
        <f t="shared" si="10"/>
        <v>NACE C - 31 Manufacture of furniture</v>
      </c>
      <c r="K408" t="s">
        <v>5057</v>
      </c>
    </row>
    <row r="409" spans="1:11" x14ac:dyDescent="0.3">
      <c r="A409" s="327" t="s">
        <v>1368</v>
      </c>
      <c r="B409" t="s">
        <v>1369</v>
      </c>
      <c r="C409" s="328"/>
      <c r="D409" s="327" t="str">
        <f t="shared" si="10"/>
        <v>NACE C - 31.0 Manufacture of furniture</v>
      </c>
      <c r="K409" t="s">
        <v>5058</v>
      </c>
    </row>
    <row r="410" spans="1:11" x14ac:dyDescent="0.3">
      <c r="A410" s="328" t="s">
        <v>1370</v>
      </c>
      <c r="B410" t="s">
        <v>1371</v>
      </c>
      <c r="C410" s="328"/>
      <c r="D410" s="328" t="str">
        <f t="shared" si="10"/>
        <v>NACE C - 31.00 Manufacture of furniture</v>
      </c>
      <c r="K410" t="s">
        <v>5059</v>
      </c>
    </row>
    <row r="411" spans="1:11" x14ac:dyDescent="0.3">
      <c r="A411" s="324" t="s">
        <v>1372</v>
      </c>
      <c r="B411" t="s">
        <v>1373</v>
      </c>
      <c r="C411" s="328"/>
      <c r="D411" s="324" t="str">
        <f t="shared" si="10"/>
        <v>NACE C - 32 Other manufacturing</v>
      </c>
      <c r="K411" t="s">
        <v>5060</v>
      </c>
    </row>
    <row r="412" spans="1:11" x14ac:dyDescent="0.3">
      <c r="A412" s="327" t="s">
        <v>1374</v>
      </c>
      <c r="B412" t="s">
        <v>1375</v>
      </c>
      <c r="C412" s="328"/>
      <c r="D412" s="327" t="str">
        <f t="shared" si="10"/>
        <v>NACE C - 32.1 Manufacture of jewellery, bijouterie and related articles</v>
      </c>
      <c r="K412" t="s">
        <v>5061</v>
      </c>
    </row>
    <row r="413" spans="1:11" x14ac:dyDescent="0.3">
      <c r="A413" s="328" t="s">
        <v>1376</v>
      </c>
      <c r="B413" t="s">
        <v>1377</v>
      </c>
      <c r="C413" s="328"/>
      <c r="D413" s="328" t="str">
        <f t="shared" si="10"/>
        <v>NACE C - 32.11 Striking of coins</v>
      </c>
      <c r="K413" t="s">
        <v>5062</v>
      </c>
    </row>
    <row r="414" spans="1:11" x14ac:dyDescent="0.3">
      <c r="A414" s="328" t="s">
        <v>1378</v>
      </c>
      <c r="B414" t="s">
        <v>1379</v>
      </c>
      <c r="C414" s="328"/>
      <c r="D414" s="328" t="str">
        <f t="shared" si="10"/>
        <v>NACE C - 32.12 Manufacture of jewellery and related articles</v>
      </c>
      <c r="K414" t="s">
        <v>5063</v>
      </c>
    </row>
    <row r="415" spans="1:11" x14ac:dyDescent="0.3">
      <c r="A415" s="328" t="s">
        <v>1380</v>
      </c>
      <c r="B415" t="s">
        <v>1381</v>
      </c>
      <c r="C415" s="328"/>
      <c r="D415" s="328" t="str">
        <f t="shared" si="10"/>
        <v>NACE C - 32.13 Manufacture of imitation jewellery and related articles</v>
      </c>
      <c r="K415" t="s">
        <v>5064</v>
      </c>
    </row>
    <row r="416" spans="1:11" x14ac:dyDescent="0.3">
      <c r="A416" s="327" t="s">
        <v>1382</v>
      </c>
      <c r="B416" t="s">
        <v>1383</v>
      </c>
      <c r="C416" s="328"/>
      <c r="D416" s="327" t="str">
        <f t="shared" si="10"/>
        <v>NACE C - 32.2 Manufacture of musical instruments</v>
      </c>
      <c r="K416" t="s">
        <v>5065</v>
      </c>
    </row>
    <row r="417" spans="1:11" x14ac:dyDescent="0.3">
      <c r="A417" s="328" t="s">
        <v>1384</v>
      </c>
      <c r="B417" t="s">
        <v>1385</v>
      </c>
      <c r="C417" s="328"/>
      <c r="D417" s="328" t="str">
        <f t="shared" si="10"/>
        <v>NACE C - 32.20 Manufacture of musical instruments</v>
      </c>
      <c r="K417" t="s">
        <v>5066</v>
      </c>
    </row>
    <row r="418" spans="1:11" x14ac:dyDescent="0.3">
      <c r="A418" s="327" t="s">
        <v>1386</v>
      </c>
      <c r="B418" t="s">
        <v>1387</v>
      </c>
      <c r="C418" s="328"/>
      <c r="D418" s="327" t="str">
        <f t="shared" si="10"/>
        <v>NACE C - 32.3 Manufacture of sports goods</v>
      </c>
      <c r="K418" t="s">
        <v>5067</v>
      </c>
    </row>
    <row r="419" spans="1:11" x14ac:dyDescent="0.3">
      <c r="A419" s="328" t="s">
        <v>1388</v>
      </c>
      <c r="B419" t="s">
        <v>1389</v>
      </c>
      <c r="C419" s="328"/>
      <c r="D419" s="328" t="str">
        <f t="shared" si="10"/>
        <v>NACE C - 32.30 Manufacture of sports goods</v>
      </c>
      <c r="K419" t="s">
        <v>5068</v>
      </c>
    </row>
    <row r="420" spans="1:11" x14ac:dyDescent="0.3">
      <c r="A420" s="327" t="s">
        <v>1390</v>
      </c>
      <c r="B420" t="s">
        <v>1391</v>
      </c>
      <c r="C420" s="328"/>
      <c r="D420" s="327" t="str">
        <f t="shared" si="10"/>
        <v>NACE C - 32.4 Manufacture of games and toys</v>
      </c>
      <c r="K420" t="s">
        <v>5069</v>
      </c>
    </row>
    <row r="421" spans="1:11" x14ac:dyDescent="0.3">
      <c r="A421" s="328" t="s">
        <v>1392</v>
      </c>
      <c r="B421" t="s">
        <v>1393</v>
      </c>
      <c r="C421" s="328"/>
      <c r="D421" s="328" t="str">
        <f t="shared" si="10"/>
        <v>NACE C - 32.40 Manufacture of games and toys</v>
      </c>
      <c r="K421" t="s">
        <v>5070</v>
      </c>
    </row>
    <row r="422" spans="1:11" x14ac:dyDescent="0.3">
      <c r="A422" s="327" t="s">
        <v>1394</v>
      </c>
      <c r="B422" t="s">
        <v>1395</v>
      </c>
      <c r="C422" s="328"/>
      <c r="D422" s="327" t="str">
        <f t="shared" si="10"/>
        <v>NACE C - 32.5 Manufacture of medical and dental instruments and supplies</v>
      </c>
      <c r="K422" t="s">
        <v>5071</v>
      </c>
    </row>
    <row r="423" spans="1:11" x14ac:dyDescent="0.3">
      <c r="A423" s="328" t="s">
        <v>1396</v>
      </c>
      <c r="B423" t="s">
        <v>1397</v>
      </c>
      <c r="C423" s="328"/>
      <c r="D423" s="328" t="str">
        <f t="shared" si="10"/>
        <v>NACE C - 32.50 Manufacture of medical and dental instruments and supplies</v>
      </c>
      <c r="K423" t="s">
        <v>5072</v>
      </c>
    </row>
    <row r="424" spans="1:11" x14ac:dyDescent="0.3">
      <c r="A424" s="327" t="s">
        <v>1398</v>
      </c>
      <c r="B424" t="s">
        <v>1399</v>
      </c>
      <c r="C424" s="328"/>
      <c r="D424" s="327" t="str">
        <f t="shared" si="10"/>
        <v>NACE C - 32.9 Manufacturing n.e.c.</v>
      </c>
      <c r="K424" t="s">
        <v>5073</v>
      </c>
    </row>
    <row r="425" spans="1:11" x14ac:dyDescent="0.3">
      <c r="A425" s="328" t="s">
        <v>1400</v>
      </c>
      <c r="B425" t="s">
        <v>1401</v>
      </c>
      <c r="C425" s="328"/>
      <c r="D425" s="328" t="str">
        <f t="shared" si="10"/>
        <v>NACE C - 32.91 Manufacture of brooms and brushes</v>
      </c>
      <c r="K425" t="s">
        <v>5074</v>
      </c>
    </row>
    <row r="426" spans="1:11" x14ac:dyDescent="0.3">
      <c r="A426" s="328" t="s">
        <v>1402</v>
      </c>
      <c r="B426" t="s">
        <v>1403</v>
      </c>
      <c r="C426" s="328"/>
      <c r="D426" s="328" t="str">
        <f t="shared" si="10"/>
        <v>NACE C - 32.99 Other manufacturing n.e.c.</v>
      </c>
      <c r="K426" t="s">
        <v>5075</v>
      </c>
    </row>
    <row r="427" spans="1:11" x14ac:dyDescent="0.3">
      <c r="A427" s="324" t="s">
        <v>1404</v>
      </c>
      <c r="B427" t="s">
        <v>1405</v>
      </c>
      <c r="C427" s="328"/>
      <c r="D427" s="324" t="str">
        <f t="shared" si="10"/>
        <v>NACE C - 33 Repair, maintenance and installation of machinery and equipment</v>
      </c>
      <c r="K427" t="s">
        <v>5076</v>
      </c>
    </row>
    <row r="428" spans="1:11" x14ac:dyDescent="0.3">
      <c r="A428" s="327" t="s">
        <v>1406</v>
      </c>
      <c r="B428" t="s">
        <v>1407</v>
      </c>
      <c r="C428" s="328"/>
      <c r="D428" s="327" t="str">
        <f t="shared" si="10"/>
        <v>NACE C - 33.1 Repair and maintenance of fabricated metal products, machinery and equipment</v>
      </c>
      <c r="K428" t="s">
        <v>5077</v>
      </c>
    </row>
    <row r="429" spans="1:11" x14ac:dyDescent="0.3">
      <c r="A429" s="328" t="s">
        <v>1408</v>
      </c>
      <c r="B429" t="s">
        <v>1409</v>
      </c>
      <c r="C429" s="328"/>
      <c r="D429" s="328" t="str">
        <f t="shared" si="10"/>
        <v>NACE C - 33.11 Repair and maintenance of fabricated metal products</v>
      </c>
      <c r="K429" t="s">
        <v>5078</v>
      </c>
    </row>
    <row r="430" spans="1:11" x14ac:dyDescent="0.3">
      <c r="A430" s="328" t="s">
        <v>1410</v>
      </c>
      <c r="B430" t="s">
        <v>1411</v>
      </c>
      <c r="C430" s="328"/>
      <c r="D430" s="328" t="str">
        <f t="shared" si="10"/>
        <v>NACE C - 33.12 Repair and maintenance of machinery</v>
      </c>
      <c r="K430" t="s">
        <v>5079</v>
      </c>
    </row>
    <row r="431" spans="1:11" x14ac:dyDescent="0.3">
      <c r="A431" s="328" t="s">
        <v>1412</v>
      </c>
      <c r="B431" t="s">
        <v>1413</v>
      </c>
      <c r="C431" s="328"/>
      <c r="D431" s="328" t="str">
        <f t="shared" si="10"/>
        <v>NACE C - 33.13 Repair and maintenance of electronic and optical equipment</v>
      </c>
      <c r="K431" t="s">
        <v>5080</v>
      </c>
    </row>
    <row r="432" spans="1:11" x14ac:dyDescent="0.3">
      <c r="A432" s="328" t="s">
        <v>1414</v>
      </c>
      <c r="B432" t="s">
        <v>1415</v>
      </c>
      <c r="C432" s="328"/>
      <c r="D432" s="328" t="str">
        <f t="shared" si="10"/>
        <v>NACE C - 33.14 Repair and maintenance of electrical equipment</v>
      </c>
      <c r="K432" t="s">
        <v>5081</v>
      </c>
    </row>
    <row r="433" spans="1:11" x14ac:dyDescent="0.3">
      <c r="A433" s="328" t="s">
        <v>1416</v>
      </c>
      <c r="B433" t="s">
        <v>1417</v>
      </c>
      <c r="C433" s="328"/>
      <c r="D433" s="328" t="str">
        <f t="shared" si="10"/>
        <v>NACE C - 33.15 Repair and maintenance of civilian ships and boats</v>
      </c>
      <c r="K433" t="s">
        <v>5082</v>
      </c>
    </row>
    <row r="434" spans="1:11" x14ac:dyDescent="0.3">
      <c r="A434" s="328" t="s">
        <v>1418</v>
      </c>
      <c r="B434" t="s">
        <v>1419</v>
      </c>
      <c r="C434" s="328"/>
      <c r="D434" s="328" t="str">
        <f t="shared" si="10"/>
        <v>NACE C - 33.16 Repair and maintenance of civilian air and spacecraft</v>
      </c>
      <c r="K434" t="s">
        <v>5083</v>
      </c>
    </row>
    <row r="435" spans="1:11" x14ac:dyDescent="0.3">
      <c r="A435" s="328" t="s">
        <v>1420</v>
      </c>
      <c r="B435" t="s">
        <v>1421</v>
      </c>
      <c r="C435" s="328"/>
      <c r="D435" s="328" t="str">
        <f t="shared" si="10"/>
        <v>NACE C - 33.17 Repair and maintenance of other civilian transport equipment</v>
      </c>
      <c r="K435" t="s">
        <v>5084</v>
      </c>
    </row>
    <row r="436" spans="1:11" x14ac:dyDescent="0.3">
      <c r="A436" s="328" t="s">
        <v>1422</v>
      </c>
      <c r="B436" t="s">
        <v>1423</v>
      </c>
      <c r="C436" s="328"/>
      <c r="D436" s="328" t="str">
        <f t="shared" si="10"/>
        <v>NACE C - 33.18 Repair and maintenance of military fighting vehicles, ships, boats, air and spacecraft</v>
      </c>
      <c r="K436" t="s">
        <v>5085</v>
      </c>
    </row>
    <row r="437" spans="1:11" x14ac:dyDescent="0.3">
      <c r="A437" s="328" t="s">
        <v>1424</v>
      </c>
      <c r="B437" t="s">
        <v>1425</v>
      </c>
      <c r="C437" s="328"/>
      <c r="D437" s="328" t="str">
        <f t="shared" si="10"/>
        <v>NACE C - 33.19 Repair and maintenance of other equipment</v>
      </c>
      <c r="K437" t="s">
        <v>5086</v>
      </c>
    </row>
    <row r="438" spans="1:11" x14ac:dyDescent="0.3">
      <c r="A438" s="327" t="s">
        <v>1426</v>
      </c>
      <c r="B438" t="s">
        <v>1427</v>
      </c>
      <c r="C438" s="328"/>
      <c r="D438" s="327" t="str">
        <f t="shared" si="10"/>
        <v>NACE C - 33.2 Installation of industrial machinery and equipment</v>
      </c>
      <c r="K438" t="s">
        <v>5087</v>
      </c>
    </row>
    <row r="439" spans="1:11" x14ac:dyDescent="0.3">
      <c r="A439" s="328" t="s">
        <v>1428</v>
      </c>
      <c r="B439" t="s">
        <v>1429</v>
      </c>
      <c r="C439" s="328"/>
      <c r="D439" s="328" t="str">
        <f t="shared" si="10"/>
        <v>NACE C - 33.20 Installation of industrial machinery and equipment</v>
      </c>
      <c r="K439" t="s">
        <v>5088</v>
      </c>
    </row>
    <row r="440" spans="1:11" x14ac:dyDescent="0.3">
      <c r="A440" s="325" t="s">
        <v>1430</v>
      </c>
      <c r="B440" t="s">
        <v>1431</v>
      </c>
      <c r="C440" s="328"/>
      <c r="D440" s="325" t="str">
        <f t="shared" si="10"/>
        <v>NACE D - ELECTRICITY, GAS, STEAM AND AIR CONDITIONING SUPPLY</v>
      </c>
      <c r="K440" t="s">
        <v>5089</v>
      </c>
    </row>
    <row r="441" spans="1:11" x14ac:dyDescent="0.3">
      <c r="A441" s="324" t="s">
        <v>1432</v>
      </c>
      <c r="B441" t="s">
        <v>1433</v>
      </c>
      <c r="C441" s="328"/>
      <c r="D441" s="324" t="str">
        <f t="shared" si="10"/>
        <v>NACE D - 35 Electricity, gas, steam and air conditioning supply</v>
      </c>
      <c r="K441" t="s">
        <v>5090</v>
      </c>
    </row>
    <row r="442" spans="1:11" x14ac:dyDescent="0.3">
      <c r="A442" s="327" t="s">
        <v>1434</v>
      </c>
      <c r="B442" t="s">
        <v>1435</v>
      </c>
      <c r="C442" s="328"/>
      <c r="D442" s="327" t="str">
        <f t="shared" si="10"/>
        <v>NACE D - 35.1 Electric power generation, transmission and distribution</v>
      </c>
      <c r="K442" t="s">
        <v>5091</v>
      </c>
    </row>
    <row r="443" spans="1:11" x14ac:dyDescent="0.3">
      <c r="A443" s="328" t="s">
        <v>1436</v>
      </c>
      <c r="B443" t="s">
        <v>1437</v>
      </c>
      <c r="C443" s="328"/>
      <c r="D443" s="328" t="str">
        <f t="shared" si="10"/>
        <v>NACE D - 35.11 Production of electricity from non-renewable sources</v>
      </c>
      <c r="K443" t="s">
        <v>5092</v>
      </c>
    </row>
    <row r="444" spans="1:11" x14ac:dyDescent="0.3">
      <c r="A444" s="328" t="s">
        <v>1438</v>
      </c>
      <c r="B444" t="s">
        <v>1439</v>
      </c>
      <c r="C444" s="328"/>
      <c r="D444" s="328" t="str">
        <f t="shared" si="10"/>
        <v>NACE D - 35.12 Production of electricity from renewable sources</v>
      </c>
      <c r="K444" t="s">
        <v>5093</v>
      </c>
    </row>
    <row r="445" spans="1:11" x14ac:dyDescent="0.3">
      <c r="A445" s="328" t="s">
        <v>1440</v>
      </c>
      <c r="B445" t="s">
        <v>1441</v>
      </c>
      <c r="C445" s="328"/>
      <c r="D445" s="328" t="str">
        <f t="shared" si="10"/>
        <v>NACE D - 35.13 Transmission of electricity</v>
      </c>
      <c r="K445" t="s">
        <v>5094</v>
      </c>
    </row>
    <row r="446" spans="1:11" x14ac:dyDescent="0.3">
      <c r="A446" s="328" t="s">
        <v>1442</v>
      </c>
      <c r="B446" t="s">
        <v>1443</v>
      </c>
      <c r="C446" s="328"/>
      <c r="D446" s="328" t="str">
        <f t="shared" si="10"/>
        <v>NACE D - 35.14 Distribution of electricity</v>
      </c>
      <c r="K446" t="s">
        <v>5095</v>
      </c>
    </row>
    <row r="447" spans="1:11" x14ac:dyDescent="0.3">
      <c r="A447" s="328" t="s">
        <v>1444</v>
      </c>
      <c r="B447" t="s">
        <v>1445</v>
      </c>
      <c r="C447" s="328"/>
      <c r="D447" s="328" t="str">
        <f t="shared" si="10"/>
        <v>NACE D - 35.15 Trade of electricity</v>
      </c>
      <c r="K447" t="s">
        <v>5096</v>
      </c>
    </row>
    <row r="448" spans="1:11" x14ac:dyDescent="0.3">
      <c r="A448" s="328" t="s">
        <v>1446</v>
      </c>
      <c r="B448" t="s">
        <v>1447</v>
      </c>
      <c r="C448" s="328"/>
      <c r="D448" s="328" t="str">
        <f t="shared" si="10"/>
        <v>NACE D - 35.16 Storage of electricity</v>
      </c>
      <c r="K448" t="s">
        <v>5097</v>
      </c>
    </row>
    <row r="449" spans="1:11" x14ac:dyDescent="0.3">
      <c r="A449" s="327" t="s">
        <v>1448</v>
      </c>
      <c r="B449" t="s">
        <v>1449</v>
      </c>
      <c r="C449" s="328"/>
      <c r="D449" s="327" t="str">
        <f t="shared" si="10"/>
        <v>NACE D - 35.2 Manufacture of gas, and distribution of gaseous fuels through mains</v>
      </c>
      <c r="K449" t="s">
        <v>5098</v>
      </c>
    </row>
    <row r="450" spans="1:11" x14ac:dyDescent="0.3">
      <c r="A450" s="328" t="s">
        <v>1450</v>
      </c>
      <c r="B450" t="s">
        <v>1451</v>
      </c>
      <c r="C450" s="328"/>
      <c r="D450" s="328" t="str">
        <f t="shared" ref="D450:D513" si="11">_xlfn.CONCAT("NACE ", A450)</f>
        <v>NACE D - 35.21 Manufacture of gas</v>
      </c>
      <c r="K450" t="s">
        <v>5099</v>
      </c>
    </row>
    <row r="451" spans="1:11" x14ac:dyDescent="0.3">
      <c r="A451" s="328" t="s">
        <v>1452</v>
      </c>
      <c r="B451" t="s">
        <v>1453</v>
      </c>
      <c r="C451" s="328"/>
      <c r="D451" s="328" t="str">
        <f t="shared" si="11"/>
        <v>NACE D - 35.22 Distribution of gaseous fuels through mains</v>
      </c>
      <c r="K451" t="s">
        <v>5100</v>
      </c>
    </row>
    <row r="452" spans="1:11" x14ac:dyDescent="0.3">
      <c r="A452" s="328" t="s">
        <v>1454</v>
      </c>
      <c r="B452" t="s">
        <v>1455</v>
      </c>
      <c r="C452" s="328"/>
      <c r="D452" s="328" t="str">
        <f t="shared" si="11"/>
        <v>NACE D - 35.23 Trade of gas through mains</v>
      </c>
      <c r="K452" t="s">
        <v>5101</v>
      </c>
    </row>
    <row r="453" spans="1:11" x14ac:dyDescent="0.3">
      <c r="A453" s="328" t="s">
        <v>1456</v>
      </c>
      <c r="B453" t="s">
        <v>1457</v>
      </c>
      <c r="C453" s="328"/>
      <c r="D453" s="328" t="str">
        <f t="shared" si="11"/>
        <v>NACE D - 35.24 Storage of gas as part of network supply services</v>
      </c>
      <c r="K453" t="s">
        <v>5102</v>
      </c>
    </row>
    <row r="454" spans="1:11" x14ac:dyDescent="0.3">
      <c r="A454" s="327" t="s">
        <v>1458</v>
      </c>
      <c r="B454" t="s">
        <v>1459</v>
      </c>
      <c r="C454" s="328"/>
      <c r="D454" s="327" t="str">
        <f t="shared" si="11"/>
        <v>NACE D - 35.3 Steam and air conditioning supply</v>
      </c>
      <c r="K454" t="s">
        <v>5103</v>
      </c>
    </row>
    <row r="455" spans="1:11" x14ac:dyDescent="0.3">
      <c r="A455" s="328" t="s">
        <v>1460</v>
      </c>
      <c r="B455" t="s">
        <v>1461</v>
      </c>
      <c r="C455" s="328"/>
      <c r="D455" s="328" t="str">
        <f t="shared" si="11"/>
        <v>NACE D - 35.30 Steam and air conditioning supply</v>
      </c>
      <c r="K455" t="s">
        <v>5104</v>
      </c>
    </row>
    <row r="456" spans="1:11" x14ac:dyDescent="0.3">
      <c r="A456" s="327" t="s">
        <v>1462</v>
      </c>
      <c r="B456" t="s">
        <v>1463</v>
      </c>
      <c r="C456" s="328"/>
      <c r="D456" s="327" t="str">
        <f t="shared" si="11"/>
        <v>NACE D - 35.4 Activities of brokers and agents for electric power and natural gas</v>
      </c>
      <c r="K456" t="s">
        <v>5105</v>
      </c>
    </row>
    <row r="457" spans="1:11" x14ac:dyDescent="0.3">
      <c r="A457" s="328" t="s">
        <v>1464</v>
      </c>
      <c r="B457" t="s">
        <v>1465</v>
      </c>
      <c r="C457" s="328"/>
      <c r="D457" s="328" t="str">
        <f t="shared" si="11"/>
        <v>NACE D - 35.40 Activities of brokers and agents for electric power and natural gas</v>
      </c>
      <c r="K457" t="s">
        <v>5106</v>
      </c>
    </row>
    <row r="458" spans="1:11" x14ac:dyDescent="0.3">
      <c r="A458" s="325" t="s">
        <v>1466</v>
      </c>
      <c r="B458" t="s">
        <v>1467</v>
      </c>
      <c r="C458" s="328"/>
      <c r="D458" s="325" t="str">
        <f t="shared" si="11"/>
        <v>NACE E - WATER SUPPLY; SEWERAGE, WASTE MANAGEMENT AND REMEDIATION ACTIVITIES</v>
      </c>
      <c r="K458" t="s">
        <v>5107</v>
      </c>
    </row>
    <row r="459" spans="1:11" x14ac:dyDescent="0.3">
      <c r="A459" s="324" t="s">
        <v>1468</v>
      </c>
      <c r="B459" t="s">
        <v>1469</v>
      </c>
      <c r="C459" s="328"/>
      <c r="D459" s="324" t="str">
        <f t="shared" si="11"/>
        <v>NACE E - 36 Water collection, treatment and supply</v>
      </c>
      <c r="K459" t="s">
        <v>5108</v>
      </c>
    </row>
    <row r="460" spans="1:11" x14ac:dyDescent="0.3">
      <c r="A460" s="327" t="s">
        <v>1470</v>
      </c>
      <c r="B460" t="s">
        <v>1471</v>
      </c>
      <c r="C460" s="328"/>
      <c r="D460" s="327" t="str">
        <f t="shared" si="11"/>
        <v>NACE E - 36.0 Water collection, treatment and supply</v>
      </c>
      <c r="K460" t="s">
        <v>5109</v>
      </c>
    </row>
    <row r="461" spans="1:11" x14ac:dyDescent="0.3">
      <c r="A461" s="328" t="s">
        <v>1472</v>
      </c>
      <c r="B461" t="s">
        <v>1473</v>
      </c>
      <c r="C461" s="328"/>
      <c r="D461" s="328" t="str">
        <f t="shared" si="11"/>
        <v>NACE E - 36.00 Water collection, treatment and supply</v>
      </c>
      <c r="K461" t="s">
        <v>5110</v>
      </c>
    </row>
    <row r="462" spans="1:11" x14ac:dyDescent="0.3">
      <c r="A462" s="324" t="s">
        <v>1474</v>
      </c>
      <c r="B462" t="s">
        <v>1475</v>
      </c>
      <c r="C462" s="328"/>
      <c r="D462" s="324" t="str">
        <f t="shared" si="11"/>
        <v>NACE E - 37 Sewerage</v>
      </c>
      <c r="K462" t="s">
        <v>5111</v>
      </c>
    </row>
    <row r="463" spans="1:11" x14ac:dyDescent="0.3">
      <c r="A463" s="327" t="s">
        <v>1476</v>
      </c>
      <c r="B463" t="s">
        <v>1477</v>
      </c>
      <c r="C463" s="328"/>
      <c r="D463" s="327" t="str">
        <f t="shared" si="11"/>
        <v>NACE E - 37.0 Sewerage</v>
      </c>
      <c r="K463" t="s">
        <v>5112</v>
      </c>
    </row>
    <row r="464" spans="1:11" x14ac:dyDescent="0.3">
      <c r="A464" s="328" t="s">
        <v>1478</v>
      </c>
      <c r="B464" t="s">
        <v>1479</v>
      </c>
      <c r="C464" s="328"/>
      <c r="D464" s="328" t="str">
        <f t="shared" si="11"/>
        <v>NACE E - 37.00 Sewerage</v>
      </c>
      <c r="K464" t="s">
        <v>5113</v>
      </c>
    </row>
    <row r="465" spans="1:11" x14ac:dyDescent="0.3">
      <c r="A465" s="324" t="s">
        <v>1480</v>
      </c>
      <c r="B465" t="s">
        <v>1481</v>
      </c>
      <c r="C465" s="328"/>
      <c r="D465" s="324" t="str">
        <f t="shared" si="11"/>
        <v>NACE E - 38 Waste collection, recovery and disposal activities</v>
      </c>
      <c r="K465" t="s">
        <v>5114</v>
      </c>
    </row>
    <row r="466" spans="1:11" x14ac:dyDescent="0.3">
      <c r="A466" s="327" t="s">
        <v>1482</v>
      </c>
      <c r="B466" t="s">
        <v>1483</v>
      </c>
      <c r="C466" s="328"/>
      <c r="D466" s="327" t="str">
        <f t="shared" si="11"/>
        <v>NACE E - 38.1 Waste collection</v>
      </c>
      <c r="K466" t="s">
        <v>5115</v>
      </c>
    </row>
    <row r="467" spans="1:11" x14ac:dyDescent="0.3">
      <c r="A467" s="328" t="s">
        <v>1484</v>
      </c>
      <c r="B467" t="s">
        <v>1485</v>
      </c>
      <c r="C467" s="328"/>
      <c r="D467" s="328" t="str">
        <f t="shared" si="11"/>
        <v>NACE E - 38.11 Collection of non-hazardous waste</v>
      </c>
      <c r="K467" t="s">
        <v>5116</v>
      </c>
    </row>
    <row r="468" spans="1:11" x14ac:dyDescent="0.3">
      <c r="A468" s="328" t="s">
        <v>1486</v>
      </c>
      <c r="B468" t="s">
        <v>1487</v>
      </c>
      <c r="C468" s="328"/>
      <c r="D468" s="328" t="str">
        <f t="shared" si="11"/>
        <v>NACE E - 38.12 Collection of hazardous waste</v>
      </c>
      <c r="K468" t="s">
        <v>5117</v>
      </c>
    </row>
    <row r="469" spans="1:11" x14ac:dyDescent="0.3">
      <c r="A469" s="327" t="s">
        <v>1488</v>
      </c>
      <c r="B469" t="s">
        <v>1489</v>
      </c>
      <c r="C469" s="328"/>
      <c r="D469" s="327" t="str">
        <f t="shared" si="11"/>
        <v>NACE E - 38.2 Waste recovery</v>
      </c>
      <c r="K469" t="s">
        <v>5118</v>
      </c>
    </row>
    <row r="470" spans="1:11" x14ac:dyDescent="0.3">
      <c r="A470" s="328" t="s">
        <v>1490</v>
      </c>
      <c r="B470" t="s">
        <v>1491</v>
      </c>
      <c r="C470" s="328"/>
      <c r="D470" s="328" t="str">
        <f t="shared" si="11"/>
        <v>NACE E - 38.21 Materials recovery</v>
      </c>
      <c r="K470" t="s">
        <v>5119</v>
      </c>
    </row>
    <row r="471" spans="1:11" x14ac:dyDescent="0.3">
      <c r="A471" s="328" t="s">
        <v>1492</v>
      </c>
      <c r="B471" t="s">
        <v>1493</v>
      </c>
      <c r="C471" s="328"/>
      <c r="D471" s="328" t="str">
        <f t="shared" si="11"/>
        <v>NACE E - 38.22 Energy recovery</v>
      </c>
      <c r="K471" t="s">
        <v>5120</v>
      </c>
    </row>
    <row r="472" spans="1:11" x14ac:dyDescent="0.3">
      <c r="A472" s="328" t="s">
        <v>1494</v>
      </c>
      <c r="B472" t="s">
        <v>1495</v>
      </c>
      <c r="C472" s="328"/>
      <c r="D472" s="328" t="str">
        <f t="shared" si="11"/>
        <v>NACE E - 38.23 Other waste recovery</v>
      </c>
      <c r="K472" t="s">
        <v>5121</v>
      </c>
    </row>
    <row r="473" spans="1:11" x14ac:dyDescent="0.3">
      <c r="A473" s="327" t="s">
        <v>1496</v>
      </c>
      <c r="B473" t="s">
        <v>1497</v>
      </c>
      <c r="C473" s="328"/>
      <c r="D473" s="327" t="str">
        <f t="shared" si="11"/>
        <v>NACE E - 38.3 Waste disposal without recovery</v>
      </c>
      <c r="K473" t="s">
        <v>5122</v>
      </c>
    </row>
    <row r="474" spans="1:11" x14ac:dyDescent="0.3">
      <c r="A474" s="328" t="s">
        <v>1498</v>
      </c>
      <c r="B474" t="s">
        <v>1499</v>
      </c>
      <c r="C474" s="328"/>
      <c r="D474" s="328" t="str">
        <f t="shared" si="11"/>
        <v>NACE E - 38.31 Incineration without energy recovery</v>
      </c>
      <c r="K474" t="s">
        <v>5123</v>
      </c>
    </row>
    <row r="475" spans="1:11" x14ac:dyDescent="0.3">
      <c r="A475" s="328" t="s">
        <v>1500</v>
      </c>
      <c r="B475" t="s">
        <v>1501</v>
      </c>
      <c r="C475" s="328"/>
      <c r="D475" s="328" t="str">
        <f t="shared" si="11"/>
        <v>NACE E - 38.32 Landfilling or permanent storage</v>
      </c>
      <c r="K475" t="s">
        <v>5124</v>
      </c>
    </row>
    <row r="476" spans="1:11" x14ac:dyDescent="0.3">
      <c r="A476" s="328" t="s">
        <v>1502</v>
      </c>
      <c r="B476" t="s">
        <v>1503</v>
      </c>
      <c r="C476" s="328"/>
      <c r="D476" s="328" t="str">
        <f t="shared" si="11"/>
        <v>NACE E - 38.33 Other waste disposal</v>
      </c>
      <c r="K476" t="s">
        <v>5125</v>
      </c>
    </row>
    <row r="477" spans="1:11" x14ac:dyDescent="0.3">
      <c r="A477" s="324" t="s">
        <v>1504</v>
      </c>
      <c r="B477" t="s">
        <v>1505</v>
      </c>
      <c r="C477" s="328"/>
      <c r="D477" s="324" t="str">
        <f t="shared" si="11"/>
        <v>NACE E - 39 Remediation activities and other waste management service activities</v>
      </c>
      <c r="K477" t="s">
        <v>5126</v>
      </c>
    </row>
    <row r="478" spans="1:11" x14ac:dyDescent="0.3">
      <c r="A478" s="327" t="s">
        <v>1506</v>
      </c>
      <c r="B478" t="s">
        <v>1507</v>
      </c>
      <c r="C478" s="328"/>
      <c r="D478" s="327" t="str">
        <f t="shared" si="11"/>
        <v>NACE E - 39.0 Remediation activities and other waste management service activities</v>
      </c>
      <c r="K478" t="s">
        <v>5127</v>
      </c>
    </row>
    <row r="479" spans="1:11" x14ac:dyDescent="0.3">
      <c r="A479" s="328" t="s">
        <v>1508</v>
      </c>
      <c r="B479" t="s">
        <v>1509</v>
      </c>
      <c r="C479" s="328"/>
      <c r="D479" s="328" t="str">
        <f t="shared" si="11"/>
        <v>NACE E - 39.00 Remediation activities and other waste management service activities</v>
      </c>
      <c r="K479" t="s">
        <v>5128</v>
      </c>
    </row>
    <row r="480" spans="1:11" x14ac:dyDescent="0.3">
      <c r="A480" s="325" t="s">
        <v>1510</v>
      </c>
      <c r="B480" t="s">
        <v>1511</v>
      </c>
      <c r="C480" s="328"/>
      <c r="D480" s="325" t="str">
        <f t="shared" si="11"/>
        <v>NACE F - CONSTRUCTION</v>
      </c>
      <c r="K480" t="s">
        <v>5129</v>
      </c>
    </row>
    <row r="481" spans="1:11" x14ac:dyDescent="0.3">
      <c r="A481" s="324" t="s">
        <v>1512</v>
      </c>
      <c r="B481" t="s">
        <v>1513</v>
      </c>
      <c r="C481" s="328"/>
      <c r="D481" s="324" t="str">
        <f t="shared" si="11"/>
        <v>NACE F - 41 Construction of residential and non-residential buildings</v>
      </c>
      <c r="K481" t="s">
        <v>5130</v>
      </c>
    </row>
    <row r="482" spans="1:11" x14ac:dyDescent="0.3">
      <c r="A482" s="327" t="s">
        <v>1514</v>
      </c>
      <c r="B482" t="s">
        <v>1515</v>
      </c>
      <c r="C482" s="328"/>
      <c r="D482" s="327" t="str">
        <f t="shared" si="11"/>
        <v>NACE F - 41.0 Construction of residential and non-residential buildings</v>
      </c>
      <c r="K482" t="s">
        <v>5131</v>
      </c>
    </row>
    <row r="483" spans="1:11" x14ac:dyDescent="0.3">
      <c r="A483" s="328" t="s">
        <v>1516</v>
      </c>
      <c r="B483" t="s">
        <v>1517</v>
      </c>
      <c r="C483" s="328"/>
      <c r="D483" s="328" t="str">
        <f t="shared" si="11"/>
        <v>NACE F - 41.00 Construction of residential and non-residential buildings</v>
      </c>
      <c r="K483" t="s">
        <v>5132</v>
      </c>
    </row>
    <row r="484" spans="1:11" x14ac:dyDescent="0.3">
      <c r="A484" s="324" t="s">
        <v>1518</v>
      </c>
      <c r="B484" t="s">
        <v>1519</v>
      </c>
      <c r="C484" s="328"/>
      <c r="D484" s="324" t="str">
        <f t="shared" si="11"/>
        <v>NACE F - 42 Civil engineering</v>
      </c>
      <c r="K484" t="s">
        <v>5133</v>
      </c>
    </row>
    <row r="485" spans="1:11" x14ac:dyDescent="0.3">
      <c r="A485" s="327" t="s">
        <v>1520</v>
      </c>
      <c r="B485" t="s">
        <v>1521</v>
      </c>
      <c r="C485" s="328"/>
      <c r="D485" s="327" t="str">
        <f t="shared" si="11"/>
        <v>NACE F - 42.1 Construction of roads and railways</v>
      </c>
      <c r="K485" t="s">
        <v>5134</v>
      </c>
    </row>
    <row r="486" spans="1:11" x14ac:dyDescent="0.3">
      <c r="A486" s="328" t="s">
        <v>1522</v>
      </c>
      <c r="B486" t="s">
        <v>1523</v>
      </c>
      <c r="C486" s="328"/>
      <c r="D486" s="328" t="str">
        <f t="shared" si="11"/>
        <v>NACE F - 42.11 Construction of roads and motorways</v>
      </c>
      <c r="K486" t="s">
        <v>5135</v>
      </c>
    </row>
    <row r="487" spans="1:11" x14ac:dyDescent="0.3">
      <c r="A487" s="328" t="s">
        <v>1524</v>
      </c>
      <c r="B487" t="s">
        <v>1525</v>
      </c>
      <c r="C487" s="328"/>
      <c r="D487" s="328" t="str">
        <f t="shared" si="11"/>
        <v>NACE F - 42.12 Construction of railways and underground railways</v>
      </c>
      <c r="K487" t="s">
        <v>5136</v>
      </c>
    </row>
    <row r="488" spans="1:11" x14ac:dyDescent="0.3">
      <c r="A488" s="328" t="s">
        <v>1526</v>
      </c>
      <c r="B488" t="s">
        <v>1527</v>
      </c>
      <c r="C488" s="328"/>
      <c r="D488" s="328" t="str">
        <f t="shared" si="11"/>
        <v>NACE F - 42.13 Construction of bridges and tunnels</v>
      </c>
      <c r="K488" t="s">
        <v>5137</v>
      </c>
    </row>
    <row r="489" spans="1:11" x14ac:dyDescent="0.3">
      <c r="A489" s="327" t="s">
        <v>1528</v>
      </c>
      <c r="B489" t="s">
        <v>1529</v>
      </c>
      <c r="C489" s="328"/>
      <c r="D489" s="327" t="str">
        <f t="shared" si="11"/>
        <v>NACE F - 42.2 Construction of utility projects</v>
      </c>
      <c r="K489" t="s">
        <v>5138</v>
      </c>
    </row>
    <row r="490" spans="1:11" x14ac:dyDescent="0.3">
      <c r="A490" s="328" t="s">
        <v>1530</v>
      </c>
      <c r="B490" t="s">
        <v>1531</v>
      </c>
      <c r="C490" s="328"/>
      <c r="D490" s="328" t="str">
        <f t="shared" si="11"/>
        <v>NACE F - 42.21 Construction of utility projects for fluids</v>
      </c>
      <c r="K490" t="s">
        <v>5139</v>
      </c>
    </row>
    <row r="491" spans="1:11" x14ac:dyDescent="0.3">
      <c r="A491" s="328" t="s">
        <v>1532</v>
      </c>
      <c r="B491" t="s">
        <v>1533</v>
      </c>
      <c r="C491" s="328"/>
      <c r="D491" s="328" t="str">
        <f t="shared" si="11"/>
        <v>NACE F - 42.22 Construction of utility projects for electricity and telecommunications</v>
      </c>
      <c r="K491" t="s">
        <v>5140</v>
      </c>
    </row>
    <row r="492" spans="1:11" x14ac:dyDescent="0.3">
      <c r="A492" s="327" t="s">
        <v>1534</v>
      </c>
      <c r="B492" t="s">
        <v>1535</v>
      </c>
      <c r="C492" s="328"/>
      <c r="D492" s="327" t="str">
        <f t="shared" si="11"/>
        <v>NACE F - 42.9 Construction of other civil engineering projects</v>
      </c>
      <c r="K492" t="s">
        <v>5141</v>
      </c>
    </row>
    <row r="493" spans="1:11" x14ac:dyDescent="0.3">
      <c r="A493" s="328" t="s">
        <v>1536</v>
      </c>
      <c r="B493" t="s">
        <v>1537</v>
      </c>
      <c r="C493" s="328"/>
      <c r="D493" s="328" t="str">
        <f t="shared" si="11"/>
        <v>NACE F - 42.91 Construction of water projects</v>
      </c>
      <c r="K493" t="s">
        <v>5142</v>
      </c>
    </row>
    <row r="494" spans="1:11" x14ac:dyDescent="0.3">
      <c r="A494" s="328" t="s">
        <v>1538</v>
      </c>
      <c r="B494" t="s">
        <v>1539</v>
      </c>
      <c r="C494" s="328"/>
      <c r="D494" s="328" t="str">
        <f t="shared" si="11"/>
        <v>NACE F - 42.99 Construction of other civil engineering projects n.e.c.</v>
      </c>
      <c r="K494" t="s">
        <v>5143</v>
      </c>
    </row>
    <row r="495" spans="1:11" x14ac:dyDescent="0.3">
      <c r="A495" s="324" t="s">
        <v>1540</v>
      </c>
      <c r="B495" t="s">
        <v>1541</v>
      </c>
      <c r="C495" s="328"/>
      <c r="D495" s="324" t="str">
        <f t="shared" si="11"/>
        <v>NACE F - 43 Specialised construction activities</v>
      </c>
      <c r="K495" t="s">
        <v>5144</v>
      </c>
    </row>
    <row r="496" spans="1:11" x14ac:dyDescent="0.3">
      <c r="A496" s="327" t="s">
        <v>1542</v>
      </c>
      <c r="B496" t="s">
        <v>1543</v>
      </c>
      <c r="C496" s="328"/>
      <c r="D496" s="327" t="str">
        <f t="shared" si="11"/>
        <v>NACE F - 43.1 Demolition and site preparation</v>
      </c>
      <c r="K496" t="s">
        <v>5145</v>
      </c>
    </row>
    <row r="497" spans="1:11" x14ac:dyDescent="0.3">
      <c r="A497" s="328" t="s">
        <v>1544</v>
      </c>
      <c r="B497" t="s">
        <v>1545</v>
      </c>
      <c r="C497" s="328"/>
      <c r="D497" s="328" t="str">
        <f t="shared" si="11"/>
        <v>NACE F - 43.11 Demolition</v>
      </c>
      <c r="K497" t="s">
        <v>5146</v>
      </c>
    </row>
    <row r="498" spans="1:11" x14ac:dyDescent="0.3">
      <c r="A498" s="328" t="s">
        <v>1546</v>
      </c>
      <c r="B498" t="s">
        <v>1547</v>
      </c>
      <c r="C498" s="328"/>
      <c r="D498" s="328" t="str">
        <f t="shared" si="11"/>
        <v>NACE F - 43.12 Site preparation</v>
      </c>
      <c r="K498" t="s">
        <v>5147</v>
      </c>
    </row>
    <row r="499" spans="1:11" x14ac:dyDescent="0.3">
      <c r="A499" s="328" t="s">
        <v>1548</v>
      </c>
      <c r="B499" t="s">
        <v>1549</v>
      </c>
      <c r="C499" s="328"/>
      <c r="D499" s="328" t="str">
        <f t="shared" si="11"/>
        <v>NACE F - 43.13 Test drilling and boring</v>
      </c>
      <c r="K499" t="s">
        <v>5148</v>
      </c>
    </row>
    <row r="500" spans="1:11" x14ac:dyDescent="0.3">
      <c r="A500" s="327" t="s">
        <v>1550</v>
      </c>
      <c r="B500" t="s">
        <v>1551</v>
      </c>
      <c r="C500" s="328"/>
      <c r="D500" s="327" t="str">
        <f t="shared" si="11"/>
        <v>NACE F - 43.2 Electrical, plumbing and other construction installation activities</v>
      </c>
      <c r="K500" t="s">
        <v>5149</v>
      </c>
    </row>
    <row r="501" spans="1:11" x14ac:dyDescent="0.3">
      <c r="A501" s="328" t="s">
        <v>1552</v>
      </c>
      <c r="B501" t="s">
        <v>1553</v>
      </c>
      <c r="C501" s="328"/>
      <c r="D501" s="328" t="str">
        <f t="shared" si="11"/>
        <v>NACE F - 43.21 Electrical installation</v>
      </c>
      <c r="K501" t="s">
        <v>5150</v>
      </c>
    </row>
    <row r="502" spans="1:11" x14ac:dyDescent="0.3">
      <c r="A502" s="328" t="s">
        <v>1554</v>
      </c>
      <c r="B502" t="s">
        <v>1555</v>
      </c>
      <c r="C502" s="328"/>
      <c r="D502" s="328" t="str">
        <f t="shared" si="11"/>
        <v>NACE F - 43.22 Plumbing, heat and air-conditioning installation</v>
      </c>
      <c r="K502" t="s">
        <v>5151</v>
      </c>
    </row>
    <row r="503" spans="1:11" x14ac:dyDescent="0.3">
      <c r="A503" s="328" t="s">
        <v>1556</v>
      </c>
      <c r="B503" t="s">
        <v>1557</v>
      </c>
      <c r="C503" s="328"/>
      <c r="D503" s="328" t="str">
        <f t="shared" si="11"/>
        <v>NACE F - 43.23 Installation of insulation</v>
      </c>
      <c r="K503" t="s">
        <v>5152</v>
      </c>
    </row>
    <row r="504" spans="1:11" x14ac:dyDescent="0.3">
      <c r="A504" s="328" t="s">
        <v>1558</v>
      </c>
      <c r="B504" t="s">
        <v>1559</v>
      </c>
      <c r="C504" s="328"/>
      <c r="D504" s="328" t="str">
        <f t="shared" si="11"/>
        <v>NACE F - 43.24 Other construction installation</v>
      </c>
      <c r="K504" t="s">
        <v>5153</v>
      </c>
    </row>
    <row r="505" spans="1:11" x14ac:dyDescent="0.3">
      <c r="A505" s="327" t="s">
        <v>1560</v>
      </c>
      <c r="B505" t="s">
        <v>1561</v>
      </c>
      <c r="C505" s="328"/>
      <c r="D505" s="327" t="str">
        <f t="shared" si="11"/>
        <v>NACE F - 43.3 Building completion and finishing</v>
      </c>
      <c r="K505" t="s">
        <v>5154</v>
      </c>
    </row>
    <row r="506" spans="1:11" x14ac:dyDescent="0.3">
      <c r="A506" s="328" t="s">
        <v>1562</v>
      </c>
      <c r="B506" t="s">
        <v>1563</v>
      </c>
      <c r="C506" s="328"/>
      <c r="D506" s="328" t="str">
        <f t="shared" si="11"/>
        <v>NACE F - 43.31 Plastering</v>
      </c>
      <c r="K506" t="s">
        <v>5155</v>
      </c>
    </row>
    <row r="507" spans="1:11" x14ac:dyDescent="0.3">
      <c r="A507" s="328" t="s">
        <v>1564</v>
      </c>
      <c r="B507" t="s">
        <v>1565</v>
      </c>
      <c r="C507" s="328"/>
      <c r="D507" s="328" t="str">
        <f t="shared" si="11"/>
        <v>NACE F - 43.32 Joinery installation</v>
      </c>
      <c r="K507" t="s">
        <v>5156</v>
      </c>
    </row>
    <row r="508" spans="1:11" x14ac:dyDescent="0.3">
      <c r="A508" s="328" t="s">
        <v>1566</v>
      </c>
      <c r="B508" t="s">
        <v>1567</v>
      </c>
      <c r="C508" s="328"/>
      <c r="D508" s="328" t="str">
        <f t="shared" si="11"/>
        <v>NACE F - 43.33 Floor and wall covering</v>
      </c>
      <c r="K508" t="s">
        <v>5157</v>
      </c>
    </row>
    <row r="509" spans="1:11" x14ac:dyDescent="0.3">
      <c r="A509" s="328" t="s">
        <v>1568</v>
      </c>
      <c r="B509" t="s">
        <v>1569</v>
      </c>
      <c r="C509" s="328"/>
      <c r="D509" s="328" t="str">
        <f t="shared" si="11"/>
        <v>NACE F - 43.34 Painting and glazing</v>
      </c>
      <c r="K509" t="s">
        <v>5158</v>
      </c>
    </row>
    <row r="510" spans="1:11" x14ac:dyDescent="0.3">
      <c r="A510" s="328" t="s">
        <v>1570</v>
      </c>
      <c r="B510" t="s">
        <v>1571</v>
      </c>
      <c r="C510" s="328"/>
      <c r="D510" s="328" t="str">
        <f t="shared" si="11"/>
        <v>NACE F - 43.35 Other building completion and finishing</v>
      </c>
      <c r="K510" t="s">
        <v>5159</v>
      </c>
    </row>
    <row r="511" spans="1:11" x14ac:dyDescent="0.3">
      <c r="A511" s="327" t="s">
        <v>1572</v>
      </c>
      <c r="B511" t="s">
        <v>1573</v>
      </c>
      <c r="C511" s="328"/>
      <c r="D511" s="327" t="str">
        <f t="shared" si="11"/>
        <v>NACE F - 43.4 Specialised construction activities in construction of buildings</v>
      </c>
      <c r="K511" t="s">
        <v>5160</v>
      </c>
    </row>
    <row r="512" spans="1:11" x14ac:dyDescent="0.3">
      <c r="A512" s="328" t="s">
        <v>1574</v>
      </c>
      <c r="B512" t="s">
        <v>1575</v>
      </c>
      <c r="C512" s="328"/>
      <c r="D512" s="328" t="str">
        <f t="shared" si="11"/>
        <v>NACE F - 43.41 Roofing activities</v>
      </c>
      <c r="K512" t="s">
        <v>5161</v>
      </c>
    </row>
    <row r="513" spans="1:11" x14ac:dyDescent="0.3">
      <c r="A513" s="328" t="s">
        <v>1576</v>
      </c>
      <c r="B513" t="s">
        <v>1577</v>
      </c>
      <c r="C513" s="328"/>
      <c r="D513" s="328" t="str">
        <f t="shared" si="11"/>
        <v>NACE F - 43.42 Other specialised construction activities in construction of buildings</v>
      </c>
      <c r="K513" t="s">
        <v>5162</v>
      </c>
    </row>
    <row r="514" spans="1:11" x14ac:dyDescent="0.3">
      <c r="A514" s="327" t="s">
        <v>1578</v>
      </c>
      <c r="B514" t="s">
        <v>1579</v>
      </c>
      <c r="C514" s="328"/>
      <c r="D514" s="327" t="str">
        <f t="shared" ref="D514:D577" si="12">_xlfn.CONCAT("NACE ", A514)</f>
        <v>NACE F - 43.5 Specialised construction activities in civil engineering</v>
      </c>
      <c r="K514" t="s">
        <v>5163</v>
      </c>
    </row>
    <row r="515" spans="1:11" x14ac:dyDescent="0.3">
      <c r="A515" s="328" t="s">
        <v>1580</v>
      </c>
      <c r="B515" t="s">
        <v>1581</v>
      </c>
      <c r="C515" s="328"/>
      <c r="D515" s="328" t="str">
        <f t="shared" si="12"/>
        <v>NACE F - 43.50 Specialised construction activities in civil engineering</v>
      </c>
      <c r="K515" t="s">
        <v>5164</v>
      </c>
    </row>
    <row r="516" spans="1:11" x14ac:dyDescent="0.3">
      <c r="A516" s="327" t="s">
        <v>1582</v>
      </c>
      <c r="B516" t="s">
        <v>1583</v>
      </c>
      <c r="C516" s="328"/>
      <c r="D516" s="327" t="str">
        <f t="shared" si="12"/>
        <v>NACE F - 43.6 Intermediation service activities for specialised construction services</v>
      </c>
      <c r="K516" t="s">
        <v>5165</v>
      </c>
    </row>
    <row r="517" spans="1:11" x14ac:dyDescent="0.3">
      <c r="A517" s="328" t="s">
        <v>1584</v>
      </c>
      <c r="B517" t="s">
        <v>1585</v>
      </c>
      <c r="C517" s="328"/>
      <c r="D517" s="328" t="str">
        <f t="shared" si="12"/>
        <v>NACE F - 43.60 Intermediation service activities for specialised construction services</v>
      </c>
      <c r="K517" t="s">
        <v>5166</v>
      </c>
    </row>
    <row r="518" spans="1:11" x14ac:dyDescent="0.3">
      <c r="A518" s="327" t="s">
        <v>1586</v>
      </c>
      <c r="B518" t="s">
        <v>1587</v>
      </c>
      <c r="C518" s="328"/>
      <c r="D518" s="327" t="str">
        <f t="shared" si="12"/>
        <v>NACE F - 43.9 Other specialised construction activities</v>
      </c>
      <c r="K518" t="s">
        <v>5167</v>
      </c>
    </row>
    <row r="519" spans="1:11" x14ac:dyDescent="0.3">
      <c r="A519" s="328" t="s">
        <v>1588</v>
      </c>
      <c r="B519" t="s">
        <v>1589</v>
      </c>
      <c r="C519" s="328"/>
      <c r="D519" s="328" t="str">
        <f t="shared" si="12"/>
        <v>NACE F - 43.91 Masonry and bricklaying activities</v>
      </c>
      <c r="K519" t="s">
        <v>5168</v>
      </c>
    </row>
    <row r="520" spans="1:11" x14ac:dyDescent="0.3">
      <c r="A520" s="328" t="s">
        <v>1590</v>
      </c>
      <c r="B520" t="s">
        <v>1591</v>
      </c>
      <c r="C520" s="328"/>
      <c r="D520" s="328" t="str">
        <f t="shared" si="12"/>
        <v>NACE F - 43.99 Other specialised construction activities n.e.c.</v>
      </c>
      <c r="K520" t="s">
        <v>5169</v>
      </c>
    </row>
    <row r="521" spans="1:11" x14ac:dyDescent="0.3">
      <c r="A521" s="325" t="s">
        <v>1592</v>
      </c>
      <c r="B521" t="s">
        <v>1593</v>
      </c>
      <c r="C521" s="328"/>
      <c r="D521" s="325" t="str">
        <f t="shared" si="12"/>
        <v>NACE G - WHOLESALE AND RETAIL TRADE</v>
      </c>
      <c r="K521" t="s">
        <v>5170</v>
      </c>
    </row>
    <row r="522" spans="1:11" x14ac:dyDescent="0.3">
      <c r="A522" s="324" t="s">
        <v>1594</v>
      </c>
      <c r="B522" t="s">
        <v>1595</v>
      </c>
      <c r="C522" s="328"/>
      <c r="D522" s="324" t="str">
        <f t="shared" si="12"/>
        <v>NACE G - 46 Wholesale trade</v>
      </c>
      <c r="K522" t="s">
        <v>5171</v>
      </c>
    </row>
    <row r="523" spans="1:11" x14ac:dyDescent="0.3">
      <c r="A523" s="327" t="s">
        <v>1596</v>
      </c>
      <c r="B523" t="s">
        <v>1597</v>
      </c>
      <c r="C523" s="328"/>
      <c r="D523" s="327" t="str">
        <f t="shared" si="12"/>
        <v>NACE G - 46.1 Wholesale on a fee or contract basis</v>
      </c>
      <c r="K523" t="s">
        <v>5172</v>
      </c>
    </row>
    <row r="524" spans="1:11" x14ac:dyDescent="0.3">
      <c r="A524" s="328" t="s">
        <v>1598</v>
      </c>
      <c r="B524" t="s">
        <v>1599</v>
      </c>
      <c r="C524" s="328"/>
      <c r="D524" s="328" t="str">
        <f t="shared" si="12"/>
        <v>NACE G - 46.11 Activities of agents involved in the wholesale of agricultural raw materials, live animals, textile raw materials and semi-finished goods</v>
      </c>
      <c r="K524" t="s">
        <v>5173</v>
      </c>
    </row>
    <row r="525" spans="1:11" x14ac:dyDescent="0.3">
      <c r="A525" s="328" t="s">
        <v>1600</v>
      </c>
      <c r="B525" t="s">
        <v>1601</v>
      </c>
      <c r="C525" s="328"/>
      <c r="D525" s="328" t="str">
        <f t="shared" si="12"/>
        <v>NACE G - 46.12 Activities of agents involved in the wholesale of fuels, ores, metals and industrial chemicals</v>
      </c>
      <c r="K525" t="s">
        <v>5174</v>
      </c>
    </row>
    <row r="526" spans="1:11" x14ac:dyDescent="0.3">
      <c r="A526" s="328" t="s">
        <v>1602</v>
      </c>
      <c r="B526" t="s">
        <v>1603</v>
      </c>
      <c r="C526" s="328"/>
      <c r="D526" s="328" t="str">
        <f t="shared" si="12"/>
        <v>NACE G - 46.13 Activities of agents involved in the wholesale of timber and building materials</v>
      </c>
      <c r="K526" t="s">
        <v>5175</v>
      </c>
    </row>
    <row r="527" spans="1:11" x14ac:dyDescent="0.3">
      <c r="A527" s="328" t="s">
        <v>1604</v>
      </c>
      <c r="B527" t="s">
        <v>1605</v>
      </c>
      <c r="C527" s="328"/>
      <c r="D527" s="328" t="str">
        <f t="shared" si="12"/>
        <v>NACE G - 46.14 Activities of agents involved in the wholesale of machinery, industrial equipment, ships and aircraft</v>
      </c>
      <c r="K527" t="s">
        <v>5176</v>
      </c>
    </row>
    <row r="528" spans="1:11" x14ac:dyDescent="0.3">
      <c r="A528" s="328" t="s">
        <v>1606</v>
      </c>
      <c r="B528" t="s">
        <v>1607</v>
      </c>
      <c r="C528" s="328"/>
      <c r="D528" s="328" t="str">
        <f t="shared" si="12"/>
        <v>NACE G - 46.15 Activities of agents involved in the wholesale of furniture, household goods, hardware and ironmongery</v>
      </c>
      <c r="K528" t="s">
        <v>5177</v>
      </c>
    </row>
    <row r="529" spans="1:11" x14ac:dyDescent="0.3">
      <c r="A529" s="328" t="s">
        <v>1608</v>
      </c>
      <c r="B529" t="s">
        <v>1609</v>
      </c>
      <c r="C529" s="328"/>
      <c r="D529" s="328" t="str">
        <f t="shared" si="12"/>
        <v>NACE G - 46.16 Activities of agents involved in the wholesale of textiles, clothing, fur, footwear and leather goods</v>
      </c>
      <c r="K529" t="s">
        <v>5178</v>
      </c>
    </row>
    <row r="530" spans="1:11" x14ac:dyDescent="0.3">
      <c r="A530" s="328" t="s">
        <v>1610</v>
      </c>
      <c r="B530" t="s">
        <v>1611</v>
      </c>
      <c r="C530" s="328"/>
      <c r="D530" s="328" t="str">
        <f t="shared" si="12"/>
        <v>NACE G - 46.17 Activities of agents involved in the wholesale of food, beverages and tobacco</v>
      </c>
      <c r="K530" t="s">
        <v>5179</v>
      </c>
    </row>
    <row r="531" spans="1:11" x14ac:dyDescent="0.3">
      <c r="A531" s="328" t="s">
        <v>1612</v>
      </c>
      <c r="B531" t="s">
        <v>1613</v>
      </c>
      <c r="C531" s="328"/>
      <c r="D531" s="328" t="str">
        <f t="shared" si="12"/>
        <v>NACE G - 46.18 Activities of agents involved in the wholesale of other particular products</v>
      </c>
      <c r="K531" t="s">
        <v>5180</v>
      </c>
    </row>
    <row r="532" spans="1:11" x14ac:dyDescent="0.3">
      <c r="A532" s="328" t="s">
        <v>1614</v>
      </c>
      <c r="B532" t="s">
        <v>1615</v>
      </c>
      <c r="C532" s="328"/>
      <c r="D532" s="328" t="str">
        <f t="shared" si="12"/>
        <v>NACE G - 46.19 Activities of agents involved in non-specialised wholesale</v>
      </c>
      <c r="K532" t="s">
        <v>5181</v>
      </c>
    </row>
    <row r="533" spans="1:11" x14ac:dyDescent="0.3">
      <c r="A533" s="327" t="s">
        <v>1616</v>
      </c>
      <c r="B533" t="s">
        <v>1617</v>
      </c>
      <c r="C533" s="328"/>
      <c r="D533" s="327" t="str">
        <f t="shared" si="12"/>
        <v>NACE G - 46.2 Wholesale of agricultural raw materials and live animals</v>
      </c>
      <c r="K533" t="s">
        <v>5182</v>
      </c>
    </row>
    <row r="534" spans="1:11" x14ac:dyDescent="0.3">
      <c r="A534" s="328" t="s">
        <v>1618</v>
      </c>
      <c r="B534" t="s">
        <v>1619</v>
      </c>
      <c r="C534" s="328"/>
      <c r="D534" s="328" t="str">
        <f t="shared" si="12"/>
        <v>NACE G - 46.21 Wholesale of grain, unmanufactured tobacco, seeds and animal feeds</v>
      </c>
      <c r="K534" t="s">
        <v>5183</v>
      </c>
    </row>
    <row r="535" spans="1:11" x14ac:dyDescent="0.3">
      <c r="A535" s="328" t="s">
        <v>1620</v>
      </c>
      <c r="B535" t="s">
        <v>1621</v>
      </c>
      <c r="C535" s="328"/>
      <c r="D535" s="328" t="str">
        <f t="shared" si="12"/>
        <v>NACE G - 46.22 Wholesale of flowers and plants</v>
      </c>
      <c r="K535" t="s">
        <v>5184</v>
      </c>
    </row>
    <row r="536" spans="1:11" x14ac:dyDescent="0.3">
      <c r="A536" s="328" t="s">
        <v>1622</v>
      </c>
      <c r="B536" t="s">
        <v>1623</v>
      </c>
      <c r="C536" s="328"/>
      <c r="D536" s="328" t="str">
        <f t="shared" si="12"/>
        <v>NACE G - 46.23 Wholesale of live animals</v>
      </c>
      <c r="K536" t="s">
        <v>5185</v>
      </c>
    </row>
    <row r="537" spans="1:11" x14ac:dyDescent="0.3">
      <c r="A537" s="328" t="s">
        <v>1624</v>
      </c>
      <c r="B537" t="s">
        <v>1625</v>
      </c>
      <c r="C537" s="328"/>
      <c r="D537" s="328" t="str">
        <f t="shared" si="12"/>
        <v>NACE G - 46.24 Wholesale of hides, skins and leather</v>
      </c>
      <c r="K537" t="s">
        <v>5186</v>
      </c>
    </row>
    <row r="538" spans="1:11" x14ac:dyDescent="0.3">
      <c r="A538" s="327" t="s">
        <v>1626</v>
      </c>
      <c r="B538" t="s">
        <v>1627</v>
      </c>
      <c r="C538" s="328"/>
      <c r="D538" s="327" t="str">
        <f t="shared" si="12"/>
        <v>NACE G - 46.3 Wholesale of food, beverages and tobacco</v>
      </c>
      <c r="K538" t="s">
        <v>5187</v>
      </c>
    </row>
    <row r="539" spans="1:11" x14ac:dyDescent="0.3">
      <c r="A539" s="328" t="s">
        <v>1628</v>
      </c>
      <c r="B539" t="s">
        <v>1629</v>
      </c>
      <c r="C539" s="328"/>
      <c r="D539" s="328" t="str">
        <f t="shared" si="12"/>
        <v>NACE G - 46.31 Wholesale of fruit and vegetables</v>
      </c>
      <c r="K539" t="s">
        <v>5188</v>
      </c>
    </row>
    <row r="540" spans="1:11" x14ac:dyDescent="0.3">
      <c r="A540" s="328" t="s">
        <v>1630</v>
      </c>
      <c r="B540" t="s">
        <v>1631</v>
      </c>
      <c r="C540" s="328"/>
      <c r="D540" s="328" t="str">
        <f t="shared" si="12"/>
        <v>NACE G - 46.32 Wholesale of meat, meat products, fish and fish products</v>
      </c>
      <c r="K540" t="s">
        <v>5189</v>
      </c>
    </row>
    <row r="541" spans="1:11" x14ac:dyDescent="0.3">
      <c r="A541" s="328" t="s">
        <v>1632</v>
      </c>
      <c r="B541" t="s">
        <v>1633</v>
      </c>
      <c r="C541" s="328"/>
      <c r="D541" s="328" t="str">
        <f t="shared" si="12"/>
        <v>NACE G - 46.33 Wholesale of dairy products, eggs and edible oils and fats</v>
      </c>
      <c r="K541" t="s">
        <v>5190</v>
      </c>
    </row>
    <row r="542" spans="1:11" x14ac:dyDescent="0.3">
      <c r="A542" s="328" t="s">
        <v>1634</v>
      </c>
      <c r="B542" t="s">
        <v>1635</v>
      </c>
      <c r="C542" s="328"/>
      <c r="D542" s="328" t="str">
        <f t="shared" si="12"/>
        <v>NACE G - 46.34 Wholesale of beverages</v>
      </c>
      <c r="K542" t="s">
        <v>5191</v>
      </c>
    </row>
    <row r="543" spans="1:11" x14ac:dyDescent="0.3">
      <c r="A543" s="328" t="s">
        <v>1636</v>
      </c>
      <c r="B543" t="s">
        <v>1637</v>
      </c>
      <c r="C543" s="328"/>
      <c r="D543" s="328" t="str">
        <f t="shared" si="12"/>
        <v>NACE G - 46.35 Wholesale of tobacco products</v>
      </c>
      <c r="K543" t="s">
        <v>5192</v>
      </c>
    </row>
    <row r="544" spans="1:11" x14ac:dyDescent="0.3">
      <c r="A544" s="328" t="s">
        <v>1638</v>
      </c>
      <c r="B544" t="s">
        <v>1639</v>
      </c>
      <c r="C544" s="328"/>
      <c r="D544" s="328" t="str">
        <f t="shared" si="12"/>
        <v>NACE G - 46.36 Wholesale of sugar, chocolate and sugar confectionery</v>
      </c>
      <c r="K544" t="s">
        <v>5193</v>
      </c>
    </row>
    <row r="545" spans="1:11" x14ac:dyDescent="0.3">
      <c r="A545" s="328" t="s">
        <v>1640</v>
      </c>
      <c r="B545" t="s">
        <v>1641</v>
      </c>
      <c r="C545" s="328"/>
      <c r="D545" s="328" t="str">
        <f t="shared" si="12"/>
        <v>NACE G - 46.37 Wholesale of coffee, tea, cocoa and spices</v>
      </c>
      <c r="K545" t="s">
        <v>5194</v>
      </c>
    </row>
    <row r="546" spans="1:11" x14ac:dyDescent="0.3">
      <c r="A546" s="328" t="s">
        <v>1642</v>
      </c>
      <c r="B546" t="s">
        <v>1643</v>
      </c>
      <c r="C546" s="328"/>
      <c r="D546" s="328" t="str">
        <f t="shared" si="12"/>
        <v>NACE G - 46.38 Wholesale of other food</v>
      </c>
      <c r="K546" t="s">
        <v>4650</v>
      </c>
    </row>
    <row r="547" spans="1:11" x14ac:dyDescent="0.3">
      <c r="A547" s="328" t="s">
        <v>1644</v>
      </c>
      <c r="B547" t="s">
        <v>1645</v>
      </c>
      <c r="C547" s="328"/>
      <c r="D547" s="328" t="str">
        <f t="shared" si="12"/>
        <v>NACE G - 46.39 Non-specialised wholesale of food, beverages and tobacco</v>
      </c>
      <c r="K547" t="s">
        <v>5195</v>
      </c>
    </row>
    <row r="548" spans="1:11" x14ac:dyDescent="0.3">
      <c r="A548" s="327" t="s">
        <v>1646</v>
      </c>
      <c r="B548" t="s">
        <v>1647</v>
      </c>
      <c r="C548" s="328"/>
      <c r="D548" s="327" t="str">
        <f t="shared" si="12"/>
        <v>NACE G - 46.4 Wholesale of household goods</v>
      </c>
      <c r="K548" t="s">
        <v>5196</v>
      </c>
    </row>
    <row r="549" spans="1:11" x14ac:dyDescent="0.3">
      <c r="A549" s="328" t="s">
        <v>1648</v>
      </c>
      <c r="B549" t="s">
        <v>1649</v>
      </c>
      <c r="C549" s="328"/>
      <c r="D549" s="328" t="str">
        <f t="shared" si="12"/>
        <v>NACE G - 46.41 Wholesale of textiles</v>
      </c>
      <c r="K549" t="s">
        <v>5197</v>
      </c>
    </row>
    <row r="550" spans="1:11" x14ac:dyDescent="0.3">
      <c r="A550" s="328" t="s">
        <v>1650</v>
      </c>
      <c r="B550" t="s">
        <v>1651</v>
      </c>
      <c r="C550" s="328"/>
      <c r="D550" s="328" t="str">
        <f t="shared" si="12"/>
        <v>NACE G - 46.42 Wholesale of clothing and footwear</v>
      </c>
      <c r="K550" t="s">
        <v>5198</v>
      </c>
    </row>
    <row r="551" spans="1:11" x14ac:dyDescent="0.3">
      <c r="A551" s="328" t="s">
        <v>1652</v>
      </c>
      <c r="B551" t="s">
        <v>1653</v>
      </c>
      <c r="C551" s="328"/>
      <c r="D551" s="328" t="str">
        <f t="shared" si="12"/>
        <v>NACE G - 46.43 Wholesale of electrical household appliances</v>
      </c>
      <c r="K551" t="s">
        <v>5199</v>
      </c>
    </row>
    <row r="552" spans="1:11" x14ac:dyDescent="0.3">
      <c r="A552" s="328" t="s">
        <v>1654</v>
      </c>
      <c r="B552" t="s">
        <v>1655</v>
      </c>
      <c r="C552" s="328"/>
      <c r="D552" s="328" t="str">
        <f t="shared" si="12"/>
        <v>NACE G - 46.44 Wholesale of china and glassware and cleaning materials</v>
      </c>
      <c r="K552" t="s">
        <v>5200</v>
      </c>
    </row>
    <row r="553" spans="1:11" x14ac:dyDescent="0.3">
      <c r="A553" s="328" t="s">
        <v>1656</v>
      </c>
      <c r="B553" t="s">
        <v>1657</v>
      </c>
      <c r="C553" s="328"/>
      <c r="D553" s="328" t="str">
        <f t="shared" si="12"/>
        <v>NACE G - 46.45 Wholesale of perfume and cosmetics</v>
      </c>
      <c r="K553" t="s">
        <v>5201</v>
      </c>
    </row>
    <row r="554" spans="1:11" x14ac:dyDescent="0.3">
      <c r="A554" s="328" t="s">
        <v>1658</v>
      </c>
      <c r="B554" t="s">
        <v>1659</v>
      </c>
      <c r="C554" s="328"/>
      <c r="D554" s="328" t="str">
        <f t="shared" si="12"/>
        <v>NACE G - 46.46 Wholesale of pharmaceutical and medical goods</v>
      </c>
      <c r="K554" t="s">
        <v>5202</v>
      </c>
    </row>
    <row r="555" spans="1:11" x14ac:dyDescent="0.3">
      <c r="A555" s="328" t="s">
        <v>1660</v>
      </c>
      <c r="B555" t="s">
        <v>1661</v>
      </c>
      <c r="C555" s="328"/>
      <c r="D555" s="328" t="str">
        <f t="shared" si="12"/>
        <v>NACE G - 46.47 Wholesale of household, office and shop furniture, carpets and lighting equipment</v>
      </c>
      <c r="K555" t="s">
        <v>5203</v>
      </c>
    </row>
    <row r="556" spans="1:11" x14ac:dyDescent="0.3">
      <c r="A556" s="328" t="s">
        <v>1662</v>
      </c>
      <c r="B556" t="s">
        <v>1663</v>
      </c>
      <c r="C556" s="328"/>
      <c r="D556" s="328" t="str">
        <f t="shared" si="12"/>
        <v>NACE G - 46.48 Wholesale of watches and jewellery</v>
      </c>
      <c r="K556" t="s">
        <v>5204</v>
      </c>
    </row>
    <row r="557" spans="1:11" x14ac:dyDescent="0.3">
      <c r="A557" s="328" t="s">
        <v>1664</v>
      </c>
      <c r="B557" t="s">
        <v>1665</v>
      </c>
      <c r="C557" s="328"/>
      <c r="D557" s="328" t="str">
        <f t="shared" si="12"/>
        <v>NACE G - 46.49 Wholesale of other household goods</v>
      </c>
      <c r="K557" t="s">
        <v>5205</v>
      </c>
    </row>
    <row r="558" spans="1:11" x14ac:dyDescent="0.3">
      <c r="A558" s="327" t="s">
        <v>1666</v>
      </c>
      <c r="B558" t="s">
        <v>1667</v>
      </c>
      <c r="C558" s="328"/>
      <c r="D558" s="327" t="str">
        <f t="shared" si="12"/>
        <v>NACE G - 46.5 Wholesale of information and communication equipment</v>
      </c>
      <c r="K558" t="s">
        <v>5206</v>
      </c>
    </row>
    <row r="559" spans="1:11" x14ac:dyDescent="0.3">
      <c r="A559" s="328" t="s">
        <v>1668</v>
      </c>
      <c r="B559" t="s">
        <v>1669</v>
      </c>
      <c r="C559" s="328"/>
      <c r="D559" s="328" t="str">
        <f t="shared" si="12"/>
        <v>NACE G - 46.50 Wholesale of information and communication equipment</v>
      </c>
      <c r="K559" t="s">
        <v>5207</v>
      </c>
    </row>
    <row r="560" spans="1:11" x14ac:dyDescent="0.3">
      <c r="A560" s="327" t="s">
        <v>1670</v>
      </c>
      <c r="B560" t="s">
        <v>1671</v>
      </c>
      <c r="C560" s="328"/>
      <c r="D560" s="327" t="str">
        <f t="shared" si="12"/>
        <v>NACE G - 46.6 Wholesale of other machinery, equipment and supplies</v>
      </c>
      <c r="K560" t="s">
        <v>5208</v>
      </c>
    </row>
    <row r="561" spans="1:11" x14ac:dyDescent="0.3">
      <c r="A561" s="328" t="s">
        <v>1672</v>
      </c>
      <c r="B561" t="s">
        <v>1673</v>
      </c>
      <c r="C561" s="328"/>
      <c r="D561" s="328" t="str">
        <f t="shared" si="12"/>
        <v>NACE G - 46.61 Wholesale of agricultural machinery, equipment and supplies</v>
      </c>
      <c r="K561" t="s">
        <v>5209</v>
      </c>
    </row>
    <row r="562" spans="1:11" x14ac:dyDescent="0.3">
      <c r="A562" s="328" t="s">
        <v>1674</v>
      </c>
      <c r="B562" t="s">
        <v>1675</v>
      </c>
      <c r="C562" s="328"/>
      <c r="D562" s="328" t="str">
        <f t="shared" si="12"/>
        <v>NACE G - 46.62 Wholesale of machine tools</v>
      </c>
      <c r="K562" t="s">
        <v>5210</v>
      </c>
    </row>
    <row r="563" spans="1:11" x14ac:dyDescent="0.3">
      <c r="A563" s="328" t="s">
        <v>1676</v>
      </c>
      <c r="B563" t="s">
        <v>1677</v>
      </c>
      <c r="C563" s="328"/>
      <c r="D563" s="328" t="str">
        <f t="shared" si="12"/>
        <v>NACE G - 46.63 Wholesale of mining, construction and civil engineering machinery</v>
      </c>
      <c r="K563" t="s">
        <v>5211</v>
      </c>
    </row>
    <row r="564" spans="1:11" x14ac:dyDescent="0.3">
      <c r="A564" s="328" t="s">
        <v>1678</v>
      </c>
      <c r="B564" t="s">
        <v>1679</v>
      </c>
      <c r="C564" s="328"/>
      <c r="D564" s="328" t="str">
        <f t="shared" si="12"/>
        <v>NACE G - 46.64 Wholesale of other machinery and equipment</v>
      </c>
      <c r="K564" t="s">
        <v>5212</v>
      </c>
    </row>
    <row r="565" spans="1:11" x14ac:dyDescent="0.3">
      <c r="A565" s="327" t="s">
        <v>1680</v>
      </c>
      <c r="B565" t="s">
        <v>1681</v>
      </c>
      <c r="C565" s="328"/>
      <c r="D565" s="327" t="str">
        <f t="shared" si="12"/>
        <v>NACE G - 46.7 Wholesale of motor vehicles, motorcycles and related parts and accessories</v>
      </c>
      <c r="K565" t="s">
        <v>5213</v>
      </c>
    </row>
    <row r="566" spans="1:11" x14ac:dyDescent="0.3">
      <c r="A566" s="328" t="s">
        <v>1682</v>
      </c>
      <c r="B566" t="s">
        <v>1683</v>
      </c>
      <c r="C566" s="328"/>
      <c r="D566" s="328" t="str">
        <f t="shared" si="12"/>
        <v>NACE G - 46.71 Wholesale of motor vehicles</v>
      </c>
      <c r="K566" t="s">
        <v>5214</v>
      </c>
    </row>
    <row r="567" spans="1:11" x14ac:dyDescent="0.3">
      <c r="A567" s="328" t="s">
        <v>1684</v>
      </c>
      <c r="B567" t="s">
        <v>1685</v>
      </c>
      <c r="C567" s="328"/>
      <c r="D567" s="328" t="str">
        <f t="shared" si="12"/>
        <v>NACE G - 46.72 Wholesale of motor vehicle parts and accessories</v>
      </c>
      <c r="K567" t="s">
        <v>5215</v>
      </c>
    </row>
    <row r="568" spans="1:11" x14ac:dyDescent="0.3">
      <c r="A568" s="328" t="s">
        <v>1686</v>
      </c>
      <c r="B568" t="s">
        <v>1687</v>
      </c>
      <c r="C568" s="328"/>
      <c r="D568" s="328" t="str">
        <f t="shared" si="12"/>
        <v>NACE G - 46.73 Wholesale of motorcycles, motorcycle parts and accessories</v>
      </c>
      <c r="K568" t="s">
        <v>5216</v>
      </c>
    </row>
    <row r="569" spans="1:11" x14ac:dyDescent="0.3">
      <c r="A569" s="327" t="s">
        <v>1688</v>
      </c>
      <c r="B569" t="s">
        <v>1689</v>
      </c>
      <c r="C569" s="328"/>
      <c r="D569" s="327" t="str">
        <f t="shared" si="12"/>
        <v>NACE G - 46.8 Other specialised wholesale</v>
      </c>
      <c r="K569" t="s">
        <v>5217</v>
      </c>
    </row>
    <row r="570" spans="1:11" x14ac:dyDescent="0.3">
      <c r="A570" s="328" t="s">
        <v>1690</v>
      </c>
      <c r="B570" t="s">
        <v>1691</v>
      </c>
      <c r="C570" s="328"/>
      <c r="D570" s="328" t="str">
        <f t="shared" si="12"/>
        <v>NACE G - 46.81 Wholesale of solid, liquid and gaseous fuels and related products</v>
      </c>
      <c r="K570" t="s">
        <v>5218</v>
      </c>
    </row>
    <row r="571" spans="1:11" x14ac:dyDescent="0.3">
      <c r="A571" s="328" t="s">
        <v>1692</v>
      </c>
      <c r="B571" t="s">
        <v>1693</v>
      </c>
      <c r="C571" s="328"/>
      <c r="D571" s="328" t="str">
        <f t="shared" si="12"/>
        <v>NACE G - 46.82 Wholesale of metals and metal ores</v>
      </c>
      <c r="K571" t="s">
        <v>5219</v>
      </c>
    </row>
    <row r="572" spans="1:11" x14ac:dyDescent="0.3">
      <c r="A572" s="328" t="s">
        <v>1694</v>
      </c>
      <c r="B572" t="s">
        <v>1695</v>
      </c>
      <c r="C572" s="328"/>
      <c r="D572" s="328" t="str">
        <f t="shared" si="12"/>
        <v>NACE G - 46.83 Wholesale of wood, construction materials and sanitary equipment</v>
      </c>
      <c r="K572" t="s">
        <v>5220</v>
      </c>
    </row>
    <row r="573" spans="1:11" x14ac:dyDescent="0.3">
      <c r="A573" s="328" t="s">
        <v>1696</v>
      </c>
      <c r="B573" t="s">
        <v>1697</v>
      </c>
      <c r="C573" s="328"/>
      <c r="D573" s="328" t="str">
        <f t="shared" si="12"/>
        <v>NACE G - 46.84 Wholesale of hardware, plumbing and heating equipment and supplies</v>
      </c>
      <c r="K573" t="s">
        <v>5221</v>
      </c>
    </row>
    <row r="574" spans="1:11" x14ac:dyDescent="0.3">
      <c r="A574" s="328" t="s">
        <v>1698</v>
      </c>
      <c r="B574" t="s">
        <v>1699</v>
      </c>
      <c r="C574" s="328"/>
      <c r="D574" s="328" t="str">
        <f t="shared" si="12"/>
        <v>NACE G - 46.85 Wholesale of chemical products</v>
      </c>
      <c r="K574" t="s">
        <v>5222</v>
      </c>
    </row>
    <row r="575" spans="1:11" x14ac:dyDescent="0.3">
      <c r="A575" s="328" t="s">
        <v>1700</v>
      </c>
      <c r="B575" t="s">
        <v>1701</v>
      </c>
      <c r="C575" s="328"/>
      <c r="D575" s="328" t="str">
        <f t="shared" si="12"/>
        <v>NACE G - 46.86 Wholesale of other intermediate products</v>
      </c>
      <c r="K575" t="s">
        <v>5223</v>
      </c>
    </row>
    <row r="576" spans="1:11" x14ac:dyDescent="0.3">
      <c r="A576" s="328" t="s">
        <v>1702</v>
      </c>
      <c r="B576" t="s">
        <v>1703</v>
      </c>
      <c r="C576" s="328"/>
      <c r="D576" s="328" t="str">
        <f t="shared" si="12"/>
        <v>NACE G - 46.87 Wholesale of waste and scrap</v>
      </c>
      <c r="K576" t="s">
        <v>5224</v>
      </c>
    </row>
    <row r="577" spans="1:11" x14ac:dyDescent="0.3">
      <c r="A577" s="328" t="s">
        <v>1704</v>
      </c>
      <c r="B577" t="s">
        <v>1705</v>
      </c>
      <c r="C577" s="328"/>
      <c r="D577" s="328" t="str">
        <f t="shared" si="12"/>
        <v>NACE G - 46.89 Other specialised wholesale n.e.c.</v>
      </c>
      <c r="K577" t="s">
        <v>5225</v>
      </c>
    </row>
    <row r="578" spans="1:11" x14ac:dyDescent="0.3">
      <c r="A578" s="327" t="s">
        <v>1706</v>
      </c>
      <c r="B578" t="s">
        <v>1707</v>
      </c>
      <c r="C578" s="328"/>
      <c r="D578" s="327" t="str">
        <f t="shared" ref="D578:D641" si="13">_xlfn.CONCAT("NACE ", A578)</f>
        <v>NACE G - 46.9 Non-specialised wholesale trade</v>
      </c>
      <c r="K578" t="s">
        <v>4651</v>
      </c>
    </row>
    <row r="579" spans="1:11" x14ac:dyDescent="0.3">
      <c r="A579" s="328" t="s">
        <v>1708</v>
      </c>
      <c r="B579" t="s">
        <v>1709</v>
      </c>
      <c r="C579" s="328"/>
      <c r="D579" s="328" t="str">
        <f t="shared" si="13"/>
        <v>NACE G - 46.90 Non-specialised wholesale trade</v>
      </c>
      <c r="K579" t="s">
        <v>5226</v>
      </c>
    </row>
    <row r="580" spans="1:11" x14ac:dyDescent="0.3">
      <c r="A580" s="324" t="s">
        <v>1710</v>
      </c>
      <c r="B580" t="s">
        <v>1711</v>
      </c>
      <c r="C580" s="328"/>
      <c r="D580" s="324" t="str">
        <f t="shared" si="13"/>
        <v>NACE G - 47 Retail trade</v>
      </c>
      <c r="K580" t="s">
        <v>5227</v>
      </c>
    </row>
    <row r="581" spans="1:11" x14ac:dyDescent="0.3">
      <c r="A581" s="327" t="s">
        <v>1712</v>
      </c>
      <c r="B581" t="s">
        <v>1713</v>
      </c>
      <c r="C581" s="328"/>
      <c r="D581" s="327" t="str">
        <f t="shared" si="13"/>
        <v>NACE G - 47.1 Non-specialised retail sale</v>
      </c>
      <c r="K581" t="s">
        <v>5228</v>
      </c>
    </row>
    <row r="582" spans="1:11" x14ac:dyDescent="0.3">
      <c r="A582" s="328" t="s">
        <v>1714</v>
      </c>
      <c r="B582" t="s">
        <v>1715</v>
      </c>
      <c r="C582" s="328"/>
      <c r="D582" s="328" t="str">
        <f t="shared" si="13"/>
        <v>NACE G - 47.11 Non-specialised retail sale of predominately food, beverages or tobacco</v>
      </c>
      <c r="K582" t="s">
        <v>5229</v>
      </c>
    </row>
    <row r="583" spans="1:11" x14ac:dyDescent="0.3">
      <c r="A583" s="328" t="s">
        <v>1716</v>
      </c>
      <c r="B583" t="s">
        <v>1717</v>
      </c>
      <c r="C583" s="328"/>
      <c r="D583" s="328" t="str">
        <f t="shared" si="13"/>
        <v>NACE G - 47.12 Other non-specialised retail sale</v>
      </c>
      <c r="K583" t="s">
        <v>5230</v>
      </c>
    </row>
    <row r="584" spans="1:11" x14ac:dyDescent="0.3">
      <c r="A584" s="327" t="s">
        <v>1718</v>
      </c>
      <c r="B584" t="s">
        <v>1719</v>
      </c>
      <c r="C584" s="328"/>
      <c r="D584" s="327" t="str">
        <f t="shared" si="13"/>
        <v>NACE G - 47.2 Retail sale of food, beverages and tobacco</v>
      </c>
      <c r="K584" t="s">
        <v>5231</v>
      </c>
    </row>
    <row r="585" spans="1:11" x14ac:dyDescent="0.3">
      <c r="A585" s="328" t="s">
        <v>1720</v>
      </c>
      <c r="B585" t="s">
        <v>1721</v>
      </c>
      <c r="C585" s="328"/>
      <c r="D585" s="328" t="str">
        <f t="shared" si="13"/>
        <v>NACE G - 47.21 Retail sale of fruit and vegetables</v>
      </c>
      <c r="K585" t="s">
        <v>5232</v>
      </c>
    </row>
    <row r="586" spans="1:11" x14ac:dyDescent="0.3">
      <c r="A586" s="328" t="s">
        <v>1722</v>
      </c>
      <c r="B586" t="s">
        <v>1723</v>
      </c>
      <c r="C586" s="328"/>
      <c r="D586" s="328" t="str">
        <f t="shared" si="13"/>
        <v>NACE G - 47.22 Retail sale of meat and meat products</v>
      </c>
      <c r="K586" t="s">
        <v>5233</v>
      </c>
    </row>
    <row r="587" spans="1:11" x14ac:dyDescent="0.3">
      <c r="A587" s="328" t="s">
        <v>1724</v>
      </c>
      <c r="B587" t="s">
        <v>1725</v>
      </c>
      <c r="C587" s="328"/>
      <c r="D587" s="328" t="str">
        <f t="shared" si="13"/>
        <v>NACE G - 47.23 Retail sale of fish, crustaceans and molluscs</v>
      </c>
      <c r="K587" t="s">
        <v>5234</v>
      </c>
    </row>
    <row r="588" spans="1:11" x14ac:dyDescent="0.3">
      <c r="A588" s="328" t="s">
        <v>1726</v>
      </c>
      <c r="B588" t="s">
        <v>1727</v>
      </c>
      <c r="C588" s="328"/>
      <c r="D588" s="328" t="str">
        <f t="shared" si="13"/>
        <v>NACE G - 47.24 Retail sale of bread, cake and confectionery</v>
      </c>
      <c r="K588" t="s">
        <v>5235</v>
      </c>
    </row>
    <row r="589" spans="1:11" x14ac:dyDescent="0.3">
      <c r="A589" s="328" t="s">
        <v>1728</v>
      </c>
      <c r="B589" t="s">
        <v>1729</v>
      </c>
      <c r="C589" s="328"/>
      <c r="D589" s="328" t="str">
        <f t="shared" si="13"/>
        <v>NACE G - 47.25 Retail sale of beverages</v>
      </c>
      <c r="K589" t="s">
        <v>5236</v>
      </c>
    </row>
    <row r="590" spans="1:11" x14ac:dyDescent="0.3">
      <c r="A590" s="328" t="s">
        <v>1730</v>
      </c>
      <c r="B590" t="s">
        <v>1731</v>
      </c>
      <c r="C590" s="328"/>
      <c r="D590" s="328" t="str">
        <f t="shared" si="13"/>
        <v>NACE G - 47.26 Retail sale of tobacco products</v>
      </c>
      <c r="K590" t="s">
        <v>5237</v>
      </c>
    </row>
    <row r="591" spans="1:11" x14ac:dyDescent="0.3">
      <c r="A591" s="328" t="s">
        <v>1732</v>
      </c>
      <c r="B591" t="s">
        <v>1733</v>
      </c>
      <c r="C591" s="328"/>
      <c r="D591" s="328" t="str">
        <f t="shared" si="13"/>
        <v>NACE G - 47.27 Retail sale of other food</v>
      </c>
      <c r="K591" t="s">
        <v>5238</v>
      </c>
    </row>
    <row r="592" spans="1:11" x14ac:dyDescent="0.3">
      <c r="A592" s="327" t="s">
        <v>1734</v>
      </c>
      <c r="B592" t="s">
        <v>1735</v>
      </c>
      <c r="C592" s="328"/>
      <c r="D592" s="327" t="str">
        <f t="shared" si="13"/>
        <v>NACE G - 47.3 Retail sale of automotive fuel</v>
      </c>
      <c r="K592" t="s">
        <v>5239</v>
      </c>
    </row>
    <row r="593" spans="1:11" x14ac:dyDescent="0.3">
      <c r="A593" s="328" t="s">
        <v>1736</v>
      </c>
      <c r="B593" t="s">
        <v>1737</v>
      </c>
      <c r="C593" s="328"/>
      <c r="D593" s="328" t="str">
        <f t="shared" si="13"/>
        <v>NACE G - 47.30 Retail sale of automotive fuel</v>
      </c>
      <c r="K593" t="s">
        <v>5240</v>
      </c>
    </row>
    <row r="594" spans="1:11" x14ac:dyDescent="0.3">
      <c r="A594" s="327" t="s">
        <v>1738</v>
      </c>
      <c r="B594" t="s">
        <v>1739</v>
      </c>
      <c r="C594" s="328"/>
      <c r="D594" s="327" t="str">
        <f t="shared" si="13"/>
        <v>NACE G - 47.4 Retail sale of information and communication equipment</v>
      </c>
      <c r="K594" t="s">
        <v>5241</v>
      </c>
    </row>
    <row r="595" spans="1:11" x14ac:dyDescent="0.3">
      <c r="A595" s="328" t="s">
        <v>1740</v>
      </c>
      <c r="B595" t="s">
        <v>1741</v>
      </c>
      <c r="C595" s="328"/>
      <c r="D595" s="328" t="str">
        <f t="shared" si="13"/>
        <v>NACE G - 47.40 Retail sale of information and communication equipment</v>
      </c>
      <c r="K595" t="s">
        <v>5242</v>
      </c>
    </row>
    <row r="596" spans="1:11" x14ac:dyDescent="0.3">
      <c r="A596" s="327" t="s">
        <v>1742</v>
      </c>
      <c r="B596" t="s">
        <v>1743</v>
      </c>
      <c r="C596" s="328"/>
      <c r="D596" s="327" t="str">
        <f t="shared" si="13"/>
        <v>NACE G - 47.5 Retail sale of other household equipment</v>
      </c>
      <c r="K596" t="s">
        <v>5243</v>
      </c>
    </row>
    <row r="597" spans="1:11" x14ac:dyDescent="0.3">
      <c r="A597" s="328" t="s">
        <v>1744</v>
      </c>
      <c r="B597" t="s">
        <v>1745</v>
      </c>
      <c r="C597" s="328"/>
      <c r="D597" s="328" t="str">
        <f t="shared" si="13"/>
        <v>NACE G - 47.51 Retail sale of textiles</v>
      </c>
      <c r="K597" t="s">
        <v>5244</v>
      </c>
    </row>
    <row r="598" spans="1:11" x14ac:dyDescent="0.3">
      <c r="A598" s="328" t="s">
        <v>1746</v>
      </c>
      <c r="B598" t="s">
        <v>1747</v>
      </c>
      <c r="C598" s="328"/>
      <c r="D598" s="328" t="str">
        <f t="shared" si="13"/>
        <v>NACE G - 47.52 Retail sale of hardware, building materials, paints and glass</v>
      </c>
      <c r="K598" t="s">
        <v>5245</v>
      </c>
    </row>
    <row r="599" spans="1:11" x14ac:dyDescent="0.3">
      <c r="A599" s="328" t="s">
        <v>1748</v>
      </c>
      <c r="B599" t="s">
        <v>1749</v>
      </c>
      <c r="C599" s="328"/>
      <c r="D599" s="328" t="str">
        <f t="shared" si="13"/>
        <v>NACE G - 47.53 Retail sale of carpets, rugs, wall and floor coverings</v>
      </c>
      <c r="K599" t="s">
        <v>5246</v>
      </c>
    </row>
    <row r="600" spans="1:11" x14ac:dyDescent="0.3">
      <c r="A600" s="328" t="s">
        <v>1750</v>
      </c>
      <c r="B600" t="s">
        <v>1751</v>
      </c>
      <c r="C600" s="328"/>
      <c r="D600" s="328" t="str">
        <f t="shared" si="13"/>
        <v>NACE G - 47.54 Retail sale of electrical household appliances</v>
      </c>
      <c r="K600" t="s">
        <v>5247</v>
      </c>
    </row>
    <row r="601" spans="1:11" x14ac:dyDescent="0.3">
      <c r="A601" s="328" t="s">
        <v>1752</v>
      </c>
      <c r="B601" t="s">
        <v>1753</v>
      </c>
      <c r="C601" s="328"/>
      <c r="D601" s="328" t="str">
        <f t="shared" si="13"/>
        <v>NACE G - 47.55 Retail sale of furniture, lighting equipment, tableware and other household goods</v>
      </c>
      <c r="K601" t="s">
        <v>5248</v>
      </c>
    </row>
    <row r="602" spans="1:11" x14ac:dyDescent="0.3">
      <c r="A602" s="327" t="s">
        <v>1754</v>
      </c>
      <c r="B602" t="s">
        <v>1755</v>
      </c>
      <c r="C602" s="328"/>
      <c r="D602" s="327" t="str">
        <f t="shared" si="13"/>
        <v>NACE G - 47.6 Retail sale of cultural and recreation goods</v>
      </c>
      <c r="K602" t="s">
        <v>5249</v>
      </c>
    </row>
    <row r="603" spans="1:11" x14ac:dyDescent="0.3">
      <c r="A603" s="328" t="s">
        <v>1756</v>
      </c>
      <c r="B603" t="s">
        <v>1757</v>
      </c>
      <c r="C603" s="328"/>
      <c r="D603" s="328" t="str">
        <f t="shared" si="13"/>
        <v>NACE G - 47.61 Retail sale of books</v>
      </c>
      <c r="K603" t="s">
        <v>5250</v>
      </c>
    </row>
    <row r="604" spans="1:11" x14ac:dyDescent="0.3">
      <c r="A604" s="328" t="s">
        <v>1758</v>
      </c>
      <c r="B604" t="s">
        <v>1759</v>
      </c>
      <c r="C604" s="328"/>
      <c r="D604" s="328" t="str">
        <f t="shared" si="13"/>
        <v>NACE G - 47.62 Retail sale of newspapers, and other periodical publications and stationery</v>
      </c>
      <c r="K604" t="s">
        <v>4652</v>
      </c>
    </row>
    <row r="605" spans="1:11" x14ac:dyDescent="0.3">
      <c r="A605" s="328" t="s">
        <v>1760</v>
      </c>
      <c r="B605" t="s">
        <v>1761</v>
      </c>
      <c r="C605" s="328"/>
      <c r="D605" s="328" t="str">
        <f t="shared" si="13"/>
        <v>NACE G - 47.63 Retail sale of sporting equipment</v>
      </c>
      <c r="K605" t="s">
        <v>5251</v>
      </c>
    </row>
    <row r="606" spans="1:11" x14ac:dyDescent="0.3">
      <c r="A606" s="328" t="s">
        <v>1762</v>
      </c>
      <c r="B606" t="s">
        <v>1763</v>
      </c>
      <c r="C606" s="328"/>
      <c r="D606" s="328" t="str">
        <f t="shared" si="13"/>
        <v>NACE G - 47.64 Retail sale of games and toys</v>
      </c>
      <c r="K606" t="s">
        <v>5252</v>
      </c>
    </row>
    <row r="607" spans="1:11" x14ac:dyDescent="0.3">
      <c r="A607" s="328" t="s">
        <v>1764</v>
      </c>
      <c r="B607" t="s">
        <v>1765</v>
      </c>
      <c r="C607" s="328"/>
      <c r="D607" s="328" t="str">
        <f t="shared" si="13"/>
        <v>NACE G - 47.69 Retail sale of cultural and recreational goods n.e.c.</v>
      </c>
      <c r="K607" t="s">
        <v>5253</v>
      </c>
    </row>
    <row r="608" spans="1:11" x14ac:dyDescent="0.3">
      <c r="A608" s="327" t="s">
        <v>1766</v>
      </c>
      <c r="B608" t="s">
        <v>1767</v>
      </c>
      <c r="C608" s="328"/>
      <c r="D608" s="327" t="str">
        <f t="shared" si="13"/>
        <v>NACE G - 47.7 Retail sale of other goods, except motor vehicles and motorcycles</v>
      </c>
      <c r="K608" t="s">
        <v>5254</v>
      </c>
    </row>
    <row r="609" spans="1:11" x14ac:dyDescent="0.3">
      <c r="A609" s="328" t="s">
        <v>1768</v>
      </c>
      <c r="B609" t="s">
        <v>1769</v>
      </c>
      <c r="C609" s="328"/>
      <c r="D609" s="328" t="str">
        <f t="shared" si="13"/>
        <v>NACE G - 47.71 Retail sale of clothing</v>
      </c>
      <c r="K609" t="s">
        <v>5255</v>
      </c>
    </row>
    <row r="610" spans="1:11" x14ac:dyDescent="0.3">
      <c r="A610" s="328" t="s">
        <v>1770</v>
      </c>
      <c r="B610" t="s">
        <v>1771</v>
      </c>
      <c r="C610" s="328"/>
      <c r="D610" s="328" t="str">
        <f t="shared" si="13"/>
        <v>NACE G - 47.72 Retail sale of footwear and leather goods</v>
      </c>
      <c r="K610" t="s">
        <v>5256</v>
      </c>
    </row>
    <row r="611" spans="1:11" x14ac:dyDescent="0.3">
      <c r="A611" s="328" t="s">
        <v>1772</v>
      </c>
      <c r="B611" t="s">
        <v>1773</v>
      </c>
      <c r="C611" s="328"/>
      <c r="D611" s="328" t="str">
        <f t="shared" si="13"/>
        <v>NACE G - 47.73 Retail sale of pharmaceutical products</v>
      </c>
      <c r="K611" t="s">
        <v>5257</v>
      </c>
    </row>
    <row r="612" spans="1:11" x14ac:dyDescent="0.3">
      <c r="A612" s="328" t="s">
        <v>1774</v>
      </c>
      <c r="B612" t="s">
        <v>1775</v>
      </c>
      <c r="C612" s="328"/>
      <c r="D612" s="328" t="str">
        <f t="shared" si="13"/>
        <v>NACE G - 47.74 Retail sale of medical and orthopaedic goods</v>
      </c>
      <c r="K612" t="s">
        <v>5258</v>
      </c>
    </row>
    <row r="613" spans="1:11" x14ac:dyDescent="0.3">
      <c r="A613" s="328" t="s">
        <v>1776</v>
      </c>
      <c r="B613" t="s">
        <v>1777</v>
      </c>
      <c r="C613" s="328"/>
      <c r="D613" s="328" t="str">
        <f t="shared" si="13"/>
        <v>NACE G - 47.75 Retail sale of cosmetic and toilet articles</v>
      </c>
      <c r="K613" t="s">
        <v>5259</v>
      </c>
    </row>
    <row r="614" spans="1:11" x14ac:dyDescent="0.3">
      <c r="A614" s="328" t="s">
        <v>1778</v>
      </c>
      <c r="B614" t="s">
        <v>1779</v>
      </c>
      <c r="C614" s="328"/>
      <c r="D614" s="328" t="str">
        <f t="shared" si="13"/>
        <v>NACE G - 47.76 Retail sale of flowers, plants, fertilisers, pets and pet food</v>
      </c>
      <c r="K614" t="s">
        <v>5260</v>
      </c>
    </row>
    <row r="615" spans="1:11" x14ac:dyDescent="0.3">
      <c r="A615" s="328" t="s">
        <v>1780</v>
      </c>
      <c r="B615" t="s">
        <v>1781</v>
      </c>
      <c r="C615" s="328"/>
      <c r="D615" s="328" t="str">
        <f t="shared" si="13"/>
        <v>NACE G - 47.77 Retail sale of watches and jewellery</v>
      </c>
      <c r="K615" t="s">
        <v>5261</v>
      </c>
    </row>
    <row r="616" spans="1:11" x14ac:dyDescent="0.3">
      <c r="A616" s="328" t="s">
        <v>1782</v>
      </c>
      <c r="B616" t="s">
        <v>1783</v>
      </c>
      <c r="C616" s="328"/>
      <c r="D616" s="328" t="str">
        <f t="shared" si="13"/>
        <v>NACE G - 47.78 Retail sale of other new goods</v>
      </c>
      <c r="K616" t="s">
        <v>5262</v>
      </c>
    </row>
    <row r="617" spans="1:11" x14ac:dyDescent="0.3">
      <c r="A617" s="328" t="s">
        <v>1784</v>
      </c>
      <c r="B617" t="s">
        <v>1785</v>
      </c>
      <c r="C617" s="328"/>
      <c r="D617" s="328" t="str">
        <f t="shared" si="13"/>
        <v>NACE G - 47.79 Retail sale of second-hand goods</v>
      </c>
      <c r="K617" t="s">
        <v>5263</v>
      </c>
    </row>
    <row r="618" spans="1:11" x14ac:dyDescent="0.3">
      <c r="A618" s="327" t="s">
        <v>1786</v>
      </c>
      <c r="B618" t="s">
        <v>1787</v>
      </c>
      <c r="C618" s="328"/>
      <c r="D618" s="327" t="str">
        <f t="shared" si="13"/>
        <v>NACE G - 47.8 Retail sale of motor vehicles, motorcycles and related parts and accessories</v>
      </c>
      <c r="K618" t="s">
        <v>5264</v>
      </c>
    </row>
    <row r="619" spans="1:11" x14ac:dyDescent="0.3">
      <c r="A619" s="328" t="s">
        <v>1788</v>
      </c>
      <c r="B619" t="s">
        <v>1789</v>
      </c>
      <c r="C619" s="328"/>
      <c r="D619" s="328" t="str">
        <f t="shared" si="13"/>
        <v>NACE G - 47.81 Retail sale of motor vehicles</v>
      </c>
      <c r="K619" t="s">
        <v>5265</v>
      </c>
    </row>
    <row r="620" spans="1:11" x14ac:dyDescent="0.3">
      <c r="A620" s="328" t="s">
        <v>1790</v>
      </c>
      <c r="B620" t="s">
        <v>1791</v>
      </c>
      <c r="C620" s="328"/>
      <c r="D620" s="328" t="str">
        <f t="shared" si="13"/>
        <v>NACE G - 47.82 Retail sale of motor vehicle parts and accessories</v>
      </c>
      <c r="K620" t="s">
        <v>5266</v>
      </c>
    </row>
    <row r="621" spans="1:11" x14ac:dyDescent="0.3">
      <c r="A621" s="328" t="s">
        <v>1792</v>
      </c>
      <c r="B621" t="s">
        <v>1793</v>
      </c>
      <c r="C621" s="328"/>
      <c r="D621" s="328" t="str">
        <f t="shared" si="13"/>
        <v>NACE G - 47.83 Retail sale of motorcycles, motorcycle parts and accessories</v>
      </c>
      <c r="K621" t="s">
        <v>5267</v>
      </c>
    </row>
    <row r="622" spans="1:11" x14ac:dyDescent="0.3">
      <c r="A622" s="327" t="s">
        <v>1794</v>
      </c>
      <c r="B622" t="s">
        <v>1795</v>
      </c>
      <c r="C622" s="328"/>
      <c r="D622" s="327" t="str">
        <f t="shared" si="13"/>
        <v>NACE G - 47.9 Intermediation service activities for retail sale</v>
      </c>
      <c r="K622" t="s">
        <v>5268</v>
      </c>
    </row>
    <row r="623" spans="1:11" x14ac:dyDescent="0.3">
      <c r="A623" s="328" t="s">
        <v>1796</v>
      </c>
      <c r="B623" t="s">
        <v>1797</v>
      </c>
      <c r="C623" s="328"/>
      <c r="D623" s="328" t="str">
        <f t="shared" si="13"/>
        <v>NACE G - 47.91 Intermediation service activities for non-specialised retail sale</v>
      </c>
      <c r="K623" t="s">
        <v>5269</v>
      </c>
    </row>
    <row r="624" spans="1:11" x14ac:dyDescent="0.3">
      <c r="A624" s="328" t="s">
        <v>1798</v>
      </c>
      <c r="B624" t="s">
        <v>1799</v>
      </c>
      <c r="C624" s="328"/>
      <c r="D624" s="328" t="str">
        <f t="shared" si="13"/>
        <v>NACE G - 47.92 Intermediation service activities for specialised retail sale</v>
      </c>
      <c r="K624" t="s">
        <v>5270</v>
      </c>
    </row>
    <row r="625" spans="1:11" x14ac:dyDescent="0.3">
      <c r="A625" s="325" t="s">
        <v>1800</v>
      </c>
      <c r="B625" t="s">
        <v>1801</v>
      </c>
      <c r="C625" s="328"/>
      <c r="D625" s="325" t="str">
        <f t="shared" si="13"/>
        <v>NACE H - TRANSPORTATION AND STORAGE</v>
      </c>
      <c r="K625" t="s">
        <v>5271</v>
      </c>
    </row>
    <row r="626" spans="1:11" x14ac:dyDescent="0.3">
      <c r="A626" s="324" t="s">
        <v>1802</v>
      </c>
      <c r="B626" t="s">
        <v>1803</v>
      </c>
      <c r="C626" s="328"/>
      <c r="D626" s="324" t="str">
        <f t="shared" si="13"/>
        <v>NACE H - 49 Land transport and transport via pipelines</v>
      </c>
      <c r="K626" t="s">
        <v>5272</v>
      </c>
    </row>
    <row r="627" spans="1:11" x14ac:dyDescent="0.3">
      <c r="A627" s="327" t="s">
        <v>1804</v>
      </c>
      <c r="B627" t="s">
        <v>1805</v>
      </c>
      <c r="C627" s="328"/>
      <c r="D627" s="327" t="str">
        <f t="shared" si="13"/>
        <v>NACE H - 49.1 Passenger rail transport</v>
      </c>
      <c r="K627" t="s">
        <v>5273</v>
      </c>
    </row>
    <row r="628" spans="1:11" x14ac:dyDescent="0.3">
      <c r="A628" s="328" t="s">
        <v>1806</v>
      </c>
      <c r="B628" t="s">
        <v>1807</v>
      </c>
      <c r="C628" s="328"/>
      <c r="D628" s="328" t="str">
        <f t="shared" si="13"/>
        <v>NACE H - 49.11 Passenger heavy rail transport</v>
      </c>
      <c r="K628" t="s">
        <v>5274</v>
      </c>
    </row>
    <row r="629" spans="1:11" x14ac:dyDescent="0.3">
      <c r="A629" s="328" t="s">
        <v>1808</v>
      </c>
      <c r="B629" t="s">
        <v>1809</v>
      </c>
      <c r="C629" s="328"/>
      <c r="D629" s="328" t="str">
        <f t="shared" si="13"/>
        <v>NACE H - 49.12 Other passenger rail transport</v>
      </c>
      <c r="K629" t="s">
        <v>5275</v>
      </c>
    </row>
    <row r="630" spans="1:11" x14ac:dyDescent="0.3">
      <c r="A630" s="327" t="s">
        <v>1810</v>
      </c>
      <c r="B630" t="s">
        <v>1811</v>
      </c>
      <c r="C630" s="328"/>
      <c r="D630" s="327" t="str">
        <f t="shared" si="13"/>
        <v>NACE H - 49.2 Freight rail transport</v>
      </c>
      <c r="K630" t="s">
        <v>5276</v>
      </c>
    </row>
    <row r="631" spans="1:11" x14ac:dyDescent="0.3">
      <c r="A631" s="328" t="s">
        <v>1812</v>
      </c>
      <c r="B631" t="s">
        <v>1813</v>
      </c>
      <c r="C631" s="328"/>
      <c r="D631" s="328" t="str">
        <f t="shared" si="13"/>
        <v>NACE H - 49.20 Freight rail transport</v>
      </c>
      <c r="K631" t="s">
        <v>5277</v>
      </c>
    </row>
    <row r="632" spans="1:11" x14ac:dyDescent="0.3">
      <c r="A632" s="327" t="s">
        <v>1814</v>
      </c>
      <c r="B632" t="s">
        <v>1815</v>
      </c>
      <c r="C632" s="328"/>
      <c r="D632" s="327" t="str">
        <f t="shared" si="13"/>
        <v>NACE H - 49.3 Other passenger land transport</v>
      </c>
      <c r="K632" t="s">
        <v>5278</v>
      </c>
    </row>
    <row r="633" spans="1:11" x14ac:dyDescent="0.3">
      <c r="A633" s="328" t="s">
        <v>1816</v>
      </c>
      <c r="B633" t="s">
        <v>1817</v>
      </c>
      <c r="C633" s="328"/>
      <c r="D633" s="328" t="str">
        <f t="shared" si="13"/>
        <v>NACE H - 49.31 Scheduled passenger transport by road</v>
      </c>
      <c r="K633" t="s">
        <v>5279</v>
      </c>
    </row>
    <row r="634" spans="1:11" x14ac:dyDescent="0.3">
      <c r="A634" s="328" t="s">
        <v>1818</v>
      </c>
      <c r="B634" t="s">
        <v>1819</v>
      </c>
      <c r="C634" s="328"/>
      <c r="D634" s="328" t="str">
        <f t="shared" si="13"/>
        <v>NACE H - 49.32 Non-scheduled passenger transport by road</v>
      </c>
      <c r="K634" t="s">
        <v>5280</v>
      </c>
    </row>
    <row r="635" spans="1:11" x14ac:dyDescent="0.3">
      <c r="A635" s="328" t="s">
        <v>1820</v>
      </c>
      <c r="B635" t="s">
        <v>1821</v>
      </c>
      <c r="C635" s="328"/>
      <c r="D635" s="328" t="str">
        <f t="shared" si="13"/>
        <v>NACE H - 49.33 On-demand passenger transport service activities by vehicle with driver</v>
      </c>
      <c r="K635" t="s">
        <v>5281</v>
      </c>
    </row>
    <row r="636" spans="1:11" x14ac:dyDescent="0.3">
      <c r="A636" s="328" t="s">
        <v>1822</v>
      </c>
      <c r="B636" t="s">
        <v>1823</v>
      </c>
      <c r="C636" s="328"/>
      <c r="D636" s="328" t="str">
        <f t="shared" si="13"/>
        <v>NACE H - 49.34 Passenger transport by cableways and ski lifts</v>
      </c>
      <c r="K636" t="s">
        <v>5282</v>
      </c>
    </row>
    <row r="637" spans="1:11" x14ac:dyDescent="0.3">
      <c r="A637" s="328" t="s">
        <v>1824</v>
      </c>
      <c r="B637" t="s">
        <v>1825</v>
      </c>
      <c r="C637" s="328"/>
      <c r="D637" s="328" t="str">
        <f t="shared" si="13"/>
        <v>NACE H - 49.39 Other passenger land transport n.e.c.</v>
      </c>
      <c r="K637" t="s">
        <v>5283</v>
      </c>
    </row>
    <row r="638" spans="1:11" x14ac:dyDescent="0.3">
      <c r="A638" s="327" t="s">
        <v>1826</v>
      </c>
      <c r="B638" t="s">
        <v>1827</v>
      </c>
      <c r="C638" s="328"/>
      <c r="D638" s="327" t="str">
        <f t="shared" si="13"/>
        <v>NACE H - 49.4 Freight transport by road and removal services</v>
      </c>
      <c r="K638" t="s">
        <v>5284</v>
      </c>
    </row>
    <row r="639" spans="1:11" x14ac:dyDescent="0.3">
      <c r="A639" s="328" t="s">
        <v>1828</v>
      </c>
      <c r="B639" t="s">
        <v>1829</v>
      </c>
      <c r="C639" s="328"/>
      <c r="D639" s="328" t="str">
        <f t="shared" si="13"/>
        <v>NACE H - 49.41 Freight transport by road</v>
      </c>
      <c r="K639" t="s">
        <v>5285</v>
      </c>
    </row>
    <row r="640" spans="1:11" x14ac:dyDescent="0.3">
      <c r="A640" s="328" t="s">
        <v>1830</v>
      </c>
      <c r="B640" t="s">
        <v>1831</v>
      </c>
      <c r="C640" s="328"/>
      <c r="D640" s="328" t="str">
        <f t="shared" si="13"/>
        <v>NACE H - 49.42 Removal services</v>
      </c>
      <c r="K640" t="s">
        <v>5286</v>
      </c>
    </row>
    <row r="641" spans="1:11" x14ac:dyDescent="0.3">
      <c r="A641" s="327" t="s">
        <v>1832</v>
      </c>
      <c r="B641" t="s">
        <v>1833</v>
      </c>
      <c r="C641" s="328"/>
      <c r="D641" s="327" t="str">
        <f t="shared" si="13"/>
        <v>NACE H - 49.5 Transport via pipeline</v>
      </c>
      <c r="K641" t="s">
        <v>5287</v>
      </c>
    </row>
    <row r="642" spans="1:11" x14ac:dyDescent="0.3">
      <c r="A642" s="328" t="s">
        <v>1834</v>
      </c>
      <c r="B642" t="s">
        <v>1835</v>
      </c>
      <c r="C642" s="328"/>
      <c r="D642" s="328" t="str">
        <f t="shared" ref="D642:D705" si="14">_xlfn.CONCAT("NACE ", A642)</f>
        <v>NACE H - 49.50 Transport via pipeline</v>
      </c>
      <c r="K642" t="s">
        <v>5288</v>
      </c>
    </row>
    <row r="643" spans="1:11" x14ac:dyDescent="0.3">
      <c r="A643" s="324" t="s">
        <v>1836</v>
      </c>
      <c r="B643" t="s">
        <v>1837</v>
      </c>
      <c r="C643" s="328"/>
      <c r="D643" s="324" t="str">
        <f t="shared" si="14"/>
        <v>NACE H - 50 Water transport</v>
      </c>
      <c r="K643" t="s">
        <v>5289</v>
      </c>
    </row>
    <row r="644" spans="1:11" x14ac:dyDescent="0.3">
      <c r="A644" s="327" t="s">
        <v>1838</v>
      </c>
      <c r="B644" t="s">
        <v>1839</v>
      </c>
      <c r="C644" s="328"/>
      <c r="D644" s="327" t="str">
        <f t="shared" si="14"/>
        <v>NACE H - 50.1 Sea and coastal passenger water transport</v>
      </c>
      <c r="K644" t="s">
        <v>5290</v>
      </c>
    </row>
    <row r="645" spans="1:11" x14ac:dyDescent="0.3">
      <c r="A645" s="328" t="s">
        <v>1840</v>
      </c>
      <c r="B645" t="s">
        <v>1841</v>
      </c>
      <c r="C645" s="328"/>
      <c r="D645" s="328" t="str">
        <f t="shared" si="14"/>
        <v>NACE H - 50.10 Sea and coastal passenger water transport</v>
      </c>
      <c r="K645" t="s">
        <v>5291</v>
      </c>
    </row>
    <row r="646" spans="1:11" x14ac:dyDescent="0.3">
      <c r="A646" s="327" t="s">
        <v>1842</v>
      </c>
      <c r="B646" t="s">
        <v>1843</v>
      </c>
      <c r="C646" s="328"/>
      <c r="D646" s="327" t="str">
        <f t="shared" si="14"/>
        <v>NACE H - 50.2 Sea and coastal freight water transport</v>
      </c>
      <c r="K646" t="s">
        <v>4653</v>
      </c>
    </row>
    <row r="647" spans="1:11" x14ac:dyDescent="0.3">
      <c r="A647" s="328" t="s">
        <v>1844</v>
      </c>
      <c r="B647" t="s">
        <v>1845</v>
      </c>
      <c r="C647" s="328"/>
      <c r="D647" s="328" t="str">
        <f t="shared" si="14"/>
        <v>NACE H - 50.20 Sea and coastal freight water transport</v>
      </c>
      <c r="K647" t="s">
        <v>5292</v>
      </c>
    </row>
    <row r="648" spans="1:11" x14ac:dyDescent="0.3">
      <c r="A648" s="327" t="s">
        <v>1846</v>
      </c>
      <c r="B648" t="s">
        <v>1847</v>
      </c>
      <c r="C648" s="328"/>
      <c r="D648" s="327" t="str">
        <f t="shared" si="14"/>
        <v>NACE H - 50.3 Inland passenger water transport</v>
      </c>
      <c r="K648" t="s">
        <v>5293</v>
      </c>
    </row>
    <row r="649" spans="1:11" x14ac:dyDescent="0.3">
      <c r="A649" s="328" t="s">
        <v>1848</v>
      </c>
      <c r="B649" t="s">
        <v>1849</v>
      </c>
      <c r="C649" s="328"/>
      <c r="D649" s="328" t="str">
        <f t="shared" si="14"/>
        <v>NACE H - 50.30 Inland passenger water transport</v>
      </c>
      <c r="K649" t="s">
        <v>5294</v>
      </c>
    </row>
    <row r="650" spans="1:11" x14ac:dyDescent="0.3">
      <c r="A650" s="327" t="s">
        <v>1850</v>
      </c>
      <c r="B650" t="s">
        <v>1851</v>
      </c>
      <c r="C650" s="328"/>
      <c r="D650" s="327" t="str">
        <f t="shared" si="14"/>
        <v>NACE H - 50.4 Inland freight water transport</v>
      </c>
      <c r="K650" t="s">
        <v>5295</v>
      </c>
    </row>
    <row r="651" spans="1:11" x14ac:dyDescent="0.3">
      <c r="A651" s="328" t="s">
        <v>1852</v>
      </c>
      <c r="B651" t="s">
        <v>1853</v>
      </c>
      <c r="C651" s="328"/>
      <c r="D651" s="328" t="str">
        <f t="shared" si="14"/>
        <v>NACE H - 50.40 Inland freight water transport</v>
      </c>
      <c r="K651" t="s">
        <v>5296</v>
      </c>
    </row>
    <row r="652" spans="1:11" x14ac:dyDescent="0.3">
      <c r="A652" s="324" t="s">
        <v>1854</v>
      </c>
      <c r="B652" t="s">
        <v>1855</v>
      </c>
      <c r="C652" s="328"/>
      <c r="D652" s="324" t="str">
        <f t="shared" si="14"/>
        <v>NACE H - 51 Air transport</v>
      </c>
      <c r="K652" t="s">
        <v>5297</v>
      </c>
    </row>
    <row r="653" spans="1:11" x14ac:dyDescent="0.3">
      <c r="A653" s="327" t="s">
        <v>1856</v>
      </c>
      <c r="B653" t="s">
        <v>1857</v>
      </c>
      <c r="C653" s="328"/>
      <c r="D653" s="327" t="str">
        <f t="shared" si="14"/>
        <v>NACE H - 51.1 Passenger air transport</v>
      </c>
      <c r="K653" t="s">
        <v>4654</v>
      </c>
    </row>
    <row r="654" spans="1:11" x14ac:dyDescent="0.3">
      <c r="A654" s="328" t="s">
        <v>1858</v>
      </c>
      <c r="B654" t="s">
        <v>1859</v>
      </c>
      <c r="C654" s="328"/>
      <c r="D654" s="328" t="str">
        <f t="shared" si="14"/>
        <v>NACE H - 51.10 Passenger air transport</v>
      </c>
      <c r="K654" t="s">
        <v>5298</v>
      </c>
    </row>
    <row r="655" spans="1:11" x14ac:dyDescent="0.3">
      <c r="A655" s="327" t="s">
        <v>1860</v>
      </c>
      <c r="B655" t="s">
        <v>1861</v>
      </c>
      <c r="C655" s="328"/>
      <c r="D655" s="327" t="str">
        <f t="shared" si="14"/>
        <v>NACE H - 51.2 Freight air transport and space transport</v>
      </c>
      <c r="K655" t="s">
        <v>5299</v>
      </c>
    </row>
    <row r="656" spans="1:11" x14ac:dyDescent="0.3">
      <c r="A656" s="328" t="s">
        <v>1862</v>
      </c>
      <c r="B656" t="s">
        <v>1863</v>
      </c>
      <c r="C656" s="328"/>
      <c r="D656" s="328" t="str">
        <f t="shared" si="14"/>
        <v>NACE H - 51.21 Freight air transport</v>
      </c>
      <c r="K656" t="s">
        <v>5300</v>
      </c>
    </row>
    <row r="657" spans="1:11" x14ac:dyDescent="0.3">
      <c r="A657" s="328" t="s">
        <v>1864</v>
      </c>
      <c r="B657" t="s">
        <v>1865</v>
      </c>
      <c r="C657" s="328"/>
      <c r="D657" s="328" t="str">
        <f t="shared" si="14"/>
        <v>NACE H - 51.22 Space transport</v>
      </c>
      <c r="K657" t="s">
        <v>5301</v>
      </c>
    </row>
    <row r="658" spans="1:11" x14ac:dyDescent="0.3">
      <c r="A658" s="324" t="s">
        <v>1866</v>
      </c>
      <c r="B658" t="s">
        <v>1867</v>
      </c>
      <c r="C658" s="328"/>
      <c r="D658" s="324" t="str">
        <f t="shared" si="14"/>
        <v>NACE H - 52 Warehousing, storage and support activities for transportation</v>
      </c>
      <c r="K658" t="s">
        <v>5302</v>
      </c>
    </row>
    <row r="659" spans="1:11" x14ac:dyDescent="0.3">
      <c r="A659" s="327" t="s">
        <v>1868</v>
      </c>
      <c r="B659" t="s">
        <v>1869</v>
      </c>
      <c r="C659" s="328"/>
      <c r="D659" s="327" t="str">
        <f t="shared" si="14"/>
        <v>NACE H - 52.1 Warehousing and storage</v>
      </c>
      <c r="K659" t="s">
        <v>5303</v>
      </c>
    </row>
    <row r="660" spans="1:11" x14ac:dyDescent="0.3">
      <c r="A660" s="328" t="s">
        <v>1870</v>
      </c>
      <c r="B660" t="s">
        <v>1871</v>
      </c>
      <c r="C660" s="328"/>
      <c r="D660" s="328" t="str">
        <f t="shared" si="14"/>
        <v>NACE H - 52.10 Warehousing and storage</v>
      </c>
      <c r="K660" t="s">
        <v>5304</v>
      </c>
    </row>
    <row r="661" spans="1:11" x14ac:dyDescent="0.3">
      <c r="A661" s="327" t="s">
        <v>1872</v>
      </c>
      <c r="B661" t="s">
        <v>1873</v>
      </c>
      <c r="C661" s="328"/>
      <c r="D661" s="327" t="str">
        <f t="shared" si="14"/>
        <v>NACE H - 52.2 Support activities for transportation</v>
      </c>
      <c r="K661" t="s">
        <v>5305</v>
      </c>
    </row>
    <row r="662" spans="1:11" x14ac:dyDescent="0.3">
      <c r="A662" s="328" t="s">
        <v>1874</v>
      </c>
      <c r="B662" t="s">
        <v>1875</v>
      </c>
      <c r="C662" s="328"/>
      <c r="D662" s="328" t="str">
        <f t="shared" si="14"/>
        <v>NACE H - 52.21 Service activities incidental to land transportation</v>
      </c>
      <c r="K662" t="s">
        <v>5306</v>
      </c>
    </row>
    <row r="663" spans="1:11" x14ac:dyDescent="0.3">
      <c r="A663" s="328" t="s">
        <v>1876</v>
      </c>
      <c r="B663" t="s">
        <v>1877</v>
      </c>
      <c r="C663" s="328"/>
      <c r="D663" s="328" t="str">
        <f t="shared" si="14"/>
        <v>NACE H - 52.22 Service activities incidental to water transportation</v>
      </c>
      <c r="K663" t="s">
        <v>5307</v>
      </c>
    </row>
    <row r="664" spans="1:11" x14ac:dyDescent="0.3">
      <c r="A664" s="328" t="s">
        <v>1878</v>
      </c>
      <c r="B664" t="s">
        <v>1879</v>
      </c>
      <c r="C664" s="328"/>
      <c r="D664" s="328" t="str">
        <f t="shared" si="14"/>
        <v>NACE H - 52.23 Service activities incidental to air transportation</v>
      </c>
      <c r="K664" t="s">
        <v>5308</v>
      </c>
    </row>
    <row r="665" spans="1:11" x14ac:dyDescent="0.3">
      <c r="A665" s="328" t="s">
        <v>1880</v>
      </c>
      <c r="B665" t="s">
        <v>1881</v>
      </c>
      <c r="C665" s="328"/>
      <c r="D665" s="328" t="str">
        <f t="shared" si="14"/>
        <v>NACE H - 52.24 Cargo handling</v>
      </c>
      <c r="K665" t="s">
        <v>5309</v>
      </c>
    </row>
    <row r="666" spans="1:11" x14ac:dyDescent="0.3">
      <c r="A666" s="328" t="s">
        <v>1882</v>
      </c>
      <c r="B666" t="s">
        <v>1883</v>
      </c>
      <c r="C666" s="328"/>
      <c r="D666" s="328" t="str">
        <f t="shared" si="14"/>
        <v>NACE H - 52.25 Logistics service activities</v>
      </c>
      <c r="K666" t="s">
        <v>5310</v>
      </c>
    </row>
    <row r="667" spans="1:11" x14ac:dyDescent="0.3">
      <c r="A667" s="328" t="s">
        <v>1884</v>
      </c>
      <c r="B667" t="s">
        <v>1885</v>
      </c>
      <c r="C667" s="328"/>
      <c r="D667" s="328" t="str">
        <f t="shared" si="14"/>
        <v>NACE H - 52.26 Other support activities for transportation</v>
      </c>
      <c r="K667" t="s">
        <v>5311</v>
      </c>
    </row>
    <row r="668" spans="1:11" x14ac:dyDescent="0.3">
      <c r="A668" s="327" t="s">
        <v>1886</v>
      </c>
      <c r="B668" t="s">
        <v>1887</v>
      </c>
      <c r="C668" s="328"/>
      <c r="D668" s="327" t="str">
        <f t="shared" si="14"/>
        <v>NACE H - 52.3 Intermediation service activities for transportation</v>
      </c>
      <c r="K668" t="s">
        <v>4655</v>
      </c>
    </row>
    <row r="669" spans="1:11" x14ac:dyDescent="0.3">
      <c r="A669" s="328" t="s">
        <v>1888</v>
      </c>
      <c r="B669" t="s">
        <v>1889</v>
      </c>
      <c r="C669" s="328"/>
      <c r="D669" s="328" t="str">
        <f t="shared" si="14"/>
        <v>NACE H - 52.31 Intermediation service activities for freight transportation</v>
      </c>
      <c r="K669" t="s">
        <v>5312</v>
      </c>
    </row>
    <row r="670" spans="1:11" x14ac:dyDescent="0.3">
      <c r="A670" s="328" t="s">
        <v>1890</v>
      </c>
      <c r="B670" t="s">
        <v>1891</v>
      </c>
      <c r="C670" s="328"/>
      <c r="D670" s="328" t="str">
        <f t="shared" si="14"/>
        <v>NACE H - 52.32 Intermediation service activities for passenger transportation</v>
      </c>
      <c r="K670" t="s">
        <v>5313</v>
      </c>
    </row>
    <row r="671" spans="1:11" x14ac:dyDescent="0.3">
      <c r="A671" s="324" t="s">
        <v>1892</v>
      </c>
      <c r="B671" t="s">
        <v>1893</v>
      </c>
      <c r="C671" s="328"/>
      <c r="D671" s="324" t="str">
        <f t="shared" si="14"/>
        <v>NACE H - 53 Postal and courier activities</v>
      </c>
      <c r="K671" t="s">
        <v>5314</v>
      </c>
    </row>
    <row r="672" spans="1:11" x14ac:dyDescent="0.3">
      <c r="A672" s="327" t="s">
        <v>1894</v>
      </c>
      <c r="B672" t="s">
        <v>1895</v>
      </c>
      <c r="C672" s="328"/>
      <c r="D672" s="327" t="str">
        <f t="shared" si="14"/>
        <v>NACE H - 53.1 Postal activities under universal service obligation</v>
      </c>
      <c r="K672" t="s">
        <v>5315</v>
      </c>
    </row>
    <row r="673" spans="1:11" x14ac:dyDescent="0.3">
      <c r="A673" s="328" t="s">
        <v>1896</v>
      </c>
      <c r="B673" t="s">
        <v>1897</v>
      </c>
      <c r="C673" s="328"/>
      <c r="D673" s="328" t="str">
        <f t="shared" si="14"/>
        <v>NACE H - 53.10 Postal activities under universal service obligation</v>
      </c>
      <c r="K673" t="s">
        <v>5316</v>
      </c>
    </row>
    <row r="674" spans="1:11" x14ac:dyDescent="0.3">
      <c r="A674" s="327" t="s">
        <v>1898</v>
      </c>
      <c r="B674" t="s">
        <v>1899</v>
      </c>
      <c r="C674" s="328"/>
      <c r="D674" s="327" t="str">
        <f t="shared" si="14"/>
        <v>NACE H - 53.2 Other postal and courier activities</v>
      </c>
      <c r="K674" t="s">
        <v>5317</v>
      </c>
    </row>
    <row r="675" spans="1:11" x14ac:dyDescent="0.3">
      <c r="A675" s="328" t="s">
        <v>1900</v>
      </c>
      <c r="B675" t="s">
        <v>1901</v>
      </c>
      <c r="C675" s="328"/>
      <c r="D675" s="328" t="str">
        <f t="shared" si="14"/>
        <v>NACE H - 53.20 Other postal and courier activities</v>
      </c>
      <c r="K675" t="s">
        <v>5318</v>
      </c>
    </row>
    <row r="676" spans="1:11" x14ac:dyDescent="0.3">
      <c r="A676" s="327" t="s">
        <v>1902</v>
      </c>
      <c r="B676" t="s">
        <v>1903</v>
      </c>
      <c r="C676" s="328"/>
      <c r="D676" s="327" t="str">
        <f t="shared" si="14"/>
        <v>NACE H - 53.3 Intermediation service activities for postal and courier activities</v>
      </c>
      <c r="K676" t="s">
        <v>5319</v>
      </c>
    </row>
    <row r="677" spans="1:11" x14ac:dyDescent="0.3">
      <c r="A677" s="328" t="s">
        <v>1904</v>
      </c>
      <c r="B677" t="s">
        <v>1905</v>
      </c>
      <c r="C677" s="328"/>
      <c r="D677" s="328" t="str">
        <f t="shared" si="14"/>
        <v>NACE H - 53.30 Intermediation service activities for postal and courier activities</v>
      </c>
      <c r="K677" t="s">
        <v>5320</v>
      </c>
    </row>
    <row r="678" spans="1:11" x14ac:dyDescent="0.3">
      <c r="A678" s="325" t="s">
        <v>1906</v>
      </c>
      <c r="B678" t="s">
        <v>1907</v>
      </c>
      <c r="C678" s="328"/>
      <c r="D678" s="325" t="str">
        <f t="shared" si="14"/>
        <v>NACE I - ACCOMMODATION AND FOOD SERVICE ACTIVITIES</v>
      </c>
      <c r="K678" t="s">
        <v>5321</v>
      </c>
    </row>
    <row r="679" spans="1:11" x14ac:dyDescent="0.3">
      <c r="A679" s="324" t="s">
        <v>1908</v>
      </c>
      <c r="B679" t="s">
        <v>1909</v>
      </c>
      <c r="C679" s="328"/>
      <c r="D679" s="324" t="str">
        <f t="shared" si="14"/>
        <v>NACE I - 55 Accommodation</v>
      </c>
      <c r="K679" t="s">
        <v>5322</v>
      </c>
    </row>
    <row r="680" spans="1:11" x14ac:dyDescent="0.3">
      <c r="A680" s="327" t="s">
        <v>1910</v>
      </c>
      <c r="B680" t="s">
        <v>1911</v>
      </c>
      <c r="C680" s="328"/>
      <c r="D680" s="327" t="str">
        <f t="shared" si="14"/>
        <v>NACE I - 55.1 Hotels and similar accommodation</v>
      </c>
      <c r="K680" t="s">
        <v>5323</v>
      </c>
    </row>
    <row r="681" spans="1:11" x14ac:dyDescent="0.3">
      <c r="A681" s="328" t="s">
        <v>1912</v>
      </c>
      <c r="B681" t="s">
        <v>1913</v>
      </c>
      <c r="C681" s="328"/>
      <c r="D681" s="328" t="str">
        <f t="shared" si="14"/>
        <v>NACE I - 55.10 Hotels and similar accommodation</v>
      </c>
      <c r="K681" t="s">
        <v>5324</v>
      </c>
    </row>
    <row r="682" spans="1:11" x14ac:dyDescent="0.3">
      <c r="A682" s="327" t="s">
        <v>1914</v>
      </c>
      <c r="B682" t="s">
        <v>1915</v>
      </c>
      <c r="C682" s="328"/>
      <c r="D682" s="327" t="str">
        <f t="shared" si="14"/>
        <v>NACE I - 55.2 Holiday and other short-stay accommodation</v>
      </c>
      <c r="K682" t="s">
        <v>5325</v>
      </c>
    </row>
    <row r="683" spans="1:11" x14ac:dyDescent="0.3">
      <c r="A683" s="328" t="s">
        <v>1916</v>
      </c>
      <c r="B683" t="s">
        <v>1917</v>
      </c>
      <c r="C683" s="328"/>
      <c r="D683" s="328" t="str">
        <f t="shared" si="14"/>
        <v>NACE I - 55.20 Holiday and other short-stay accommodation</v>
      </c>
      <c r="K683" t="s">
        <v>5326</v>
      </c>
    </row>
    <row r="684" spans="1:11" x14ac:dyDescent="0.3">
      <c r="A684" s="327" t="s">
        <v>1918</v>
      </c>
      <c r="B684" t="s">
        <v>1919</v>
      </c>
      <c r="C684" s="328"/>
      <c r="D684" s="327" t="str">
        <f t="shared" si="14"/>
        <v>NACE I - 55.3 Camping grounds and recreational vehicle parks</v>
      </c>
      <c r="K684" t="s">
        <v>5327</v>
      </c>
    </row>
    <row r="685" spans="1:11" x14ac:dyDescent="0.3">
      <c r="A685" s="328" t="s">
        <v>1920</v>
      </c>
      <c r="B685" t="s">
        <v>1921</v>
      </c>
      <c r="C685" s="328"/>
      <c r="D685" s="328" t="str">
        <f t="shared" si="14"/>
        <v>NACE I - 55.30 Camping grounds and recreational vehicle parks</v>
      </c>
      <c r="K685" t="s">
        <v>5328</v>
      </c>
    </row>
    <row r="686" spans="1:11" x14ac:dyDescent="0.3">
      <c r="A686" s="327" t="s">
        <v>1922</v>
      </c>
      <c r="B686" t="s">
        <v>1923</v>
      </c>
      <c r="C686" s="328"/>
      <c r="D686" s="327" t="str">
        <f t="shared" si="14"/>
        <v>NACE I - 55.4 Intermediation service activities for accommodation</v>
      </c>
      <c r="K686" t="s">
        <v>5329</v>
      </c>
    </row>
    <row r="687" spans="1:11" x14ac:dyDescent="0.3">
      <c r="A687" s="328" t="s">
        <v>1924</v>
      </c>
      <c r="B687" t="s">
        <v>1925</v>
      </c>
      <c r="C687" s="328"/>
      <c r="D687" s="328" t="str">
        <f t="shared" si="14"/>
        <v>NACE I - 55.40 Intermediation service activities for accommodation</v>
      </c>
      <c r="K687" t="s">
        <v>5330</v>
      </c>
    </row>
    <row r="688" spans="1:11" x14ac:dyDescent="0.3">
      <c r="A688" s="327" t="s">
        <v>1926</v>
      </c>
      <c r="B688" t="s">
        <v>1927</v>
      </c>
      <c r="C688" s="328"/>
      <c r="D688" s="327" t="str">
        <f t="shared" si="14"/>
        <v>NACE I - 55.9 Other accommodation</v>
      </c>
      <c r="K688" t="s">
        <v>5331</v>
      </c>
    </row>
    <row r="689" spans="1:11" x14ac:dyDescent="0.3">
      <c r="A689" s="328" t="s">
        <v>1928</v>
      </c>
      <c r="B689" t="s">
        <v>1929</v>
      </c>
      <c r="C689" s="328"/>
      <c r="D689" s="328" t="str">
        <f t="shared" si="14"/>
        <v>NACE I - 55.90 Other accommodation</v>
      </c>
      <c r="K689" t="s">
        <v>5332</v>
      </c>
    </row>
    <row r="690" spans="1:11" x14ac:dyDescent="0.3">
      <c r="A690" s="324" t="s">
        <v>1930</v>
      </c>
      <c r="B690" t="s">
        <v>1931</v>
      </c>
      <c r="C690" s="328"/>
      <c r="D690" s="324" t="str">
        <f t="shared" si="14"/>
        <v>NACE I - 56 Food and beverage service activities</v>
      </c>
      <c r="K690" t="s">
        <v>5333</v>
      </c>
    </row>
    <row r="691" spans="1:11" x14ac:dyDescent="0.3">
      <c r="A691" s="327" t="s">
        <v>1932</v>
      </c>
      <c r="B691" t="s">
        <v>1933</v>
      </c>
      <c r="C691" s="328"/>
      <c r="D691" s="327" t="str">
        <f t="shared" si="14"/>
        <v>NACE I - 56.1 Restaurants and mobile food service activities</v>
      </c>
      <c r="K691" t="s">
        <v>5334</v>
      </c>
    </row>
    <row r="692" spans="1:11" x14ac:dyDescent="0.3">
      <c r="A692" s="328" t="s">
        <v>1934</v>
      </c>
      <c r="B692" t="s">
        <v>1935</v>
      </c>
      <c r="C692" s="328"/>
      <c r="D692" s="328" t="str">
        <f t="shared" si="14"/>
        <v>NACE I - 56.11 Restaurant activities</v>
      </c>
      <c r="K692" t="s">
        <v>5335</v>
      </c>
    </row>
    <row r="693" spans="1:11" x14ac:dyDescent="0.3">
      <c r="A693" s="328" t="s">
        <v>1936</v>
      </c>
      <c r="B693" t="s">
        <v>1937</v>
      </c>
      <c r="C693" s="328"/>
      <c r="D693" s="328" t="str">
        <f t="shared" si="14"/>
        <v>NACE I - 56.12 Mobile food service activities</v>
      </c>
      <c r="K693" t="s">
        <v>5336</v>
      </c>
    </row>
    <row r="694" spans="1:11" x14ac:dyDescent="0.3">
      <c r="A694" s="327" t="s">
        <v>1938</v>
      </c>
      <c r="B694" t="s">
        <v>1939</v>
      </c>
      <c r="C694" s="328"/>
      <c r="D694" s="327" t="str">
        <f t="shared" si="14"/>
        <v>NACE I - 56.2 Event catering, contract catering service activities and other food service activities</v>
      </c>
      <c r="K694" t="s">
        <v>5337</v>
      </c>
    </row>
    <row r="695" spans="1:11" x14ac:dyDescent="0.3">
      <c r="A695" s="328" t="s">
        <v>1940</v>
      </c>
      <c r="B695" t="s">
        <v>1941</v>
      </c>
      <c r="C695" s="328"/>
      <c r="D695" s="328" t="str">
        <f t="shared" si="14"/>
        <v>NACE I - 56.21 Event catering activities</v>
      </c>
      <c r="K695" t="s">
        <v>5338</v>
      </c>
    </row>
    <row r="696" spans="1:11" x14ac:dyDescent="0.3">
      <c r="A696" s="328" t="s">
        <v>1942</v>
      </c>
      <c r="B696" t="s">
        <v>1943</v>
      </c>
      <c r="C696" s="328"/>
      <c r="D696" s="328" t="str">
        <f t="shared" si="14"/>
        <v>NACE I - 56.22 Contract catering service activities and other food service activities</v>
      </c>
      <c r="K696" t="s">
        <v>5339</v>
      </c>
    </row>
    <row r="697" spans="1:11" x14ac:dyDescent="0.3">
      <c r="A697" s="327" t="s">
        <v>1944</v>
      </c>
      <c r="B697" t="s">
        <v>1945</v>
      </c>
      <c r="C697" s="328"/>
      <c r="D697" s="327" t="str">
        <f t="shared" si="14"/>
        <v>NACE I - 56.3 Beverage serving activities</v>
      </c>
      <c r="K697" t="s">
        <v>5340</v>
      </c>
    </row>
    <row r="698" spans="1:11" x14ac:dyDescent="0.3">
      <c r="A698" s="328" t="s">
        <v>1946</v>
      </c>
      <c r="B698" t="s">
        <v>1947</v>
      </c>
      <c r="C698" s="328"/>
      <c r="D698" s="328" t="str">
        <f t="shared" si="14"/>
        <v>NACE I - 56.30 Beverage serving activities</v>
      </c>
      <c r="K698" t="s">
        <v>5341</v>
      </c>
    </row>
    <row r="699" spans="1:11" x14ac:dyDescent="0.3">
      <c r="A699" s="327" t="s">
        <v>1948</v>
      </c>
      <c r="B699" t="s">
        <v>1949</v>
      </c>
      <c r="C699" s="328"/>
      <c r="D699" s="327" t="str">
        <f t="shared" si="14"/>
        <v>NACE I - 56.4 Intermediation service activities for food and beverage services activities</v>
      </c>
      <c r="K699" t="s">
        <v>5342</v>
      </c>
    </row>
    <row r="700" spans="1:11" x14ac:dyDescent="0.3">
      <c r="A700" s="328" t="s">
        <v>1950</v>
      </c>
      <c r="B700" t="s">
        <v>1951</v>
      </c>
      <c r="C700" s="328"/>
      <c r="D700" s="328" t="str">
        <f t="shared" si="14"/>
        <v>NACE I - 56.40 Intermediation service activities for food and beverage services activities</v>
      </c>
      <c r="K700" t="s">
        <v>5343</v>
      </c>
    </row>
    <row r="701" spans="1:11" x14ac:dyDescent="0.3">
      <c r="A701" s="325" t="s">
        <v>1952</v>
      </c>
      <c r="B701" t="s">
        <v>1953</v>
      </c>
      <c r="C701" s="328"/>
      <c r="D701" s="325" t="str">
        <f t="shared" si="14"/>
        <v>NACE J - PUBLISHING, BROADCASTING, AND CONTENT PRODUCTION AND DISTRIBUTION ACTIVITIES</v>
      </c>
      <c r="K701" t="s">
        <v>5344</v>
      </c>
    </row>
    <row r="702" spans="1:11" x14ac:dyDescent="0.3">
      <c r="A702" s="324" t="s">
        <v>1954</v>
      </c>
      <c r="B702" t="s">
        <v>1955</v>
      </c>
      <c r="C702" s="328"/>
      <c r="D702" s="324" t="str">
        <f t="shared" si="14"/>
        <v>NACE J - 58 Publishing activities</v>
      </c>
      <c r="K702" t="s">
        <v>5345</v>
      </c>
    </row>
    <row r="703" spans="1:11" x14ac:dyDescent="0.3">
      <c r="A703" s="327" t="s">
        <v>1956</v>
      </c>
      <c r="B703" t="s">
        <v>1957</v>
      </c>
      <c r="C703" s="328"/>
      <c r="D703" s="327" t="str">
        <f t="shared" si="14"/>
        <v>NACE J - 58.1 Publishing of books, newspapers and other publishing activities, except software publishing</v>
      </c>
      <c r="K703" t="s">
        <v>5346</v>
      </c>
    </row>
    <row r="704" spans="1:11" x14ac:dyDescent="0.3">
      <c r="A704" s="328" t="s">
        <v>1958</v>
      </c>
      <c r="B704" t="s">
        <v>1959</v>
      </c>
      <c r="C704" s="328"/>
      <c r="D704" s="328" t="str">
        <f t="shared" si="14"/>
        <v>NACE J - 58.11 Publishing of books</v>
      </c>
      <c r="K704" t="s">
        <v>5347</v>
      </c>
    </row>
    <row r="705" spans="1:11" x14ac:dyDescent="0.3">
      <c r="A705" s="328" t="s">
        <v>1960</v>
      </c>
      <c r="B705" t="s">
        <v>1961</v>
      </c>
      <c r="C705" s="328"/>
      <c r="D705" s="328" t="str">
        <f t="shared" si="14"/>
        <v>NACE J - 58.12 Publishing of newspapers</v>
      </c>
      <c r="K705" t="s">
        <v>5348</v>
      </c>
    </row>
    <row r="706" spans="1:11" x14ac:dyDescent="0.3">
      <c r="A706" s="328" t="s">
        <v>1962</v>
      </c>
      <c r="B706" t="s">
        <v>1963</v>
      </c>
      <c r="C706" s="328"/>
      <c r="D706" s="328" t="str">
        <f t="shared" ref="D706:D769" si="15">_xlfn.CONCAT("NACE ", A706)</f>
        <v>NACE J - 58.13 Publishing of journals and periodicals</v>
      </c>
      <c r="K706" t="s">
        <v>5349</v>
      </c>
    </row>
    <row r="707" spans="1:11" x14ac:dyDescent="0.3">
      <c r="A707" s="328" t="s">
        <v>1964</v>
      </c>
      <c r="B707" t="s">
        <v>1965</v>
      </c>
      <c r="C707" s="328"/>
      <c r="D707" s="328" t="str">
        <f t="shared" si="15"/>
        <v>NACE J - 58.19 Other publishing activities, except software publishing</v>
      </c>
      <c r="K707" t="s">
        <v>5350</v>
      </c>
    </row>
    <row r="708" spans="1:11" x14ac:dyDescent="0.3">
      <c r="A708" s="327" t="s">
        <v>1966</v>
      </c>
      <c r="B708" t="s">
        <v>1967</v>
      </c>
      <c r="C708" s="328"/>
      <c r="D708" s="327" t="str">
        <f t="shared" si="15"/>
        <v>NACE J - 58.2 Software publishing</v>
      </c>
      <c r="K708" t="s">
        <v>5351</v>
      </c>
    </row>
    <row r="709" spans="1:11" x14ac:dyDescent="0.3">
      <c r="A709" s="328" t="s">
        <v>1968</v>
      </c>
      <c r="B709" t="s">
        <v>1969</v>
      </c>
      <c r="C709" s="328"/>
      <c r="D709" s="328" t="str">
        <f t="shared" si="15"/>
        <v>NACE J - 58.21 Publishing of video games</v>
      </c>
      <c r="K709" t="s">
        <v>5352</v>
      </c>
    </row>
    <row r="710" spans="1:11" x14ac:dyDescent="0.3">
      <c r="A710" s="328" t="s">
        <v>1970</v>
      </c>
      <c r="B710" t="s">
        <v>1971</v>
      </c>
      <c r="C710" s="328"/>
      <c r="D710" s="328" t="str">
        <f t="shared" si="15"/>
        <v>NACE J - 58.29 Other software publishing</v>
      </c>
      <c r="K710" t="s">
        <v>5353</v>
      </c>
    </row>
    <row r="711" spans="1:11" x14ac:dyDescent="0.3">
      <c r="A711" s="324" t="s">
        <v>1972</v>
      </c>
      <c r="B711" t="s">
        <v>1973</v>
      </c>
      <c r="C711" s="328"/>
      <c r="D711" s="324" t="str">
        <f t="shared" si="15"/>
        <v>NACE J - 59 Motion picture, video and television programme production, sound recording and music publishing activities</v>
      </c>
      <c r="K711" t="s">
        <v>5354</v>
      </c>
    </row>
    <row r="712" spans="1:11" x14ac:dyDescent="0.3">
      <c r="A712" s="327" t="s">
        <v>1974</v>
      </c>
      <c r="B712" t="s">
        <v>1975</v>
      </c>
      <c r="C712" s="328"/>
      <c r="D712" s="327" t="str">
        <f t="shared" si="15"/>
        <v>NACE J - 59.1 Motion picture, video and television programme activities</v>
      </c>
      <c r="K712" t="s">
        <v>5355</v>
      </c>
    </row>
    <row r="713" spans="1:11" x14ac:dyDescent="0.3">
      <c r="A713" s="328" t="s">
        <v>1976</v>
      </c>
      <c r="B713" t="s">
        <v>1977</v>
      </c>
      <c r="C713" s="328"/>
      <c r="D713" s="328" t="str">
        <f t="shared" si="15"/>
        <v>NACE J - 59.11 Motion picture, video and television programme production activities</v>
      </c>
      <c r="K713" t="s">
        <v>5356</v>
      </c>
    </row>
    <row r="714" spans="1:11" x14ac:dyDescent="0.3">
      <c r="A714" s="328" t="s">
        <v>1978</v>
      </c>
      <c r="B714" t="s">
        <v>1979</v>
      </c>
      <c r="C714" s="328"/>
      <c r="D714" s="328" t="str">
        <f t="shared" si="15"/>
        <v>NACE J - 59.12 Motion picture, video and television programme post-production activities</v>
      </c>
      <c r="K714" t="s">
        <v>5357</v>
      </c>
    </row>
    <row r="715" spans="1:11" x14ac:dyDescent="0.3">
      <c r="A715" s="328" t="s">
        <v>1980</v>
      </c>
      <c r="B715" t="s">
        <v>1981</v>
      </c>
      <c r="C715" s="328"/>
      <c r="D715" s="328" t="str">
        <f t="shared" si="15"/>
        <v>NACE J - 59.13 Motion picture and video distribution activities</v>
      </c>
      <c r="K715" t="s">
        <v>5358</v>
      </c>
    </row>
    <row r="716" spans="1:11" x14ac:dyDescent="0.3">
      <c r="A716" s="328" t="s">
        <v>1982</v>
      </c>
      <c r="B716" t="s">
        <v>1983</v>
      </c>
      <c r="C716" s="328"/>
      <c r="D716" s="328" t="str">
        <f t="shared" si="15"/>
        <v>NACE J - 59.14 Motion picture projection activities</v>
      </c>
      <c r="K716" t="s">
        <v>5359</v>
      </c>
    </row>
    <row r="717" spans="1:11" x14ac:dyDescent="0.3">
      <c r="A717" s="327" t="s">
        <v>1984</v>
      </c>
      <c r="B717" t="s">
        <v>1985</v>
      </c>
      <c r="C717" s="328"/>
      <c r="D717" s="327" t="str">
        <f t="shared" si="15"/>
        <v>NACE J - 59.2 Sound recording and music publishing activities</v>
      </c>
      <c r="K717" t="s">
        <v>5360</v>
      </c>
    </row>
    <row r="718" spans="1:11" x14ac:dyDescent="0.3">
      <c r="A718" s="328" t="s">
        <v>1986</v>
      </c>
      <c r="B718" t="s">
        <v>1987</v>
      </c>
      <c r="C718" s="328"/>
      <c r="D718" s="328" t="str">
        <f t="shared" si="15"/>
        <v>NACE J - 59.20 Sound recording and music publishing activities</v>
      </c>
      <c r="K718" t="s">
        <v>5361</v>
      </c>
    </row>
    <row r="719" spans="1:11" x14ac:dyDescent="0.3">
      <c r="A719" s="324" t="s">
        <v>1988</v>
      </c>
      <c r="B719" t="s">
        <v>1989</v>
      </c>
      <c r="C719" s="328"/>
      <c r="D719" s="324" t="str">
        <f t="shared" si="15"/>
        <v>NACE J - 60 Programming, broadcasting, news agency and other content distribution activities</v>
      </c>
      <c r="K719" t="s">
        <v>5362</v>
      </c>
    </row>
    <row r="720" spans="1:11" x14ac:dyDescent="0.3">
      <c r="A720" s="327" t="s">
        <v>1990</v>
      </c>
      <c r="B720" t="s">
        <v>1991</v>
      </c>
      <c r="C720" s="328"/>
      <c r="D720" s="327" t="str">
        <f t="shared" si="15"/>
        <v>NACE J - 60.1 Radio broadcasting and audio distribution activities</v>
      </c>
      <c r="K720" t="s">
        <v>5363</v>
      </c>
    </row>
    <row r="721" spans="1:11" x14ac:dyDescent="0.3">
      <c r="A721" s="328" t="s">
        <v>1992</v>
      </c>
      <c r="B721" t="s">
        <v>1993</v>
      </c>
      <c r="C721" s="328"/>
      <c r="D721" s="328" t="str">
        <f t="shared" si="15"/>
        <v>NACE J - 60.10 Radio broadcasting and audio distribution activities</v>
      </c>
      <c r="K721" t="s">
        <v>5364</v>
      </c>
    </row>
    <row r="722" spans="1:11" x14ac:dyDescent="0.3">
      <c r="A722" s="327" t="s">
        <v>1994</v>
      </c>
      <c r="B722" t="s">
        <v>1995</v>
      </c>
      <c r="C722" s="328"/>
      <c r="D722" s="327" t="str">
        <f t="shared" si="15"/>
        <v>NACE J - 60.2 Television programming, broadcasting and video distribution activities</v>
      </c>
      <c r="K722" t="s">
        <v>5365</v>
      </c>
    </row>
    <row r="723" spans="1:11" x14ac:dyDescent="0.3">
      <c r="A723" s="328" t="s">
        <v>1996</v>
      </c>
      <c r="B723" t="s">
        <v>1997</v>
      </c>
      <c r="C723" s="328"/>
      <c r="D723" s="328" t="str">
        <f t="shared" si="15"/>
        <v>NACE J - 60.20 Television programming, broadcasting and video distribution activities</v>
      </c>
      <c r="K723" t="s">
        <v>5366</v>
      </c>
    </row>
    <row r="724" spans="1:11" x14ac:dyDescent="0.3">
      <c r="A724" s="327" t="s">
        <v>1998</v>
      </c>
      <c r="B724" t="s">
        <v>1999</v>
      </c>
      <c r="C724" s="328"/>
      <c r="D724" s="327" t="str">
        <f t="shared" si="15"/>
        <v>NACE J - 60.3 News agency and other content distribution activities</v>
      </c>
      <c r="K724" t="s">
        <v>5367</v>
      </c>
    </row>
    <row r="725" spans="1:11" x14ac:dyDescent="0.3">
      <c r="A725" s="328" t="s">
        <v>2000</v>
      </c>
      <c r="B725" t="s">
        <v>2001</v>
      </c>
      <c r="C725" s="328"/>
      <c r="D725" s="328" t="str">
        <f t="shared" si="15"/>
        <v>NACE J - 60.31 News agency activities</v>
      </c>
      <c r="K725" t="s">
        <v>5368</v>
      </c>
    </row>
    <row r="726" spans="1:11" x14ac:dyDescent="0.3">
      <c r="A726" s="328" t="s">
        <v>2002</v>
      </c>
      <c r="B726" t="s">
        <v>2003</v>
      </c>
      <c r="C726" s="328"/>
      <c r="D726" s="328" t="str">
        <f t="shared" si="15"/>
        <v>NACE J - 60.39 Other content distribution activities</v>
      </c>
      <c r="K726" t="s">
        <v>5369</v>
      </c>
    </row>
    <row r="727" spans="1:11" x14ac:dyDescent="0.3">
      <c r="A727" s="325" t="s">
        <v>2004</v>
      </c>
      <c r="B727" t="s">
        <v>2005</v>
      </c>
      <c r="C727" s="328"/>
      <c r="D727" s="325" t="str">
        <f t="shared" si="15"/>
        <v>NACE K - TELECOMMUNICATION, COMPUTER PROGRAMMING, CONSULTING, COMPUTING INFRASTRUCTURE AND OTHER INFORMATION SERVICE ACTIVITIES</v>
      </c>
      <c r="K727" t="s">
        <v>5370</v>
      </c>
    </row>
    <row r="728" spans="1:11" x14ac:dyDescent="0.3">
      <c r="A728" s="324" t="s">
        <v>2006</v>
      </c>
      <c r="B728" t="s">
        <v>2007</v>
      </c>
      <c r="C728" s="328"/>
      <c r="D728" s="324" t="str">
        <f t="shared" si="15"/>
        <v>NACE K - 61 Telecommunication</v>
      </c>
      <c r="K728" t="s">
        <v>5371</v>
      </c>
    </row>
    <row r="729" spans="1:11" x14ac:dyDescent="0.3">
      <c r="A729" s="327" t="s">
        <v>2008</v>
      </c>
      <c r="B729" t="s">
        <v>2009</v>
      </c>
      <c r="C729" s="328"/>
      <c r="D729" s="327" t="str">
        <f t="shared" si="15"/>
        <v>NACE K - 61.1 Wired, wireless, and satellite telecommunication activities</v>
      </c>
      <c r="K729" t="s">
        <v>5372</v>
      </c>
    </row>
    <row r="730" spans="1:11" x14ac:dyDescent="0.3">
      <c r="A730" s="328" t="s">
        <v>2010</v>
      </c>
      <c r="B730" t="s">
        <v>2011</v>
      </c>
      <c r="C730" s="328"/>
      <c r="D730" s="328" t="str">
        <f t="shared" si="15"/>
        <v>NACE K - 61.10 Wired, wireless, and satellite telecommunication activities</v>
      </c>
      <c r="K730" t="s">
        <v>5373</v>
      </c>
    </row>
    <row r="731" spans="1:11" x14ac:dyDescent="0.3">
      <c r="A731" s="327" t="s">
        <v>2012</v>
      </c>
      <c r="B731" t="s">
        <v>2013</v>
      </c>
      <c r="C731" s="328"/>
      <c r="D731" s="327" t="str">
        <f t="shared" si="15"/>
        <v>NACE K - 61.2 Telecommunication reselling activities and intermediation service activities for telecommunication</v>
      </c>
      <c r="K731" t="s">
        <v>5374</v>
      </c>
    </row>
    <row r="732" spans="1:11" x14ac:dyDescent="0.3">
      <c r="A732" s="328" t="s">
        <v>2014</v>
      </c>
      <c r="B732" t="s">
        <v>2015</v>
      </c>
      <c r="C732" s="328"/>
      <c r="D732" s="328" t="str">
        <f t="shared" si="15"/>
        <v>NACE K - 61.20 Telecommunication reselling activities and intermediation service activities for telecommunication</v>
      </c>
      <c r="K732" t="s">
        <v>5375</v>
      </c>
    </row>
    <row r="733" spans="1:11" x14ac:dyDescent="0.3">
      <c r="A733" s="327" t="s">
        <v>2016</v>
      </c>
      <c r="B733" t="s">
        <v>2017</v>
      </c>
      <c r="C733" s="328"/>
      <c r="D733" s="327" t="str">
        <f t="shared" si="15"/>
        <v>NACE K - 61.9 Other telecommunication activities</v>
      </c>
      <c r="K733" t="s">
        <v>5376</v>
      </c>
    </row>
    <row r="734" spans="1:11" x14ac:dyDescent="0.3">
      <c r="A734" s="328" t="s">
        <v>2018</v>
      </c>
      <c r="B734" t="s">
        <v>2019</v>
      </c>
      <c r="C734" s="328"/>
      <c r="D734" s="328" t="str">
        <f t="shared" si="15"/>
        <v>NACE K - 61.90 Other telecommunication activities</v>
      </c>
      <c r="K734" t="s">
        <v>5377</v>
      </c>
    </row>
    <row r="735" spans="1:11" x14ac:dyDescent="0.3">
      <c r="A735" s="324" t="s">
        <v>2020</v>
      </c>
      <c r="B735" t="s">
        <v>2021</v>
      </c>
      <c r="C735" s="328"/>
      <c r="D735" s="324" t="str">
        <f t="shared" si="15"/>
        <v>NACE K - 62 Computer programming, consultancy and related activities</v>
      </c>
      <c r="K735" t="s">
        <v>5378</v>
      </c>
    </row>
    <row r="736" spans="1:11" x14ac:dyDescent="0.3">
      <c r="A736" s="327" t="s">
        <v>2022</v>
      </c>
      <c r="B736" t="s">
        <v>2023</v>
      </c>
      <c r="C736" s="328"/>
      <c r="D736" s="327" t="str">
        <f t="shared" si="15"/>
        <v>NACE K - 62.1 Computer programming activities</v>
      </c>
      <c r="K736" t="s">
        <v>5379</v>
      </c>
    </row>
    <row r="737" spans="1:11" x14ac:dyDescent="0.3">
      <c r="A737" s="328" t="s">
        <v>2024</v>
      </c>
      <c r="B737" t="s">
        <v>2025</v>
      </c>
      <c r="C737" s="328"/>
      <c r="D737" s="328" t="str">
        <f t="shared" si="15"/>
        <v>NACE K - 62.10 Computer programming activities</v>
      </c>
      <c r="K737" t="s">
        <v>5380</v>
      </c>
    </row>
    <row r="738" spans="1:11" x14ac:dyDescent="0.3">
      <c r="A738" s="327" t="s">
        <v>2026</v>
      </c>
      <c r="B738" t="s">
        <v>2027</v>
      </c>
      <c r="C738" s="328"/>
      <c r="D738" s="327" t="str">
        <f t="shared" si="15"/>
        <v>NACE K - 62.2 Computer consultancy and computer facilities management activities</v>
      </c>
      <c r="K738" t="s">
        <v>5381</v>
      </c>
    </row>
    <row r="739" spans="1:11" x14ac:dyDescent="0.3">
      <c r="A739" s="328" t="s">
        <v>2028</v>
      </c>
      <c r="B739" t="s">
        <v>2029</v>
      </c>
      <c r="C739" s="328"/>
      <c r="D739" s="328" t="str">
        <f t="shared" si="15"/>
        <v>NACE K - 62.20 Computer consultancy and computer facilities management activities</v>
      </c>
      <c r="K739" t="s">
        <v>5382</v>
      </c>
    </row>
    <row r="740" spans="1:11" x14ac:dyDescent="0.3">
      <c r="A740" s="327" t="s">
        <v>2030</v>
      </c>
      <c r="B740" t="s">
        <v>2031</v>
      </c>
      <c r="C740" s="328"/>
      <c r="D740" s="327" t="str">
        <f t="shared" si="15"/>
        <v>NACE K - 62.9 Other information technology and computer service activities</v>
      </c>
      <c r="K740" t="s">
        <v>5383</v>
      </c>
    </row>
    <row r="741" spans="1:11" x14ac:dyDescent="0.3">
      <c r="A741" s="328" t="s">
        <v>2032</v>
      </c>
      <c r="B741" t="s">
        <v>2033</v>
      </c>
      <c r="C741" s="328"/>
      <c r="D741" s="328" t="str">
        <f t="shared" si="15"/>
        <v>NACE K - 62.90 Other information technology and computer service activities</v>
      </c>
      <c r="K741" t="s">
        <v>5384</v>
      </c>
    </row>
    <row r="742" spans="1:11" x14ac:dyDescent="0.3">
      <c r="A742" s="324" t="s">
        <v>2034</v>
      </c>
      <c r="B742" t="s">
        <v>2035</v>
      </c>
      <c r="C742" s="328"/>
      <c r="D742" s="324" t="str">
        <f t="shared" si="15"/>
        <v>NACE K - 63 Computing infrastructure, data processing, hosting and other information service activities</v>
      </c>
      <c r="K742" t="s">
        <v>5385</v>
      </c>
    </row>
    <row r="743" spans="1:11" x14ac:dyDescent="0.3">
      <c r="A743" s="327" t="s">
        <v>2036</v>
      </c>
      <c r="B743" t="s">
        <v>2037</v>
      </c>
      <c r="C743" s="328"/>
      <c r="D743" s="327" t="str">
        <f t="shared" si="15"/>
        <v>NACE K - 63.1 Computing infrastructure, data processing, hosting and related activities</v>
      </c>
      <c r="K743" t="s">
        <v>5386</v>
      </c>
    </row>
    <row r="744" spans="1:11" x14ac:dyDescent="0.3">
      <c r="A744" s="328" t="s">
        <v>2038</v>
      </c>
      <c r="B744" t="s">
        <v>2039</v>
      </c>
      <c r="C744" s="328"/>
      <c r="D744" s="328" t="str">
        <f t="shared" si="15"/>
        <v>NACE K - 63.10 Computing infrastructure, data processing, hosting and related activities</v>
      </c>
      <c r="K744" t="s">
        <v>5387</v>
      </c>
    </row>
    <row r="745" spans="1:11" x14ac:dyDescent="0.3">
      <c r="A745" s="327" t="s">
        <v>2040</v>
      </c>
      <c r="B745" t="s">
        <v>2041</v>
      </c>
      <c r="C745" s="328"/>
      <c r="D745" s="327" t="str">
        <f t="shared" si="15"/>
        <v>NACE K - 63.9 Web search portal activities and other information service activities</v>
      </c>
      <c r="K745" t="s">
        <v>5388</v>
      </c>
    </row>
    <row r="746" spans="1:11" x14ac:dyDescent="0.3">
      <c r="A746" s="328" t="s">
        <v>2042</v>
      </c>
      <c r="B746" t="s">
        <v>2043</v>
      </c>
      <c r="C746" s="328"/>
      <c r="D746" s="328" t="str">
        <f t="shared" si="15"/>
        <v>NACE K - 63.91 Web search portal activities</v>
      </c>
      <c r="K746" t="s">
        <v>5389</v>
      </c>
    </row>
    <row r="747" spans="1:11" x14ac:dyDescent="0.3">
      <c r="A747" s="328" t="s">
        <v>2044</v>
      </c>
      <c r="B747" t="s">
        <v>2045</v>
      </c>
      <c r="C747" s="328"/>
      <c r="D747" s="328" t="str">
        <f t="shared" si="15"/>
        <v>NACE K - 63.92 Other information service activities</v>
      </c>
      <c r="K747" t="s">
        <v>5390</v>
      </c>
    </row>
    <row r="748" spans="1:11" x14ac:dyDescent="0.3">
      <c r="A748" s="325" t="s">
        <v>2046</v>
      </c>
      <c r="B748" t="s">
        <v>2047</v>
      </c>
      <c r="C748" s="328"/>
      <c r="D748" s="325" t="str">
        <f t="shared" si="15"/>
        <v>NACE L - FINANCIAL AND INSURANCE ACTIVITIES</v>
      </c>
      <c r="K748" t="s">
        <v>5391</v>
      </c>
    </row>
    <row r="749" spans="1:11" x14ac:dyDescent="0.3">
      <c r="A749" s="324" t="s">
        <v>2048</v>
      </c>
      <c r="B749" t="s">
        <v>2049</v>
      </c>
      <c r="C749" s="328"/>
      <c r="D749" s="324" t="str">
        <f t="shared" si="15"/>
        <v>NACE L - 64 Financial service activities, except insurance and pension funding</v>
      </c>
      <c r="K749" t="s">
        <v>5392</v>
      </c>
    </row>
    <row r="750" spans="1:11" x14ac:dyDescent="0.3">
      <c r="A750" s="327" t="s">
        <v>2050</v>
      </c>
      <c r="B750" t="s">
        <v>2051</v>
      </c>
      <c r="C750" s="328"/>
      <c r="D750" s="327" t="str">
        <f t="shared" si="15"/>
        <v>NACE L - 64.1 Monetary intermediation</v>
      </c>
      <c r="K750" t="s">
        <v>5393</v>
      </c>
    </row>
    <row r="751" spans="1:11" x14ac:dyDescent="0.3">
      <c r="A751" s="328" t="s">
        <v>2052</v>
      </c>
      <c r="B751" t="s">
        <v>2053</v>
      </c>
      <c r="C751" s="328"/>
      <c r="D751" s="328" t="str">
        <f t="shared" si="15"/>
        <v>NACE L - 64.11 Central banking</v>
      </c>
      <c r="K751" t="s">
        <v>5394</v>
      </c>
    </row>
    <row r="752" spans="1:11" x14ac:dyDescent="0.3">
      <c r="A752" s="328" t="s">
        <v>2054</v>
      </c>
      <c r="B752" t="s">
        <v>2055</v>
      </c>
      <c r="C752" s="328"/>
      <c r="D752" s="328" t="str">
        <f t="shared" si="15"/>
        <v>NACE L - 64.19 Other monetary intermediation</v>
      </c>
      <c r="K752" t="s">
        <v>4656</v>
      </c>
    </row>
    <row r="753" spans="1:11" x14ac:dyDescent="0.3">
      <c r="A753" s="327" t="s">
        <v>2056</v>
      </c>
      <c r="B753" t="s">
        <v>2057</v>
      </c>
      <c r="C753" s="328"/>
      <c r="D753" s="327" t="str">
        <f t="shared" si="15"/>
        <v>NACE L - 64.2 Activities of holding companies and financing conduits</v>
      </c>
      <c r="K753" t="s">
        <v>5395</v>
      </c>
    </row>
    <row r="754" spans="1:11" x14ac:dyDescent="0.3">
      <c r="A754" s="328" t="s">
        <v>2058</v>
      </c>
      <c r="B754" t="s">
        <v>2059</v>
      </c>
      <c r="C754" s="328"/>
      <c r="D754" s="328" t="str">
        <f t="shared" si="15"/>
        <v>NACE L - 64.21 Activities of holding companies</v>
      </c>
      <c r="K754" t="s">
        <v>5396</v>
      </c>
    </row>
    <row r="755" spans="1:11" x14ac:dyDescent="0.3">
      <c r="A755" s="328" t="s">
        <v>2060</v>
      </c>
      <c r="B755" t="s">
        <v>2061</v>
      </c>
      <c r="C755" s="328"/>
      <c r="D755" s="328" t="str">
        <f t="shared" si="15"/>
        <v>NACE L - 64.22 Activities of financing conduits</v>
      </c>
      <c r="K755" t="s">
        <v>5397</v>
      </c>
    </row>
    <row r="756" spans="1:11" x14ac:dyDescent="0.3">
      <c r="A756" s="327" t="s">
        <v>2062</v>
      </c>
      <c r="B756" t="s">
        <v>2063</v>
      </c>
      <c r="C756" s="328"/>
      <c r="D756" s="327" t="str">
        <f t="shared" si="15"/>
        <v>NACE L - 64.3 Activities of trusts, funds and similar financial entities</v>
      </c>
      <c r="K756" t="s">
        <v>5398</v>
      </c>
    </row>
    <row r="757" spans="1:11" x14ac:dyDescent="0.3">
      <c r="A757" s="328" t="s">
        <v>2064</v>
      </c>
      <c r="B757" t="s">
        <v>2065</v>
      </c>
      <c r="C757" s="328"/>
      <c r="D757" s="328" t="str">
        <f t="shared" si="15"/>
        <v>NACE L - 64.31 Activities of money market and non-money market investments funds</v>
      </c>
      <c r="K757" t="s">
        <v>5399</v>
      </c>
    </row>
    <row r="758" spans="1:11" x14ac:dyDescent="0.3">
      <c r="A758" s="328" t="s">
        <v>2066</v>
      </c>
      <c r="B758" t="s">
        <v>2067</v>
      </c>
      <c r="C758" s="328"/>
      <c r="D758" s="328" t="str">
        <f t="shared" si="15"/>
        <v>NACE L - 64.32 Activities of trust, estate and agency accounts</v>
      </c>
      <c r="K758" t="s">
        <v>5400</v>
      </c>
    </row>
    <row r="759" spans="1:11" x14ac:dyDescent="0.3">
      <c r="A759" s="327" t="s">
        <v>2068</v>
      </c>
      <c r="B759" t="s">
        <v>2069</v>
      </c>
      <c r="C759" s="328"/>
      <c r="D759" s="327" t="str">
        <f t="shared" si="15"/>
        <v>NACE L - 64.9 Other financial service activities, except insurance and pension funding</v>
      </c>
      <c r="K759" t="s">
        <v>5401</v>
      </c>
    </row>
    <row r="760" spans="1:11" x14ac:dyDescent="0.3">
      <c r="A760" s="328" t="s">
        <v>2070</v>
      </c>
      <c r="B760" t="s">
        <v>2071</v>
      </c>
      <c r="C760" s="328"/>
      <c r="D760" s="328" t="str">
        <f t="shared" si="15"/>
        <v>NACE L - 64.91 Financial leasing</v>
      </c>
      <c r="K760" t="s">
        <v>5402</v>
      </c>
    </row>
    <row r="761" spans="1:11" x14ac:dyDescent="0.3">
      <c r="A761" s="328" t="s">
        <v>2072</v>
      </c>
      <c r="B761" t="s">
        <v>2073</v>
      </c>
      <c r="C761" s="328"/>
      <c r="D761" s="328" t="str">
        <f t="shared" si="15"/>
        <v>NACE L - 64.92 Other credit granting</v>
      </c>
      <c r="K761" t="s">
        <v>5403</v>
      </c>
    </row>
    <row r="762" spans="1:11" x14ac:dyDescent="0.3">
      <c r="A762" s="328" t="s">
        <v>2074</v>
      </c>
      <c r="B762" t="s">
        <v>2075</v>
      </c>
      <c r="C762" s="328"/>
      <c r="D762" s="328" t="str">
        <f t="shared" si="15"/>
        <v>NACE L - 64.99 Other financial service activities, except insurance and pension funding n.e.c.</v>
      </c>
      <c r="K762" t="s">
        <v>5404</v>
      </c>
    </row>
    <row r="763" spans="1:11" x14ac:dyDescent="0.3">
      <c r="A763" s="324" t="s">
        <v>2076</v>
      </c>
      <c r="B763" t="s">
        <v>2077</v>
      </c>
      <c r="C763" s="328"/>
      <c r="D763" s="324" t="str">
        <f t="shared" si="15"/>
        <v>NACE L - 65 Insurance, reinsurance and pension funding, except compulsory social security</v>
      </c>
      <c r="K763" t="s">
        <v>5405</v>
      </c>
    </row>
    <row r="764" spans="1:11" x14ac:dyDescent="0.3">
      <c r="A764" s="327" t="s">
        <v>2078</v>
      </c>
      <c r="B764" t="s">
        <v>2079</v>
      </c>
      <c r="C764" s="328"/>
      <c r="D764" s="327" t="str">
        <f t="shared" si="15"/>
        <v>NACE L - 65.1 Insurance</v>
      </c>
      <c r="K764" t="s">
        <v>5406</v>
      </c>
    </row>
    <row r="765" spans="1:11" x14ac:dyDescent="0.3">
      <c r="A765" s="328" t="s">
        <v>2080</v>
      </c>
      <c r="B765" t="s">
        <v>2081</v>
      </c>
      <c r="C765" s="328"/>
      <c r="D765" s="328" t="str">
        <f t="shared" si="15"/>
        <v>NACE L - 65.11 Life insurance</v>
      </c>
      <c r="K765" t="s">
        <v>5407</v>
      </c>
    </row>
    <row r="766" spans="1:11" x14ac:dyDescent="0.3">
      <c r="A766" s="328" t="s">
        <v>2082</v>
      </c>
      <c r="B766" t="s">
        <v>2083</v>
      </c>
      <c r="C766" s="328"/>
      <c r="D766" s="328" t="str">
        <f t="shared" si="15"/>
        <v>NACE L - 65.12 Non-life insurance</v>
      </c>
      <c r="K766" t="s">
        <v>5408</v>
      </c>
    </row>
    <row r="767" spans="1:11" x14ac:dyDescent="0.3">
      <c r="A767" s="327" t="s">
        <v>2084</v>
      </c>
      <c r="B767" t="s">
        <v>2085</v>
      </c>
      <c r="C767" s="328"/>
      <c r="D767" s="327" t="str">
        <f t="shared" si="15"/>
        <v>NACE L - 65.2 Reinsurance</v>
      </c>
      <c r="K767" t="s">
        <v>5409</v>
      </c>
    </row>
    <row r="768" spans="1:11" x14ac:dyDescent="0.3">
      <c r="A768" s="328" t="s">
        <v>2086</v>
      </c>
      <c r="B768" t="s">
        <v>2087</v>
      </c>
      <c r="C768" s="328"/>
      <c r="D768" s="328" t="str">
        <f t="shared" si="15"/>
        <v>NACE L - 65.20 Reinsurance</v>
      </c>
      <c r="K768" t="s">
        <v>5410</v>
      </c>
    </row>
    <row r="769" spans="1:11" x14ac:dyDescent="0.3">
      <c r="A769" s="327" t="s">
        <v>2088</v>
      </c>
      <c r="B769" t="s">
        <v>2089</v>
      </c>
      <c r="C769" s="328"/>
      <c r="D769" s="327" t="str">
        <f t="shared" si="15"/>
        <v>NACE L - 65.3 Pension funding</v>
      </c>
      <c r="K769" t="s">
        <v>5411</v>
      </c>
    </row>
    <row r="770" spans="1:11" x14ac:dyDescent="0.3">
      <c r="A770" s="328" t="s">
        <v>2090</v>
      </c>
      <c r="B770" t="s">
        <v>2091</v>
      </c>
      <c r="C770" s="328"/>
      <c r="D770" s="328" t="str">
        <f t="shared" ref="D770:D833" si="16">_xlfn.CONCAT("NACE ", A770)</f>
        <v>NACE L - 65.30 Pension funding</v>
      </c>
      <c r="K770" t="s">
        <v>5412</v>
      </c>
    </row>
    <row r="771" spans="1:11" x14ac:dyDescent="0.3">
      <c r="A771" s="324" t="s">
        <v>2092</v>
      </c>
      <c r="B771" t="s">
        <v>2093</v>
      </c>
      <c r="C771" s="328"/>
      <c r="D771" s="324" t="str">
        <f t="shared" si="16"/>
        <v>NACE L - 66 Activities auxiliary to financial services and insurance activities</v>
      </c>
      <c r="K771" t="s">
        <v>5413</v>
      </c>
    </row>
    <row r="772" spans="1:11" x14ac:dyDescent="0.3">
      <c r="A772" s="327" t="s">
        <v>2094</v>
      </c>
      <c r="B772" t="s">
        <v>2095</v>
      </c>
      <c r="C772" s="328"/>
      <c r="D772" s="327" t="str">
        <f t="shared" si="16"/>
        <v>NACE L - 66.1 Activities auxiliary to financial services, except insurance and pension funding</v>
      </c>
      <c r="K772" t="s">
        <v>5414</v>
      </c>
    </row>
    <row r="773" spans="1:11" x14ac:dyDescent="0.3">
      <c r="A773" s="328" t="s">
        <v>2096</v>
      </c>
      <c r="B773" t="s">
        <v>2097</v>
      </c>
      <c r="C773" s="328"/>
      <c r="D773" s="328" t="str">
        <f t="shared" si="16"/>
        <v>NACE L - 66.11 Administration of financial markets</v>
      </c>
      <c r="K773" t="s">
        <v>5415</v>
      </c>
    </row>
    <row r="774" spans="1:11" x14ac:dyDescent="0.3">
      <c r="A774" s="328" t="s">
        <v>2098</v>
      </c>
      <c r="B774" t="s">
        <v>2099</v>
      </c>
      <c r="C774" s="328"/>
      <c r="D774" s="328" t="str">
        <f t="shared" si="16"/>
        <v>NACE L - 66.12 Security and commodity contracts brokerage</v>
      </c>
      <c r="K774" t="s">
        <v>5416</v>
      </c>
    </row>
    <row r="775" spans="1:11" x14ac:dyDescent="0.3">
      <c r="A775" s="328" t="s">
        <v>2100</v>
      </c>
      <c r="B775" t="s">
        <v>2101</v>
      </c>
      <c r="C775" s="328"/>
      <c r="D775" s="328" t="str">
        <f t="shared" si="16"/>
        <v>NACE L - 66.19 Other activities auxiliary to financial services, except insurance and pension funding</v>
      </c>
      <c r="K775" t="s">
        <v>5417</v>
      </c>
    </row>
    <row r="776" spans="1:11" x14ac:dyDescent="0.3">
      <c r="A776" s="327" t="s">
        <v>2102</v>
      </c>
      <c r="B776" t="s">
        <v>2103</v>
      </c>
      <c r="C776" s="328"/>
      <c r="D776" s="327" t="str">
        <f t="shared" si="16"/>
        <v>NACE L - 66.2 Activities auxiliary to insurance and pension funding</v>
      </c>
      <c r="K776" t="s">
        <v>5418</v>
      </c>
    </row>
    <row r="777" spans="1:11" x14ac:dyDescent="0.3">
      <c r="A777" s="328" t="s">
        <v>2104</v>
      </c>
      <c r="B777" t="s">
        <v>2105</v>
      </c>
      <c r="C777" s="328"/>
      <c r="D777" s="328" t="str">
        <f t="shared" si="16"/>
        <v>NACE L - 66.21 Risk and damage evaluation</v>
      </c>
      <c r="K777" t="s">
        <v>5419</v>
      </c>
    </row>
    <row r="778" spans="1:11" x14ac:dyDescent="0.3">
      <c r="A778" s="328" t="s">
        <v>2106</v>
      </c>
      <c r="B778" t="s">
        <v>2107</v>
      </c>
      <c r="C778" s="328"/>
      <c r="D778" s="328" t="str">
        <f t="shared" si="16"/>
        <v>NACE L - 66.22 Activities of insurance agents and brokers</v>
      </c>
      <c r="K778" t="s">
        <v>5420</v>
      </c>
    </row>
    <row r="779" spans="1:11" x14ac:dyDescent="0.3">
      <c r="A779" s="328" t="s">
        <v>2108</v>
      </c>
      <c r="B779" t="s">
        <v>2109</v>
      </c>
      <c r="C779" s="328"/>
      <c r="D779" s="328" t="str">
        <f t="shared" si="16"/>
        <v>NACE L - 66.29 Activities auxiliary to insurance and pension funding n.e.c.</v>
      </c>
      <c r="K779" t="s">
        <v>5421</v>
      </c>
    </row>
    <row r="780" spans="1:11" x14ac:dyDescent="0.3">
      <c r="A780" s="327" t="s">
        <v>2110</v>
      </c>
      <c r="B780" t="s">
        <v>2111</v>
      </c>
      <c r="C780" s="328"/>
      <c r="D780" s="327" t="str">
        <f t="shared" si="16"/>
        <v>NACE L - 66.3 Fund management activities</v>
      </c>
      <c r="K780" t="s">
        <v>5422</v>
      </c>
    </row>
    <row r="781" spans="1:11" x14ac:dyDescent="0.3">
      <c r="A781" s="328" t="s">
        <v>2112</v>
      </c>
      <c r="B781" t="s">
        <v>2113</v>
      </c>
      <c r="C781" s="328"/>
      <c r="D781" s="328" t="str">
        <f t="shared" si="16"/>
        <v>NACE L - 66.30 Fund management activities</v>
      </c>
      <c r="K781" t="s">
        <v>5423</v>
      </c>
    </row>
    <row r="782" spans="1:11" x14ac:dyDescent="0.3">
      <c r="A782" s="325" t="s">
        <v>2114</v>
      </c>
      <c r="B782" t="s">
        <v>2115</v>
      </c>
      <c r="C782" s="328"/>
      <c r="D782" s="325" t="str">
        <f t="shared" si="16"/>
        <v>NACE M - REAL ESTATE ACTIVITIES</v>
      </c>
      <c r="K782" t="s">
        <v>5424</v>
      </c>
    </row>
    <row r="783" spans="1:11" x14ac:dyDescent="0.3">
      <c r="A783" s="324" t="s">
        <v>2116</v>
      </c>
      <c r="B783" t="s">
        <v>2117</v>
      </c>
      <c r="C783" s="328"/>
      <c r="D783" s="324" t="str">
        <f t="shared" si="16"/>
        <v>NACE M - 68 Real estate activities</v>
      </c>
      <c r="K783" t="s">
        <v>5425</v>
      </c>
    </row>
    <row r="784" spans="1:11" x14ac:dyDescent="0.3">
      <c r="A784" s="327" t="s">
        <v>2118</v>
      </c>
      <c r="B784" t="s">
        <v>2119</v>
      </c>
      <c r="C784" s="328"/>
      <c r="D784" s="327" t="str">
        <f t="shared" si="16"/>
        <v>NACE M - 68.1 Real estate activities with own property and development of building projects</v>
      </c>
      <c r="K784" t="s">
        <v>5426</v>
      </c>
    </row>
    <row r="785" spans="1:11" x14ac:dyDescent="0.3">
      <c r="A785" s="328" t="s">
        <v>2120</v>
      </c>
      <c r="B785" t="s">
        <v>2121</v>
      </c>
      <c r="C785" s="328"/>
      <c r="D785" s="328" t="str">
        <f t="shared" si="16"/>
        <v>NACE M - 68.11 Buying and selling of own real estate</v>
      </c>
      <c r="K785" t="s">
        <v>5427</v>
      </c>
    </row>
    <row r="786" spans="1:11" x14ac:dyDescent="0.3">
      <c r="A786" s="328" t="s">
        <v>2122</v>
      </c>
      <c r="B786" t="s">
        <v>2123</v>
      </c>
      <c r="C786" s="328"/>
      <c r="D786" s="328" t="str">
        <f t="shared" si="16"/>
        <v>NACE M - 68.12 Development of building projects</v>
      </c>
      <c r="K786" t="s">
        <v>5428</v>
      </c>
    </row>
    <row r="787" spans="1:11" x14ac:dyDescent="0.3">
      <c r="A787" s="327" t="s">
        <v>2124</v>
      </c>
      <c r="B787" t="s">
        <v>2125</v>
      </c>
      <c r="C787" s="328"/>
      <c r="D787" s="327" t="str">
        <f t="shared" si="16"/>
        <v>NACE M - 68.2 Rental and operating of own or leased real estate</v>
      </c>
      <c r="K787" t="s">
        <v>5429</v>
      </c>
    </row>
    <row r="788" spans="1:11" x14ac:dyDescent="0.3">
      <c r="A788" s="328" t="s">
        <v>2126</v>
      </c>
      <c r="B788" t="s">
        <v>2127</v>
      </c>
      <c r="C788" s="328"/>
      <c r="D788" s="328" t="str">
        <f t="shared" si="16"/>
        <v>NACE M - 68.20 Rental and operating of own or leased real estate</v>
      </c>
      <c r="K788" t="s">
        <v>5430</v>
      </c>
    </row>
    <row r="789" spans="1:11" x14ac:dyDescent="0.3">
      <c r="A789" s="327" t="s">
        <v>2128</v>
      </c>
      <c r="B789" t="s">
        <v>2129</v>
      </c>
      <c r="C789" s="328"/>
      <c r="D789" s="327" t="str">
        <f t="shared" si="16"/>
        <v>NACE M - 68.3 Real estate activities on a fee or contract basis</v>
      </c>
      <c r="K789" t="s">
        <v>5431</v>
      </c>
    </row>
    <row r="790" spans="1:11" x14ac:dyDescent="0.3">
      <c r="A790" s="328" t="s">
        <v>2130</v>
      </c>
      <c r="B790" t="s">
        <v>2131</v>
      </c>
      <c r="C790" s="328"/>
      <c r="D790" s="328" t="str">
        <f t="shared" si="16"/>
        <v>NACE M - 68.31 Intermediation service activities for real estate activities</v>
      </c>
      <c r="K790" t="s">
        <v>5432</v>
      </c>
    </row>
    <row r="791" spans="1:11" x14ac:dyDescent="0.3">
      <c r="A791" s="328" t="s">
        <v>2132</v>
      </c>
      <c r="B791" t="s">
        <v>2133</v>
      </c>
      <c r="C791" s="328"/>
      <c r="D791" s="328" t="str">
        <f t="shared" si="16"/>
        <v>NACE M - 68.32 Other real estate activities on a fee or contract basis</v>
      </c>
      <c r="K791" t="s">
        <v>5433</v>
      </c>
    </row>
    <row r="792" spans="1:11" x14ac:dyDescent="0.3">
      <c r="A792" s="325" t="s">
        <v>2134</v>
      </c>
      <c r="B792" t="s">
        <v>2135</v>
      </c>
      <c r="C792" s="328"/>
      <c r="D792" s="325" t="str">
        <f t="shared" si="16"/>
        <v>NACE N - PROFESSIONAL, SCIENTIFIC AND TECHNICAL ACTIVITIES</v>
      </c>
      <c r="K792" t="s">
        <v>5434</v>
      </c>
    </row>
    <row r="793" spans="1:11" x14ac:dyDescent="0.3">
      <c r="A793" s="324" t="s">
        <v>2136</v>
      </c>
      <c r="B793" t="s">
        <v>2137</v>
      </c>
      <c r="C793" s="328"/>
      <c r="D793" s="324" t="str">
        <f t="shared" si="16"/>
        <v>NACE N - 69 Legal and accounting activities</v>
      </c>
      <c r="K793" t="s">
        <v>5435</v>
      </c>
    </row>
    <row r="794" spans="1:11" x14ac:dyDescent="0.3">
      <c r="A794" s="327" t="s">
        <v>2138</v>
      </c>
      <c r="B794" t="s">
        <v>2139</v>
      </c>
      <c r="C794" s="328"/>
      <c r="D794" s="327" t="str">
        <f t="shared" si="16"/>
        <v>NACE N - 69.1 Legal activities</v>
      </c>
      <c r="K794" t="s">
        <v>5436</v>
      </c>
    </row>
    <row r="795" spans="1:11" x14ac:dyDescent="0.3">
      <c r="A795" s="328" t="s">
        <v>2140</v>
      </c>
      <c r="B795" t="s">
        <v>2141</v>
      </c>
      <c r="C795" s="328"/>
      <c r="D795" s="328" t="str">
        <f t="shared" si="16"/>
        <v>NACE N - 69.10 Legal activities</v>
      </c>
      <c r="K795" t="s">
        <v>5437</v>
      </c>
    </row>
    <row r="796" spans="1:11" x14ac:dyDescent="0.3">
      <c r="A796" s="327" t="s">
        <v>2142</v>
      </c>
      <c r="B796" t="s">
        <v>2143</v>
      </c>
      <c r="C796" s="328"/>
      <c r="D796" s="327" t="str">
        <f t="shared" si="16"/>
        <v>NACE N - 69.2 Accounting, bookkeeping and auditing activities; tax consultancy</v>
      </c>
      <c r="K796" t="s">
        <v>5438</v>
      </c>
    </row>
    <row r="797" spans="1:11" x14ac:dyDescent="0.3">
      <c r="A797" s="328" t="s">
        <v>2144</v>
      </c>
      <c r="B797" t="s">
        <v>2145</v>
      </c>
      <c r="C797" s="328"/>
      <c r="D797" s="328" t="str">
        <f t="shared" si="16"/>
        <v>NACE N - 69.20 Accounting, bookkeeping and auditing activities; tax consultancy</v>
      </c>
      <c r="K797" t="s">
        <v>5439</v>
      </c>
    </row>
    <row r="798" spans="1:11" x14ac:dyDescent="0.3">
      <c r="A798" s="324" t="s">
        <v>2146</v>
      </c>
      <c r="B798" t="s">
        <v>2147</v>
      </c>
      <c r="C798" s="328"/>
      <c r="D798" s="324" t="str">
        <f t="shared" si="16"/>
        <v>NACE N - 70 Activities of head offices and management consultancy</v>
      </c>
      <c r="K798" t="s">
        <v>5440</v>
      </c>
    </row>
    <row r="799" spans="1:11" x14ac:dyDescent="0.3">
      <c r="A799" s="327" t="s">
        <v>2148</v>
      </c>
      <c r="B799" t="s">
        <v>2149</v>
      </c>
      <c r="C799" s="328"/>
      <c r="D799" s="327" t="str">
        <f t="shared" si="16"/>
        <v>NACE N - 70.1 Activities of head offices</v>
      </c>
      <c r="K799" t="s">
        <v>4657</v>
      </c>
    </row>
    <row r="800" spans="1:11" x14ac:dyDescent="0.3">
      <c r="A800" s="328" t="s">
        <v>2150</v>
      </c>
      <c r="B800" t="s">
        <v>2151</v>
      </c>
      <c r="C800" s="328"/>
      <c r="D800" s="328" t="str">
        <f t="shared" si="16"/>
        <v>NACE N - 70.10 Activities of head offices</v>
      </c>
      <c r="K800" t="s">
        <v>5441</v>
      </c>
    </row>
    <row r="801" spans="1:11" x14ac:dyDescent="0.3">
      <c r="A801" s="327" t="s">
        <v>2152</v>
      </c>
      <c r="B801" t="s">
        <v>2153</v>
      </c>
      <c r="C801" s="328"/>
      <c r="D801" s="327" t="str">
        <f t="shared" si="16"/>
        <v>NACE N - 70.2 Business and other management consultancy activities</v>
      </c>
      <c r="K801" t="s">
        <v>5442</v>
      </c>
    </row>
    <row r="802" spans="1:11" x14ac:dyDescent="0.3">
      <c r="A802" s="328" t="s">
        <v>2154</v>
      </c>
      <c r="B802" t="s">
        <v>2155</v>
      </c>
      <c r="C802" s="328"/>
      <c r="D802" s="328" t="str">
        <f t="shared" si="16"/>
        <v>NACE N - 70.20 Business and other management consultancy activities</v>
      </c>
      <c r="K802" t="s">
        <v>5443</v>
      </c>
    </row>
    <row r="803" spans="1:11" x14ac:dyDescent="0.3">
      <c r="A803" s="324" t="s">
        <v>2156</v>
      </c>
      <c r="B803" t="s">
        <v>2157</v>
      </c>
      <c r="C803" s="328"/>
      <c r="D803" s="324" t="str">
        <f t="shared" si="16"/>
        <v>NACE N - 71 Architectural and engineering activities; technical testing and analysis</v>
      </c>
      <c r="K803" t="s">
        <v>5444</v>
      </c>
    </row>
    <row r="804" spans="1:11" x14ac:dyDescent="0.3">
      <c r="A804" s="327" t="s">
        <v>2158</v>
      </c>
      <c r="B804" t="s">
        <v>2159</v>
      </c>
      <c r="C804" s="328"/>
      <c r="D804" s="327" t="str">
        <f t="shared" si="16"/>
        <v>NACE N - 71.1 Architectural and engineering activities and related technical consultancy</v>
      </c>
      <c r="K804" t="s">
        <v>5445</v>
      </c>
    </row>
    <row r="805" spans="1:11" x14ac:dyDescent="0.3">
      <c r="A805" s="328" t="s">
        <v>2160</v>
      </c>
      <c r="B805" t="s">
        <v>2161</v>
      </c>
      <c r="C805" s="328"/>
      <c r="D805" s="328" t="str">
        <f t="shared" si="16"/>
        <v>NACE N - 71.11 Architectural activities</v>
      </c>
      <c r="K805" t="s">
        <v>5446</v>
      </c>
    </row>
    <row r="806" spans="1:11" x14ac:dyDescent="0.3">
      <c r="A806" s="328" t="s">
        <v>2162</v>
      </c>
      <c r="B806" t="s">
        <v>2163</v>
      </c>
      <c r="C806" s="328"/>
      <c r="D806" s="328" t="str">
        <f t="shared" si="16"/>
        <v>NACE N - 71.12 Engineering activities and related technical consultancy</v>
      </c>
      <c r="K806" t="s">
        <v>5447</v>
      </c>
    </row>
    <row r="807" spans="1:11" x14ac:dyDescent="0.3">
      <c r="A807" s="327" t="s">
        <v>2164</v>
      </c>
      <c r="B807" t="s">
        <v>2165</v>
      </c>
      <c r="C807" s="328"/>
      <c r="D807" s="327" t="str">
        <f t="shared" si="16"/>
        <v>NACE N - 71.2 Technical testing and analysis</v>
      </c>
      <c r="K807" t="s">
        <v>5448</v>
      </c>
    </row>
    <row r="808" spans="1:11" x14ac:dyDescent="0.3">
      <c r="A808" s="328" t="s">
        <v>2166</v>
      </c>
      <c r="B808" t="s">
        <v>2167</v>
      </c>
      <c r="C808" s="328"/>
      <c r="D808" s="328" t="str">
        <f t="shared" si="16"/>
        <v>NACE N - 71.20 Technical testing and analysis</v>
      </c>
      <c r="K808" t="s">
        <v>5449</v>
      </c>
    </row>
    <row r="809" spans="1:11" x14ac:dyDescent="0.3">
      <c r="A809" s="324" t="s">
        <v>2168</v>
      </c>
      <c r="B809" t="s">
        <v>2169</v>
      </c>
      <c r="C809" s="328"/>
      <c r="D809" s="324" t="str">
        <f t="shared" si="16"/>
        <v>NACE N - 72 Scientific research and development</v>
      </c>
      <c r="K809" t="s">
        <v>5450</v>
      </c>
    </row>
    <row r="810" spans="1:11" x14ac:dyDescent="0.3">
      <c r="A810" s="327" t="s">
        <v>2170</v>
      </c>
      <c r="B810" t="s">
        <v>2171</v>
      </c>
      <c r="C810" s="328"/>
      <c r="D810" s="327" t="str">
        <f t="shared" si="16"/>
        <v>NACE N - 72.1 Research and experimental development on natural sciences and engineering</v>
      </c>
      <c r="K810" t="s">
        <v>5451</v>
      </c>
    </row>
    <row r="811" spans="1:11" x14ac:dyDescent="0.3">
      <c r="A811" s="328" t="s">
        <v>2172</v>
      </c>
      <c r="B811" t="s">
        <v>2173</v>
      </c>
      <c r="C811" s="328"/>
      <c r="D811" s="328" t="str">
        <f t="shared" si="16"/>
        <v>NACE N - 72.10 Research and experimental development on natural sciences and engineering</v>
      </c>
      <c r="K811" t="s">
        <v>5452</v>
      </c>
    </row>
    <row r="812" spans="1:11" x14ac:dyDescent="0.3">
      <c r="A812" s="327" t="s">
        <v>2174</v>
      </c>
      <c r="B812" t="s">
        <v>2175</v>
      </c>
      <c r="C812" s="328"/>
      <c r="D812" s="327" t="str">
        <f t="shared" si="16"/>
        <v>NACE N - 72.2 Research and experimental development on social sciences and humanities</v>
      </c>
      <c r="K812" t="s">
        <v>5453</v>
      </c>
    </row>
    <row r="813" spans="1:11" x14ac:dyDescent="0.3">
      <c r="A813" s="328" t="s">
        <v>2176</v>
      </c>
      <c r="B813" t="s">
        <v>2177</v>
      </c>
      <c r="C813" s="328"/>
      <c r="D813" s="328" t="str">
        <f t="shared" si="16"/>
        <v>NACE N - 72.20 Research and experimental development on social sciences and humanities</v>
      </c>
      <c r="K813" t="s">
        <v>5454</v>
      </c>
    </row>
    <row r="814" spans="1:11" x14ac:dyDescent="0.3">
      <c r="A814" s="324" t="s">
        <v>2178</v>
      </c>
      <c r="B814" t="s">
        <v>2179</v>
      </c>
      <c r="C814" s="328"/>
      <c r="D814" s="324" t="str">
        <f t="shared" si="16"/>
        <v>NACE N - 73 Activities of advertising, market research and public relations</v>
      </c>
      <c r="K814" t="s">
        <v>5455</v>
      </c>
    </row>
    <row r="815" spans="1:11" x14ac:dyDescent="0.3">
      <c r="A815" s="327" t="s">
        <v>2180</v>
      </c>
      <c r="B815" t="s">
        <v>2181</v>
      </c>
      <c r="C815" s="328"/>
      <c r="D815" s="327" t="str">
        <f t="shared" si="16"/>
        <v>NACE N - 73.1 Advertising</v>
      </c>
      <c r="K815" t="s">
        <v>5456</v>
      </c>
    </row>
    <row r="816" spans="1:11" x14ac:dyDescent="0.3">
      <c r="A816" s="328" t="s">
        <v>2182</v>
      </c>
      <c r="B816" t="s">
        <v>2183</v>
      </c>
      <c r="C816" s="328"/>
      <c r="D816" s="328" t="str">
        <f t="shared" si="16"/>
        <v>NACE N - 73.11 Activities of advertising agencies</v>
      </c>
      <c r="K816" t="s">
        <v>5457</v>
      </c>
    </row>
    <row r="817" spans="1:11" x14ac:dyDescent="0.3">
      <c r="A817" s="328" t="s">
        <v>2184</v>
      </c>
      <c r="B817" t="s">
        <v>2185</v>
      </c>
      <c r="C817" s="328"/>
      <c r="D817" s="328" t="str">
        <f t="shared" si="16"/>
        <v>NACE N - 73.12 Media representation</v>
      </c>
      <c r="K817" t="s">
        <v>5458</v>
      </c>
    </row>
    <row r="818" spans="1:11" x14ac:dyDescent="0.3">
      <c r="A818" s="327" t="s">
        <v>2186</v>
      </c>
      <c r="B818" t="s">
        <v>2187</v>
      </c>
      <c r="C818" s="328"/>
      <c r="D818" s="327" t="str">
        <f t="shared" si="16"/>
        <v>NACE N - 73.2 Market research and public opinion polling</v>
      </c>
      <c r="K818" t="s">
        <v>4658</v>
      </c>
    </row>
    <row r="819" spans="1:11" x14ac:dyDescent="0.3">
      <c r="A819" s="328" t="s">
        <v>2188</v>
      </c>
      <c r="B819" t="s">
        <v>2189</v>
      </c>
      <c r="C819" s="328"/>
      <c r="D819" s="328" t="str">
        <f t="shared" si="16"/>
        <v>NACE N - 73.20 Market research and public opinion polling</v>
      </c>
      <c r="K819" t="s">
        <v>5459</v>
      </c>
    </row>
    <row r="820" spans="1:11" x14ac:dyDescent="0.3">
      <c r="A820" s="327" t="s">
        <v>2190</v>
      </c>
      <c r="B820" t="s">
        <v>2191</v>
      </c>
      <c r="C820" s="328"/>
      <c r="D820" s="327" t="str">
        <f t="shared" si="16"/>
        <v>NACE N - 73.3 Public relations and communication activities</v>
      </c>
      <c r="K820" t="s">
        <v>5460</v>
      </c>
    </row>
    <row r="821" spans="1:11" x14ac:dyDescent="0.3">
      <c r="A821" s="328" t="s">
        <v>2192</v>
      </c>
      <c r="B821" t="s">
        <v>2193</v>
      </c>
      <c r="C821" s="328"/>
      <c r="D821" s="328" t="str">
        <f t="shared" si="16"/>
        <v>NACE N - 73.30 Public relations and communication activities</v>
      </c>
      <c r="K821" t="s">
        <v>5461</v>
      </c>
    </row>
    <row r="822" spans="1:11" x14ac:dyDescent="0.3">
      <c r="A822" s="324" t="s">
        <v>2194</v>
      </c>
      <c r="B822" t="s">
        <v>2195</v>
      </c>
      <c r="C822" s="328"/>
      <c r="D822" s="324" t="str">
        <f t="shared" si="16"/>
        <v>NACE N - 74 Other professional, scientific and technical activities</v>
      </c>
      <c r="K822" t="s">
        <v>5462</v>
      </c>
    </row>
    <row r="823" spans="1:11" x14ac:dyDescent="0.3">
      <c r="A823" s="327" t="s">
        <v>2196</v>
      </c>
      <c r="B823" t="s">
        <v>2197</v>
      </c>
      <c r="C823" s="328"/>
      <c r="D823" s="327" t="str">
        <f t="shared" si="16"/>
        <v>NACE N - 74.1 Specialised design activities</v>
      </c>
      <c r="K823" t="s">
        <v>5463</v>
      </c>
    </row>
    <row r="824" spans="1:11" x14ac:dyDescent="0.3">
      <c r="A824" s="328" t="s">
        <v>2198</v>
      </c>
      <c r="B824" t="s">
        <v>2199</v>
      </c>
      <c r="C824" s="328"/>
      <c r="D824" s="328" t="str">
        <f t="shared" si="16"/>
        <v>NACE N - 74.11 Industrial product and fashion design activities</v>
      </c>
      <c r="K824" t="s">
        <v>5464</v>
      </c>
    </row>
    <row r="825" spans="1:11" x14ac:dyDescent="0.3">
      <c r="A825" s="328" t="s">
        <v>2200</v>
      </c>
      <c r="B825" t="s">
        <v>2201</v>
      </c>
      <c r="C825" s="328"/>
      <c r="D825" s="328" t="str">
        <f t="shared" si="16"/>
        <v>NACE N - 74.12 Graphic design and visual communication activities</v>
      </c>
      <c r="K825" t="s">
        <v>5465</v>
      </c>
    </row>
    <row r="826" spans="1:11" x14ac:dyDescent="0.3">
      <c r="A826" s="328" t="s">
        <v>2202</v>
      </c>
      <c r="B826" t="s">
        <v>2203</v>
      </c>
      <c r="C826" s="328"/>
      <c r="D826" s="328" t="str">
        <f t="shared" si="16"/>
        <v>NACE N - 74.13 Interior design activities</v>
      </c>
      <c r="K826" t="s">
        <v>5466</v>
      </c>
    </row>
    <row r="827" spans="1:11" x14ac:dyDescent="0.3">
      <c r="A827" s="328" t="s">
        <v>2204</v>
      </c>
      <c r="B827" t="s">
        <v>2205</v>
      </c>
      <c r="C827" s="328"/>
      <c r="D827" s="328" t="str">
        <f t="shared" si="16"/>
        <v>NACE N - 74.14 Other specialised design activities</v>
      </c>
      <c r="K827" t="s">
        <v>5467</v>
      </c>
    </row>
    <row r="828" spans="1:11" x14ac:dyDescent="0.3">
      <c r="A828" s="327" t="s">
        <v>2206</v>
      </c>
      <c r="B828" t="s">
        <v>2207</v>
      </c>
      <c r="C828" s="328"/>
      <c r="D828" s="327" t="str">
        <f t="shared" si="16"/>
        <v>NACE N - 74.2 Photographic activities</v>
      </c>
      <c r="K828" t="s">
        <v>5468</v>
      </c>
    </row>
    <row r="829" spans="1:11" x14ac:dyDescent="0.3">
      <c r="A829" s="328" t="s">
        <v>2208</v>
      </c>
      <c r="B829" t="s">
        <v>2209</v>
      </c>
      <c r="C829" s="328"/>
      <c r="D829" s="328" t="str">
        <f t="shared" si="16"/>
        <v>NACE N - 74.20 Photographic activities</v>
      </c>
      <c r="K829" t="s">
        <v>5469</v>
      </c>
    </row>
    <row r="830" spans="1:11" x14ac:dyDescent="0.3">
      <c r="A830" s="327" t="s">
        <v>2210</v>
      </c>
      <c r="B830" t="s">
        <v>2211</v>
      </c>
      <c r="C830" s="328"/>
      <c r="D830" s="327" t="str">
        <f t="shared" si="16"/>
        <v>NACE N - 74.3 Translation and interpretation activities</v>
      </c>
      <c r="K830" t="s">
        <v>5470</v>
      </c>
    </row>
    <row r="831" spans="1:11" x14ac:dyDescent="0.3">
      <c r="A831" s="328" t="s">
        <v>2212</v>
      </c>
      <c r="B831" t="s">
        <v>2213</v>
      </c>
      <c r="C831" s="328"/>
      <c r="D831" s="328" t="str">
        <f t="shared" si="16"/>
        <v>NACE N - 74.30 Translation and interpretation activities</v>
      </c>
      <c r="K831" t="s">
        <v>5471</v>
      </c>
    </row>
    <row r="832" spans="1:11" x14ac:dyDescent="0.3">
      <c r="A832" s="327" t="s">
        <v>2214</v>
      </c>
      <c r="B832" t="s">
        <v>2215</v>
      </c>
      <c r="C832" s="328"/>
      <c r="D832" s="327" t="str">
        <f t="shared" si="16"/>
        <v>NACE N - 74.9 Other professional, scientific and technical activities n.e.c.</v>
      </c>
      <c r="K832" t="s">
        <v>5472</v>
      </c>
    </row>
    <row r="833" spans="1:11" x14ac:dyDescent="0.3">
      <c r="A833" s="328" t="s">
        <v>2216</v>
      </c>
      <c r="B833" t="s">
        <v>2217</v>
      </c>
      <c r="C833" s="328"/>
      <c r="D833" s="328" t="str">
        <f t="shared" si="16"/>
        <v>NACE N - 74.91 Patent brokering and marketing service activities</v>
      </c>
      <c r="K833" t="s">
        <v>5473</v>
      </c>
    </row>
    <row r="834" spans="1:11" x14ac:dyDescent="0.3">
      <c r="A834" s="328" t="s">
        <v>2218</v>
      </c>
      <c r="B834" t="s">
        <v>2219</v>
      </c>
      <c r="C834" s="328"/>
      <c r="D834" s="328" t="str">
        <f t="shared" ref="D834:D897" si="17">_xlfn.CONCAT("NACE ", A834)</f>
        <v>NACE N - 74.99 All other professional, scientific and technical activities n.e.c.</v>
      </c>
      <c r="K834" t="s">
        <v>5474</v>
      </c>
    </row>
    <row r="835" spans="1:11" x14ac:dyDescent="0.3">
      <c r="A835" s="324" t="s">
        <v>2220</v>
      </c>
      <c r="B835" t="s">
        <v>2221</v>
      </c>
      <c r="C835" s="328"/>
      <c r="D835" s="324" t="str">
        <f t="shared" si="17"/>
        <v>NACE N - 75 Veterinary activities</v>
      </c>
      <c r="K835" t="s">
        <v>5475</v>
      </c>
    </row>
    <row r="836" spans="1:11" x14ac:dyDescent="0.3">
      <c r="A836" s="327" t="s">
        <v>2222</v>
      </c>
      <c r="B836" t="s">
        <v>2223</v>
      </c>
      <c r="C836" s="328"/>
      <c r="D836" s="327" t="str">
        <f t="shared" si="17"/>
        <v>NACE N - 75.0 Veterinary activities</v>
      </c>
      <c r="K836" t="s">
        <v>5476</v>
      </c>
    </row>
    <row r="837" spans="1:11" x14ac:dyDescent="0.3">
      <c r="A837" s="328" t="s">
        <v>2224</v>
      </c>
      <c r="B837" t="s">
        <v>2225</v>
      </c>
      <c r="C837" s="328"/>
      <c r="D837" s="328" t="str">
        <f t="shared" si="17"/>
        <v>NACE N - 75.00 Veterinary activities</v>
      </c>
      <c r="K837" t="s">
        <v>5477</v>
      </c>
    </row>
    <row r="838" spans="1:11" x14ac:dyDescent="0.3">
      <c r="A838" s="325" t="s">
        <v>2226</v>
      </c>
      <c r="B838" t="s">
        <v>2227</v>
      </c>
      <c r="C838" s="328"/>
      <c r="D838" s="325" t="str">
        <f t="shared" si="17"/>
        <v>NACE O - ADMINISTRATIVE AND SUPPORT SERVICE ACTIVITIES</v>
      </c>
      <c r="K838" t="s">
        <v>5478</v>
      </c>
    </row>
    <row r="839" spans="1:11" x14ac:dyDescent="0.3">
      <c r="A839" s="324" t="s">
        <v>2228</v>
      </c>
      <c r="B839" t="s">
        <v>2229</v>
      </c>
      <c r="C839" s="328"/>
      <c r="D839" s="324" t="str">
        <f t="shared" si="17"/>
        <v>NACE O - 77 Rental and leasing activities</v>
      </c>
      <c r="K839" t="s">
        <v>5479</v>
      </c>
    </row>
    <row r="840" spans="1:11" x14ac:dyDescent="0.3">
      <c r="A840" s="327" t="s">
        <v>2230</v>
      </c>
      <c r="B840" t="s">
        <v>2231</v>
      </c>
      <c r="C840" s="328"/>
      <c r="D840" s="327" t="str">
        <f t="shared" si="17"/>
        <v>NACE O - 77.1 Rental and leasing of motor vehicles</v>
      </c>
      <c r="K840" t="s">
        <v>5480</v>
      </c>
    </row>
    <row r="841" spans="1:11" x14ac:dyDescent="0.3">
      <c r="A841" s="328" t="s">
        <v>2232</v>
      </c>
      <c r="B841" t="s">
        <v>2233</v>
      </c>
      <c r="C841" s="328"/>
      <c r="D841" s="328" t="str">
        <f t="shared" si="17"/>
        <v>NACE O - 77.11 Rental and leasing of cars and light motor vehicles</v>
      </c>
      <c r="K841" t="s">
        <v>5481</v>
      </c>
    </row>
    <row r="842" spans="1:11" x14ac:dyDescent="0.3">
      <c r="A842" s="328" t="s">
        <v>2234</v>
      </c>
      <c r="B842" t="s">
        <v>2235</v>
      </c>
      <c r="C842" s="328"/>
      <c r="D842" s="328" t="str">
        <f t="shared" si="17"/>
        <v>NACE O - 77.12 Rental and leasing of trucks</v>
      </c>
      <c r="K842" t="s">
        <v>5482</v>
      </c>
    </row>
    <row r="843" spans="1:11" x14ac:dyDescent="0.3">
      <c r="A843" s="327" t="s">
        <v>2236</v>
      </c>
      <c r="B843" t="s">
        <v>2237</v>
      </c>
      <c r="C843" s="328"/>
      <c r="D843" s="327" t="str">
        <f t="shared" si="17"/>
        <v>NACE O - 77.2 Rental and leasing of personal and household goods</v>
      </c>
      <c r="K843" t="s">
        <v>5483</v>
      </c>
    </row>
    <row r="844" spans="1:11" x14ac:dyDescent="0.3">
      <c r="A844" s="328" t="s">
        <v>2238</v>
      </c>
      <c r="B844" t="s">
        <v>2239</v>
      </c>
      <c r="C844" s="328"/>
      <c r="D844" s="328" t="str">
        <f t="shared" si="17"/>
        <v>NACE O - 77.21 Rental and leasing of recreational and sports goods</v>
      </c>
      <c r="K844" t="s">
        <v>5484</v>
      </c>
    </row>
    <row r="845" spans="1:11" x14ac:dyDescent="0.3">
      <c r="A845" s="328" t="s">
        <v>2240</v>
      </c>
      <c r="B845" t="s">
        <v>2241</v>
      </c>
      <c r="C845" s="328"/>
      <c r="D845" s="328" t="str">
        <f t="shared" si="17"/>
        <v>NACE O - 77.22 Rental and leasing of other personal and household goods</v>
      </c>
      <c r="K845" t="s">
        <v>5485</v>
      </c>
    </row>
    <row r="846" spans="1:11" x14ac:dyDescent="0.3">
      <c r="A846" s="327" t="s">
        <v>2242</v>
      </c>
      <c r="B846" t="s">
        <v>2243</v>
      </c>
      <c r="C846" s="328"/>
      <c r="D846" s="327" t="str">
        <f t="shared" si="17"/>
        <v>NACE O - 77.3 Rental and leasing of other machinery, equipment and tangible goods</v>
      </c>
      <c r="K846" t="s">
        <v>5486</v>
      </c>
    </row>
    <row r="847" spans="1:11" x14ac:dyDescent="0.3">
      <c r="A847" s="328" t="s">
        <v>2244</v>
      </c>
      <c r="B847" t="s">
        <v>2245</v>
      </c>
      <c r="C847" s="328"/>
      <c r="D847" s="328" t="str">
        <f t="shared" si="17"/>
        <v>NACE O - 77.31 Rental and leasing of agricultural machinery and equipment</v>
      </c>
      <c r="K847" t="s">
        <v>5487</v>
      </c>
    </row>
    <row r="848" spans="1:11" x14ac:dyDescent="0.3">
      <c r="A848" s="328" t="s">
        <v>2246</v>
      </c>
      <c r="B848" t="s">
        <v>2247</v>
      </c>
      <c r="C848" s="328"/>
      <c r="D848" s="328" t="str">
        <f t="shared" si="17"/>
        <v>NACE O - 77.32 Rental and leasing of construction and civil engineering machinery and equipment</v>
      </c>
      <c r="K848" t="s">
        <v>5488</v>
      </c>
    </row>
    <row r="849" spans="1:11" x14ac:dyDescent="0.3">
      <c r="A849" s="328" t="s">
        <v>2248</v>
      </c>
      <c r="B849" t="s">
        <v>2249</v>
      </c>
      <c r="C849" s="328"/>
      <c r="D849" s="328" t="str">
        <f t="shared" si="17"/>
        <v>NACE O - 77.33 Rental and leasing of office machinery, equipment and computers</v>
      </c>
      <c r="K849" t="s">
        <v>5489</v>
      </c>
    </row>
    <row r="850" spans="1:11" x14ac:dyDescent="0.3">
      <c r="A850" s="328" t="s">
        <v>2250</v>
      </c>
      <c r="B850" t="s">
        <v>2251</v>
      </c>
      <c r="C850" s="328"/>
      <c r="D850" s="328" t="str">
        <f t="shared" si="17"/>
        <v>NACE O - 77.34 Rental and leasing of water transport equipment</v>
      </c>
      <c r="K850" t="s">
        <v>5490</v>
      </c>
    </row>
    <row r="851" spans="1:11" x14ac:dyDescent="0.3">
      <c r="A851" s="328" t="s">
        <v>2252</v>
      </c>
      <c r="B851" t="s">
        <v>2253</v>
      </c>
      <c r="C851" s="328"/>
      <c r="D851" s="328" t="str">
        <f t="shared" si="17"/>
        <v>NACE O - 77.35 Rental and leasing of air transport equipment</v>
      </c>
      <c r="K851" t="s">
        <v>5491</v>
      </c>
    </row>
    <row r="852" spans="1:11" x14ac:dyDescent="0.3">
      <c r="A852" s="328" t="s">
        <v>2254</v>
      </c>
      <c r="B852" t="s">
        <v>2255</v>
      </c>
      <c r="C852" s="328"/>
      <c r="D852" s="328" t="str">
        <f t="shared" si="17"/>
        <v>NACE O - 77.39 Rental and leasing of other machinery, equipment and tangible goods n.e.c.</v>
      </c>
      <c r="K852" t="s">
        <v>5492</v>
      </c>
    </row>
    <row r="853" spans="1:11" x14ac:dyDescent="0.3">
      <c r="A853" s="327" t="s">
        <v>2256</v>
      </c>
      <c r="B853" t="s">
        <v>2257</v>
      </c>
      <c r="C853" s="328"/>
      <c r="D853" s="327" t="str">
        <f t="shared" si="17"/>
        <v>NACE O - 77.4 Leasing of intellectual property and similar products, except copyrighted works</v>
      </c>
      <c r="K853" t="s">
        <v>5493</v>
      </c>
    </row>
    <row r="854" spans="1:11" x14ac:dyDescent="0.3">
      <c r="A854" s="328" t="s">
        <v>2258</v>
      </c>
      <c r="B854" t="s">
        <v>2259</v>
      </c>
      <c r="C854" s="328"/>
      <c r="D854" s="328" t="str">
        <f t="shared" si="17"/>
        <v>NACE O - 77.40 Leasing of intellectual property and similar products, except copyrighted works</v>
      </c>
      <c r="K854" t="s">
        <v>5494</v>
      </c>
    </row>
    <row r="855" spans="1:11" x14ac:dyDescent="0.3">
      <c r="A855" s="327" t="s">
        <v>2260</v>
      </c>
      <c r="B855" t="s">
        <v>2261</v>
      </c>
      <c r="C855" s="328"/>
      <c r="D855" s="327" t="str">
        <f t="shared" si="17"/>
        <v>NACE O - 77.5 Intermediation service activities for rental and leasing of tangible goods and non-financial intangible assets</v>
      </c>
      <c r="K855" t="s">
        <v>5495</v>
      </c>
    </row>
    <row r="856" spans="1:11" x14ac:dyDescent="0.3">
      <c r="A856" s="328" t="s">
        <v>2262</v>
      </c>
      <c r="B856" t="s">
        <v>2263</v>
      </c>
      <c r="C856" s="328"/>
      <c r="D856" s="328" t="str">
        <f t="shared" si="17"/>
        <v>NACE O - 77.51 Intermediation service activities for rental and leasing of cars, motorhomes and trailers</v>
      </c>
      <c r="K856" t="s">
        <v>5496</v>
      </c>
    </row>
    <row r="857" spans="1:11" x14ac:dyDescent="0.3">
      <c r="A857" s="328" t="s">
        <v>2264</v>
      </c>
      <c r="B857" t="s">
        <v>2265</v>
      </c>
      <c r="C857" s="328"/>
      <c r="D857" s="328" t="str">
        <f t="shared" si="17"/>
        <v>NACE O - 77.52 Intermediation service activities for rental and leasing of other tangible goods and non-financial intangible assets</v>
      </c>
      <c r="K857" t="s">
        <v>5497</v>
      </c>
    </row>
    <row r="858" spans="1:11" x14ac:dyDescent="0.3">
      <c r="A858" s="324" t="s">
        <v>2266</v>
      </c>
      <c r="B858" t="s">
        <v>2267</v>
      </c>
      <c r="C858" s="328"/>
      <c r="D858" s="324" t="str">
        <f t="shared" si="17"/>
        <v>NACE O - 78 Employment activities</v>
      </c>
      <c r="K858" t="s">
        <v>5498</v>
      </c>
    </row>
    <row r="859" spans="1:11" x14ac:dyDescent="0.3">
      <c r="A859" s="327" t="s">
        <v>2268</v>
      </c>
      <c r="B859" t="s">
        <v>2269</v>
      </c>
      <c r="C859" s="328"/>
      <c r="D859" s="327" t="str">
        <f t="shared" si="17"/>
        <v>NACE O - 78.1 Activities of employment placement agencies</v>
      </c>
      <c r="K859" t="s">
        <v>5499</v>
      </c>
    </row>
    <row r="860" spans="1:11" x14ac:dyDescent="0.3">
      <c r="A860" s="328" t="s">
        <v>2270</v>
      </c>
      <c r="B860" t="s">
        <v>2271</v>
      </c>
      <c r="C860" s="328"/>
      <c r="D860" s="328" t="str">
        <f t="shared" si="17"/>
        <v>NACE O - 78.10 Activities of employment placement agencies</v>
      </c>
      <c r="K860" t="s">
        <v>5500</v>
      </c>
    </row>
    <row r="861" spans="1:11" x14ac:dyDescent="0.3">
      <c r="A861" s="327" t="s">
        <v>2272</v>
      </c>
      <c r="B861" t="s">
        <v>2273</v>
      </c>
      <c r="C861" s="328"/>
      <c r="D861" s="327" t="str">
        <f t="shared" si="17"/>
        <v>NACE O - 78.2 Temporary employment agency activities and other human resource provisions</v>
      </c>
      <c r="K861" t="s">
        <v>5501</v>
      </c>
    </row>
    <row r="862" spans="1:11" x14ac:dyDescent="0.3">
      <c r="A862" s="328" t="s">
        <v>2274</v>
      </c>
      <c r="B862" t="s">
        <v>2275</v>
      </c>
      <c r="C862" s="328"/>
      <c r="D862" s="328" t="str">
        <f t="shared" si="17"/>
        <v>NACE O - 78.20 Temporary employment agency activities and other human resource provisions</v>
      </c>
      <c r="K862" t="s">
        <v>5502</v>
      </c>
    </row>
    <row r="863" spans="1:11" x14ac:dyDescent="0.3">
      <c r="A863" s="324" t="s">
        <v>2276</v>
      </c>
      <c r="B863" t="s">
        <v>2277</v>
      </c>
      <c r="C863" s="328"/>
      <c r="D863" s="324" t="str">
        <f t="shared" si="17"/>
        <v>NACE O - 79 Travel agency, tour operator and other reservation service and related activities</v>
      </c>
      <c r="K863" t="s">
        <v>5503</v>
      </c>
    </row>
    <row r="864" spans="1:11" x14ac:dyDescent="0.3">
      <c r="A864" s="327" t="s">
        <v>2278</v>
      </c>
      <c r="B864" t="s">
        <v>2279</v>
      </c>
      <c r="C864" s="328"/>
      <c r="D864" s="327" t="str">
        <f t="shared" si="17"/>
        <v>NACE O - 79.1 Travel agency and tour operator activities</v>
      </c>
      <c r="K864" t="s">
        <v>5504</v>
      </c>
    </row>
    <row r="865" spans="1:11" x14ac:dyDescent="0.3">
      <c r="A865" s="328" t="s">
        <v>2280</v>
      </c>
      <c r="B865" t="s">
        <v>2281</v>
      </c>
      <c r="C865" s="328"/>
      <c r="D865" s="328" t="str">
        <f t="shared" si="17"/>
        <v>NACE O - 79.11 Travel agency activities</v>
      </c>
      <c r="K865" t="s">
        <v>5505</v>
      </c>
    </row>
    <row r="866" spans="1:11" x14ac:dyDescent="0.3">
      <c r="A866" s="328" t="s">
        <v>2282</v>
      </c>
      <c r="B866" t="s">
        <v>2283</v>
      </c>
      <c r="C866" s="328"/>
      <c r="D866" s="328" t="str">
        <f t="shared" si="17"/>
        <v>NACE O - 79.12 Tour operator activities</v>
      </c>
      <c r="K866" t="s">
        <v>5506</v>
      </c>
    </row>
    <row r="867" spans="1:11" x14ac:dyDescent="0.3">
      <c r="A867" s="327" t="s">
        <v>2284</v>
      </c>
      <c r="B867" t="s">
        <v>2285</v>
      </c>
      <c r="C867" s="328"/>
      <c r="D867" s="327" t="str">
        <f t="shared" si="17"/>
        <v>NACE O - 79.9 Other reservation service and related activities</v>
      </c>
      <c r="K867" t="s">
        <v>5507</v>
      </c>
    </row>
    <row r="868" spans="1:11" x14ac:dyDescent="0.3">
      <c r="A868" s="328" t="s">
        <v>2286</v>
      </c>
      <c r="B868" t="s">
        <v>2287</v>
      </c>
      <c r="C868" s="328"/>
      <c r="D868" s="328" t="str">
        <f t="shared" si="17"/>
        <v>NACE O - 79.90 Other reservation service and related activities</v>
      </c>
      <c r="K868" t="s">
        <v>5508</v>
      </c>
    </row>
    <row r="869" spans="1:11" x14ac:dyDescent="0.3">
      <c r="A869" s="324" t="s">
        <v>2288</v>
      </c>
      <c r="B869" t="s">
        <v>2289</v>
      </c>
      <c r="C869" s="328"/>
      <c r="D869" s="324" t="str">
        <f t="shared" si="17"/>
        <v>NACE O - 80 Investigation and security activities</v>
      </c>
      <c r="K869" t="s">
        <v>5509</v>
      </c>
    </row>
    <row r="870" spans="1:11" x14ac:dyDescent="0.3">
      <c r="A870" s="327" t="s">
        <v>2290</v>
      </c>
      <c r="B870" t="s">
        <v>2291</v>
      </c>
      <c r="C870" s="328"/>
      <c r="D870" s="327" t="str">
        <f t="shared" si="17"/>
        <v>NACE O - 80.0 Investigation and security activities</v>
      </c>
      <c r="K870" t="s">
        <v>5510</v>
      </c>
    </row>
    <row r="871" spans="1:11" x14ac:dyDescent="0.3">
      <c r="A871" s="328" t="s">
        <v>2292</v>
      </c>
      <c r="B871" t="s">
        <v>2293</v>
      </c>
      <c r="C871" s="328"/>
      <c r="D871" s="328" t="str">
        <f t="shared" si="17"/>
        <v>NACE O - 80.01 Investigation and private security activities</v>
      </c>
      <c r="K871" t="s">
        <v>5511</v>
      </c>
    </row>
    <row r="872" spans="1:11" x14ac:dyDescent="0.3">
      <c r="A872" s="328" t="s">
        <v>2294</v>
      </c>
      <c r="B872" t="s">
        <v>2295</v>
      </c>
      <c r="C872" s="328"/>
      <c r="D872" s="328" t="str">
        <f t="shared" si="17"/>
        <v>NACE O - 80.09 Security activities n.e.c.</v>
      </c>
      <c r="K872" t="s">
        <v>5512</v>
      </c>
    </row>
    <row r="873" spans="1:11" x14ac:dyDescent="0.3">
      <c r="A873" s="324" t="s">
        <v>2296</v>
      </c>
      <c r="B873" t="s">
        <v>2297</v>
      </c>
      <c r="C873" s="328"/>
      <c r="D873" s="324" t="str">
        <f t="shared" si="17"/>
        <v>NACE O - 81 Services to buildings and landscape activities</v>
      </c>
      <c r="K873" t="s">
        <v>5513</v>
      </c>
    </row>
    <row r="874" spans="1:11" x14ac:dyDescent="0.3">
      <c r="A874" s="327" t="s">
        <v>2298</v>
      </c>
      <c r="B874" t="s">
        <v>2299</v>
      </c>
      <c r="C874" s="328"/>
      <c r="D874" s="327" t="str">
        <f t="shared" si="17"/>
        <v>NACE O - 81.1 Combined facilities support activities</v>
      </c>
      <c r="K874" t="s">
        <v>5514</v>
      </c>
    </row>
    <row r="875" spans="1:11" x14ac:dyDescent="0.3">
      <c r="A875" s="328" t="s">
        <v>2300</v>
      </c>
      <c r="B875" t="s">
        <v>2301</v>
      </c>
      <c r="C875" s="328"/>
      <c r="D875" s="328" t="str">
        <f t="shared" si="17"/>
        <v>NACE O - 81.10 Combined facilities support activities</v>
      </c>
      <c r="K875" t="s">
        <v>5515</v>
      </c>
    </row>
    <row r="876" spans="1:11" x14ac:dyDescent="0.3">
      <c r="A876" s="327" t="s">
        <v>2302</v>
      </c>
      <c r="B876" t="s">
        <v>2303</v>
      </c>
      <c r="C876" s="328"/>
      <c r="D876" s="327" t="str">
        <f t="shared" si="17"/>
        <v>NACE O - 81.2 Cleaning activities</v>
      </c>
      <c r="K876" t="s">
        <v>5516</v>
      </c>
    </row>
    <row r="877" spans="1:11" x14ac:dyDescent="0.3">
      <c r="A877" s="328" t="s">
        <v>2304</v>
      </c>
      <c r="B877" t="s">
        <v>2305</v>
      </c>
      <c r="C877" s="328"/>
      <c r="D877" s="328" t="str">
        <f t="shared" si="17"/>
        <v>NACE O - 81.21 General cleaning of buildings</v>
      </c>
      <c r="K877" t="s">
        <v>5517</v>
      </c>
    </row>
    <row r="878" spans="1:11" x14ac:dyDescent="0.3">
      <c r="A878" s="328" t="s">
        <v>2306</v>
      </c>
      <c r="B878" t="s">
        <v>2307</v>
      </c>
      <c r="C878" s="328"/>
      <c r="D878" s="328" t="str">
        <f t="shared" si="17"/>
        <v>NACE O - 81.22 Other building and industrial cleaning activities</v>
      </c>
      <c r="K878" t="s">
        <v>5518</v>
      </c>
    </row>
    <row r="879" spans="1:11" x14ac:dyDescent="0.3">
      <c r="A879" s="328" t="s">
        <v>2308</v>
      </c>
      <c r="B879" t="s">
        <v>2309</v>
      </c>
      <c r="C879" s="328"/>
      <c r="D879" s="328" t="str">
        <f t="shared" si="17"/>
        <v>NACE O - 81.23 Other cleaning activities</v>
      </c>
      <c r="K879" t="s">
        <v>5519</v>
      </c>
    </row>
    <row r="880" spans="1:11" x14ac:dyDescent="0.3">
      <c r="A880" s="327" t="s">
        <v>2310</v>
      </c>
      <c r="B880" t="s">
        <v>2311</v>
      </c>
      <c r="C880" s="328"/>
      <c r="D880" s="327" t="str">
        <f t="shared" si="17"/>
        <v>NACE O - 81.3 Landscape service activities</v>
      </c>
      <c r="K880" t="s">
        <v>5520</v>
      </c>
    </row>
    <row r="881" spans="1:11" x14ac:dyDescent="0.3">
      <c r="A881" s="328" t="s">
        <v>2312</v>
      </c>
      <c r="B881" t="s">
        <v>2313</v>
      </c>
      <c r="C881" s="328"/>
      <c r="D881" s="328" t="str">
        <f t="shared" si="17"/>
        <v>NACE O - 81.30 Landscape service activities</v>
      </c>
      <c r="K881" t="s">
        <v>5521</v>
      </c>
    </row>
    <row r="882" spans="1:11" x14ac:dyDescent="0.3">
      <c r="A882" s="324" t="s">
        <v>2314</v>
      </c>
      <c r="B882" t="s">
        <v>2315</v>
      </c>
      <c r="C882" s="328"/>
      <c r="D882" s="324" t="str">
        <f t="shared" si="17"/>
        <v>NACE O - 82 Office administrative, office support and other business support activities</v>
      </c>
      <c r="K882" t="s">
        <v>5522</v>
      </c>
    </row>
    <row r="883" spans="1:11" x14ac:dyDescent="0.3">
      <c r="A883" s="327" t="s">
        <v>2316</v>
      </c>
      <c r="B883" t="s">
        <v>2317</v>
      </c>
      <c r="C883" s="328"/>
      <c r="D883" s="327" t="str">
        <f t="shared" si="17"/>
        <v>NACE O - 82.1 Office administrative and support activities</v>
      </c>
      <c r="K883" t="s">
        <v>5523</v>
      </c>
    </row>
    <row r="884" spans="1:11" x14ac:dyDescent="0.3">
      <c r="A884" s="328" t="s">
        <v>2318</v>
      </c>
      <c r="B884" t="s">
        <v>2319</v>
      </c>
      <c r="C884" s="328"/>
      <c r="D884" s="328" t="str">
        <f t="shared" si="17"/>
        <v>NACE O - 82.10 Office administrative and support activities</v>
      </c>
      <c r="K884" t="s">
        <v>5524</v>
      </c>
    </row>
    <row r="885" spans="1:11" x14ac:dyDescent="0.3">
      <c r="A885" s="327" t="s">
        <v>2320</v>
      </c>
      <c r="B885" t="s">
        <v>2321</v>
      </c>
      <c r="C885" s="328"/>
      <c r="D885" s="327" t="str">
        <f t="shared" si="17"/>
        <v>NACE O - 82.2 Activities of call centres</v>
      </c>
      <c r="K885" t="s">
        <v>5525</v>
      </c>
    </row>
    <row r="886" spans="1:11" x14ac:dyDescent="0.3">
      <c r="A886" s="328" t="s">
        <v>2322</v>
      </c>
      <c r="B886" t="s">
        <v>2323</v>
      </c>
      <c r="C886" s="328"/>
      <c r="D886" s="328" t="str">
        <f t="shared" si="17"/>
        <v>NACE O - 82.20 Activities of call centres</v>
      </c>
      <c r="K886" t="s">
        <v>5526</v>
      </c>
    </row>
    <row r="887" spans="1:11" x14ac:dyDescent="0.3">
      <c r="A887" s="327" t="s">
        <v>2324</v>
      </c>
      <c r="B887" t="s">
        <v>2325</v>
      </c>
      <c r="C887" s="328"/>
      <c r="D887" s="327" t="str">
        <f t="shared" si="17"/>
        <v>NACE O - 82.3 Organisation of conventions and trade shows</v>
      </c>
      <c r="K887" t="s">
        <v>5527</v>
      </c>
    </row>
    <row r="888" spans="1:11" x14ac:dyDescent="0.3">
      <c r="A888" s="328" t="s">
        <v>2326</v>
      </c>
      <c r="B888" t="s">
        <v>2327</v>
      </c>
      <c r="C888" s="328"/>
      <c r="D888" s="328" t="str">
        <f t="shared" si="17"/>
        <v>NACE O - 82.30 Organisation of conventions and trade shows</v>
      </c>
      <c r="K888" t="s">
        <v>5528</v>
      </c>
    </row>
    <row r="889" spans="1:11" x14ac:dyDescent="0.3">
      <c r="A889" s="327" t="s">
        <v>2328</v>
      </c>
      <c r="B889" t="s">
        <v>2329</v>
      </c>
      <c r="C889" s="328"/>
      <c r="D889" s="327" t="str">
        <f t="shared" si="17"/>
        <v>NACE O - 82.4 Intermediation service activities for business support service activities n.e.c.</v>
      </c>
      <c r="K889" t="s">
        <v>5529</v>
      </c>
    </row>
    <row r="890" spans="1:11" x14ac:dyDescent="0.3">
      <c r="A890" s="328" t="s">
        <v>2330</v>
      </c>
      <c r="B890" t="s">
        <v>2331</v>
      </c>
      <c r="C890" s="328"/>
      <c r="D890" s="328" t="str">
        <f t="shared" si="17"/>
        <v>NACE O - 82.40 Intermediation service activities for business support service activities n.e.c.</v>
      </c>
      <c r="K890" t="s">
        <v>5530</v>
      </c>
    </row>
    <row r="891" spans="1:11" x14ac:dyDescent="0.3">
      <c r="A891" s="327" t="s">
        <v>2332</v>
      </c>
      <c r="B891" t="s">
        <v>2333</v>
      </c>
      <c r="C891" s="328"/>
      <c r="D891" s="327" t="str">
        <f t="shared" si="17"/>
        <v>NACE O - 82.9 Business support service activities n.e.c.</v>
      </c>
      <c r="K891" t="s">
        <v>5531</v>
      </c>
    </row>
    <row r="892" spans="1:11" x14ac:dyDescent="0.3">
      <c r="A892" s="328" t="s">
        <v>2334</v>
      </c>
      <c r="B892" t="s">
        <v>2335</v>
      </c>
      <c r="C892" s="328"/>
      <c r="D892" s="328" t="str">
        <f t="shared" si="17"/>
        <v>NACE O - 82.91 Activities of collection agencies and credit bureaus</v>
      </c>
      <c r="K892" t="s">
        <v>5532</v>
      </c>
    </row>
    <row r="893" spans="1:11" x14ac:dyDescent="0.3">
      <c r="A893" s="328" t="s">
        <v>2336</v>
      </c>
      <c r="B893" t="s">
        <v>2337</v>
      </c>
      <c r="C893" s="328"/>
      <c r="D893" s="328" t="str">
        <f t="shared" si="17"/>
        <v>NACE O - 82.92 Packaging activities</v>
      </c>
      <c r="K893" t="s">
        <v>5533</v>
      </c>
    </row>
    <row r="894" spans="1:11" x14ac:dyDescent="0.3">
      <c r="A894" s="328" t="s">
        <v>2338</v>
      </c>
      <c r="B894" t="s">
        <v>2339</v>
      </c>
      <c r="C894" s="328"/>
      <c r="D894" s="328" t="str">
        <f t="shared" si="17"/>
        <v>NACE O - 82.99 Other business support service activities n.e.c.</v>
      </c>
      <c r="K894" t="s">
        <v>5534</v>
      </c>
    </row>
    <row r="895" spans="1:11" x14ac:dyDescent="0.3">
      <c r="A895" s="325" t="s">
        <v>2340</v>
      </c>
      <c r="B895" t="s">
        <v>2341</v>
      </c>
      <c r="C895" s="328"/>
      <c r="D895" s="325" t="str">
        <f t="shared" si="17"/>
        <v>NACE P - PUBLIC ADMINISTRATION AND DEFENCE; COMPULSORY SOCIAL SECURITY</v>
      </c>
      <c r="K895" t="s">
        <v>5535</v>
      </c>
    </row>
    <row r="896" spans="1:11" x14ac:dyDescent="0.3">
      <c r="A896" s="324" t="s">
        <v>2342</v>
      </c>
      <c r="B896" t="s">
        <v>2343</v>
      </c>
      <c r="C896" s="328"/>
      <c r="D896" s="324" t="str">
        <f t="shared" si="17"/>
        <v>NACE P - 84 Public administration and defence; compulsory social security</v>
      </c>
      <c r="K896" t="s">
        <v>5536</v>
      </c>
    </row>
    <row r="897" spans="1:11" x14ac:dyDescent="0.3">
      <c r="A897" s="327" t="s">
        <v>2344</v>
      </c>
      <c r="B897" t="s">
        <v>2345</v>
      </c>
      <c r="C897" s="328"/>
      <c r="D897" s="327" t="str">
        <f t="shared" si="17"/>
        <v>NACE P - 84.1 Administration of the State and the economic, social and environmental policies of the community</v>
      </c>
      <c r="K897" t="s">
        <v>5537</v>
      </c>
    </row>
    <row r="898" spans="1:11" x14ac:dyDescent="0.3">
      <c r="A898" s="328" t="s">
        <v>2346</v>
      </c>
      <c r="B898" t="s">
        <v>2347</v>
      </c>
      <c r="C898" s="328"/>
      <c r="D898" s="328" t="str">
        <f t="shared" ref="D898:D961" si="18">_xlfn.CONCAT("NACE ", A898)</f>
        <v>NACE P - 84.11 General public administration activities</v>
      </c>
      <c r="K898" t="s">
        <v>5538</v>
      </c>
    </row>
    <row r="899" spans="1:11" x14ac:dyDescent="0.3">
      <c r="A899" s="328" t="s">
        <v>2348</v>
      </c>
      <c r="B899" t="s">
        <v>2349</v>
      </c>
      <c r="C899" s="328"/>
      <c r="D899" s="328" t="str">
        <f t="shared" si="18"/>
        <v>NACE P - 84.12 Regulation of health care, education, cultural services and other social services</v>
      </c>
      <c r="K899" t="s">
        <v>5539</v>
      </c>
    </row>
    <row r="900" spans="1:11" x14ac:dyDescent="0.3">
      <c r="A900" s="328" t="s">
        <v>2350</v>
      </c>
      <c r="B900" t="s">
        <v>2351</v>
      </c>
      <c r="C900" s="328"/>
      <c r="D900" s="328" t="str">
        <f t="shared" si="18"/>
        <v>NACE P - 84.13 Regulation of and contribution to more efficient operation of businesses</v>
      </c>
      <c r="K900" t="s">
        <v>5540</v>
      </c>
    </row>
    <row r="901" spans="1:11" x14ac:dyDescent="0.3">
      <c r="A901" s="327" t="s">
        <v>2352</v>
      </c>
      <c r="B901" t="s">
        <v>2353</v>
      </c>
      <c r="C901" s="328"/>
      <c r="D901" s="327" t="str">
        <f t="shared" si="18"/>
        <v>NACE P - 84.2 Provision of services to the community as a whole</v>
      </c>
      <c r="K901" t="s">
        <v>5541</v>
      </c>
    </row>
    <row r="902" spans="1:11" x14ac:dyDescent="0.3">
      <c r="A902" s="328" t="s">
        <v>2354</v>
      </c>
      <c r="B902" t="s">
        <v>2355</v>
      </c>
      <c r="C902" s="328"/>
      <c r="D902" s="328" t="str">
        <f t="shared" si="18"/>
        <v>NACE P - 84.21 Foreign affairs</v>
      </c>
      <c r="K902" t="s">
        <v>5542</v>
      </c>
    </row>
    <row r="903" spans="1:11" x14ac:dyDescent="0.3">
      <c r="A903" s="328" t="s">
        <v>2356</v>
      </c>
      <c r="B903" t="s">
        <v>2357</v>
      </c>
      <c r="C903" s="328"/>
      <c r="D903" s="328" t="str">
        <f t="shared" si="18"/>
        <v>NACE P - 84.22 Defence activities</v>
      </c>
      <c r="K903" t="s">
        <v>5543</v>
      </c>
    </row>
    <row r="904" spans="1:11" x14ac:dyDescent="0.3">
      <c r="A904" s="328" t="s">
        <v>2358</v>
      </c>
      <c r="B904" t="s">
        <v>2359</v>
      </c>
      <c r="C904" s="328"/>
      <c r="D904" s="328" t="str">
        <f t="shared" si="18"/>
        <v>NACE P - 84.23 Justice and judicial activities</v>
      </c>
      <c r="K904" t="s">
        <v>5544</v>
      </c>
    </row>
    <row r="905" spans="1:11" x14ac:dyDescent="0.3">
      <c r="A905" s="328" t="s">
        <v>2360</v>
      </c>
      <c r="B905" t="s">
        <v>2361</v>
      </c>
      <c r="C905" s="328"/>
      <c r="D905" s="328" t="str">
        <f t="shared" si="18"/>
        <v>NACE P - 84.24 Public order and safety activities</v>
      </c>
      <c r="K905" t="s">
        <v>5545</v>
      </c>
    </row>
    <row r="906" spans="1:11" x14ac:dyDescent="0.3">
      <c r="A906" s="328" t="s">
        <v>2362</v>
      </c>
      <c r="B906" t="s">
        <v>2363</v>
      </c>
      <c r="C906" s="328"/>
      <c r="D906" s="328" t="str">
        <f t="shared" si="18"/>
        <v>NACE P - 84.25 Fire service activities</v>
      </c>
      <c r="K906" t="s">
        <v>5546</v>
      </c>
    </row>
    <row r="907" spans="1:11" x14ac:dyDescent="0.3">
      <c r="A907" s="327" t="s">
        <v>2364</v>
      </c>
      <c r="B907" t="s">
        <v>2365</v>
      </c>
      <c r="C907" s="328"/>
      <c r="D907" s="327" t="str">
        <f t="shared" si="18"/>
        <v>NACE P - 84.3 Compulsory social security activities</v>
      </c>
      <c r="K907" t="s">
        <v>5547</v>
      </c>
    </row>
    <row r="908" spans="1:11" x14ac:dyDescent="0.3">
      <c r="A908" s="328" t="s">
        <v>2366</v>
      </c>
      <c r="B908" t="s">
        <v>2367</v>
      </c>
      <c r="C908" s="328"/>
      <c r="D908" s="328" t="str">
        <f t="shared" si="18"/>
        <v>NACE P - 84.30 Compulsory social security activities</v>
      </c>
      <c r="K908" t="s">
        <v>5548</v>
      </c>
    </row>
    <row r="909" spans="1:11" x14ac:dyDescent="0.3">
      <c r="A909" s="325" t="s">
        <v>2368</v>
      </c>
      <c r="B909" t="s">
        <v>2369</v>
      </c>
      <c r="C909" s="328"/>
      <c r="D909" s="325" t="str">
        <f t="shared" si="18"/>
        <v>NACE Q - EDUCATION</v>
      </c>
      <c r="K909" t="s">
        <v>5549</v>
      </c>
    </row>
    <row r="910" spans="1:11" x14ac:dyDescent="0.3">
      <c r="A910" s="324" t="s">
        <v>2370</v>
      </c>
      <c r="B910" t="s">
        <v>2371</v>
      </c>
      <c r="C910" s="328"/>
      <c r="D910" s="324" t="str">
        <f t="shared" si="18"/>
        <v>NACE Q - 85 Education</v>
      </c>
      <c r="K910" t="s">
        <v>5550</v>
      </c>
    </row>
    <row r="911" spans="1:11" x14ac:dyDescent="0.3">
      <c r="A911" s="327" t="s">
        <v>2372</v>
      </c>
      <c r="B911" t="s">
        <v>2373</v>
      </c>
      <c r="C911" s="328"/>
      <c r="D911" s="327" t="str">
        <f t="shared" si="18"/>
        <v>NACE Q - 85.1 Pre-primary education</v>
      </c>
      <c r="K911" t="s">
        <v>5551</v>
      </c>
    </row>
    <row r="912" spans="1:11" x14ac:dyDescent="0.3">
      <c r="A912" s="328" t="s">
        <v>2374</v>
      </c>
      <c r="B912" t="s">
        <v>2375</v>
      </c>
      <c r="C912" s="328"/>
      <c r="D912" s="328" t="str">
        <f t="shared" si="18"/>
        <v>NACE Q - 85.10 Pre-primary education</v>
      </c>
      <c r="K912" t="s">
        <v>5552</v>
      </c>
    </row>
    <row r="913" spans="1:11" x14ac:dyDescent="0.3">
      <c r="A913" s="327" t="s">
        <v>2376</v>
      </c>
      <c r="B913" t="s">
        <v>2377</v>
      </c>
      <c r="C913" s="328"/>
      <c r="D913" s="327" t="str">
        <f t="shared" si="18"/>
        <v>NACE Q - 85.2 Primary education</v>
      </c>
      <c r="K913" t="s">
        <v>5553</v>
      </c>
    </row>
    <row r="914" spans="1:11" x14ac:dyDescent="0.3">
      <c r="A914" s="328" t="s">
        <v>2378</v>
      </c>
      <c r="B914" t="s">
        <v>2379</v>
      </c>
      <c r="C914" s="328"/>
      <c r="D914" s="328" t="str">
        <f t="shared" si="18"/>
        <v>NACE Q - 85.20 Primary education</v>
      </c>
      <c r="K914" t="s">
        <v>5554</v>
      </c>
    </row>
    <row r="915" spans="1:11" x14ac:dyDescent="0.3">
      <c r="A915" s="327" t="s">
        <v>2380</v>
      </c>
      <c r="B915" t="s">
        <v>2381</v>
      </c>
      <c r="C915" s="328"/>
      <c r="D915" s="327" t="str">
        <f t="shared" si="18"/>
        <v>NACE Q - 85.3 Secondary and post-secondary non-tertiary education</v>
      </c>
      <c r="K915" t="s">
        <v>5555</v>
      </c>
    </row>
    <row r="916" spans="1:11" x14ac:dyDescent="0.3">
      <c r="A916" s="328" t="s">
        <v>2382</v>
      </c>
      <c r="B916" t="s">
        <v>2383</v>
      </c>
      <c r="C916" s="328"/>
      <c r="D916" s="328" t="str">
        <f t="shared" si="18"/>
        <v>NACE Q - 85.31 General secondary education</v>
      </c>
      <c r="K916" t="s">
        <v>5556</v>
      </c>
    </row>
    <row r="917" spans="1:11" x14ac:dyDescent="0.3">
      <c r="A917" s="328" t="s">
        <v>2384</v>
      </c>
      <c r="B917" t="s">
        <v>2385</v>
      </c>
      <c r="C917" s="328"/>
      <c r="D917" s="328" t="str">
        <f t="shared" si="18"/>
        <v>NACE Q - 85.32 Vocational secondary education</v>
      </c>
      <c r="K917" t="s">
        <v>5557</v>
      </c>
    </row>
    <row r="918" spans="1:11" x14ac:dyDescent="0.3">
      <c r="A918" s="328" t="s">
        <v>2386</v>
      </c>
      <c r="B918" t="s">
        <v>2387</v>
      </c>
      <c r="C918" s="328"/>
      <c r="D918" s="328" t="str">
        <f t="shared" si="18"/>
        <v>NACE Q - 85.33 Post-secondary non-tertiary education</v>
      </c>
      <c r="K918" t="s">
        <v>5558</v>
      </c>
    </row>
    <row r="919" spans="1:11" x14ac:dyDescent="0.3">
      <c r="A919" s="327" t="s">
        <v>2388</v>
      </c>
      <c r="B919" t="s">
        <v>2389</v>
      </c>
      <c r="C919" s="328"/>
      <c r="D919" s="327" t="str">
        <f t="shared" si="18"/>
        <v>NACE Q - 85.4 Tertiary education</v>
      </c>
      <c r="K919" t="s">
        <v>5559</v>
      </c>
    </row>
    <row r="920" spans="1:11" x14ac:dyDescent="0.3">
      <c r="A920" s="328" t="s">
        <v>2390</v>
      </c>
      <c r="B920" t="s">
        <v>2391</v>
      </c>
      <c r="C920" s="328"/>
      <c r="D920" s="328" t="str">
        <f t="shared" si="18"/>
        <v>NACE Q - 85.40 Tertiary education</v>
      </c>
      <c r="K920" t="s">
        <v>5560</v>
      </c>
    </row>
    <row r="921" spans="1:11" x14ac:dyDescent="0.3">
      <c r="A921" s="327" t="s">
        <v>2392</v>
      </c>
      <c r="B921" t="s">
        <v>2393</v>
      </c>
      <c r="C921" s="328"/>
      <c r="D921" s="327" t="str">
        <f t="shared" si="18"/>
        <v>NACE Q - 85.5 Other education</v>
      </c>
      <c r="K921" t="s">
        <v>5561</v>
      </c>
    </row>
    <row r="922" spans="1:11" x14ac:dyDescent="0.3">
      <c r="A922" s="328" t="s">
        <v>2394</v>
      </c>
      <c r="B922" t="s">
        <v>2395</v>
      </c>
      <c r="C922" s="328"/>
      <c r="D922" s="328" t="str">
        <f t="shared" si="18"/>
        <v>NACE Q - 85.51 Sports and recreation education</v>
      </c>
      <c r="K922" t="s">
        <v>5562</v>
      </c>
    </row>
    <row r="923" spans="1:11" x14ac:dyDescent="0.3">
      <c r="A923" s="328" t="s">
        <v>2396</v>
      </c>
      <c r="B923" t="s">
        <v>2397</v>
      </c>
      <c r="C923" s="328"/>
      <c r="D923" s="328" t="str">
        <f t="shared" si="18"/>
        <v>NACE Q - 85.52 Cultural education</v>
      </c>
      <c r="K923" t="s">
        <v>5563</v>
      </c>
    </row>
    <row r="924" spans="1:11" x14ac:dyDescent="0.3">
      <c r="A924" s="328" t="s">
        <v>2398</v>
      </c>
      <c r="B924" t="s">
        <v>2399</v>
      </c>
      <c r="C924" s="328"/>
      <c r="D924" s="328" t="str">
        <f t="shared" si="18"/>
        <v>NACE Q - 85.53 Driving school activities</v>
      </c>
      <c r="K924" t="s">
        <v>5564</v>
      </c>
    </row>
    <row r="925" spans="1:11" x14ac:dyDescent="0.3">
      <c r="A925" s="328" t="s">
        <v>2400</v>
      </c>
      <c r="B925" t="s">
        <v>2401</v>
      </c>
      <c r="C925" s="328"/>
      <c r="D925" s="328" t="str">
        <f t="shared" si="18"/>
        <v>NACE Q - 85.59 Other education n.e.c.</v>
      </c>
      <c r="K925" t="s">
        <v>5565</v>
      </c>
    </row>
    <row r="926" spans="1:11" x14ac:dyDescent="0.3">
      <c r="A926" s="327" t="s">
        <v>2402</v>
      </c>
      <c r="B926" t="s">
        <v>2403</v>
      </c>
      <c r="C926" s="328"/>
      <c r="D926" s="327" t="str">
        <f t="shared" si="18"/>
        <v>NACE Q - 85.6 Educational support activities</v>
      </c>
      <c r="K926" t="s">
        <v>5566</v>
      </c>
    </row>
    <row r="927" spans="1:11" x14ac:dyDescent="0.3">
      <c r="A927" s="328" t="s">
        <v>2404</v>
      </c>
      <c r="B927" t="s">
        <v>2405</v>
      </c>
      <c r="C927" s="328"/>
      <c r="D927" s="328" t="str">
        <f t="shared" si="18"/>
        <v>NACE Q - 85.61 Intermediation service activities for courses and tutors</v>
      </c>
      <c r="K927" t="s">
        <v>5567</v>
      </c>
    </row>
    <row r="928" spans="1:11" x14ac:dyDescent="0.3">
      <c r="A928" s="328" t="s">
        <v>2406</v>
      </c>
      <c r="B928" t="s">
        <v>2407</v>
      </c>
      <c r="C928" s="328"/>
      <c r="D928" s="328" t="str">
        <f t="shared" si="18"/>
        <v>NACE Q - 85.69 Educational support activities n.e.c.</v>
      </c>
      <c r="K928" t="s">
        <v>5568</v>
      </c>
    </row>
    <row r="929" spans="1:11" x14ac:dyDescent="0.3">
      <c r="A929" s="325" t="s">
        <v>2408</v>
      </c>
      <c r="B929" t="s">
        <v>2409</v>
      </c>
      <c r="C929" s="328"/>
      <c r="D929" s="325" t="str">
        <f t="shared" si="18"/>
        <v>NACE R - HUMAN HEALTH AND SOCIAL WORK ACTIVITIES</v>
      </c>
      <c r="K929" t="s">
        <v>5569</v>
      </c>
    </row>
    <row r="930" spans="1:11" x14ac:dyDescent="0.3">
      <c r="A930" s="324" t="s">
        <v>2410</v>
      </c>
      <c r="B930" t="s">
        <v>2411</v>
      </c>
      <c r="C930" s="328"/>
      <c r="D930" s="324" t="str">
        <f t="shared" si="18"/>
        <v>NACE R - 86 Human health activities</v>
      </c>
      <c r="K930" t="s">
        <v>5570</v>
      </c>
    </row>
    <row r="931" spans="1:11" x14ac:dyDescent="0.3">
      <c r="A931" s="327" t="s">
        <v>2412</v>
      </c>
      <c r="B931" t="s">
        <v>2413</v>
      </c>
      <c r="C931" s="328"/>
      <c r="D931" s="327" t="str">
        <f t="shared" si="18"/>
        <v>NACE R - 86.1 Hospital activities</v>
      </c>
      <c r="K931" t="s">
        <v>4659</v>
      </c>
    </row>
    <row r="932" spans="1:11" x14ac:dyDescent="0.3">
      <c r="A932" s="328" t="s">
        <v>2414</v>
      </c>
      <c r="B932" t="s">
        <v>2415</v>
      </c>
      <c r="C932" s="328"/>
      <c r="D932" s="328" t="str">
        <f t="shared" si="18"/>
        <v>NACE R - 86.10 Hospital activities</v>
      </c>
      <c r="K932" t="s">
        <v>5571</v>
      </c>
    </row>
    <row r="933" spans="1:11" x14ac:dyDescent="0.3">
      <c r="A933" s="327" t="s">
        <v>2416</v>
      </c>
      <c r="B933" t="s">
        <v>2417</v>
      </c>
      <c r="C933" s="328"/>
      <c r="D933" s="327" t="str">
        <f t="shared" si="18"/>
        <v>NACE R - 86.2 Medical and dental practice activities</v>
      </c>
      <c r="K933" t="s">
        <v>5572</v>
      </c>
    </row>
    <row r="934" spans="1:11" x14ac:dyDescent="0.3">
      <c r="A934" s="328" t="s">
        <v>2418</v>
      </c>
      <c r="B934" t="s">
        <v>2419</v>
      </c>
      <c r="C934" s="328"/>
      <c r="D934" s="328" t="str">
        <f t="shared" si="18"/>
        <v>NACE R - 86.21 General medical practice activities</v>
      </c>
      <c r="K934" t="s">
        <v>5573</v>
      </c>
    </row>
    <row r="935" spans="1:11" x14ac:dyDescent="0.3">
      <c r="A935" s="328" t="s">
        <v>2420</v>
      </c>
      <c r="B935" t="s">
        <v>2421</v>
      </c>
      <c r="C935" s="328"/>
      <c r="D935" s="328" t="str">
        <f t="shared" si="18"/>
        <v>NACE R - 86.22 Medical specialists activities</v>
      </c>
      <c r="K935" t="s">
        <v>5574</v>
      </c>
    </row>
    <row r="936" spans="1:11" x14ac:dyDescent="0.3">
      <c r="A936" s="328" t="s">
        <v>2422</v>
      </c>
      <c r="B936" t="s">
        <v>2423</v>
      </c>
      <c r="C936" s="328"/>
      <c r="D936" s="328" t="str">
        <f t="shared" si="18"/>
        <v>NACE R - 86.23 Dental practice care activities</v>
      </c>
      <c r="K936" t="s">
        <v>5575</v>
      </c>
    </row>
    <row r="937" spans="1:11" x14ac:dyDescent="0.3">
      <c r="A937" s="327" t="s">
        <v>2424</v>
      </c>
      <c r="B937" t="s">
        <v>2425</v>
      </c>
      <c r="C937" s="328"/>
      <c r="D937" s="327" t="str">
        <f t="shared" si="18"/>
        <v>NACE R - 86.9 Other human health activities</v>
      </c>
      <c r="K937" t="s">
        <v>5576</v>
      </c>
    </row>
    <row r="938" spans="1:11" x14ac:dyDescent="0.3">
      <c r="A938" s="328" t="s">
        <v>2426</v>
      </c>
      <c r="B938" t="s">
        <v>2427</v>
      </c>
      <c r="C938" s="328"/>
      <c r="D938" s="328" t="str">
        <f t="shared" si="18"/>
        <v>NACE R - 86.91 Diagnostic imaging services and medical laboratory activities</v>
      </c>
      <c r="K938" t="s">
        <v>5577</v>
      </c>
    </row>
    <row r="939" spans="1:11" x14ac:dyDescent="0.3">
      <c r="A939" s="328" t="s">
        <v>2428</v>
      </c>
      <c r="B939" t="s">
        <v>2429</v>
      </c>
      <c r="C939" s="328"/>
      <c r="D939" s="328" t="str">
        <f t="shared" si="18"/>
        <v>NACE R - 86.92 Patient transportation by ambulance</v>
      </c>
      <c r="K939" t="s">
        <v>5578</v>
      </c>
    </row>
    <row r="940" spans="1:11" x14ac:dyDescent="0.3">
      <c r="A940" s="328" t="s">
        <v>2430</v>
      </c>
      <c r="B940" t="s">
        <v>2431</v>
      </c>
      <c r="C940" s="328"/>
      <c r="D940" s="328" t="str">
        <f t="shared" si="18"/>
        <v>NACE R - 86.93 Activities of psychologists and psychotherapists, except medical doctors</v>
      </c>
      <c r="K940" t="s">
        <v>5579</v>
      </c>
    </row>
    <row r="941" spans="1:11" x14ac:dyDescent="0.3">
      <c r="A941" s="328" t="s">
        <v>2432</v>
      </c>
      <c r="B941" t="s">
        <v>2433</v>
      </c>
      <c r="C941" s="328"/>
      <c r="D941" s="328" t="str">
        <f t="shared" si="18"/>
        <v>NACE R - 86.94 Nursing and midwifery activities</v>
      </c>
      <c r="K941" t="s">
        <v>5580</v>
      </c>
    </row>
    <row r="942" spans="1:11" x14ac:dyDescent="0.3">
      <c r="A942" s="328" t="s">
        <v>2434</v>
      </c>
      <c r="B942" t="s">
        <v>2435</v>
      </c>
      <c r="C942" s="328"/>
      <c r="D942" s="328" t="str">
        <f t="shared" si="18"/>
        <v>NACE R - 86.95 Physiotherapy activities</v>
      </c>
      <c r="K942" t="s">
        <v>5581</v>
      </c>
    </row>
    <row r="943" spans="1:11" x14ac:dyDescent="0.3">
      <c r="A943" s="328" t="s">
        <v>2436</v>
      </c>
      <c r="B943" t="s">
        <v>2437</v>
      </c>
      <c r="C943" s="328"/>
      <c r="D943" s="328" t="str">
        <f t="shared" si="18"/>
        <v>NACE R - 86.96 Traditional, complementary and alternative medicine activities</v>
      </c>
      <c r="K943" t="s">
        <v>5582</v>
      </c>
    </row>
    <row r="944" spans="1:11" x14ac:dyDescent="0.3">
      <c r="A944" s="328" t="s">
        <v>2438</v>
      </c>
      <c r="B944" t="s">
        <v>2439</v>
      </c>
      <c r="C944" s="328"/>
      <c r="D944" s="328" t="str">
        <f t="shared" si="18"/>
        <v>NACE R - 86.97 Intermediation service activities for medical, dental and other human health services</v>
      </c>
      <c r="K944" t="s">
        <v>5583</v>
      </c>
    </row>
    <row r="945" spans="1:11" x14ac:dyDescent="0.3">
      <c r="A945" s="328" t="s">
        <v>2440</v>
      </c>
      <c r="B945" t="s">
        <v>2441</v>
      </c>
      <c r="C945" s="328"/>
      <c r="D945" s="328" t="str">
        <f t="shared" si="18"/>
        <v>NACE R - 86.99 Other human health activities n.e.c.</v>
      </c>
      <c r="K945" t="s">
        <v>5584</v>
      </c>
    </row>
    <row r="946" spans="1:11" x14ac:dyDescent="0.3">
      <c r="A946" s="324" t="s">
        <v>2442</v>
      </c>
      <c r="B946" t="s">
        <v>2443</v>
      </c>
      <c r="C946" s="328"/>
      <c r="D946" s="324" t="str">
        <f t="shared" si="18"/>
        <v>NACE R - 87 Residential care activities</v>
      </c>
      <c r="K946" t="s">
        <v>5585</v>
      </c>
    </row>
    <row r="947" spans="1:11" x14ac:dyDescent="0.3">
      <c r="A947" s="327" t="s">
        <v>2444</v>
      </c>
      <c r="B947" t="s">
        <v>2445</v>
      </c>
      <c r="C947" s="328"/>
      <c r="D947" s="327" t="str">
        <f t="shared" si="18"/>
        <v>NACE R - 87.1 Residential nursing care activities</v>
      </c>
      <c r="K947" t="s">
        <v>5586</v>
      </c>
    </row>
    <row r="948" spans="1:11" x14ac:dyDescent="0.3">
      <c r="A948" s="328" t="s">
        <v>2446</v>
      </c>
      <c r="B948" t="s">
        <v>2447</v>
      </c>
      <c r="C948" s="328"/>
      <c r="D948" s="328" t="str">
        <f t="shared" si="18"/>
        <v>NACE R - 87.10 Residential nursing care activities</v>
      </c>
      <c r="K948" t="s">
        <v>5587</v>
      </c>
    </row>
    <row r="949" spans="1:11" x14ac:dyDescent="0.3">
      <c r="A949" s="327" t="s">
        <v>2448</v>
      </c>
      <c r="B949" t="s">
        <v>2449</v>
      </c>
      <c r="C949" s="328"/>
      <c r="D949" s="327" t="str">
        <f t="shared" si="18"/>
        <v>NACE R - 87.2 Residential care activities for persons living with or having a diagnosis of a mental illness or substance abuse</v>
      </c>
      <c r="K949" t="s">
        <v>5588</v>
      </c>
    </row>
    <row r="950" spans="1:11" x14ac:dyDescent="0.3">
      <c r="A950" s="328" t="s">
        <v>2450</v>
      </c>
      <c r="B950" t="s">
        <v>2451</v>
      </c>
      <c r="C950" s="328"/>
      <c r="D950" s="328" t="str">
        <f t="shared" si="18"/>
        <v>NACE R - 87.20 Residential care activities for persons living with or having a diagnosis of a mental illness or substance abuse</v>
      </c>
      <c r="K950" t="s">
        <v>5589</v>
      </c>
    </row>
    <row r="951" spans="1:11" x14ac:dyDescent="0.3">
      <c r="A951" s="327" t="s">
        <v>2452</v>
      </c>
      <c r="B951" t="s">
        <v>2453</v>
      </c>
      <c r="C951" s="328"/>
      <c r="D951" s="327" t="str">
        <f t="shared" si="18"/>
        <v>NACE R - 87.3 Residential care activities for older persons or persons with physical disabilities</v>
      </c>
      <c r="K951" t="s">
        <v>5590</v>
      </c>
    </row>
    <row r="952" spans="1:11" x14ac:dyDescent="0.3">
      <c r="A952" s="328" t="s">
        <v>2454</v>
      </c>
      <c r="B952" t="s">
        <v>2455</v>
      </c>
      <c r="C952" s="328"/>
      <c r="D952" s="328" t="str">
        <f t="shared" si="18"/>
        <v>NACE R - 87.30 Residential care activities for older persons or persons with physical disabilities</v>
      </c>
      <c r="K952" t="s">
        <v>5591</v>
      </c>
    </row>
    <row r="953" spans="1:11" x14ac:dyDescent="0.3">
      <c r="A953" s="327" t="s">
        <v>2456</v>
      </c>
      <c r="B953" t="s">
        <v>2457</v>
      </c>
      <c r="C953" s="328"/>
      <c r="D953" s="327" t="str">
        <f t="shared" si="18"/>
        <v>NACE R - 87.9 Other residential care activities</v>
      </c>
      <c r="K953" t="s">
        <v>5592</v>
      </c>
    </row>
    <row r="954" spans="1:11" x14ac:dyDescent="0.3">
      <c r="A954" s="328" t="s">
        <v>2458</v>
      </c>
      <c r="B954" t="s">
        <v>2459</v>
      </c>
      <c r="C954" s="328"/>
      <c r="D954" s="328" t="str">
        <f t="shared" si="18"/>
        <v>NACE R - 87.91 Intermediation service activities for residential care activities</v>
      </c>
      <c r="K954" t="s">
        <v>5593</v>
      </c>
    </row>
    <row r="955" spans="1:11" x14ac:dyDescent="0.3">
      <c r="A955" s="328" t="s">
        <v>2460</v>
      </c>
      <c r="B955" t="s">
        <v>2461</v>
      </c>
      <c r="C955" s="328"/>
      <c r="D955" s="328" t="str">
        <f t="shared" si="18"/>
        <v>NACE R - 87.99 Other residential care activities n.e.c.</v>
      </c>
      <c r="K955" t="s">
        <v>5594</v>
      </c>
    </row>
    <row r="956" spans="1:11" x14ac:dyDescent="0.3">
      <c r="A956" s="324" t="s">
        <v>2462</v>
      </c>
      <c r="B956" t="s">
        <v>2463</v>
      </c>
      <c r="C956" s="328"/>
      <c r="D956" s="324" t="str">
        <f t="shared" si="18"/>
        <v>NACE R - 88 Social work activities without accommodation</v>
      </c>
      <c r="K956" t="s">
        <v>5595</v>
      </c>
    </row>
    <row r="957" spans="1:11" x14ac:dyDescent="0.3">
      <c r="A957" s="327" t="s">
        <v>2464</v>
      </c>
      <c r="B957" t="s">
        <v>2465</v>
      </c>
      <c r="C957" s="328"/>
      <c r="D957" s="327" t="str">
        <f t="shared" si="18"/>
        <v>NACE R - 88.1 Social work activities without accommodation for older persons or persons with disabilities</v>
      </c>
      <c r="K957" t="s">
        <v>5596</v>
      </c>
    </row>
    <row r="958" spans="1:11" x14ac:dyDescent="0.3">
      <c r="A958" s="328" t="s">
        <v>2466</v>
      </c>
      <c r="B958" t="s">
        <v>2467</v>
      </c>
      <c r="C958" s="328"/>
      <c r="D958" s="328" t="str">
        <f t="shared" si="18"/>
        <v>NACE R - 88.10 Social work activities without accommodation for older persons or persons with disabilities</v>
      </c>
      <c r="K958" t="s">
        <v>5597</v>
      </c>
    </row>
    <row r="959" spans="1:11" x14ac:dyDescent="0.3">
      <c r="A959" s="327" t="s">
        <v>2468</v>
      </c>
      <c r="B959" t="s">
        <v>2469</v>
      </c>
      <c r="C959" s="328"/>
      <c r="D959" s="327" t="str">
        <f t="shared" si="18"/>
        <v>NACE R - 88.9 Other social work activities without accommodation</v>
      </c>
      <c r="K959" t="s">
        <v>5598</v>
      </c>
    </row>
    <row r="960" spans="1:11" x14ac:dyDescent="0.3">
      <c r="A960" s="328" t="s">
        <v>2470</v>
      </c>
      <c r="B960" t="s">
        <v>2471</v>
      </c>
      <c r="C960" s="328"/>
      <c r="D960" s="328" t="str">
        <f t="shared" si="18"/>
        <v>NACE R - 88.91 Child day-care activities</v>
      </c>
      <c r="K960" t="s">
        <v>5599</v>
      </c>
    </row>
    <row r="961" spans="1:11" x14ac:dyDescent="0.3">
      <c r="A961" s="328" t="s">
        <v>2472</v>
      </c>
      <c r="B961" t="s">
        <v>2473</v>
      </c>
      <c r="C961" s="328"/>
      <c r="D961" s="328" t="str">
        <f t="shared" si="18"/>
        <v>NACE R - 88.99 Other social work activities without accommodation n.e.c.</v>
      </c>
      <c r="K961" t="s">
        <v>5600</v>
      </c>
    </row>
    <row r="962" spans="1:11" x14ac:dyDescent="0.3">
      <c r="A962" s="325" t="s">
        <v>2474</v>
      </c>
      <c r="B962" t="s">
        <v>2475</v>
      </c>
      <c r="C962" s="328"/>
      <c r="D962" s="325" t="str">
        <f t="shared" ref="D962:D1025" si="19">_xlfn.CONCAT("NACE ", A962)</f>
        <v>NACE S - ARTS, SPORTS AND RECREATION</v>
      </c>
      <c r="K962" t="s">
        <v>5601</v>
      </c>
    </row>
    <row r="963" spans="1:11" x14ac:dyDescent="0.3">
      <c r="A963" s="324" t="s">
        <v>2476</v>
      </c>
      <c r="B963" t="s">
        <v>2477</v>
      </c>
      <c r="C963" s="328"/>
      <c r="D963" s="324" t="str">
        <f t="shared" si="19"/>
        <v>NACE S - 90 Arts creation and performing arts activities</v>
      </c>
      <c r="K963" t="s">
        <v>5602</v>
      </c>
    </row>
    <row r="964" spans="1:11" x14ac:dyDescent="0.3">
      <c r="A964" s="327" t="s">
        <v>2478</v>
      </c>
      <c r="B964" t="s">
        <v>2479</v>
      </c>
      <c r="C964" s="328"/>
      <c r="D964" s="327" t="str">
        <f t="shared" si="19"/>
        <v>NACE S - 90.1 Arts creation activities</v>
      </c>
      <c r="K964" t="s">
        <v>5603</v>
      </c>
    </row>
    <row r="965" spans="1:11" x14ac:dyDescent="0.3">
      <c r="A965" s="328" t="s">
        <v>2480</v>
      </c>
      <c r="B965" t="s">
        <v>2481</v>
      </c>
      <c r="C965" s="328"/>
      <c r="D965" s="328" t="str">
        <f t="shared" si="19"/>
        <v>NACE S - 90.11 Literary creation and musical composition activities</v>
      </c>
      <c r="K965" t="s">
        <v>5604</v>
      </c>
    </row>
    <row r="966" spans="1:11" x14ac:dyDescent="0.3">
      <c r="A966" s="328" t="s">
        <v>2482</v>
      </c>
      <c r="B966" t="s">
        <v>2483</v>
      </c>
      <c r="C966" s="328"/>
      <c r="D966" s="328" t="str">
        <f t="shared" si="19"/>
        <v>NACE S - 90.12 Visual arts creation activities</v>
      </c>
      <c r="K966" t="s">
        <v>5605</v>
      </c>
    </row>
    <row r="967" spans="1:11" x14ac:dyDescent="0.3">
      <c r="A967" s="328" t="s">
        <v>2484</v>
      </c>
      <c r="B967" t="s">
        <v>2485</v>
      </c>
      <c r="C967" s="328"/>
      <c r="D967" s="328" t="str">
        <f t="shared" si="19"/>
        <v>NACE S - 90.13 Other arts creation activities</v>
      </c>
      <c r="K967" t="s">
        <v>5606</v>
      </c>
    </row>
    <row r="968" spans="1:11" x14ac:dyDescent="0.3">
      <c r="A968" s="327" t="s">
        <v>2486</v>
      </c>
      <c r="B968" t="s">
        <v>2487</v>
      </c>
      <c r="C968" s="328"/>
      <c r="D968" s="327" t="str">
        <f t="shared" si="19"/>
        <v>NACE S - 90.2 Activities of performing arts</v>
      </c>
      <c r="K968" t="s">
        <v>5607</v>
      </c>
    </row>
    <row r="969" spans="1:11" x14ac:dyDescent="0.3">
      <c r="A969" s="328" t="s">
        <v>2488</v>
      </c>
      <c r="B969" t="s">
        <v>2489</v>
      </c>
      <c r="C969" s="328"/>
      <c r="D969" s="328" t="str">
        <f t="shared" si="19"/>
        <v>NACE S - 90.20 Activities of performing arts</v>
      </c>
      <c r="K969" t="s">
        <v>5608</v>
      </c>
    </row>
    <row r="970" spans="1:11" x14ac:dyDescent="0.3">
      <c r="A970" s="327" t="s">
        <v>2490</v>
      </c>
      <c r="B970" t="s">
        <v>2491</v>
      </c>
      <c r="C970" s="328"/>
      <c r="D970" s="327" t="str">
        <f t="shared" si="19"/>
        <v>NACE S - 90.3 Support activities to arts creation and performing arts</v>
      </c>
      <c r="K970" t="s">
        <v>5609</v>
      </c>
    </row>
    <row r="971" spans="1:11" x14ac:dyDescent="0.3">
      <c r="A971" s="328" t="s">
        <v>2492</v>
      </c>
      <c r="B971" t="s">
        <v>2493</v>
      </c>
      <c r="C971" s="328"/>
      <c r="D971" s="328" t="str">
        <f t="shared" si="19"/>
        <v>NACE S - 90.31 Operation of arts facilities and sites</v>
      </c>
      <c r="K971" t="s">
        <v>5610</v>
      </c>
    </row>
    <row r="972" spans="1:11" x14ac:dyDescent="0.3">
      <c r="A972" s="328" t="s">
        <v>2494</v>
      </c>
      <c r="B972" t="s">
        <v>2495</v>
      </c>
      <c r="C972" s="328"/>
      <c r="D972" s="328" t="str">
        <f t="shared" si="19"/>
        <v>NACE S - 90.39 Other support activities to arts and performing arts</v>
      </c>
      <c r="K972" t="s">
        <v>5611</v>
      </c>
    </row>
    <row r="973" spans="1:11" x14ac:dyDescent="0.3">
      <c r="A973" s="324" t="s">
        <v>2496</v>
      </c>
      <c r="B973" t="s">
        <v>2497</v>
      </c>
      <c r="C973" s="328"/>
      <c r="D973" s="324" t="str">
        <f t="shared" si="19"/>
        <v>NACE S - 91 Libraries, archives, museums and other cultural activities</v>
      </c>
      <c r="K973" t="s">
        <v>5612</v>
      </c>
    </row>
    <row r="974" spans="1:11" x14ac:dyDescent="0.3">
      <c r="A974" s="327" t="s">
        <v>2498</v>
      </c>
      <c r="B974" t="s">
        <v>2499</v>
      </c>
      <c r="C974" s="328"/>
      <c r="D974" s="327" t="str">
        <f t="shared" si="19"/>
        <v>NACE S - 91.1 Library and archive activities</v>
      </c>
      <c r="K974" t="s">
        <v>5613</v>
      </c>
    </row>
    <row r="975" spans="1:11" x14ac:dyDescent="0.3">
      <c r="A975" s="328" t="s">
        <v>2500</v>
      </c>
      <c r="B975" t="s">
        <v>2501</v>
      </c>
      <c r="C975" s="328"/>
      <c r="D975" s="328" t="str">
        <f t="shared" si="19"/>
        <v>NACE S - 91.11 Library activities</v>
      </c>
    </row>
    <row r="976" spans="1:11" x14ac:dyDescent="0.3">
      <c r="A976" s="328" t="s">
        <v>2502</v>
      </c>
      <c r="B976" t="s">
        <v>2503</v>
      </c>
      <c r="C976" s="328"/>
      <c r="D976" s="328" t="str">
        <f t="shared" si="19"/>
        <v>NACE S - 91.12 Archive activities</v>
      </c>
    </row>
    <row r="977" spans="1:4" x14ac:dyDescent="0.3">
      <c r="A977" s="327" t="s">
        <v>2504</v>
      </c>
      <c r="B977" t="s">
        <v>2505</v>
      </c>
      <c r="C977" s="328"/>
      <c r="D977" s="327" t="str">
        <f t="shared" si="19"/>
        <v>NACE S - 91.2 Museum, collection, historical site and monument activities</v>
      </c>
    </row>
    <row r="978" spans="1:4" x14ac:dyDescent="0.3">
      <c r="A978" s="328" t="s">
        <v>2506</v>
      </c>
      <c r="B978" t="s">
        <v>2507</v>
      </c>
      <c r="C978" s="328"/>
      <c r="D978" s="328" t="str">
        <f t="shared" si="19"/>
        <v>NACE S - 91.21 Museum and collection activities</v>
      </c>
    </row>
    <row r="979" spans="1:4" x14ac:dyDescent="0.3">
      <c r="A979" s="328" t="s">
        <v>2508</v>
      </c>
      <c r="B979" t="s">
        <v>2509</v>
      </c>
      <c r="C979" s="328"/>
      <c r="D979" s="328" t="str">
        <f t="shared" si="19"/>
        <v>NACE S - 91.22 Historical site and monument activities</v>
      </c>
    </row>
    <row r="980" spans="1:4" x14ac:dyDescent="0.3">
      <c r="A980" s="327" t="s">
        <v>2510</v>
      </c>
      <c r="B980" t="s">
        <v>2511</v>
      </c>
      <c r="C980" s="328"/>
      <c r="D980" s="327" t="str">
        <f t="shared" si="19"/>
        <v>NACE S - 91.3 Conservation, restoration and other support activities for cultural heritage</v>
      </c>
    </row>
    <row r="981" spans="1:4" x14ac:dyDescent="0.3">
      <c r="A981" s="328" t="s">
        <v>2512</v>
      </c>
      <c r="B981" t="s">
        <v>2513</v>
      </c>
      <c r="C981" s="328"/>
      <c r="D981" s="328" t="str">
        <f t="shared" si="19"/>
        <v>NACE S - 91.30 Conservation, restoration and other support activities for cultural heritage</v>
      </c>
    </row>
    <row r="982" spans="1:4" x14ac:dyDescent="0.3">
      <c r="A982" s="327" t="s">
        <v>2514</v>
      </c>
      <c r="B982" t="s">
        <v>2515</v>
      </c>
      <c r="C982" s="328"/>
      <c r="D982" s="327" t="str">
        <f t="shared" si="19"/>
        <v>NACE S - 91.4 Botanical and zoological garden and nature reserve activities</v>
      </c>
    </row>
    <row r="983" spans="1:4" x14ac:dyDescent="0.3">
      <c r="A983" s="328" t="s">
        <v>2516</v>
      </c>
      <c r="B983" t="s">
        <v>2517</v>
      </c>
      <c r="C983" s="328"/>
      <c r="D983" s="328" t="str">
        <f t="shared" si="19"/>
        <v>NACE S - 91.41 Botanical and zoological garden activities</v>
      </c>
    </row>
    <row r="984" spans="1:4" x14ac:dyDescent="0.3">
      <c r="A984" s="328" t="s">
        <v>2518</v>
      </c>
      <c r="B984" t="s">
        <v>2519</v>
      </c>
      <c r="C984" s="328"/>
      <c r="D984" s="328" t="str">
        <f t="shared" si="19"/>
        <v>NACE S - 91.42 Nature reserve activities</v>
      </c>
    </row>
    <row r="985" spans="1:4" x14ac:dyDescent="0.3">
      <c r="A985" s="324" t="s">
        <v>2520</v>
      </c>
      <c r="B985" t="s">
        <v>2521</v>
      </c>
      <c r="C985" s="328"/>
      <c r="D985" s="324" t="str">
        <f t="shared" si="19"/>
        <v>NACE S - 92 Gambling and betting activities</v>
      </c>
    </row>
    <row r="986" spans="1:4" x14ac:dyDescent="0.3">
      <c r="A986" s="327" t="s">
        <v>2522</v>
      </c>
      <c r="B986" t="s">
        <v>2523</v>
      </c>
      <c r="C986" s="328"/>
      <c r="D986" s="327" t="str">
        <f t="shared" si="19"/>
        <v>NACE S - 92.0 Gambling and betting activities</v>
      </c>
    </row>
    <row r="987" spans="1:4" x14ac:dyDescent="0.3">
      <c r="A987" s="328" t="s">
        <v>2524</v>
      </c>
      <c r="B987" t="s">
        <v>2525</v>
      </c>
      <c r="C987" s="328"/>
      <c r="D987" s="328" t="str">
        <f t="shared" si="19"/>
        <v>NACE S - 92.00 Gambling and betting activities</v>
      </c>
    </row>
    <row r="988" spans="1:4" x14ac:dyDescent="0.3">
      <c r="A988" s="324" t="s">
        <v>2526</v>
      </c>
      <c r="B988" t="s">
        <v>2527</v>
      </c>
      <c r="C988" s="328"/>
      <c r="D988" s="324" t="str">
        <f t="shared" si="19"/>
        <v>NACE S - 93 Sports activities and amusement and recreation activities</v>
      </c>
    </row>
    <row r="989" spans="1:4" x14ac:dyDescent="0.3">
      <c r="A989" s="327" t="s">
        <v>2528</v>
      </c>
      <c r="B989" t="s">
        <v>2529</v>
      </c>
      <c r="C989" s="328"/>
      <c r="D989" s="327" t="str">
        <f t="shared" si="19"/>
        <v>NACE S - 93.1 Sports activities</v>
      </c>
    </row>
    <row r="990" spans="1:4" x14ac:dyDescent="0.3">
      <c r="A990" s="328" t="s">
        <v>2530</v>
      </c>
      <c r="B990" t="s">
        <v>2531</v>
      </c>
      <c r="C990" s="328"/>
      <c r="D990" s="328" t="str">
        <f t="shared" si="19"/>
        <v>NACE S - 93.11 Operation of sports facilities</v>
      </c>
    </row>
    <row r="991" spans="1:4" x14ac:dyDescent="0.3">
      <c r="A991" s="328" t="s">
        <v>2532</v>
      </c>
      <c r="B991" t="s">
        <v>2533</v>
      </c>
      <c r="C991" s="328"/>
      <c r="D991" s="328" t="str">
        <f t="shared" si="19"/>
        <v>NACE S - 93.12 Activities of sports clubs</v>
      </c>
    </row>
    <row r="992" spans="1:4" x14ac:dyDescent="0.3">
      <c r="A992" s="328" t="s">
        <v>2534</v>
      </c>
      <c r="B992" t="s">
        <v>2535</v>
      </c>
      <c r="C992" s="328"/>
      <c r="D992" s="328" t="str">
        <f t="shared" si="19"/>
        <v>NACE S - 93.13 Activities of fitness centres</v>
      </c>
    </row>
    <row r="993" spans="1:4" x14ac:dyDescent="0.3">
      <c r="A993" s="328" t="s">
        <v>2536</v>
      </c>
      <c r="B993" t="s">
        <v>2537</v>
      </c>
      <c r="C993" s="328"/>
      <c r="D993" s="328" t="str">
        <f t="shared" si="19"/>
        <v>NACE S - 93.19 Sports activities n.e.c.</v>
      </c>
    </row>
    <row r="994" spans="1:4" x14ac:dyDescent="0.3">
      <c r="A994" s="327" t="s">
        <v>2538</v>
      </c>
      <c r="B994" t="s">
        <v>2539</v>
      </c>
      <c r="C994" s="328"/>
      <c r="D994" s="327" t="str">
        <f t="shared" si="19"/>
        <v>NACE S - 93.2 Amusement and recreation activities</v>
      </c>
    </row>
    <row r="995" spans="1:4" x14ac:dyDescent="0.3">
      <c r="A995" s="328" t="s">
        <v>2540</v>
      </c>
      <c r="B995" t="s">
        <v>2541</v>
      </c>
      <c r="C995" s="328"/>
      <c r="D995" s="328" t="str">
        <f t="shared" si="19"/>
        <v>NACE S - 93.21 Activities of amusement parks and theme parks</v>
      </c>
    </row>
    <row r="996" spans="1:4" x14ac:dyDescent="0.3">
      <c r="A996" s="328" t="s">
        <v>2542</v>
      </c>
      <c r="B996" t="s">
        <v>2543</v>
      </c>
      <c r="C996" s="328"/>
      <c r="D996" s="328" t="str">
        <f t="shared" si="19"/>
        <v>NACE S - 93.29 Amusement and recreation activities n.e.c.</v>
      </c>
    </row>
    <row r="997" spans="1:4" x14ac:dyDescent="0.3">
      <c r="A997" s="325" t="s">
        <v>2544</v>
      </c>
      <c r="B997" t="s">
        <v>2545</v>
      </c>
      <c r="C997" s="328"/>
      <c r="D997" s="325" t="str">
        <f t="shared" si="19"/>
        <v>NACE T - OTHER SERVICE ACTIVITIES</v>
      </c>
    </row>
    <row r="998" spans="1:4" x14ac:dyDescent="0.3">
      <c r="A998" s="324" t="s">
        <v>2546</v>
      </c>
      <c r="B998" t="s">
        <v>2547</v>
      </c>
      <c r="C998" s="328"/>
      <c r="D998" s="324" t="str">
        <f t="shared" si="19"/>
        <v>NACE T - 94 Activities of membership organisations</v>
      </c>
    </row>
    <row r="999" spans="1:4" x14ac:dyDescent="0.3">
      <c r="A999" s="327" t="s">
        <v>2548</v>
      </c>
      <c r="B999" t="s">
        <v>2549</v>
      </c>
      <c r="C999" s="328"/>
      <c r="D999" s="327" t="str">
        <f t="shared" si="19"/>
        <v>NACE T - 94.1 Activities of business, employers and professional membership organisations</v>
      </c>
    </row>
    <row r="1000" spans="1:4" x14ac:dyDescent="0.3">
      <c r="A1000" s="328" t="s">
        <v>2550</v>
      </c>
      <c r="B1000" t="s">
        <v>2551</v>
      </c>
      <c r="C1000" s="328"/>
      <c r="D1000" s="328" t="str">
        <f t="shared" si="19"/>
        <v>NACE T - 94.11 Activities of business and employers membership organisations</v>
      </c>
    </row>
    <row r="1001" spans="1:4" x14ac:dyDescent="0.3">
      <c r="A1001" s="328" t="s">
        <v>2552</v>
      </c>
      <c r="B1001" t="s">
        <v>2553</v>
      </c>
      <c r="C1001" s="328"/>
      <c r="D1001" s="328" t="str">
        <f t="shared" si="19"/>
        <v>NACE T - 94.12 Activities of professional membership organisations</v>
      </c>
    </row>
    <row r="1002" spans="1:4" x14ac:dyDescent="0.3">
      <c r="A1002" s="327" t="s">
        <v>2554</v>
      </c>
      <c r="B1002" t="s">
        <v>2555</v>
      </c>
      <c r="C1002" s="328"/>
      <c r="D1002" s="327" t="str">
        <f t="shared" si="19"/>
        <v>NACE T - 94.2 Activities of trade unions</v>
      </c>
    </row>
    <row r="1003" spans="1:4" x14ac:dyDescent="0.3">
      <c r="A1003" s="328" t="s">
        <v>2556</v>
      </c>
      <c r="B1003" t="s">
        <v>2557</v>
      </c>
      <c r="C1003" s="328"/>
      <c r="D1003" s="328" t="str">
        <f t="shared" si="19"/>
        <v>NACE T - 94.20 Activities of trade unions</v>
      </c>
    </row>
    <row r="1004" spans="1:4" x14ac:dyDescent="0.3">
      <c r="A1004" s="327" t="s">
        <v>2558</v>
      </c>
      <c r="B1004" t="s">
        <v>2559</v>
      </c>
      <c r="C1004" s="328"/>
      <c r="D1004" s="327" t="str">
        <f t="shared" si="19"/>
        <v>NACE T - 94.9 Activities of other membership organisations</v>
      </c>
    </row>
    <row r="1005" spans="1:4" x14ac:dyDescent="0.3">
      <c r="A1005" s="328" t="s">
        <v>2560</v>
      </c>
      <c r="B1005" t="s">
        <v>2561</v>
      </c>
      <c r="C1005" s="328"/>
      <c r="D1005" s="328" t="str">
        <f t="shared" si="19"/>
        <v>NACE T - 94.91 Activities of religious organisations</v>
      </c>
    </row>
    <row r="1006" spans="1:4" x14ac:dyDescent="0.3">
      <c r="A1006" s="328" t="s">
        <v>2562</v>
      </c>
      <c r="B1006" t="s">
        <v>2563</v>
      </c>
      <c r="C1006" s="328"/>
      <c r="D1006" s="328" t="str">
        <f t="shared" si="19"/>
        <v>NACE T - 94.92 Activities of political organisations</v>
      </c>
    </row>
    <row r="1007" spans="1:4" x14ac:dyDescent="0.3">
      <c r="A1007" s="328" t="s">
        <v>2564</v>
      </c>
      <c r="B1007" t="s">
        <v>2565</v>
      </c>
      <c r="C1007" s="328"/>
      <c r="D1007" s="328" t="str">
        <f t="shared" si="19"/>
        <v>NACE T - 94.99 Activities of other membership organisations n.e.c.</v>
      </c>
    </row>
    <row r="1008" spans="1:4" x14ac:dyDescent="0.3">
      <c r="A1008" s="324" t="s">
        <v>2566</v>
      </c>
      <c r="B1008" t="s">
        <v>2567</v>
      </c>
      <c r="C1008" s="328"/>
      <c r="D1008" s="324" t="str">
        <f t="shared" si="19"/>
        <v>NACE T - 95 Repair and maintenance of computers, personal and household goods, and motor vehicles and motorcycles</v>
      </c>
    </row>
    <row r="1009" spans="1:4" x14ac:dyDescent="0.3">
      <c r="A1009" s="327" t="s">
        <v>2568</v>
      </c>
      <c r="B1009" t="s">
        <v>2569</v>
      </c>
      <c r="C1009" s="328"/>
      <c r="D1009" s="327" t="str">
        <f t="shared" si="19"/>
        <v>NACE T - 95.1 Repair and maintenance of computers and communication equipment</v>
      </c>
    </row>
    <row r="1010" spans="1:4" x14ac:dyDescent="0.3">
      <c r="A1010" s="328" t="s">
        <v>2570</v>
      </c>
      <c r="B1010" t="s">
        <v>2571</v>
      </c>
      <c r="C1010" s="328"/>
      <c r="D1010" s="328" t="str">
        <f t="shared" si="19"/>
        <v>NACE T - 95.10 Repair and maintenance of computers and communication equipment</v>
      </c>
    </row>
    <row r="1011" spans="1:4" x14ac:dyDescent="0.3">
      <c r="A1011" s="327" t="s">
        <v>2572</v>
      </c>
      <c r="B1011" t="s">
        <v>2573</v>
      </c>
      <c r="C1011" s="328"/>
      <c r="D1011" s="327" t="str">
        <f t="shared" si="19"/>
        <v>NACE T - 95.2 Repair and maintenance of personal and household goods</v>
      </c>
    </row>
    <row r="1012" spans="1:4" x14ac:dyDescent="0.3">
      <c r="A1012" s="328" t="s">
        <v>2574</v>
      </c>
      <c r="B1012" t="s">
        <v>2575</v>
      </c>
      <c r="C1012" s="328"/>
      <c r="D1012" s="328" t="str">
        <f t="shared" si="19"/>
        <v>NACE T - 95.21 Repair and maintenance of consumer electronics</v>
      </c>
    </row>
    <row r="1013" spans="1:4" x14ac:dyDescent="0.3">
      <c r="A1013" s="328" t="s">
        <v>2576</v>
      </c>
      <c r="B1013" t="s">
        <v>2577</v>
      </c>
      <c r="C1013" s="328"/>
      <c r="D1013" s="328" t="str">
        <f t="shared" si="19"/>
        <v>NACE T - 95.22 Repair and maintenance of household appliances and home and garden equipment</v>
      </c>
    </row>
    <row r="1014" spans="1:4" x14ac:dyDescent="0.3">
      <c r="A1014" s="328" t="s">
        <v>2578</v>
      </c>
      <c r="B1014" t="s">
        <v>2579</v>
      </c>
      <c r="C1014" s="328"/>
      <c r="D1014" s="328" t="str">
        <f t="shared" si="19"/>
        <v>NACE T - 95.23 Repair and maintenance of footwear and leather goods</v>
      </c>
    </row>
    <row r="1015" spans="1:4" x14ac:dyDescent="0.3">
      <c r="A1015" s="328" t="s">
        <v>2580</v>
      </c>
      <c r="B1015" t="s">
        <v>2581</v>
      </c>
      <c r="C1015" s="328"/>
      <c r="D1015" s="328" t="str">
        <f t="shared" si="19"/>
        <v>NACE T - 95.24 Repair and maintenance of furniture and home furnishings</v>
      </c>
    </row>
    <row r="1016" spans="1:4" x14ac:dyDescent="0.3">
      <c r="A1016" s="328" t="s">
        <v>2582</v>
      </c>
      <c r="B1016" t="s">
        <v>2583</v>
      </c>
      <c r="C1016" s="328"/>
      <c r="D1016" s="328" t="str">
        <f t="shared" si="19"/>
        <v>NACE T - 95.25 Repair and maintenance of watches, clocks and jewellery</v>
      </c>
    </row>
    <row r="1017" spans="1:4" x14ac:dyDescent="0.3">
      <c r="A1017" s="328" t="s">
        <v>2584</v>
      </c>
      <c r="B1017" t="s">
        <v>2585</v>
      </c>
      <c r="C1017" s="328"/>
      <c r="D1017" s="328" t="str">
        <f t="shared" si="19"/>
        <v>NACE T - 95.29 Repair and maintenance of personal and household goods n.e.c.</v>
      </c>
    </row>
    <row r="1018" spans="1:4" x14ac:dyDescent="0.3">
      <c r="A1018" s="327" t="s">
        <v>2586</v>
      </c>
      <c r="B1018" t="s">
        <v>2587</v>
      </c>
      <c r="C1018" s="328"/>
      <c r="D1018" s="327" t="str">
        <f t="shared" si="19"/>
        <v>NACE T - 95.3 Repair and maintenance of motor vehicles and motorcycles</v>
      </c>
    </row>
    <row r="1019" spans="1:4" x14ac:dyDescent="0.3">
      <c r="A1019" s="328" t="s">
        <v>2588</v>
      </c>
      <c r="B1019" t="s">
        <v>2589</v>
      </c>
      <c r="C1019" s="328"/>
      <c r="D1019" s="328" t="str">
        <f t="shared" si="19"/>
        <v>NACE T - 95.31 Repair and maintenance of motor vehicles</v>
      </c>
    </row>
    <row r="1020" spans="1:4" x14ac:dyDescent="0.3">
      <c r="A1020" s="328" t="s">
        <v>2590</v>
      </c>
      <c r="B1020" t="s">
        <v>2591</v>
      </c>
      <c r="C1020" s="328"/>
      <c r="D1020" s="328" t="str">
        <f t="shared" si="19"/>
        <v>NACE T - 95.32 Repair and maintenance of motorcycles</v>
      </c>
    </row>
    <row r="1021" spans="1:4" x14ac:dyDescent="0.3">
      <c r="A1021" s="327" t="s">
        <v>2592</v>
      </c>
      <c r="B1021" t="s">
        <v>2593</v>
      </c>
      <c r="C1021" s="328"/>
      <c r="D1021" s="327" t="str">
        <f t="shared" si="19"/>
        <v>NACE T - 95.4 Intermediation service activities for repair and maintenance of computers, personal and household goods, and motor vehicles and motorcycles</v>
      </c>
    </row>
    <row r="1022" spans="1:4" x14ac:dyDescent="0.3">
      <c r="A1022" s="328" t="s">
        <v>2594</v>
      </c>
      <c r="B1022" t="s">
        <v>2595</v>
      </c>
      <c r="C1022" s="328"/>
      <c r="D1022" s="328" t="str">
        <f t="shared" si="19"/>
        <v>NACE T - 95.40 Intermediation service activities for repair and maintenance of computers, personal and household goods, and motor vehicles and motorcycles</v>
      </c>
    </row>
    <row r="1023" spans="1:4" x14ac:dyDescent="0.3">
      <c r="A1023" s="324" t="s">
        <v>2596</v>
      </c>
      <c r="B1023" t="s">
        <v>2597</v>
      </c>
      <c r="C1023" s="328"/>
      <c r="D1023" s="324" t="str">
        <f t="shared" si="19"/>
        <v>NACE T - 96 Personal service activities</v>
      </c>
    </row>
    <row r="1024" spans="1:4" x14ac:dyDescent="0.3">
      <c r="A1024" s="327" t="s">
        <v>2598</v>
      </c>
      <c r="B1024" t="s">
        <v>2599</v>
      </c>
      <c r="C1024" s="328"/>
      <c r="D1024" s="327" t="str">
        <f t="shared" si="19"/>
        <v>NACE T - 96.1 Washing and cleaning of textile and fur products</v>
      </c>
    </row>
    <row r="1025" spans="1:4" x14ac:dyDescent="0.3">
      <c r="A1025" s="328" t="s">
        <v>2600</v>
      </c>
      <c r="B1025" t="s">
        <v>2601</v>
      </c>
      <c r="C1025" s="328"/>
      <c r="D1025" s="328" t="str">
        <f t="shared" si="19"/>
        <v>NACE T - 96.10 Washing and cleaning of textile and fur products</v>
      </c>
    </row>
    <row r="1026" spans="1:4" x14ac:dyDescent="0.3">
      <c r="A1026" s="327" t="s">
        <v>2602</v>
      </c>
      <c r="B1026" t="s">
        <v>2603</v>
      </c>
      <c r="C1026" s="328"/>
      <c r="D1026" s="327" t="str">
        <f t="shared" ref="D1026:D1049" si="20">_xlfn.CONCAT("NACE ", A1026)</f>
        <v>NACE T - 96.2 Hairdressing, beauty treatment, day spa and similar activities</v>
      </c>
    </row>
    <row r="1027" spans="1:4" x14ac:dyDescent="0.3">
      <c r="A1027" s="328" t="s">
        <v>2604</v>
      </c>
      <c r="B1027" t="s">
        <v>2605</v>
      </c>
      <c r="C1027" s="328"/>
      <c r="D1027" s="328" t="str">
        <f t="shared" si="20"/>
        <v>NACE T - 96.21 Hairdressing and barber activities</v>
      </c>
    </row>
    <row r="1028" spans="1:4" x14ac:dyDescent="0.3">
      <c r="A1028" s="328" t="s">
        <v>2606</v>
      </c>
      <c r="B1028" t="s">
        <v>2607</v>
      </c>
      <c r="C1028" s="328"/>
      <c r="D1028" s="328" t="str">
        <f t="shared" si="20"/>
        <v>NACE T - 96.22 Beauty care and other beauty treatment activities</v>
      </c>
    </row>
    <row r="1029" spans="1:4" x14ac:dyDescent="0.3">
      <c r="A1029" s="328" t="s">
        <v>2608</v>
      </c>
      <c r="B1029" t="s">
        <v>2609</v>
      </c>
      <c r="C1029" s="328"/>
      <c r="D1029" s="328" t="str">
        <f t="shared" si="20"/>
        <v>NACE T - 96.23 Day spa, sauna and steam bath activities</v>
      </c>
    </row>
    <row r="1030" spans="1:4" x14ac:dyDescent="0.3">
      <c r="A1030" s="327" t="s">
        <v>2610</v>
      </c>
      <c r="B1030" t="s">
        <v>2611</v>
      </c>
      <c r="C1030" s="328"/>
      <c r="D1030" s="327" t="str">
        <f t="shared" si="20"/>
        <v>NACE T - 96.3 Funeral and related activities</v>
      </c>
    </row>
    <row r="1031" spans="1:4" x14ac:dyDescent="0.3">
      <c r="A1031" s="328" t="s">
        <v>2612</v>
      </c>
      <c r="B1031" t="s">
        <v>2613</v>
      </c>
      <c r="C1031" s="328"/>
      <c r="D1031" s="328" t="str">
        <f t="shared" si="20"/>
        <v>NACE T - 96.30 Funeral and related activities</v>
      </c>
    </row>
    <row r="1032" spans="1:4" x14ac:dyDescent="0.3">
      <c r="A1032" s="327" t="s">
        <v>2614</v>
      </c>
      <c r="B1032" t="s">
        <v>2615</v>
      </c>
      <c r="C1032" s="328"/>
      <c r="D1032" s="327" t="str">
        <f t="shared" si="20"/>
        <v>NACE T - 96.4 Intermediation service activities for personal services</v>
      </c>
    </row>
    <row r="1033" spans="1:4" x14ac:dyDescent="0.3">
      <c r="A1033" s="328" t="s">
        <v>2616</v>
      </c>
      <c r="B1033" t="s">
        <v>2617</v>
      </c>
      <c r="C1033" s="328"/>
      <c r="D1033" s="328" t="str">
        <f t="shared" si="20"/>
        <v>NACE T - 96.40 Intermediation service activities for personal services</v>
      </c>
    </row>
    <row r="1034" spans="1:4" x14ac:dyDescent="0.3">
      <c r="A1034" s="327" t="s">
        <v>2618</v>
      </c>
      <c r="B1034" t="s">
        <v>2619</v>
      </c>
      <c r="C1034" s="328"/>
      <c r="D1034" s="327" t="str">
        <f t="shared" si="20"/>
        <v>NACE T - 96.9 Other personal service activities</v>
      </c>
    </row>
    <row r="1035" spans="1:4" x14ac:dyDescent="0.3">
      <c r="A1035" s="328" t="s">
        <v>2620</v>
      </c>
      <c r="B1035" t="s">
        <v>2621</v>
      </c>
      <c r="C1035" s="328"/>
      <c r="D1035" s="328" t="str">
        <f t="shared" si="20"/>
        <v>NACE T - 96.91 Provision of domestic personal service activities</v>
      </c>
    </row>
    <row r="1036" spans="1:4" x14ac:dyDescent="0.3">
      <c r="A1036" s="328" t="s">
        <v>2622</v>
      </c>
      <c r="B1036" t="s">
        <v>2623</v>
      </c>
      <c r="C1036" s="328"/>
      <c r="D1036" s="328" t="str">
        <f t="shared" si="20"/>
        <v>NACE T - 96.99 Other personal service activities n.e.c.</v>
      </c>
    </row>
    <row r="1037" spans="1:4" x14ac:dyDescent="0.3">
      <c r="A1037" s="325" t="s">
        <v>2624</v>
      </c>
      <c r="B1037" t="s">
        <v>2625</v>
      </c>
      <c r="C1037" s="328"/>
      <c r="D1037" s="325" t="str">
        <f t="shared" si="20"/>
        <v>NACE U - ACTIVITIES OF HOUSEHOLDS AS EMPLOYERS AND UNDIFFERENTIATED GOODS – AND SERVICE-PRODUCING ACTIVITIES OF HOUSEHOLDS FOR OWN USE</v>
      </c>
    </row>
    <row r="1038" spans="1:4" x14ac:dyDescent="0.3">
      <c r="A1038" s="324" t="s">
        <v>2626</v>
      </c>
      <c r="B1038" t="s">
        <v>2627</v>
      </c>
      <c r="C1038" s="328"/>
      <c r="D1038" s="324" t="str">
        <f t="shared" si="20"/>
        <v>NACE U - 97 Activities of households as employers of domestic personnel</v>
      </c>
    </row>
    <row r="1039" spans="1:4" x14ac:dyDescent="0.3">
      <c r="A1039" s="327" t="s">
        <v>2628</v>
      </c>
      <c r="B1039" t="s">
        <v>2629</v>
      </c>
      <c r="C1039" s="328"/>
      <c r="D1039" s="327" t="str">
        <f t="shared" si="20"/>
        <v>NACE U - 97.0 Activities of households as employers of domestic personnel</v>
      </c>
    </row>
    <row r="1040" spans="1:4" x14ac:dyDescent="0.3">
      <c r="A1040" s="328" t="s">
        <v>2630</v>
      </c>
      <c r="B1040" t="s">
        <v>2631</v>
      </c>
      <c r="C1040" s="328"/>
      <c r="D1040" s="328" t="str">
        <f t="shared" si="20"/>
        <v>NACE U - 97.00 Activities of households as employers of domestic personnel</v>
      </c>
    </row>
    <row r="1041" spans="1:4" x14ac:dyDescent="0.3">
      <c r="A1041" s="324" t="s">
        <v>2632</v>
      </c>
      <c r="B1041" t="s">
        <v>2633</v>
      </c>
      <c r="C1041" s="328"/>
      <c r="D1041" s="324" t="str">
        <f t="shared" si="20"/>
        <v>NACE U - 98 Undifferentiated goods- and service-producing activities of private households for own use</v>
      </c>
    </row>
    <row r="1042" spans="1:4" x14ac:dyDescent="0.3">
      <c r="A1042" s="327" t="s">
        <v>2634</v>
      </c>
      <c r="B1042" t="s">
        <v>2635</v>
      </c>
      <c r="C1042" s="328"/>
      <c r="D1042" s="327" t="str">
        <f t="shared" si="20"/>
        <v>NACE U - 98.1 Undifferentiated goods-producing activities of private households for own use</v>
      </c>
    </row>
    <row r="1043" spans="1:4" x14ac:dyDescent="0.3">
      <c r="A1043" s="328" t="s">
        <v>2636</v>
      </c>
      <c r="B1043" t="s">
        <v>2637</v>
      </c>
      <c r="C1043" s="328"/>
      <c r="D1043" s="328" t="str">
        <f t="shared" si="20"/>
        <v>NACE U - 98.10 Undifferentiated goods-producing activities of private households for own use</v>
      </c>
    </row>
    <row r="1044" spans="1:4" x14ac:dyDescent="0.3">
      <c r="A1044" s="327" t="s">
        <v>2638</v>
      </c>
      <c r="B1044" t="s">
        <v>2639</v>
      </c>
      <c r="C1044" s="328"/>
      <c r="D1044" s="327" t="str">
        <f t="shared" si="20"/>
        <v>NACE U - 98.2 Undifferentiated service-producing activities of private households for own use</v>
      </c>
    </row>
    <row r="1045" spans="1:4" x14ac:dyDescent="0.3">
      <c r="A1045" s="328" t="s">
        <v>2640</v>
      </c>
      <c r="B1045" t="s">
        <v>2641</v>
      </c>
      <c r="C1045" s="328"/>
      <c r="D1045" s="328" t="str">
        <f t="shared" si="20"/>
        <v>NACE U - 98.20 Undifferentiated service-producing activities of private households for own use</v>
      </c>
    </row>
    <row r="1046" spans="1:4" x14ac:dyDescent="0.3">
      <c r="A1046" s="325" t="s">
        <v>2642</v>
      </c>
      <c r="B1046" t="s">
        <v>2643</v>
      </c>
      <c r="C1046" s="328"/>
      <c r="D1046" s="325" t="str">
        <f t="shared" si="20"/>
        <v>NACE V - ACTIVITIES OF EXTRATERRITORIAL ORGANISATIONS AND BODIES</v>
      </c>
    </row>
    <row r="1047" spans="1:4" x14ac:dyDescent="0.3">
      <c r="A1047" s="324" t="s">
        <v>2644</v>
      </c>
      <c r="B1047" t="s">
        <v>2645</v>
      </c>
      <c r="C1047" s="328"/>
      <c r="D1047" s="324" t="str">
        <f t="shared" si="20"/>
        <v>NACE V - 99 Activities of extraterritorial organisations and bodies</v>
      </c>
    </row>
    <row r="1048" spans="1:4" x14ac:dyDescent="0.3">
      <c r="A1048" s="327" t="s">
        <v>2646</v>
      </c>
      <c r="B1048" t="s">
        <v>2647</v>
      </c>
      <c r="C1048" s="328"/>
      <c r="D1048" s="327" t="str">
        <f t="shared" si="20"/>
        <v>NACE V - 99.0 Activities of extraterritorial organisations and bodies</v>
      </c>
    </row>
    <row r="1049" spans="1:4" x14ac:dyDescent="0.3">
      <c r="A1049" s="328" t="s">
        <v>2648</v>
      </c>
      <c r="B1049" t="s">
        <v>2649</v>
      </c>
      <c r="C1049" s="328"/>
      <c r="D1049" s="328" t="str">
        <f t="shared" si="20"/>
        <v>NACE V - 99.00 Activities of extraterritorial organisations and bodies</v>
      </c>
    </row>
  </sheetData>
  <sheetProtection algorithmName="SHA-512" hashValue="gl6FPNbyGNLQjImbAhQ1yumbyiIslPaONO/Nnjsfp+6ASdXaT1QNTAc5zUvqJXJUhGN3G0HLK+oi8TYu5bjGuQ==" saltValue="egVil11+ujEfN+zBNckfF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G490"/>
  <sheetViews>
    <sheetView zoomScaleNormal="100" workbookViewId="0"/>
  </sheetViews>
  <sheetFormatPr defaultColWidth="11" defaultRowHeight="14.4" x14ac:dyDescent="0.3"/>
  <cols>
    <col min="1" max="1" width="52.21875" customWidth="1"/>
    <col min="2" max="2" width="56.21875" customWidth="1"/>
    <col min="3" max="7" width="50.77734375" customWidth="1"/>
  </cols>
  <sheetData>
    <row r="1" spans="1:7" s="119" customFormat="1" x14ac:dyDescent="0.3">
      <c r="A1" s="392" t="s">
        <v>3949</v>
      </c>
      <c r="B1" s="393" t="s">
        <v>5640</v>
      </c>
      <c r="C1" s="391" t="s">
        <v>5690</v>
      </c>
      <c r="D1" s="391" t="s">
        <v>7227</v>
      </c>
      <c r="E1" s="391" t="s">
        <v>6489</v>
      </c>
      <c r="F1" s="391" t="s">
        <v>7599</v>
      </c>
      <c r="G1" s="391" t="s">
        <v>6839</v>
      </c>
    </row>
    <row r="2" spans="1:7" s="454" customFormat="1" x14ac:dyDescent="0.3">
      <c r="A2" s="390"/>
      <c r="B2" s="86"/>
      <c r="C2" s="389" t="s">
        <v>3950</v>
      </c>
      <c r="D2" s="389" t="s">
        <v>4628</v>
      </c>
      <c r="E2" s="389" t="s">
        <v>4629</v>
      </c>
      <c r="F2" s="389" t="s">
        <v>4630</v>
      </c>
      <c r="G2" s="389" t="s">
        <v>4631</v>
      </c>
    </row>
    <row r="3" spans="1:7" x14ac:dyDescent="0.3">
      <c r="A3" s="390"/>
      <c r="B3" s="394"/>
      <c r="C3" s="389" t="str">
        <f>C1&amp; " [" &amp;C2 &amp; "]"</f>
        <v>English - Official [en]</v>
      </c>
      <c r="D3" s="389" t="str">
        <f t="shared" ref="D3:G3" si="0">D1&amp; " [" &amp;D2 &amp; "]"</f>
        <v>Lithuanian - Reviewed translation by Lithuanian Standard Setter [lt]</v>
      </c>
      <c r="E3" s="389" t="str">
        <f t="shared" si="0"/>
        <v>Polish - Reviewed translation by Polish Standard Setter [pl]</v>
      </c>
      <c r="F3" s="389" t="str">
        <f t="shared" si="0"/>
        <v>Portuguese - Reviewed translation by Portuguese Standard Setter [pt]</v>
      </c>
      <c r="G3" s="389" t="str">
        <f t="shared" si="0"/>
        <v>Spanish - Reviewed translation by Spanish Standard Setter [es]</v>
      </c>
    </row>
    <row r="4" spans="1:7" s="90" customFormat="1" x14ac:dyDescent="0.3">
      <c r="A4" s="443" t="s">
        <v>5621</v>
      </c>
      <c r="B4" s="444" t="str">
        <f t="shared" ref="B4:B67" si="1">INDEX(C4:G4,MATCH(template_selected_display_language,$C$3:$G$3,0))</f>
        <v>Entity Name</v>
      </c>
      <c r="C4" s="90" t="s">
        <v>5614</v>
      </c>
      <c r="D4" s="90" t="s">
        <v>6840</v>
      </c>
      <c r="E4" s="90" t="s">
        <v>5905</v>
      </c>
      <c r="F4" s="90" t="s">
        <v>7237</v>
      </c>
      <c r="G4" s="90" t="s">
        <v>6546</v>
      </c>
    </row>
    <row r="5" spans="1:7" s="90" customFormat="1" x14ac:dyDescent="0.3">
      <c r="A5" s="443" t="s">
        <v>5618</v>
      </c>
      <c r="B5" s="444" t="str">
        <f t="shared" si="1"/>
        <v>Entity Identifier</v>
      </c>
      <c r="C5" s="90" t="s">
        <v>5615</v>
      </c>
      <c r="D5" s="90" t="s">
        <v>6841</v>
      </c>
      <c r="E5" s="90" t="s">
        <v>5906</v>
      </c>
      <c r="F5" s="90" t="s">
        <v>7238</v>
      </c>
      <c r="G5" s="90" t="s">
        <v>5703</v>
      </c>
    </row>
    <row r="6" spans="1:7" s="90" customFormat="1" x14ac:dyDescent="0.3">
      <c r="A6" s="443" t="s">
        <v>5619</v>
      </c>
      <c r="B6" s="444" t="str">
        <f t="shared" si="1"/>
        <v>Entity Identifier Scheme</v>
      </c>
      <c r="C6" s="90" t="s">
        <v>5616</v>
      </c>
      <c r="D6" s="90" t="s">
        <v>6842</v>
      </c>
      <c r="E6" s="90" t="s">
        <v>6138</v>
      </c>
      <c r="F6" s="90" t="s">
        <v>7239</v>
      </c>
      <c r="G6" s="90" t="s">
        <v>6547</v>
      </c>
    </row>
    <row r="7" spans="1:7" s="90" customFormat="1" x14ac:dyDescent="0.3">
      <c r="A7" s="443" t="s">
        <v>5620</v>
      </c>
      <c r="B7" s="444" t="str">
        <f t="shared" si="1"/>
        <v>Report currency</v>
      </c>
      <c r="C7" s="90" t="s">
        <v>5617</v>
      </c>
      <c r="D7" s="90" t="s">
        <v>5993</v>
      </c>
      <c r="E7" s="90" t="s">
        <v>6139</v>
      </c>
      <c r="F7" s="90" t="s">
        <v>7240</v>
      </c>
      <c r="G7" s="90" t="s">
        <v>6529</v>
      </c>
    </row>
    <row r="8" spans="1:7" s="90" customFormat="1" x14ac:dyDescent="0.3">
      <c r="A8" s="443" t="s">
        <v>5623</v>
      </c>
      <c r="B8" s="444" t="str">
        <f t="shared" si="1"/>
        <v>Decimal separator</v>
      </c>
      <c r="C8" s="90" t="s">
        <v>5622</v>
      </c>
      <c r="D8" s="90" t="s">
        <v>6843</v>
      </c>
      <c r="E8" s="90" t="s">
        <v>6072</v>
      </c>
      <c r="F8" s="90" t="s">
        <v>5704</v>
      </c>
      <c r="G8" s="90" t="s">
        <v>5704</v>
      </c>
    </row>
    <row r="9" spans="1:7" s="90" customFormat="1" x14ac:dyDescent="0.3">
      <c r="A9" s="443" t="s">
        <v>5625</v>
      </c>
      <c r="B9" s="444" t="str">
        <f t="shared" si="1"/>
        <v>Report period</v>
      </c>
      <c r="C9" s="90" t="s">
        <v>5624</v>
      </c>
      <c r="D9" s="90" t="s">
        <v>6844</v>
      </c>
      <c r="E9" s="90" t="s">
        <v>5907</v>
      </c>
      <c r="F9" s="90" t="s">
        <v>5826</v>
      </c>
      <c r="G9" s="90" t="s">
        <v>6548</v>
      </c>
    </row>
    <row r="10" spans="1:7" s="90" customFormat="1" x14ac:dyDescent="0.3">
      <c r="A10" s="443" t="s">
        <v>5627</v>
      </c>
      <c r="B10" s="444" t="str">
        <f t="shared" si="1"/>
        <v>Report generated</v>
      </c>
      <c r="C10" s="90" t="s">
        <v>5626</v>
      </c>
      <c r="D10" s="90" t="s">
        <v>6845</v>
      </c>
      <c r="E10" s="90" t="s">
        <v>6140</v>
      </c>
      <c r="F10" s="90" t="s">
        <v>6089</v>
      </c>
      <c r="G10" s="90" t="s">
        <v>5705</v>
      </c>
    </row>
    <row r="11" spans="1:7" s="90" customFormat="1" x14ac:dyDescent="0.3">
      <c r="A11" s="443" t="s">
        <v>5629</v>
      </c>
      <c r="B11" s="444" t="str">
        <f t="shared" si="1"/>
        <v>All disclosures are related to the reporting period above unless specified otherwise.</v>
      </c>
      <c r="C11" s="90" t="s">
        <v>5628</v>
      </c>
      <c r="D11" s="90" t="s">
        <v>6846</v>
      </c>
      <c r="E11" s="90" t="s">
        <v>6141</v>
      </c>
      <c r="F11" s="90" t="s">
        <v>7241</v>
      </c>
      <c r="G11" s="90" t="s">
        <v>6549</v>
      </c>
    </row>
    <row r="12" spans="1:7" s="90" customFormat="1" x14ac:dyDescent="0.3">
      <c r="A12" s="443" t="s">
        <v>5630</v>
      </c>
      <c r="B12" s="444" t="str">
        <f t="shared" si="1"/>
        <v>Table of Contents</v>
      </c>
      <c r="C12" s="90" t="s">
        <v>3663</v>
      </c>
      <c r="D12" s="90" t="s">
        <v>5994</v>
      </c>
      <c r="E12" s="90" t="s">
        <v>5908</v>
      </c>
      <c r="F12" s="90" t="s">
        <v>5827</v>
      </c>
      <c r="G12" s="90" t="s">
        <v>6550</v>
      </c>
    </row>
    <row r="13" spans="1:7" s="90" customFormat="1" x14ac:dyDescent="0.3">
      <c r="A13" s="443" t="s">
        <v>5632</v>
      </c>
      <c r="B13" s="444" t="str">
        <f t="shared" si="1"/>
        <v>Reporting period:</v>
      </c>
      <c r="C13" s="90" t="s">
        <v>5631</v>
      </c>
      <c r="D13" s="90" t="s">
        <v>6847</v>
      </c>
      <c r="E13" s="90" t="s">
        <v>5907</v>
      </c>
      <c r="F13" s="90" t="s">
        <v>5828</v>
      </c>
      <c r="G13" s="90" t="s">
        <v>6551</v>
      </c>
    </row>
    <row r="14" spans="1:7" s="445" customFormat="1" ht="15" thickBot="1" x14ac:dyDescent="0.35">
      <c r="A14" s="455" t="s">
        <v>5634</v>
      </c>
      <c r="B14" s="478" t="str">
        <f t="shared" si="1"/>
        <v>This report contains {{ ns.fact_count }} XBRL facts ({{ facts | count }} unique facts).</v>
      </c>
      <c r="C14" s="445" t="s">
        <v>5633</v>
      </c>
      <c r="D14" s="445" t="s">
        <v>7601</v>
      </c>
      <c r="E14" s="445" t="s">
        <v>7598</v>
      </c>
      <c r="F14" s="445" t="s">
        <v>7597</v>
      </c>
      <c r="G14" s="445" t="s">
        <v>7600</v>
      </c>
    </row>
    <row r="15" spans="1:7" s="90" customFormat="1" x14ac:dyDescent="0.3">
      <c r="A15" s="443" t="s">
        <v>4469</v>
      </c>
      <c r="B15" s="444" t="str">
        <f t="shared" si="1"/>
        <v>Version:</v>
      </c>
      <c r="C15" s="90" t="s">
        <v>2881</v>
      </c>
      <c r="D15" s="90" t="s">
        <v>6053</v>
      </c>
      <c r="E15" s="90" t="s">
        <v>6142</v>
      </c>
      <c r="F15" s="90" t="s">
        <v>5829</v>
      </c>
      <c r="G15" s="90" t="s">
        <v>5706</v>
      </c>
    </row>
    <row r="16" spans="1:7" x14ac:dyDescent="0.3">
      <c r="A16" s="443" t="s">
        <v>4470</v>
      </c>
      <c r="B16" s="444" t="str">
        <f t="shared" si="1"/>
        <v>Publication date:</v>
      </c>
      <c r="C16" s="90" t="s">
        <v>2883</v>
      </c>
      <c r="D16" s="90" t="s">
        <v>6848</v>
      </c>
      <c r="E16" s="90" t="s">
        <v>5909</v>
      </c>
      <c r="F16" s="90" t="s">
        <v>6090</v>
      </c>
      <c r="G16" s="90" t="s">
        <v>5707</v>
      </c>
    </row>
    <row r="17" spans="1:7" x14ac:dyDescent="0.3">
      <c r="A17" s="443" t="s">
        <v>4471</v>
      </c>
      <c r="B17" s="444" t="str">
        <f t="shared" si="1"/>
        <v>Taxonomy entry point:</v>
      </c>
      <c r="C17" s="90" t="s">
        <v>3616</v>
      </c>
      <c r="D17" s="90" t="s">
        <v>6849</v>
      </c>
      <c r="E17" s="90" t="s">
        <v>6143</v>
      </c>
      <c r="F17" s="90" t="s">
        <v>7242</v>
      </c>
      <c r="G17" s="90" t="s">
        <v>6552</v>
      </c>
    </row>
    <row r="18" spans="1:7" x14ac:dyDescent="0.3">
      <c r="A18" s="443" t="s">
        <v>4472</v>
      </c>
      <c r="B18" s="444" t="str">
        <f t="shared" si="1"/>
        <v>Select Template Display Language:</v>
      </c>
      <c r="C18" s="90" t="s">
        <v>4029</v>
      </c>
      <c r="D18" s="90" t="s">
        <v>6850</v>
      </c>
      <c r="E18" s="90" t="s">
        <v>5910</v>
      </c>
      <c r="F18" s="90" t="s">
        <v>7243</v>
      </c>
      <c r="G18" s="90" t="s">
        <v>6553</v>
      </c>
    </row>
    <row r="19" spans="1:7" x14ac:dyDescent="0.3">
      <c r="A19" s="443" t="s">
        <v>6112</v>
      </c>
      <c r="B19" s="444" t="str">
        <f t="shared" si="1"/>
        <v>Main title of the report</v>
      </c>
      <c r="C19" s="90" t="s">
        <v>4636</v>
      </c>
      <c r="D19" s="90" t="s">
        <v>6113</v>
      </c>
      <c r="E19" s="90" t="s">
        <v>6144</v>
      </c>
      <c r="F19" s="90" t="s">
        <v>6114</v>
      </c>
      <c r="G19" s="90" t="s">
        <v>6115</v>
      </c>
    </row>
    <row r="20" spans="1:7" x14ac:dyDescent="0.3">
      <c r="A20" s="443" t="s">
        <v>6110</v>
      </c>
      <c r="B20" s="444" t="str">
        <f t="shared" si="1"/>
        <v xml:space="preserve">Sustainability Report </v>
      </c>
      <c r="C20" s="90" t="s">
        <v>4637</v>
      </c>
      <c r="D20" s="90" t="s">
        <v>5995</v>
      </c>
      <c r="E20" s="90" t="s">
        <v>6145</v>
      </c>
      <c r="F20" s="90" t="s">
        <v>6091</v>
      </c>
      <c r="G20" s="90" t="s">
        <v>6554</v>
      </c>
    </row>
    <row r="21" spans="1:7" x14ac:dyDescent="0.3">
      <c r="A21" s="443" t="s">
        <v>6116</v>
      </c>
      <c r="B21" s="444" t="str">
        <f t="shared" si="1"/>
        <v>Subtitle of the report</v>
      </c>
      <c r="C21" s="90" t="s">
        <v>4660</v>
      </c>
      <c r="D21" s="90" t="s">
        <v>6851</v>
      </c>
      <c r="E21" s="90" t="s">
        <v>6146</v>
      </c>
      <c r="F21" s="90" t="s">
        <v>6117</v>
      </c>
      <c r="G21" s="90" t="s">
        <v>6555</v>
      </c>
    </row>
    <row r="22" spans="1:7" x14ac:dyDescent="0.3">
      <c r="A22" s="443" t="s">
        <v>6111</v>
      </c>
      <c r="B22" s="444" t="str">
        <f t="shared" si="1"/>
        <v>Prepared in accordance with the Voluntary Sustainability Reporting Standard for small and medium-sized undertakings (VSME), released by the European Commission on 30 July 2025.</v>
      </c>
      <c r="C22" s="90" t="s">
        <v>6492</v>
      </c>
      <c r="D22" s="90" t="s">
        <v>7235</v>
      </c>
      <c r="E22" s="90" t="s">
        <v>7233</v>
      </c>
      <c r="F22" s="90" t="s">
        <v>7602</v>
      </c>
      <c r="G22" s="90" t="s">
        <v>7231</v>
      </c>
    </row>
    <row r="23" spans="1:7" x14ac:dyDescent="0.3">
      <c r="A23" s="443" t="s">
        <v>4473</v>
      </c>
      <c r="B23" s="444" t="str">
        <f t="shared" si="1"/>
        <v>VSME Digital Template</v>
      </c>
      <c r="C23" s="90" t="s">
        <v>3725</v>
      </c>
      <c r="D23" s="90" t="s">
        <v>6852</v>
      </c>
      <c r="E23" s="90" t="s">
        <v>6147</v>
      </c>
      <c r="F23" s="90" t="s">
        <v>6092</v>
      </c>
      <c r="G23" s="90" t="s">
        <v>6556</v>
      </c>
    </row>
    <row r="24" spans="1:7" ht="16.05" customHeight="1" x14ac:dyDescent="0.3">
      <c r="A24" s="443" t="s">
        <v>4474</v>
      </c>
      <c r="B24" s="444"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77" t="s">
        <v>5689</v>
      </c>
      <c r="D24" s="90" t="s">
        <v>6853</v>
      </c>
      <c r="E24" s="90" t="s">
        <v>6148</v>
      </c>
      <c r="F24" s="90" t="s">
        <v>7342</v>
      </c>
      <c r="G24" s="90" t="s">
        <v>6530</v>
      </c>
    </row>
    <row r="25" spans="1:7" x14ac:dyDescent="0.3">
      <c r="A25" s="443" t="s">
        <v>4475</v>
      </c>
      <c r="B25" s="444" t="str">
        <f t="shared" si="1"/>
        <v>How to use it:</v>
      </c>
      <c r="C25" s="90" t="s">
        <v>2882</v>
      </c>
      <c r="D25" s="90" t="s">
        <v>6854</v>
      </c>
      <c r="E25" s="90" t="s">
        <v>6149</v>
      </c>
      <c r="F25" s="90" t="s">
        <v>7244</v>
      </c>
      <c r="G25" s="90" t="s">
        <v>6557</v>
      </c>
    </row>
    <row r="26" spans="1:7" x14ac:dyDescent="0.3">
      <c r="A26" s="443" t="s">
        <v>4476</v>
      </c>
      <c r="B26" s="444" t="str">
        <f t="shared" si="1"/>
        <v>0. Provide information that is mandatory in order to generate the VSME and XBRL Report.</v>
      </c>
      <c r="C26" s="90" t="s">
        <v>3531</v>
      </c>
      <c r="D26" s="90" t="s">
        <v>6855</v>
      </c>
      <c r="E26" s="90" t="s">
        <v>6150</v>
      </c>
      <c r="F26" s="90" t="s">
        <v>7245</v>
      </c>
      <c r="G26" s="90" t="s">
        <v>6819</v>
      </c>
    </row>
    <row r="27" spans="1:7" x14ac:dyDescent="0.3">
      <c r="A27" s="443" t="s">
        <v>4477</v>
      </c>
      <c r="B27" s="444"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90" t="s">
        <v>4468</v>
      </c>
      <c r="D27" s="90" t="s">
        <v>6856</v>
      </c>
      <c r="E27" s="90" t="s">
        <v>6151</v>
      </c>
      <c r="F27" s="90" t="s">
        <v>7586</v>
      </c>
      <c r="G27" s="90" t="s">
        <v>6820</v>
      </c>
    </row>
    <row r="28" spans="1:7" x14ac:dyDescent="0.3">
      <c r="A28" s="443" t="s">
        <v>4493</v>
      </c>
      <c r="B28" s="444" t="str">
        <f t="shared" si="1"/>
        <v>2. Find more information on the actual disclosure requirements in the VSME Standard and the related guidance linked to each cell. Additional or entity-specific disclosures can be provided in each text box at the end of each worksheet.</v>
      </c>
      <c r="C28" s="90" t="s">
        <v>3773</v>
      </c>
      <c r="D28" s="90" t="s">
        <v>6857</v>
      </c>
      <c r="E28" s="90" t="s">
        <v>6152</v>
      </c>
      <c r="F28" s="90" t="s">
        <v>7587</v>
      </c>
      <c r="G28" s="90" t="s">
        <v>6558</v>
      </c>
    </row>
    <row r="29" spans="1:7" x14ac:dyDescent="0.3">
      <c r="A29" s="443" t="s">
        <v>4497</v>
      </c>
      <c r="B29" s="444"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90" t="s">
        <v>7612</v>
      </c>
      <c r="D29" s="90" t="s">
        <v>6858</v>
      </c>
      <c r="E29" s="90" t="s">
        <v>6153</v>
      </c>
      <c r="F29" s="90" t="s">
        <v>7588</v>
      </c>
      <c r="G29" s="90" t="s">
        <v>6821</v>
      </c>
    </row>
    <row r="30" spans="1:7" x14ac:dyDescent="0.3">
      <c r="A30" s="443" t="s">
        <v>4494</v>
      </c>
      <c r="B30" s="444" t="str">
        <f t="shared" si="1"/>
        <v>4. Validate the data entered by checking the validation status. The report is considered incomplete or erroneous if the validation fails, which might result in an invalid XBRL report.</v>
      </c>
      <c r="C30" s="90" t="s">
        <v>7635</v>
      </c>
      <c r="D30" s="90" t="s">
        <v>6859</v>
      </c>
      <c r="E30" s="90" t="s">
        <v>6154</v>
      </c>
      <c r="F30" s="90" t="s">
        <v>7246</v>
      </c>
      <c r="G30" s="90" t="s">
        <v>6559</v>
      </c>
    </row>
    <row r="31" spans="1:7" x14ac:dyDescent="0.3">
      <c r="A31" s="443" t="s">
        <v>4495</v>
      </c>
      <c r="B31" s="444" t="str">
        <f t="shared" si="1"/>
        <v>5. Convert this template to an Inline XBRL report (or XBRL-JSON, XBRL-CSV), using the online converter. Pay attention to the XBRL validation performed by the validator.</v>
      </c>
      <c r="C31" s="90" t="s">
        <v>6493</v>
      </c>
      <c r="D31" s="90" t="s">
        <v>7236</v>
      </c>
      <c r="E31" s="90" t="s">
        <v>7234</v>
      </c>
      <c r="F31" s="90" t="s">
        <v>7603</v>
      </c>
      <c r="G31" s="90" t="s">
        <v>7232</v>
      </c>
    </row>
    <row r="32" spans="1:7" x14ac:dyDescent="0.3">
      <c r="A32" s="443" t="s">
        <v>4496</v>
      </c>
      <c r="B32" s="444" t="str">
        <f t="shared" si="1"/>
        <v>6. The undertaking may also upload the report to public repositories or a webpage.</v>
      </c>
      <c r="C32" s="90" t="s">
        <v>3095</v>
      </c>
      <c r="D32" s="90" t="s">
        <v>6860</v>
      </c>
      <c r="E32" s="90" t="s">
        <v>6155</v>
      </c>
      <c r="F32" s="90" t="s">
        <v>7589</v>
      </c>
      <c r="G32" s="90" t="s">
        <v>6822</v>
      </c>
    </row>
    <row r="33" spans="1:7" x14ac:dyDescent="0.3">
      <c r="A33" s="443" t="s">
        <v>4478</v>
      </c>
      <c r="B33" s="444" t="str">
        <f t="shared" si="1"/>
        <v>Cell background color index:</v>
      </c>
      <c r="C33" s="90" t="s">
        <v>2887</v>
      </c>
      <c r="D33" s="90" t="s">
        <v>5996</v>
      </c>
      <c r="E33" s="90" t="s">
        <v>6073</v>
      </c>
      <c r="F33" s="90" t="s">
        <v>7247</v>
      </c>
      <c r="G33" s="90" t="s">
        <v>5708</v>
      </c>
    </row>
    <row r="34" spans="1:7" x14ac:dyDescent="0.3">
      <c r="A34" s="443" t="s">
        <v>4479</v>
      </c>
      <c r="B34" s="444" t="str">
        <f t="shared" si="1"/>
        <v>General Principles</v>
      </c>
      <c r="C34" s="90" t="s">
        <v>2911</v>
      </c>
      <c r="D34" s="90" t="s">
        <v>5997</v>
      </c>
      <c r="E34" s="90" t="s">
        <v>5911</v>
      </c>
      <c r="F34" s="90" t="s">
        <v>5830</v>
      </c>
      <c r="G34" s="90" t="s">
        <v>6560</v>
      </c>
    </row>
    <row r="35" spans="1:7" x14ac:dyDescent="0.3">
      <c r="A35" s="443" t="s">
        <v>4480</v>
      </c>
      <c r="B35" s="444" t="str">
        <f t="shared" si="1"/>
        <v>Indicates that the disclosure is from the general principles of the VSME.</v>
      </c>
      <c r="C35" s="90" t="s">
        <v>2912</v>
      </c>
      <c r="D35" s="90" t="s">
        <v>6861</v>
      </c>
      <c r="E35" s="90" t="s">
        <v>6156</v>
      </c>
      <c r="F35" s="90" t="s">
        <v>7248</v>
      </c>
      <c r="G35" s="90" t="s">
        <v>6561</v>
      </c>
    </row>
    <row r="36" spans="1:7" x14ac:dyDescent="0.3">
      <c r="A36" s="443" t="s">
        <v>4481</v>
      </c>
      <c r="B36" s="444" t="str">
        <f t="shared" si="1"/>
        <v>Basic Module</v>
      </c>
      <c r="C36" s="90" t="s">
        <v>2884</v>
      </c>
      <c r="D36" s="90" t="s">
        <v>6862</v>
      </c>
      <c r="E36" s="90" t="s">
        <v>5912</v>
      </c>
      <c r="F36" s="90" t="s">
        <v>7249</v>
      </c>
      <c r="G36" s="90" t="s">
        <v>5709</v>
      </c>
    </row>
    <row r="37" spans="1:7" x14ac:dyDescent="0.3">
      <c r="A37" s="443" t="s">
        <v>4482</v>
      </c>
      <c r="B37" s="444" t="str">
        <f t="shared" si="1"/>
        <v>Indicates that the disclosure is from the VSME Basic Module.</v>
      </c>
      <c r="C37" s="90" t="s">
        <v>2910</v>
      </c>
      <c r="D37" s="90" t="s">
        <v>6863</v>
      </c>
      <c r="E37" s="90" t="s">
        <v>5913</v>
      </c>
      <c r="F37" s="90" t="s">
        <v>7250</v>
      </c>
      <c r="G37" s="90" t="s">
        <v>6562</v>
      </c>
    </row>
    <row r="38" spans="1:7" x14ac:dyDescent="0.3">
      <c r="A38" s="443" t="s">
        <v>4483</v>
      </c>
      <c r="B38" s="444" t="str">
        <f t="shared" si="1"/>
        <v>Comprehensive Module</v>
      </c>
      <c r="C38" s="90" t="s">
        <v>2885</v>
      </c>
      <c r="D38" s="90" t="s">
        <v>6864</v>
      </c>
      <c r="E38" s="90" t="s">
        <v>6157</v>
      </c>
      <c r="F38" s="90" t="s">
        <v>7250</v>
      </c>
      <c r="G38" s="90" t="s">
        <v>5710</v>
      </c>
    </row>
    <row r="39" spans="1:7" x14ac:dyDescent="0.3">
      <c r="A39" s="443" t="s">
        <v>4484</v>
      </c>
      <c r="B39" s="444" t="str">
        <f t="shared" si="1"/>
        <v>Indicates that the disclosure is from the VSME Comprehensive Module.</v>
      </c>
      <c r="C39" s="90" t="s">
        <v>2909</v>
      </c>
      <c r="D39" s="90" t="s">
        <v>6865</v>
      </c>
      <c r="E39" s="90" t="s">
        <v>6158</v>
      </c>
      <c r="F39" s="90" t="s">
        <v>7250</v>
      </c>
      <c r="G39" s="90" t="s">
        <v>6563</v>
      </c>
    </row>
    <row r="40" spans="1:7" x14ac:dyDescent="0.3">
      <c r="A40" s="443" t="s">
        <v>4485</v>
      </c>
      <c r="B40" s="444" t="str">
        <f t="shared" si="1"/>
        <v>Indicates that the cell is automatically calculated and that no data entry is required.</v>
      </c>
      <c r="C40" s="90" t="s">
        <v>3774</v>
      </c>
      <c r="D40" s="90" t="s">
        <v>6866</v>
      </c>
      <c r="E40" s="90" t="s">
        <v>6159</v>
      </c>
      <c r="F40" s="90" t="s">
        <v>7251</v>
      </c>
      <c r="G40" s="90" t="s">
        <v>6564</v>
      </c>
    </row>
    <row r="41" spans="1:7" x14ac:dyDescent="0.3">
      <c r="A41" s="443" t="s">
        <v>4498</v>
      </c>
      <c r="B41" s="444"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90" t="s">
        <v>3560</v>
      </c>
      <c r="D41" s="90" t="s">
        <v>6867</v>
      </c>
      <c r="E41" s="90" t="s">
        <v>6160</v>
      </c>
      <c r="F41" s="90" t="s">
        <v>7252</v>
      </c>
      <c r="G41" s="90" t="s">
        <v>6565</v>
      </c>
    </row>
    <row r="42" spans="1:7" x14ac:dyDescent="0.3">
      <c r="A42" s="443" t="s">
        <v>4486</v>
      </c>
      <c r="B42" s="444" t="str">
        <f t="shared" si="1"/>
        <v>Indicates that no data entry is required unless certain logics are selected in the disclosure itself. When one of these logics is selected, then this cell will turn white.</v>
      </c>
      <c r="C42" s="90" t="s">
        <v>3066</v>
      </c>
      <c r="D42" s="90" t="s">
        <v>6868</v>
      </c>
      <c r="E42" s="90" t="s">
        <v>6161</v>
      </c>
      <c r="F42" s="90" t="s">
        <v>7253</v>
      </c>
      <c r="G42" s="90" t="s">
        <v>6566</v>
      </c>
    </row>
    <row r="43" spans="1:7" x14ac:dyDescent="0.3">
      <c r="A43" s="443" t="s">
        <v>4499</v>
      </c>
      <c r="B43" s="444" t="str">
        <f t="shared" si="1"/>
        <v>Validation MISSING VALUE/ERROR/VALUE INCONSISTENCY/INVALID URL</v>
      </c>
      <c r="C43" s="444" t="s">
        <v>3775</v>
      </c>
      <c r="D43" s="90" t="s">
        <v>6869</v>
      </c>
      <c r="E43" s="90" t="s">
        <v>6162</v>
      </c>
      <c r="F43" s="90" t="s">
        <v>7254</v>
      </c>
      <c r="G43" s="90" t="s">
        <v>6506</v>
      </c>
    </row>
    <row r="44" spans="1:7" x14ac:dyDescent="0.3">
      <c r="A44" s="443" t="s">
        <v>4487</v>
      </c>
      <c r="B44" s="444" t="str">
        <f t="shared" si="1"/>
        <v>Indicates that either data entry is incorrect in terms of format or that certain information is missing in order to correctly report on the disclosure.</v>
      </c>
      <c r="C44" s="90" t="s">
        <v>3015</v>
      </c>
      <c r="D44" s="90" t="s">
        <v>6870</v>
      </c>
      <c r="E44" s="90" t="s">
        <v>6163</v>
      </c>
      <c r="F44" s="90" t="s">
        <v>7255</v>
      </c>
      <c r="G44" s="90" t="s">
        <v>6567</v>
      </c>
    </row>
    <row r="45" spans="1:7" x14ac:dyDescent="0.3">
      <c r="A45" s="443" t="s">
        <v>4500</v>
      </c>
      <c r="B45" s="444" t="str">
        <f t="shared" si="1"/>
        <v>Validation OK</v>
      </c>
      <c r="C45" s="90" t="s">
        <v>2886</v>
      </c>
      <c r="D45" s="90"/>
      <c r="E45" s="90" t="s">
        <v>5914</v>
      </c>
      <c r="F45" s="90" t="s">
        <v>5831</v>
      </c>
      <c r="G45" s="90" t="s">
        <v>6507</v>
      </c>
    </row>
    <row r="46" spans="1:7" x14ac:dyDescent="0.3">
      <c r="A46" s="443" t="s">
        <v>4488</v>
      </c>
      <c r="B46" s="444" t="str">
        <f t="shared" si="1"/>
        <v>Indicates that data entry is OK and the undertaking can proceed to the next disclosure.</v>
      </c>
      <c r="C46" s="90" t="s">
        <v>2913</v>
      </c>
      <c r="D46" s="90" t="s">
        <v>6871</v>
      </c>
      <c r="E46" s="90" t="s">
        <v>6164</v>
      </c>
      <c r="F46" s="90" t="s">
        <v>7256</v>
      </c>
      <c r="G46" s="90" t="s">
        <v>5711</v>
      </c>
    </row>
    <row r="47" spans="1:7" x14ac:dyDescent="0.3">
      <c r="A47" s="443" t="s">
        <v>4489</v>
      </c>
      <c r="B47" s="444" t="str">
        <f t="shared" si="1"/>
        <v>No value can be entered in the cell.</v>
      </c>
      <c r="C47" s="90" t="s">
        <v>3063</v>
      </c>
      <c r="D47" s="90" t="s">
        <v>6056</v>
      </c>
      <c r="E47" s="90" t="s">
        <v>5915</v>
      </c>
      <c r="F47" s="90" t="s">
        <v>5832</v>
      </c>
      <c r="G47" s="90" t="s">
        <v>5712</v>
      </c>
    </row>
    <row r="48" spans="1:7" x14ac:dyDescent="0.3">
      <c r="A48" s="443" t="s">
        <v>4490</v>
      </c>
      <c r="B48" s="444" t="str">
        <f t="shared" si="1"/>
        <v>Lists can be expanded using the plus [+] button on the left. If the number of rows is not sufficient, additional rows can be added by right clicking the second row and selecting "Insert row".</v>
      </c>
      <c r="C48" s="90" t="s">
        <v>3016</v>
      </c>
      <c r="D48" s="90" t="s">
        <v>6872</v>
      </c>
      <c r="E48" s="90" t="s">
        <v>6165</v>
      </c>
      <c r="F48" s="90" t="s">
        <v>7257</v>
      </c>
      <c r="G48" s="90" t="s">
        <v>6568</v>
      </c>
    </row>
    <row r="49" spans="1:7" x14ac:dyDescent="0.3">
      <c r="A49" s="443" t="s">
        <v>4491</v>
      </c>
      <c r="B49" s="444"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90" t="s">
        <v>2923</v>
      </c>
      <c r="D49" s="90" t="s">
        <v>6873</v>
      </c>
      <c r="E49" s="90" t="s">
        <v>6166</v>
      </c>
      <c r="F49" s="90" t="s">
        <v>7258</v>
      </c>
      <c r="G49" s="90" t="s">
        <v>6569</v>
      </c>
    </row>
    <row r="50" spans="1:7" s="12" customFormat="1" ht="15" thickBot="1" x14ac:dyDescent="0.35">
      <c r="A50" s="455" t="s">
        <v>4492</v>
      </c>
      <c r="B50" s="478" t="str">
        <f t="shared" si="1"/>
        <v>Reproduction and use rights are strictly limited. For further details please contact efragsecretariat@efrag.org</v>
      </c>
      <c r="C50" s="445" t="s">
        <v>2922</v>
      </c>
      <c r="D50" s="445" t="s">
        <v>6874</v>
      </c>
      <c r="E50" s="445" t="s">
        <v>6167</v>
      </c>
      <c r="F50" s="445" t="s">
        <v>7259</v>
      </c>
      <c r="G50" s="445" t="s">
        <v>6570</v>
      </c>
    </row>
    <row r="51" spans="1:7" x14ac:dyDescent="0.3">
      <c r="A51" s="443" t="s">
        <v>4406</v>
      </c>
      <c r="B51" s="444" t="str">
        <f t="shared" si="1"/>
        <v>Overall Validation Status</v>
      </c>
      <c r="C51" s="443" t="s">
        <v>3662</v>
      </c>
      <c r="D51" s="90" t="s">
        <v>6875</v>
      </c>
      <c r="E51" s="90" t="s">
        <v>6168</v>
      </c>
      <c r="F51" s="90" t="s">
        <v>7260</v>
      </c>
      <c r="G51" s="90" t="s">
        <v>6571</v>
      </c>
    </row>
    <row r="52" spans="1:7" x14ac:dyDescent="0.3">
      <c r="A52" s="443" t="s">
        <v>4407</v>
      </c>
      <c r="B52" s="444" t="str">
        <f t="shared" si="1"/>
        <v>Table of Contents</v>
      </c>
      <c r="C52" s="443" t="s">
        <v>3663</v>
      </c>
      <c r="D52" s="90" t="s">
        <v>5994</v>
      </c>
      <c r="E52" s="90" t="s">
        <v>5908</v>
      </c>
      <c r="F52" s="90" t="s">
        <v>5827</v>
      </c>
      <c r="G52" s="90" t="s">
        <v>5827</v>
      </c>
    </row>
    <row r="53" spans="1:7" x14ac:dyDescent="0.3">
      <c r="A53" s="443" t="s">
        <v>4408</v>
      </c>
      <c r="B53" s="444" t="str">
        <f t="shared" si="1"/>
        <v>Contents grouping follows template's framework</v>
      </c>
      <c r="C53" s="443" t="s">
        <v>3664</v>
      </c>
      <c r="D53" s="90" t="s">
        <v>6876</v>
      </c>
      <c r="E53" s="90" t="s">
        <v>6169</v>
      </c>
      <c r="F53" s="90" t="s">
        <v>7261</v>
      </c>
      <c r="G53" s="90" t="s">
        <v>6572</v>
      </c>
    </row>
    <row r="54" spans="1:7" x14ac:dyDescent="0.3">
      <c r="A54" s="443" t="s">
        <v>4409</v>
      </c>
      <c r="B54" s="444" t="str">
        <f t="shared" si="1"/>
        <v>Specific Content Validation Status</v>
      </c>
      <c r="C54" s="443" t="s">
        <v>3665</v>
      </c>
      <c r="D54" s="90" t="s">
        <v>5998</v>
      </c>
      <c r="E54" s="90" t="s">
        <v>6170</v>
      </c>
      <c r="F54" s="90" t="s">
        <v>7262</v>
      </c>
      <c r="G54" s="90" t="s">
        <v>6573</v>
      </c>
    </row>
    <row r="55" spans="1:7" x14ac:dyDescent="0.3">
      <c r="A55" s="443" t="s">
        <v>4410</v>
      </c>
      <c r="B55" s="444" t="str">
        <f t="shared" si="1"/>
        <v>General Information</v>
      </c>
      <c r="C55" s="443" t="s">
        <v>3666</v>
      </c>
      <c r="D55" s="90" t="s">
        <v>6877</v>
      </c>
      <c r="E55" s="90" t="s">
        <v>5916</v>
      </c>
      <c r="F55" s="90" t="s">
        <v>7263</v>
      </c>
      <c r="G55" s="90" t="s">
        <v>5713</v>
      </c>
    </row>
    <row r="56" spans="1:7" x14ac:dyDescent="0.3">
      <c r="A56" s="443" t="s">
        <v>4405</v>
      </c>
      <c r="B56" s="444" t="str">
        <f t="shared" si="1"/>
        <v>· Information on the report necessary for  XBRL</v>
      </c>
      <c r="C56" s="443" t="s">
        <v>3686</v>
      </c>
      <c r="D56" s="90" t="s">
        <v>6878</v>
      </c>
      <c r="E56" s="90" t="s">
        <v>6171</v>
      </c>
      <c r="F56" s="90" t="s">
        <v>7596</v>
      </c>
      <c r="G56" s="90" t="s">
        <v>6574</v>
      </c>
    </row>
    <row r="57" spans="1:7" x14ac:dyDescent="0.3">
      <c r="A57" s="443" t="s">
        <v>4411</v>
      </c>
      <c r="B57" s="444" t="str">
        <f t="shared" si="1"/>
        <v>· Information on previous reporting period</v>
      </c>
      <c r="C57" s="443" t="s">
        <v>3687</v>
      </c>
      <c r="D57" s="90" t="s">
        <v>5999</v>
      </c>
      <c r="E57" s="90" t="s">
        <v>6172</v>
      </c>
      <c r="F57" s="90" t="s">
        <v>7265</v>
      </c>
      <c r="G57" s="90" t="s">
        <v>6575</v>
      </c>
    </row>
    <row r="58" spans="1:7" x14ac:dyDescent="0.3">
      <c r="A58" s="443" t="s">
        <v>4412</v>
      </c>
      <c r="B58" s="444" t="str">
        <f t="shared" si="1"/>
        <v>Basic Module</v>
      </c>
      <c r="C58" s="443" t="s">
        <v>2884</v>
      </c>
      <c r="D58" s="90" t="s">
        <v>6862</v>
      </c>
      <c r="E58" s="90" t="s">
        <v>5912</v>
      </c>
      <c r="F58" s="90" t="s">
        <v>7249</v>
      </c>
      <c r="G58" s="90" t="s">
        <v>5709</v>
      </c>
    </row>
    <row r="59" spans="1:7" x14ac:dyDescent="0.3">
      <c r="A59" s="443" t="s">
        <v>4413</v>
      </c>
      <c r="B59" s="444" t="str">
        <f t="shared" si="1"/>
        <v>· B1 - Basis for Preparation</v>
      </c>
      <c r="C59" s="443" t="s">
        <v>3688</v>
      </c>
      <c r="D59" s="90" t="s">
        <v>6879</v>
      </c>
      <c r="E59" s="90" t="s">
        <v>6173</v>
      </c>
      <c r="F59" s="90" t="s">
        <v>7590</v>
      </c>
      <c r="G59" s="90" t="s">
        <v>6576</v>
      </c>
    </row>
    <row r="60" spans="1:7" x14ac:dyDescent="0.3">
      <c r="A60" s="443" t="s">
        <v>4414</v>
      </c>
      <c r="B60" s="444" t="str">
        <f t="shared" si="1"/>
        <v>Basis for Preparation and other undertaking's general information</v>
      </c>
      <c r="C60" s="443" t="s">
        <v>4380</v>
      </c>
      <c r="D60" s="90" t="s">
        <v>6880</v>
      </c>
      <c r="E60" s="90" t="s">
        <v>6174</v>
      </c>
      <c r="F60" s="90" t="s">
        <v>7266</v>
      </c>
      <c r="G60" s="90" t="s">
        <v>6577</v>
      </c>
    </row>
    <row r="61" spans="1:7" x14ac:dyDescent="0.3">
      <c r="A61" s="443" t="s">
        <v>4415</v>
      </c>
      <c r="B61" s="444" t="str">
        <f t="shared" si="1"/>
        <v>List of subsidiaries</v>
      </c>
      <c r="C61" s="443" t="s">
        <v>4381</v>
      </c>
      <c r="D61" s="90" t="s">
        <v>6881</v>
      </c>
      <c r="E61" s="90" t="s">
        <v>6175</v>
      </c>
      <c r="F61" s="90" t="s">
        <v>7267</v>
      </c>
      <c r="G61" s="90" t="s">
        <v>6578</v>
      </c>
    </row>
    <row r="62" spans="1:7" x14ac:dyDescent="0.3">
      <c r="A62" s="443" t="s">
        <v>4416</v>
      </c>
      <c r="B62" s="444" t="str">
        <f t="shared" si="1"/>
        <v>Disclosure of sustainability-related certification(s) or label(s)</v>
      </c>
      <c r="C62" s="443" t="s">
        <v>4382</v>
      </c>
      <c r="D62" s="90" t="s">
        <v>6882</v>
      </c>
      <c r="E62" s="90" t="s">
        <v>6176</v>
      </c>
      <c r="F62" s="90" t="s">
        <v>7268</v>
      </c>
      <c r="G62" s="90" t="s">
        <v>6579</v>
      </c>
    </row>
    <row r="63" spans="1:7" x14ac:dyDescent="0.3">
      <c r="A63" s="443" t="s">
        <v>4417</v>
      </c>
      <c r="B63" s="444" t="str">
        <f t="shared" si="1"/>
        <v>List of site(s)</v>
      </c>
      <c r="C63" s="443" t="s">
        <v>4383</v>
      </c>
      <c r="D63" s="90" t="s">
        <v>6883</v>
      </c>
      <c r="E63" s="90" t="s">
        <v>6177</v>
      </c>
      <c r="F63" s="90" t="s">
        <v>7269</v>
      </c>
      <c r="G63" s="90" t="s">
        <v>6580</v>
      </c>
    </row>
    <row r="64" spans="1:7" x14ac:dyDescent="0.3">
      <c r="A64" s="443" t="s">
        <v>4418</v>
      </c>
      <c r="B64" s="444" t="str">
        <f t="shared" si="1"/>
        <v>· B2 - Practices, policies and future initiatives for transitioning towards a more sustainable economy</v>
      </c>
      <c r="C64" s="443" t="s">
        <v>3676</v>
      </c>
      <c r="D64" s="90" t="s">
        <v>6884</v>
      </c>
      <c r="E64" s="90" t="s">
        <v>5936</v>
      </c>
      <c r="F64" s="90" t="s">
        <v>7591</v>
      </c>
      <c r="G64" s="90" t="s">
        <v>5748</v>
      </c>
    </row>
    <row r="65" spans="1:7" x14ac:dyDescent="0.3">
      <c r="A65" s="443" t="s">
        <v>4419</v>
      </c>
      <c r="B65" s="444" t="str">
        <f t="shared" si="1"/>
        <v>Practices, policies and future initiatives for transitioning towards a more sustainable economy</v>
      </c>
      <c r="C65" s="443" t="s">
        <v>4384</v>
      </c>
      <c r="D65" s="90" t="s">
        <v>6884</v>
      </c>
      <c r="E65" s="90" t="s">
        <v>6074</v>
      </c>
      <c r="F65" s="90" t="s">
        <v>5833</v>
      </c>
      <c r="G65" s="90" t="s">
        <v>5714</v>
      </c>
    </row>
    <row r="66" spans="1:7" x14ac:dyDescent="0.3">
      <c r="A66" s="443" t="s">
        <v>4420</v>
      </c>
      <c r="B66" s="444" t="str">
        <f t="shared" si="1"/>
        <v>Cooperative specific disclosures</v>
      </c>
      <c r="C66" s="443" t="s">
        <v>4385</v>
      </c>
      <c r="D66" s="90" t="s">
        <v>6885</v>
      </c>
      <c r="E66" s="90" t="s">
        <v>6178</v>
      </c>
      <c r="F66" s="90" t="s">
        <v>7271</v>
      </c>
      <c r="G66" s="90" t="s">
        <v>6581</v>
      </c>
    </row>
    <row r="67" spans="1:7" x14ac:dyDescent="0.3">
      <c r="A67" s="443" t="s">
        <v>4421</v>
      </c>
      <c r="B67" s="444" t="str">
        <f t="shared" si="1"/>
        <v>Environmental Disclosures</v>
      </c>
      <c r="C67" s="443" t="s">
        <v>3667</v>
      </c>
      <c r="D67" s="90" t="s">
        <v>6886</v>
      </c>
      <c r="E67" s="90" t="s">
        <v>6179</v>
      </c>
      <c r="F67" s="90" t="s">
        <v>5834</v>
      </c>
      <c r="G67" s="90" t="s">
        <v>6582</v>
      </c>
    </row>
    <row r="68" spans="1:7" x14ac:dyDescent="0.3">
      <c r="A68" s="443" t="s">
        <v>4422</v>
      </c>
      <c r="B68" s="444" t="str">
        <f t="shared" ref="B68:B131" si="2">INDEX(C68:G68,MATCH(template_selected_display_language,$C$3:$G$3,0))</f>
        <v>· B3 - Energy and greenhouse gas emissions</v>
      </c>
      <c r="C68" s="443" t="s">
        <v>3692</v>
      </c>
      <c r="D68" s="90" t="s">
        <v>6887</v>
      </c>
      <c r="E68" s="90" t="s">
        <v>6180</v>
      </c>
      <c r="F68" s="90" t="s">
        <v>7592</v>
      </c>
      <c r="G68" s="90" t="s">
        <v>6583</v>
      </c>
    </row>
    <row r="69" spans="1:7" x14ac:dyDescent="0.3">
      <c r="A69" s="443" t="s">
        <v>4423</v>
      </c>
      <c r="B69" s="444" t="str">
        <f t="shared" si="2"/>
        <v>Total Energy Consumption (in MWh)</v>
      </c>
      <c r="C69" s="443" t="s">
        <v>4386</v>
      </c>
      <c r="D69" s="90" t="s">
        <v>6057</v>
      </c>
      <c r="E69" s="90" t="s">
        <v>5917</v>
      </c>
      <c r="F69" s="90" t="s">
        <v>7272</v>
      </c>
      <c r="G69" s="90" t="s">
        <v>5715</v>
      </c>
    </row>
    <row r="70" spans="1:7" x14ac:dyDescent="0.3">
      <c r="A70" s="443" t="s">
        <v>4424</v>
      </c>
      <c r="B70" s="444" t="str">
        <f t="shared" si="2"/>
        <v>Breakdown of energy consumption (in MWh)</v>
      </c>
      <c r="C70" s="443" t="s">
        <v>4387</v>
      </c>
      <c r="D70" s="90" t="s">
        <v>6888</v>
      </c>
      <c r="E70" s="90" t="s">
        <v>5918</v>
      </c>
      <c r="F70" s="90" t="s">
        <v>7273</v>
      </c>
      <c r="G70" s="90" t="s">
        <v>5716</v>
      </c>
    </row>
    <row r="71" spans="1:7" x14ac:dyDescent="0.3">
      <c r="A71" s="443" t="s">
        <v>4425</v>
      </c>
      <c r="B71" s="444" t="str">
        <f t="shared" si="2"/>
        <v>Estimated Greenhouse Gas Emissions considering the GHG Protocol Version 2004 (in tCO2e)</v>
      </c>
      <c r="C71" s="443" t="s">
        <v>4388</v>
      </c>
      <c r="D71" s="90" t="s">
        <v>6889</v>
      </c>
      <c r="E71" s="90" t="s">
        <v>6181</v>
      </c>
      <c r="F71" s="90" t="s">
        <v>7274</v>
      </c>
      <c r="G71" s="90" t="s">
        <v>6584</v>
      </c>
    </row>
    <row r="72" spans="1:7" x14ac:dyDescent="0.3">
      <c r="A72" s="443" t="s">
        <v>4426</v>
      </c>
      <c r="B72" s="444" t="str">
        <f t="shared" si="2"/>
        <v>Greenhouse gas emission intensity per turnover</v>
      </c>
      <c r="C72" s="443" t="s">
        <v>4389</v>
      </c>
      <c r="D72" s="90" t="s">
        <v>6890</v>
      </c>
      <c r="E72" s="90" t="s">
        <v>6182</v>
      </c>
      <c r="F72" s="90" t="s">
        <v>5835</v>
      </c>
      <c r="G72" s="90" t="s">
        <v>6585</v>
      </c>
    </row>
    <row r="73" spans="1:7" x14ac:dyDescent="0.3">
      <c r="A73" s="443" t="s">
        <v>4427</v>
      </c>
      <c r="B73" s="444" t="str">
        <f t="shared" si="2"/>
        <v>· B4 - Pollution of air, water and soil</v>
      </c>
      <c r="C73" s="443" t="s">
        <v>3693</v>
      </c>
      <c r="D73" s="90" t="s">
        <v>6891</v>
      </c>
      <c r="E73" s="90" t="s">
        <v>5957</v>
      </c>
      <c r="F73" s="90" t="s">
        <v>7593</v>
      </c>
      <c r="G73" s="90" t="s">
        <v>6586</v>
      </c>
    </row>
    <row r="74" spans="1:7" x14ac:dyDescent="0.3">
      <c r="A74" s="443" t="s">
        <v>4428</v>
      </c>
      <c r="B74" s="444" t="str">
        <f t="shared" si="2"/>
        <v>· B5 - Biodiversity</v>
      </c>
      <c r="C74" s="443" t="s">
        <v>3670</v>
      </c>
      <c r="D74" s="90" t="s">
        <v>6892</v>
      </c>
      <c r="E74" s="90" t="s">
        <v>6183</v>
      </c>
      <c r="F74" s="90" t="s">
        <v>7594</v>
      </c>
      <c r="G74" s="90" t="s">
        <v>6587</v>
      </c>
    </row>
    <row r="75" spans="1:7" x14ac:dyDescent="0.3">
      <c r="A75" s="443" t="s">
        <v>4429</v>
      </c>
      <c r="B75" s="444" t="str">
        <f t="shared" si="2"/>
        <v>Sites in biodiversity sensitive areas</v>
      </c>
      <c r="C75" s="443" t="s">
        <v>4390</v>
      </c>
      <c r="D75" s="90" t="s">
        <v>6893</v>
      </c>
      <c r="E75" s="90" t="s">
        <v>6184</v>
      </c>
      <c r="F75" s="90" t="s">
        <v>7276</v>
      </c>
      <c r="G75" s="90" t="s">
        <v>6588</v>
      </c>
    </row>
    <row r="76" spans="1:7" x14ac:dyDescent="0.3">
      <c r="A76" s="443" t="s">
        <v>4430</v>
      </c>
      <c r="B76" s="444" t="str">
        <f t="shared" si="2"/>
        <v>Biodiversity - Land-use</v>
      </c>
      <c r="C76" s="443" t="s">
        <v>4391</v>
      </c>
      <c r="D76" s="90" t="s">
        <v>6894</v>
      </c>
      <c r="E76" s="90" t="s">
        <v>6185</v>
      </c>
      <c r="F76" s="90" t="s">
        <v>5836</v>
      </c>
      <c r="G76" s="90" t="s">
        <v>5717</v>
      </c>
    </row>
    <row r="77" spans="1:7" x14ac:dyDescent="0.3">
      <c r="A77" s="443" t="s">
        <v>4431</v>
      </c>
      <c r="B77" s="444" t="str">
        <f t="shared" si="2"/>
        <v>· B6 - Water</v>
      </c>
      <c r="C77" s="443" t="s">
        <v>3694</v>
      </c>
      <c r="D77" s="90" t="s">
        <v>6895</v>
      </c>
      <c r="E77" s="90" t="s">
        <v>6186</v>
      </c>
      <c r="F77" s="90" t="s">
        <v>7595</v>
      </c>
      <c r="G77" s="90" t="s">
        <v>6589</v>
      </c>
    </row>
    <row r="78" spans="1:7" x14ac:dyDescent="0.3">
      <c r="A78" s="443" t="s">
        <v>4432</v>
      </c>
      <c r="B78" s="444" t="str">
        <f t="shared" si="2"/>
        <v>Water Withdrawal</v>
      </c>
      <c r="C78" s="443" t="s">
        <v>4392</v>
      </c>
      <c r="D78" s="90" t="s">
        <v>6896</v>
      </c>
      <c r="E78" s="90" t="s">
        <v>5919</v>
      </c>
      <c r="F78" s="90" t="s">
        <v>7277</v>
      </c>
      <c r="G78" s="90" t="s">
        <v>5718</v>
      </c>
    </row>
    <row r="79" spans="1:7" x14ac:dyDescent="0.3">
      <c r="A79" s="443" t="s">
        <v>4433</v>
      </c>
      <c r="B79" s="444" t="str">
        <f t="shared" si="2"/>
        <v>Water Consumption</v>
      </c>
      <c r="C79" s="443" t="s">
        <v>4393</v>
      </c>
      <c r="D79" s="90" t="s">
        <v>6000</v>
      </c>
      <c r="E79" s="90" t="s">
        <v>5920</v>
      </c>
      <c r="F79" s="90" t="s">
        <v>7278</v>
      </c>
      <c r="G79" s="90" t="s">
        <v>5719</v>
      </c>
    </row>
    <row r="80" spans="1:7" x14ac:dyDescent="0.3">
      <c r="A80" s="443" t="s">
        <v>4434</v>
      </c>
      <c r="B80" s="444" t="str">
        <f t="shared" si="2"/>
        <v>· B7 - Resource use, circular economy and waste management</v>
      </c>
      <c r="C80" s="443" t="s">
        <v>3695</v>
      </c>
      <c r="D80" s="90" t="s">
        <v>6897</v>
      </c>
      <c r="E80" s="90" t="s">
        <v>6187</v>
      </c>
      <c r="F80" s="90" t="s">
        <v>7585</v>
      </c>
      <c r="G80" s="90" t="s">
        <v>6590</v>
      </c>
    </row>
    <row r="81" spans="1:7" x14ac:dyDescent="0.3">
      <c r="A81" s="443" t="s">
        <v>4435</v>
      </c>
      <c r="B81" s="444" t="str">
        <f t="shared" si="2"/>
        <v>Description of circular economy principles</v>
      </c>
      <c r="C81" s="443" t="s">
        <v>4394</v>
      </c>
      <c r="D81" s="90" t="s">
        <v>6001</v>
      </c>
      <c r="E81" s="90" t="s">
        <v>6187</v>
      </c>
      <c r="F81" s="90" t="s">
        <v>5837</v>
      </c>
      <c r="G81" s="90" t="s">
        <v>5720</v>
      </c>
    </row>
    <row r="82" spans="1:7" x14ac:dyDescent="0.3">
      <c r="A82" s="443" t="s">
        <v>4436</v>
      </c>
      <c r="B82" s="444" t="str">
        <f t="shared" si="2"/>
        <v>Waste generated</v>
      </c>
      <c r="C82" s="443" t="s">
        <v>4395</v>
      </c>
      <c r="D82" s="90" t="s">
        <v>6002</v>
      </c>
      <c r="E82" s="90" t="s">
        <v>6188</v>
      </c>
      <c r="F82" s="90" t="s">
        <v>7279</v>
      </c>
      <c r="G82" s="90" t="s">
        <v>5721</v>
      </c>
    </row>
    <row r="83" spans="1:7" x14ac:dyDescent="0.3">
      <c r="A83" s="443" t="s">
        <v>4437</v>
      </c>
      <c r="B83" s="444" t="str">
        <f t="shared" si="2"/>
        <v>Annual mass-flow of relevant materials used</v>
      </c>
      <c r="C83" s="443" t="s">
        <v>4396</v>
      </c>
      <c r="D83" s="90" t="s">
        <v>6898</v>
      </c>
      <c r="E83" s="90" t="s">
        <v>6189</v>
      </c>
      <c r="F83" s="90" t="s">
        <v>7280</v>
      </c>
      <c r="G83" s="90" t="s">
        <v>6591</v>
      </c>
    </row>
    <row r="84" spans="1:7" x14ac:dyDescent="0.3">
      <c r="A84" s="443" t="s">
        <v>4438</v>
      </c>
      <c r="B84" s="444" t="str">
        <f t="shared" si="2"/>
        <v>Social Disclosures</v>
      </c>
      <c r="C84" s="443" t="s">
        <v>3668</v>
      </c>
      <c r="D84" s="90" t="s">
        <v>6899</v>
      </c>
      <c r="E84" s="90" t="s">
        <v>6190</v>
      </c>
      <c r="F84" s="90" t="s">
        <v>7281</v>
      </c>
      <c r="G84" s="90" t="s">
        <v>6592</v>
      </c>
    </row>
    <row r="85" spans="1:7" x14ac:dyDescent="0.3">
      <c r="A85" s="443" t="s">
        <v>4439</v>
      </c>
      <c r="B85" s="444" t="str">
        <f t="shared" si="2"/>
        <v>· B8 - Workforce - General characteristics</v>
      </c>
      <c r="C85" s="443" t="s">
        <v>3698</v>
      </c>
      <c r="D85" s="90" t="s">
        <v>6900</v>
      </c>
      <c r="E85" s="90" t="s">
        <v>6191</v>
      </c>
      <c r="F85" s="90" t="s">
        <v>7584</v>
      </c>
      <c r="G85" s="90" t="s">
        <v>6593</v>
      </c>
    </row>
    <row r="86" spans="1:7" x14ac:dyDescent="0.3">
      <c r="A86" s="443" t="s">
        <v>4440</v>
      </c>
      <c r="B86" s="444" t="str">
        <f t="shared" si="2"/>
        <v>Type of contract</v>
      </c>
      <c r="C86" s="443" t="s">
        <v>22</v>
      </c>
      <c r="D86" s="90" t="s">
        <v>6901</v>
      </c>
      <c r="E86" s="90" t="s">
        <v>5921</v>
      </c>
      <c r="F86" s="90" t="s">
        <v>5722</v>
      </c>
      <c r="G86" s="90" t="s">
        <v>5722</v>
      </c>
    </row>
    <row r="87" spans="1:7" x14ac:dyDescent="0.3">
      <c r="A87" s="443" t="s">
        <v>4441</v>
      </c>
      <c r="B87" s="444" t="str">
        <f t="shared" si="2"/>
        <v>Gender</v>
      </c>
      <c r="C87" s="443" t="s">
        <v>25</v>
      </c>
      <c r="D87" s="90" t="s">
        <v>6003</v>
      </c>
      <c r="E87" s="90" t="s">
        <v>5922</v>
      </c>
      <c r="F87" s="90" t="s">
        <v>5723</v>
      </c>
      <c r="G87" s="90" t="s">
        <v>5723</v>
      </c>
    </row>
    <row r="88" spans="1:7" x14ac:dyDescent="0.3">
      <c r="A88" s="443" t="s">
        <v>4442</v>
      </c>
      <c r="B88" s="444" t="str">
        <f t="shared" si="2"/>
        <v>Country of employment</v>
      </c>
      <c r="C88" s="443" t="s">
        <v>4397</v>
      </c>
      <c r="D88" s="90" t="s">
        <v>6902</v>
      </c>
      <c r="E88" s="90" t="s">
        <v>5923</v>
      </c>
      <c r="F88" s="90" t="s">
        <v>5838</v>
      </c>
      <c r="G88" s="90" t="s">
        <v>5724</v>
      </c>
    </row>
    <row r="89" spans="1:7" x14ac:dyDescent="0.3">
      <c r="A89" s="443" t="s">
        <v>4443</v>
      </c>
      <c r="B89" s="444" t="str">
        <f t="shared" si="2"/>
        <v>Turnover rate</v>
      </c>
      <c r="C89" s="443" t="s">
        <v>4398</v>
      </c>
      <c r="D89" s="90" t="s">
        <v>6004</v>
      </c>
      <c r="E89" s="90" t="s">
        <v>5924</v>
      </c>
      <c r="F89" s="90" t="s">
        <v>5839</v>
      </c>
      <c r="G89" s="90" t="s">
        <v>5725</v>
      </c>
    </row>
    <row r="90" spans="1:7" x14ac:dyDescent="0.3">
      <c r="A90" s="443" t="s">
        <v>4444</v>
      </c>
      <c r="B90" s="444" t="str">
        <f t="shared" si="2"/>
        <v>· B9 - Workforce – Health and safety</v>
      </c>
      <c r="C90" s="443" t="s">
        <v>3699</v>
      </c>
      <c r="D90" s="90" t="s">
        <v>6903</v>
      </c>
      <c r="E90" s="90" t="s">
        <v>6192</v>
      </c>
      <c r="F90" s="90" t="s">
        <v>7583</v>
      </c>
      <c r="G90" s="90" t="s">
        <v>6594</v>
      </c>
    </row>
    <row r="91" spans="1:7" x14ac:dyDescent="0.3">
      <c r="A91" s="443" t="s">
        <v>4445</v>
      </c>
      <c r="B91" s="444" t="str">
        <f t="shared" si="2"/>
        <v>· B10 - Workforce – Remuneration, collective bargaining and training</v>
      </c>
      <c r="C91" s="443" t="s">
        <v>4399</v>
      </c>
      <c r="D91" s="90" t="s">
        <v>6904</v>
      </c>
      <c r="E91" s="90" t="s">
        <v>6193</v>
      </c>
      <c r="F91" s="90" t="s">
        <v>6093</v>
      </c>
      <c r="G91" s="90" t="s">
        <v>6595</v>
      </c>
    </row>
    <row r="92" spans="1:7" x14ac:dyDescent="0.3">
      <c r="A92" s="443" t="s">
        <v>4446</v>
      </c>
      <c r="B92" s="444" t="str">
        <f t="shared" si="2"/>
        <v>Governance Disclosures</v>
      </c>
      <c r="C92" s="443" t="s">
        <v>3669</v>
      </c>
      <c r="D92" s="90" t="s">
        <v>6905</v>
      </c>
      <c r="E92" s="90" t="s">
        <v>6194</v>
      </c>
      <c r="F92" s="90" t="s">
        <v>7283</v>
      </c>
      <c r="G92" s="90" t="s">
        <v>6508</v>
      </c>
    </row>
    <row r="93" spans="1:7" x14ac:dyDescent="0.3">
      <c r="A93" s="443" t="s">
        <v>4447</v>
      </c>
      <c r="B93" s="444" t="str">
        <f t="shared" si="2"/>
        <v>· B11 - Convictions and fines for corruption and bribery</v>
      </c>
      <c r="C93" s="443" t="s">
        <v>3704</v>
      </c>
      <c r="D93" s="90" t="s">
        <v>6906</v>
      </c>
      <c r="E93" s="90" t="s">
        <v>6195</v>
      </c>
      <c r="F93" s="90" t="s">
        <v>7582</v>
      </c>
      <c r="G93" s="90" t="s">
        <v>6106</v>
      </c>
    </row>
    <row r="94" spans="1:7" x14ac:dyDescent="0.3">
      <c r="A94" s="443" t="s">
        <v>4448</v>
      </c>
      <c r="B94" s="444" t="str">
        <f t="shared" si="2"/>
        <v>Comprehensive Module</v>
      </c>
      <c r="C94" s="443" t="s">
        <v>2885</v>
      </c>
      <c r="D94" s="90" t="s">
        <v>6907</v>
      </c>
      <c r="E94" s="90" t="s">
        <v>6157</v>
      </c>
      <c r="F94" s="90" t="s">
        <v>7284</v>
      </c>
      <c r="G94" s="90" t="s">
        <v>5710</v>
      </c>
    </row>
    <row r="95" spans="1:7" x14ac:dyDescent="0.3">
      <c r="A95" s="443" t="s">
        <v>4449</v>
      </c>
      <c r="B95" s="444" t="str">
        <f t="shared" si="2"/>
        <v>· C1 - Strategy: Business Model and Sustainability – Related Initiatives</v>
      </c>
      <c r="C95" s="443" t="s">
        <v>3689</v>
      </c>
      <c r="D95" s="90" t="s">
        <v>6908</v>
      </c>
      <c r="E95" s="90" t="s">
        <v>6196</v>
      </c>
      <c r="F95" s="90" t="s">
        <v>7285</v>
      </c>
      <c r="G95" s="90" t="s">
        <v>6531</v>
      </c>
    </row>
    <row r="96" spans="1:7" x14ac:dyDescent="0.3">
      <c r="A96" s="443" t="s">
        <v>4450</v>
      </c>
      <c r="B96" s="444" t="str">
        <f t="shared" si="2"/>
        <v>· C2 - Description of practices, policies and future initiatives for transitioning towards a more sustainable economy</v>
      </c>
      <c r="C96" s="443" t="s">
        <v>3690</v>
      </c>
      <c r="D96" s="90" t="s">
        <v>6909</v>
      </c>
      <c r="E96" s="90" t="s">
        <v>5941</v>
      </c>
      <c r="F96" s="90" t="s">
        <v>5840</v>
      </c>
      <c r="G96" s="90" t="s">
        <v>6823</v>
      </c>
    </row>
    <row r="97" spans="1:7" x14ac:dyDescent="0.3">
      <c r="A97" s="443" t="s">
        <v>4451</v>
      </c>
      <c r="B97" s="444" t="str">
        <f t="shared" si="2"/>
        <v>· C3 - GHG reduction targets and climate transition</v>
      </c>
      <c r="C97" s="443" t="s">
        <v>3696</v>
      </c>
      <c r="D97" s="90" t="s">
        <v>6910</v>
      </c>
      <c r="E97" s="90" t="s">
        <v>6197</v>
      </c>
      <c r="F97" s="90" t="s">
        <v>7286</v>
      </c>
      <c r="G97" s="90" t="s">
        <v>6597</v>
      </c>
    </row>
    <row r="98" spans="1:7" x14ac:dyDescent="0.3">
      <c r="A98" s="443" t="s">
        <v>4452</v>
      </c>
      <c r="B98" s="444" t="str">
        <f t="shared" si="2"/>
        <v>GHG reduction targets (in tC02e)</v>
      </c>
      <c r="C98" s="443" t="s">
        <v>4400</v>
      </c>
      <c r="D98" s="90" t="s">
        <v>6911</v>
      </c>
      <c r="E98" s="90" t="s">
        <v>6198</v>
      </c>
      <c r="F98" s="90" t="s">
        <v>7343</v>
      </c>
      <c r="G98" s="90" t="s">
        <v>6598</v>
      </c>
    </row>
    <row r="99" spans="1:7" x14ac:dyDescent="0.3">
      <c r="A99" s="443" t="s">
        <v>4453</v>
      </c>
      <c r="B99" s="444" t="str">
        <f t="shared" si="2"/>
        <v>Disclosure of list of main actions the entity seeks in order  to achieve its targets</v>
      </c>
      <c r="C99" s="443" t="s">
        <v>4401</v>
      </c>
      <c r="D99" s="90" t="s">
        <v>6912</v>
      </c>
      <c r="E99" s="90" t="s">
        <v>6199</v>
      </c>
      <c r="F99" s="90" t="s">
        <v>7287</v>
      </c>
      <c r="G99" s="90" t="s">
        <v>6599</v>
      </c>
    </row>
    <row r="100" spans="1:7" x14ac:dyDescent="0.3">
      <c r="A100" s="443" t="s">
        <v>4454</v>
      </c>
      <c r="B100" s="444" t="str">
        <f t="shared" si="2"/>
        <v>Transition plan for undertakings operating in high climate impact sectors</v>
      </c>
      <c r="C100" s="443" t="s">
        <v>4402</v>
      </c>
      <c r="D100" s="90" t="s">
        <v>6913</v>
      </c>
      <c r="E100" s="90" t="s">
        <v>6200</v>
      </c>
      <c r="F100" s="90" t="s">
        <v>5841</v>
      </c>
      <c r="G100" s="90" t="s">
        <v>6600</v>
      </c>
    </row>
    <row r="101" spans="1:7" x14ac:dyDescent="0.3">
      <c r="A101" s="443" t="s">
        <v>4455</v>
      </c>
      <c r="B101" s="444" t="str">
        <f t="shared" si="2"/>
        <v>· C4 - Climate risks</v>
      </c>
      <c r="C101" s="443" t="s">
        <v>3697</v>
      </c>
      <c r="D101" s="90" t="s">
        <v>6914</v>
      </c>
      <c r="E101" s="90" t="s">
        <v>6201</v>
      </c>
      <c r="F101" s="90" t="s">
        <v>7581</v>
      </c>
      <c r="G101" s="90" t="s">
        <v>5726</v>
      </c>
    </row>
    <row r="102" spans="1:7" x14ac:dyDescent="0.3">
      <c r="A102" s="443" t="s">
        <v>4456</v>
      </c>
      <c r="B102" s="444" t="str">
        <f t="shared" si="2"/>
        <v>· C5 - Additional (general) workforce characteristics</v>
      </c>
      <c r="C102" s="443" t="s">
        <v>3700</v>
      </c>
      <c r="D102" s="90" t="s">
        <v>6915</v>
      </c>
      <c r="E102" s="90" t="s">
        <v>6202</v>
      </c>
      <c r="F102" s="90" t="s">
        <v>7289</v>
      </c>
      <c r="G102" s="90" t="s">
        <v>6601</v>
      </c>
    </row>
    <row r="103" spans="1:7" x14ac:dyDescent="0.3">
      <c r="A103" s="443" t="s">
        <v>4457</v>
      </c>
      <c r="B103" s="444" t="str">
        <f t="shared" si="2"/>
        <v>· C6 - Additional own workforce information - Human rights policies and processes</v>
      </c>
      <c r="C103" s="443" t="s">
        <v>3701</v>
      </c>
      <c r="D103" s="90" t="s">
        <v>6916</v>
      </c>
      <c r="E103" s="90" t="s">
        <v>6203</v>
      </c>
      <c r="F103" s="90" t="s">
        <v>7290</v>
      </c>
      <c r="G103" s="90" t="s">
        <v>6602</v>
      </c>
    </row>
    <row r="104" spans="1:7" x14ac:dyDescent="0.3">
      <c r="A104" s="443" t="s">
        <v>4458</v>
      </c>
      <c r="B104" s="444" t="str">
        <f t="shared" si="2"/>
        <v>· C7 - Severe negative human rights incidents</v>
      </c>
      <c r="C104" s="443" t="s">
        <v>3702</v>
      </c>
      <c r="D104" s="90" t="s">
        <v>6917</v>
      </c>
      <c r="E104" s="90" t="s">
        <v>6204</v>
      </c>
      <c r="F104" s="90" t="s">
        <v>7291</v>
      </c>
      <c r="G104" s="90" t="s">
        <v>6603</v>
      </c>
    </row>
    <row r="105" spans="1:7" x14ac:dyDescent="0.3">
      <c r="A105" s="443" t="s">
        <v>4459</v>
      </c>
      <c r="B105" s="444" t="str">
        <f t="shared" si="2"/>
        <v>· C8 - Revenues from certain activities and exclusion from EU reference benchmarks</v>
      </c>
      <c r="C105" s="443" t="s">
        <v>6490</v>
      </c>
      <c r="D105" s="90" t="s">
        <v>7228</v>
      </c>
      <c r="E105" s="90" t="s">
        <v>6205</v>
      </c>
      <c r="F105" s="90" t="s">
        <v>7605</v>
      </c>
      <c r="G105" s="90" t="s">
        <v>6837</v>
      </c>
    </row>
    <row r="106" spans="1:7" x14ac:dyDescent="0.3">
      <c r="A106" s="443" t="s">
        <v>4460</v>
      </c>
      <c r="B106" s="444" t="str">
        <f t="shared" si="2"/>
        <v>Revenues from certain activities</v>
      </c>
      <c r="C106" s="443" t="s">
        <v>6491</v>
      </c>
      <c r="D106" t="s">
        <v>7229</v>
      </c>
      <c r="E106" s="90" t="s">
        <v>6206</v>
      </c>
      <c r="F106" s="90" t="s">
        <v>7604</v>
      </c>
      <c r="G106" s="90" t="s">
        <v>6838</v>
      </c>
    </row>
    <row r="107" spans="1:7" x14ac:dyDescent="0.3">
      <c r="A107" s="443" t="s">
        <v>4461</v>
      </c>
      <c r="B107" s="444" t="str">
        <f t="shared" si="2"/>
        <v>Exclusion from EU reference benchmarks</v>
      </c>
      <c r="C107" s="443" t="s">
        <v>4403</v>
      </c>
      <c r="D107" s="90" t="s">
        <v>6918</v>
      </c>
      <c r="E107" s="90" t="s">
        <v>5925</v>
      </c>
      <c r="F107" s="90" t="s">
        <v>5842</v>
      </c>
      <c r="G107" s="90" t="s">
        <v>5727</v>
      </c>
    </row>
    <row r="108" spans="1:7" x14ac:dyDescent="0.3">
      <c r="A108" s="443" t="s">
        <v>4462</v>
      </c>
      <c r="B108" s="444" t="str">
        <f t="shared" si="2"/>
        <v>· C9 - Gender diversity ratio in the governance body</v>
      </c>
      <c r="C108" s="443" t="s">
        <v>3705</v>
      </c>
      <c r="D108" s="90" t="s">
        <v>6919</v>
      </c>
      <c r="E108" s="90" t="s">
        <v>6207</v>
      </c>
      <c r="F108" s="90" t="s">
        <v>5843</v>
      </c>
      <c r="G108" s="90" t="s">
        <v>6604</v>
      </c>
    </row>
    <row r="109" spans="1:7" x14ac:dyDescent="0.3">
      <c r="A109" s="443" t="s">
        <v>4463</v>
      </c>
      <c r="B109" s="444" t="str">
        <f t="shared" si="2"/>
        <v>Additional Disclosures</v>
      </c>
      <c r="C109" s="443" t="s">
        <v>3724</v>
      </c>
      <c r="D109" s="90" t="s">
        <v>6920</v>
      </c>
      <c r="E109" s="90" t="s">
        <v>6208</v>
      </c>
      <c r="F109" s="90" t="s">
        <v>7292</v>
      </c>
      <c r="G109" s="90" t="s">
        <v>5728</v>
      </c>
    </row>
    <row r="110" spans="1:7" x14ac:dyDescent="0.3">
      <c r="A110" s="443" t="s">
        <v>4464</v>
      </c>
      <c r="B110" s="444" t="str">
        <f t="shared" si="2"/>
        <v>· Disclosure of any other general and/or entity specific information on the reporting period</v>
      </c>
      <c r="C110" s="443" t="s">
        <v>3691</v>
      </c>
      <c r="D110" s="90" t="s">
        <v>6921</v>
      </c>
      <c r="E110" s="90" t="s">
        <v>6209</v>
      </c>
      <c r="F110" s="90" t="s">
        <v>7293</v>
      </c>
      <c r="G110" s="90" t="s">
        <v>6605</v>
      </c>
    </row>
    <row r="111" spans="1:7" x14ac:dyDescent="0.3">
      <c r="A111" s="443" t="s">
        <v>4465</v>
      </c>
      <c r="B111" s="444" t="str">
        <f t="shared" si="2"/>
        <v>· Disclosure of any other environmental and/or entity specific environmental disclosures</v>
      </c>
      <c r="C111" s="443" t="s">
        <v>4404</v>
      </c>
      <c r="D111" s="90" t="s">
        <v>6922</v>
      </c>
      <c r="E111" s="90" t="s">
        <v>6210</v>
      </c>
      <c r="F111" s="90" t="s">
        <v>7294</v>
      </c>
      <c r="G111" s="90" t="s">
        <v>6532</v>
      </c>
    </row>
    <row r="112" spans="1:7" x14ac:dyDescent="0.3">
      <c r="A112" s="443" t="s">
        <v>4466</v>
      </c>
      <c r="B112" s="444" t="str">
        <f t="shared" si="2"/>
        <v>· Disclosure of any other social and/or entity specific social disclosures</v>
      </c>
      <c r="C112" s="443" t="s">
        <v>3703</v>
      </c>
      <c r="D112" s="90" t="s">
        <v>6923</v>
      </c>
      <c r="E112" s="90" t="s">
        <v>6211</v>
      </c>
      <c r="F112" s="90" t="s">
        <v>7295</v>
      </c>
      <c r="G112" s="90" t="s">
        <v>6606</v>
      </c>
    </row>
    <row r="113" spans="1:7" s="12" customFormat="1" ht="15" thickBot="1" x14ac:dyDescent="0.35">
      <c r="A113" s="455" t="s">
        <v>4467</v>
      </c>
      <c r="B113" s="478" t="str">
        <f t="shared" si="2"/>
        <v>· Disclosure of any other governance and/or entity specific governance disclosures</v>
      </c>
      <c r="C113" s="455" t="s">
        <v>3706</v>
      </c>
      <c r="D113" s="445" t="s">
        <v>6924</v>
      </c>
      <c r="E113" s="445" t="s">
        <v>6212</v>
      </c>
      <c r="F113" s="445" t="s">
        <v>7296</v>
      </c>
      <c r="G113" s="445" t="s">
        <v>6533</v>
      </c>
    </row>
    <row r="114" spans="1:7" x14ac:dyDescent="0.3">
      <c r="A114" t="s">
        <v>4079</v>
      </c>
      <c r="B114" s="444" t="str">
        <f t="shared" si="2"/>
        <v>Paragraph Reference</v>
      </c>
      <c r="C114" t="s">
        <v>3730</v>
      </c>
      <c r="D114" s="90" t="s">
        <v>6005</v>
      </c>
      <c r="E114" s="90" t="s">
        <v>6213</v>
      </c>
      <c r="F114" s="90" t="s">
        <v>7297</v>
      </c>
      <c r="G114" s="90" t="s">
        <v>6607</v>
      </c>
    </row>
    <row r="115" spans="1:7" x14ac:dyDescent="0.3">
      <c r="A115" t="s">
        <v>4080</v>
      </c>
      <c r="B115" s="444" t="str">
        <f t="shared" si="2"/>
        <v>Paragraph Guidance Reference</v>
      </c>
      <c r="C115" t="s">
        <v>3729</v>
      </c>
      <c r="D115" s="90" t="s">
        <v>6925</v>
      </c>
      <c r="E115" s="90" t="s">
        <v>6214</v>
      </c>
      <c r="F115" s="90" t="s">
        <v>7298</v>
      </c>
      <c r="G115" s="90" t="s">
        <v>6509</v>
      </c>
    </row>
    <row r="116" spans="1:7" x14ac:dyDescent="0.3">
      <c r="A116" t="s">
        <v>4369</v>
      </c>
      <c r="B116" s="444" t="str">
        <f t="shared" si="2"/>
        <v>from</v>
      </c>
      <c r="C116" t="s">
        <v>4372</v>
      </c>
      <c r="D116" s="90" t="s">
        <v>6058</v>
      </c>
      <c r="E116" s="90" t="s">
        <v>5824</v>
      </c>
      <c r="F116" s="90" t="s">
        <v>4627</v>
      </c>
      <c r="G116" s="90" t="s">
        <v>4627</v>
      </c>
    </row>
    <row r="117" spans="1:7" x14ac:dyDescent="0.3">
      <c r="A117" t="s">
        <v>4370</v>
      </c>
      <c r="B117" s="444" t="str">
        <f t="shared" si="2"/>
        <v>to</v>
      </c>
      <c r="C117" t="s">
        <v>2930</v>
      </c>
      <c r="D117" s="90" t="s">
        <v>6006</v>
      </c>
      <c r="E117" s="90" t="s">
        <v>5692</v>
      </c>
      <c r="F117" s="90" t="s">
        <v>7299</v>
      </c>
      <c r="G117" s="90" t="s">
        <v>5699</v>
      </c>
    </row>
    <row r="118" spans="1:7" s="12" customFormat="1" ht="15" thickBot="1" x14ac:dyDescent="0.35">
      <c r="A118" s="12" t="s">
        <v>4371</v>
      </c>
      <c r="B118" s="478" t="str">
        <f t="shared" si="2"/>
        <v>at</v>
      </c>
      <c r="C118" s="12" t="s">
        <v>4373</v>
      </c>
      <c r="D118" s="445" t="s">
        <v>6926</v>
      </c>
      <c r="E118" s="445" t="s">
        <v>6215</v>
      </c>
      <c r="F118" s="445" t="s">
        <v>5844</v>
      </c>
      <c r="G118" s="445" t="s">
        <v>3950</v>
      </c>
    </row>
    <row r="119" spans="1:7" x14ac:dyDescent="0.3">
      <c r="A119" t="s">
        <v>4081</v>
      </c>
      <c r="B119" s="444" t="str">
        <f t="shared" si="2"/>
        <v>[Always to be reported]</v>
      </c>
      <c r="C119" t="s">
        <v>3992</v>
      </c>
      <c r="D119" s="90" t="s">
        <v>6927</v>
      </c>
      <c r="E119" s="90" t="s">
        <v>5926</v>
      </c>
      <c r="F119" s="90" t="s">
        <v>7300</v>
      </c>
      <c r="G119" s="90" t="s">
        <v>6510</v>
      </c>
    </row>
    <row r="120" spans="1:7" x14ac:dyDescent="0.3">
      <c r="A120" t="s">
        <v>4082</v>
      </c>
      <c r="B120" s="444" t="str">
        <f t="shared" si="2"/>
        <v>[If applicable]</v>
      </c>
      <c r="C120" t="s">
        <v>3996</v>
      </c>
      <c r="D120" s="90" t="s">
        <v>6928</v>
      </c>
      <c r="E120" s="90" t="s">
        <v>6216</v>
      </c>
      <c r="F120" s="90" t="s">
        <v>5845</v>
      </c>
      <c r="G120" s="90" t="s">
        <v>6608</v>
      </c>
    </row>
    <row r="121" spans="1:7" x14ac:dyDescent="0.3">
      <c r="A121" t="s">
        <v>4083</v>
      </c>
      <c r="B121" s="444" t="str">
        <f t="shared" si="2"/>
        <v>[May (optional)]</v>
      </c>
      <c r="C121" t="s">
        <v>3997</v>
      </c>
      <c r="D121" s="90" t="s">
        <v>6929</v>
      </c>
      <c r="E121" s="90" t="s">
        <v>5927</v>
      </c>
      <c r="F121" s="90" t="s">
        <v>7301</v>
      </c>
      <c r="G121" s="90" t="s">
        <v>6511</v>
      </c>
    </row>
    <row r="122" spans="1:7" x14ac:dyDescent="0.3">
      <c r="A122" t="s">
        <v>4379</v>
      </c>
      <c r="B122" s="444" t="str">
        <f t="shared" si="2"/>
        <v>May (optional)</v>
      </c>
      <c r="C122" t="s">
        <v>4378</v>
      </c>
      <c r="D122" s="90" t="s">
        <v>6930</v>
      </c>
      <c r="E122" s="90" t="s">
        <v>5928</v>
      </c>
      <c r="F122" s="90" t="s">
        <v>7301</v>
      </c>
      <c r="G122" s="90" t="s">
        <v>6512</v>
      </c>
    </row>
    <row r="123" spans="1:7" x14ac:dyDescent="0.3">
      <c r="A123" t="s">
        <v>4084</v>
      </c>
      <c r="B123" s="444" t="str">
        <f t="shared" si="2"/>
        <v>[Always to be reported + If applicable]</v>
      </c>
      <c r="C123" t="s">
        <v>4000</v>
      </c>
      <c r="D123" s="90" t="s">
        <v>6931</v>
      </c>
      <c r="E123" s="90" t="s">
        <v>6217</v>
      </c>
      <c r="F123" s="90" t="s">
        <v>7302</v>
      </c>
      <c r="G123" s="90" t="s">
        <v>6609</v>
      </c>
    </row>
    <row r="124" spans="1:7" x14ac:dyDescent="0.3">
      <c r="A124" t="s">
        <v>4367</v>
      </c>
      <c r="B124" s="444" t="str">
        <f t="shared" si="2"/>
        <v>[If applicable linked with B2]</v>
      </c>
      <c r="C124" t="s">
        <v>4366</v>
      </c>
      <c r="D124" s="90" t="s">
        <v>6932</v>
      </c>
      <c r="E124" s="90" t="s">
        <v>6218</v>
      </c>
      <c r="F124" s="90" t="s">
        <v>7303</v>
      </c>
      <c r="G124" s="90" t="s">
        <v>5729</v>
      </c>
    </row>
    <row r="125" spans="1:7" s="12" customFormat="1" ht="15" thickBot="1" x14ac:dyDescent="0.35">
      <c r="A125" s="12" t="s">
        <v>4508</v>
      </c>
      <c r="B125" s="478" t="str">
        <f t="shared" si="2"/>
        <v>amount in</v>
      </c>
      <c r="C125" s="12" t="s">
        <v>4509</v>
      </c>
      <c r="D125" s="445" t="s">
        <v>6933</v>
      </c>
      <c r="E125" s="445" t="s">
        <v>5929</v>
      </c>
      <c r="F125" s="445" t="s">
        <v>7304</v>
      </c>
      <c r="G125" s="445" t="s">
        <v>6610</v>
      </c>
    </row>
    <row r="126" spans="1:7" x14ac:dyDescent="0.3">
      <c r="A126" t="s">
        <v>4085</v>
      </c>
      <c r="B126" s="444" t="str">
        <f t="shared" si="2"/>
        <v>Information on the report necessary for  XBRL</v>
      </c>
      <c r="C126" t="s">
        <v>3991</v>
      </c>
      <c r="D126" s="90" t="s">
        <v>6934</v>
      </c>
      <c r="E126" s="90" t="s">
        <v>6219</v>
      </c>
      <c r="F126" s="90" t="s">
        <v>7264</v>
      </c>
      <c r="G126" s="90" t="s">
        <v>6611</v>
      </c>
    </row>
    <row r="127" spans="1:7" x14ac:dyDescent="0.3">
      <c r="A127" t="s">
        <v>4086</v>
      </c>
      <c r="B127" s="444" t="str">
        <f t="shared" si="2"/>
        <v>Name of the reporting entity</v>
      </c>
      <c r="C127" t="s">
        <v>0</v>
      </c>
      <c r="D127" s="90" t="s">
        <v>6935</v>
      </c>
      <c r="E127" s="90" t="s">
        <v>6220</v>
      </c>
      <c r="F127" s="90" t="s">
        <v>7305</v>
      </c>
      <c r="G127" s="90" t="s">
        <v>5730</v>
      </c>
    </row>
    <row r="128" spans="1:7" x14ac:dyDescent="0.3">
      <c r="A128" t="s">
        <v>4087</v>
      </c>
      <c r="B128" s="444" t="str">
        <f t="shared" si="2"/>
        <v>Identifier of the reporting entity (select and specify on the right)</v>
      </c>
      <c r="C128" t="s">
        <v>3685</v>
      </c>
      <c r="D128" s="90" t="s">
        <v>6936</v>
      </c>
      <c r="E128" s="90" t="s">
        <v>6221</v>
      </c>
      <c r="F128" s="90" t="s">
        <v>7306</v>
      </c>
      <c r="G128" s="90" t="s">
        <v>6612</v>
      </c>
    </row>
    <row r="129" spans="1:7" x14ac:dyDescent="0.3">
      <c r="A129" t="s">
        <v>4088</v>
      </c>
      <c r="B129" s="444" t="str">
        <f t="shared" si="2"/>
        <v>Currency of the monetary values in the report</v>
      </c>
      <c r="C129" t="s">
        <v>3951</v>
      </c>
      <c r="D129" s="90" t="s">
        <v>6937</v>
      </c>
      <c r="E129" s="90" t="s">
        <v>6222</v>
      </c>
      <c r="F129" s="90" t="s">
        <v>7307</v>
      </c>
      <c r="G129" s="90" t="s">
        <v>6513</v>
      </c>
    </row>
    <row r="130" spans="1:7" x14ac:dyDescent="0.3">
      <c r="A130" t="s">
        <v>4089</v>
      </c>
      <c r="B130" s="444" t="str">
        <f t="shared" si="2"/>
        <v>Starting year</v>
      </c>
      <c r="C130" t="s">
        <v>3055</v>
      </c>
      <c r="D130" s="90" t="s">
        <v>6938</v>
      </c>
      <c r="E130" s="90" t="s">
        <v>5930</v>
      </c>
      <c r="F130" s="90" t="s">
        <v>7308</v>
      </c>
      <c r="G130" s="90" t="s">
        <v>5731</v>
      </c>
    </row>
    <row r="131" spans="1:7" x14ac:dyDescent="0.3">
      <c r="A131" t="s">
        <v>4090</v>
      </c>
      <c r="B131" s="444" t="str">
        <f t="shared" si="2"/>
        <v>Starting month</v>
      </c>
      <c r="C131" t="s">
        <v>3056</v>
      </c>
      <c r="D131" s="90" t="s">
        <v>6939</v>
      </c>
      <c r="E131" s="90" t="s">
        <v>6223</v>
      </c>
      <c r="F131" s="90" t="s">
        <v>7309</v>
      </c>
      <c r="G131" s="90" t="s">
        <v>5732</v>
      </c>
    </row>
    <row r="132" spans="1:7" x14ac:dyDescent="0.3">
      <c r="A132" t="s">
        <v>4091</v>
      </c>
      <c r="B132" s="444" t="str">
        <f t="shared" ref="B132:B195" si="3">INDEX(C132:G132,MATCH(template_selected_display_language,$C$3:$G$3,0))</f>
        <v>Starting day</v>
      </c>
      <c r="C132" t="s">
        <v>3057</v>
      </c>
      <c r="D132" s="90" t="s">
        <v>6940</v>
      </c>
      <c r="E132" s="90" t="s">
        <v>6224</v>
      </c>
      <c r="F132" s="90" t="s">
        <v>5846</v>
      </c>
      <c r="G132" s="90" t="s">
        <v>5733</v>
      </c>
    </row>
    <row r="133" spans="1:7" x14ac:dyDescent="0.3">
      <c r="A133" t="s">
        <v>4092</v>
      </c>
      <c r="B133" s="444" t="str">
        <f t="shared" si="3"/>
        <v>Reporting period start date (yyyy-mm-dd)</v>
      </c>
      <c r="C133" t="s">
        <v>4063</v>
      </c>
      <c r="D133" s="90" t="s">
        <v>6941</v>
      </c>
      <c r="E133" s="90" t="s">
        <v>5931</v>
      </c>
      <c r="F133" s="90" t="s">
        <v>5847</v>
      </c>
      <c r="G133" s="90" t="s">
        <v>6613</v>
      </c>
    </row>
    <row r="134" spans="1:7" x14ac:dyDescent="0.3">
      <c r="A134" t="s">
        <v>4093</v>
      </c>
      <c r="B134" s="444" t="str">
        <f t="shared" si="3"/>
        <v>Ending year</v>
      </c>
      <c r="C134" t="s">
        <v>3058</v>
      </c>
      <c r="D134" s="90" t="s">
        <v>6942</v>
      </c>
      <c r="E134" s="90" t="s">
        <v>6225</v>
      </c>
      <c r="F134" s="90" t="s">
        <v>7310</v>
      </c>
      <c r="G134" s="90" t="s">
        <v>5734</v>
      </c>
    </row>
    <row r="135" spans="1:7" x14ac:dyDescent="0.3">
      <c r="A135" t="s">
        <v>4094</v>
      </c>
      <c r="B135" s="444" t="str">
        <f t="shared" si="3"/>
        <v>Ending month</v>
      </c>
      <c r="C135" t="s">
        <v>3059</v>
      </c>
      <c r="D135" s="90" t="s">
        <v>6943</v>
      </c>
      <c r="E135" s="90" t="s">
        <v>6226</v>
      </c>
      <c r="F135" s="90" t="s">
        <v>5848</v>
      </c>
      <c r="G135" s="90" t="s">
        <v>5735</v>
      </c>
    </row>
    <row r="136" spans="1:7" x14ac:dyDescent="0.3">
      <c r="A136" t="s">
        <v>4095</v>
      </c>
      <c r="B136" s="444" t="str">
        <f t="shared" si="3"/>
        <v>Ending day</v>
      </c>
      <c r="C136" t="s">
        <v>3060</v>
      </c>
      <c r="D136" s="90" t="s">
        <v>6944</v>
      </c>
      <c r="E136" s="90" t="s">
        <v>6227</v>
      </c>
      <c r="F136" s="90" t="s">
        <v>5849</v>
      </c>
      <c r="G136" s="90" t="s">
        <v>6614</v>
      </c>
    </row>
    <row r="137" spans="1:7" s="12" customFormat="1" ht="15" thickBot="1" x14ac:dyDescent="0.35">
      <c r="A137" s="12" t="s">
        <v>4096</v>
      </c>
      <c r="B137" s="478" t="str">
        <f t="shared" si="3"/>
        <v>Reporting period end date  (yyyy-mm-dd)</v>
      </c>
      <c r="C137" s="12" t="s">
        <v>4064</v>
      </c>
      <c r="D137" s="445" t="s">
        <v>6945</v>
      </c>
      <c r="E137" s="445" t="s">
        <v>5932</v>
      </c>
      <c r="F137" s="445" t="s">
        <v>7311</v>
      </c>
      <c r="G137" s="445" t="s">
        <v>6615</v>
      </c>
    </row>
    <row r="138" spans="1:7" x14ac:dyDescent="0.3">
      <c r="A138" t="s">
        <v>4074</v>
      </c>
      <c r="B138" s="444" t="str">
        <f t="shared" si="3"/>
        <v>Information on previous reporting period</v>
      </c>
      <c r="C138" t="s">
        <v>2921</v>
      </c>
      <c r="D138" s="90" t="s">
        <v>6059</v>
      </c>
      <c r="E138" s="90" t="s">
        <v>6228</v>
      </c>
      <c r="F138" s="90" t="s">
        <v>7312</v>
      </c>
      <c r="G138" s="90" t="s">
        <v>6575</v>
      </c>
    </row>
    <row r="139" spans="1:7" x14ac:dyDescent="0.3">
      <c r="A139" t="s">
        <v>4075</v>
      </c>
      <c r="B139" s="444" t="str">
        <f t="shared" si="3"/>
        <v>This report contains disclosures from the previous reporting period that remain unchanged</v>
      </c>
      <c r="C139" t="s">
        <v>2</v>
      </c>
      <c r="D139" s="90" t="s">
        <v>6946</v>
      </c>
      <c r="E139" s="90" t="s">
        <v>6229</v>
      </c>
      <c r="F139" s="90" t="s">
        <v>7313</v>
      </c>
      <c r="G139" s="90" t="s">
        <v>6616</v>
      </c>
    </row>
    <row r="140" spans="1:7" x14ac:dyDescent="0.3">
      <c r="A140" t="s">
        <v>4076</v>
      </c>
      <c r="B140" s="444" t="str">
        <f t="shared" si="3"/>
        <v>List of disclosures for which no changes are reported compared to the previous period reporting</v>
      </c>
      <c r="C140" t="s">
        <v>3952</v>
      </c>
      <c r="D140" s="90" t="s">
        <v>6947</v>
      </c>
      <c r="E140" s="90" t="s">
        <v>6230</v>
      </c>
      <c r="F140" s="90" t="s">
        <v>7314</v>
      </c>
      <c r="G140" s="90" t="s">
        <v>6617</v>
      </c>
    </row>
    <row r="141" spans="1:7" s="12" customFormat="1" ht="15" thickBot="1" x14ac:dyDescent="0.35">
      <c r="A141" s="12" t="s">
        <v>4077</v>
      </c>
      <c r="B141" s="478" t="str">
        <f t="shared" si="3"/>
        <v>Link to previous report containing disclosures that remain unchanged</v>
      </c>
      <c r="C141" s="12" t="s">
        <v>2900</v>
      </c>
      <c r="D141" s="445" t="s">
        <v>6948</v>
      </c>
      <c r="E141" s="445" t="s">
        <v>6231</v>
      </c>
      <c r="F141" s="445" t="s">
        <v>7315</v>
      </c>
      <c r="G141" s="445" t="s">
        <v>5736</v>
      </c>
    </row>
    <row r="142" spans="1:7" x14ac:dyDescent="0.3">
      <c r="A142" t="s">
        <v>4078</v>
      </c>
      <c r="B142" s="444" t="str">
        <f t="shared" si="3"/>
        <v>B1 - Basis for Preparation and other undertaking's general information</v>
      </c>
      <c r="C142" t="s">
        <v>3953</v>
      </c>
      <c r="D142" s="90" t="s">
        <v>6949</v>
      </c>
      <c r="E142" s="90" t="s">
        <v>6232</v>
      </c>
      <c r="F142" s="90" t="s">
        <v>7344</v>
      </c>
      <c r="G142" s="90" t="s">
        <v>6618</v>
      </c>
    </row>
    <row r="143" spans="1:7" x14ac:dyDescent="0.3">
      <c r="A143" t="s">
        <v>4097</v>
      </c>
      <c r="B143" s="444" t="str">
        <f t="shared" si="3"/>
        <v>Basis for preparation (Basic Module Only or Basic &amp; Comprehensive Module)</v>
      </c>
      <c r="C143" t="s">
        <v>3046</v>
      </c>
      <c r="D143" s="90" t="s">
        <v>6950</v>
      </c>
      <c r="E143" s="90" t="s">
        <v>6233</v>
      </c>
      <c r="F143" s="90" t="s">
        <v>7316</v>
      </c>
      <c r="G143" s="90" t="s">
        <v>6619</v>
      </c>
    </row>
    <row r="144" spans="1:7" x14ac:dyDescent="0.3">
      <c r="A144" t="s">
        <v>4098</v>
      </c>
      <c r="B144" s="444" t="str">
        <f t="shared" si="3"/>
        <v>List of omitted disclosures deemed to be classified or sensitive information</v>
      </c>
      <c r="C144" t="s">
        <v>3954</v>
      </c>
      <c r="D144" s="90" t="s">
        <v>6951</v>
      </c>
      <c r="E144" s="90" t="s">
        <v>6234</v>
      </c>
      <c r="F144" s="90" t="s">
        <v>7317</v>
      </c>
      <c r="G144" s="90" t="s">
        <v>6620</v>
      </c>
    </row>
    <row r="145" spans="1:7" x14ac:dyDescent="0.3">
      <c r="A145" t="s">
        <v>4099</v>
      </c>
      <c r="B145" s="444" t="str">
        <f t="shared" si="3"/>
        <v>Basis for reporting (consolidated or individual basis)</v>
      </c>
      <c r="C145" t="s">
        <v>3093</v>
      </c>
      <c r="D145" s="90" t="s">
        <v>6952</v>
      </c>
      <c r="E145" s="90" t="s">
        <v>6235</v>
      </c>
      <c r="F145" s="90" t="s">
        <v>7318</v>
      </c>
      <c r="G145" s="90" t="s">
        <v>5737</v>
      </c>
    </row>
    <row r="146" spans="1:7" x14ac:dyDescent="0.3">
      <c r="A146" t="s">
        <v>4100</v>
      </c>
      <c r="B146" s="444" t="str">
        <f t="shared" si="3"/>
        <v>Undertakings legal form</v>
      </c>
      <c r="C146" t="s">
        <v>3</v>
      </c>
      <c r="D146" s="90" t="s">
        <v>6953</v>
      </c>
      <c r="E146" s="90" t="s">
        <v>6236</v>
      </c>
      <c r="F146" s="90" t="s">
        <v>7319</v>
      </c>
      <c r="G146" s="90" t="s">
        <v>6621</v>
      </c>
    </row>
    <row r="147" spans="1:7" x14ac:dyDescent="0.3">
      <c r="A147" t="s">
        <v>4101</v>
      </c>
      <c r="B147" s="444" t="str">
        <f t="shared" si="3"/>
        <v>Other undertaking's legal form specification</v>
      </c>
      <c r="C147" t="s">
        <v>3049</v>
      </c>
      <c r="D147" s="90" t="s">
        <v>6007</v>
      </c>
      <c r="E147" s="90" t="s">
        <v>6237</v>
      </c>
      <c r="F147" s="90" t="s">
        <v>7320</v>
      </c>
      <c r="G147" s="90" t="s">
        <v>5738</v>
      </c>
    </row>
    <row r="148" spans="1:7" x14ac:dyDescent="0.3">
      <c r="A148" t="s">
        <v>4102</v>
      </c>
      <c r="B148" s="444" t="str">
        <f t="shared" si="3"/>
        <v>NACE sector classification code(s)</v>
      </c>
      <c r="C148" t="s">
        <v>2758</v>
      </c>
      <c r="D148" s="90" t="s">
        <v>6954</v>
      </c>
      <c r="E148" s="90" t="s">
        <v>6238</v>
      </c>
      <c r="F148" s="90" t="s">
        <v>7321</v>
      </c>
      <c r="G148" s="90" t="s">
        <v>6622</v>
      </c>
    </row>
    <row r="149" spans="1:7" x14ac:dyDescent="0.3">
      <c r="A149" t="s">
        <v>4103</v>
      </c>
      <c r="B149" s="444" t="str">
        <f t="shared" si="3"/>
        <v>Size of balance sheet (total assets) in</v>
      </c>
      <c r="C149" t="s">
        <v>5673</v>
      </c>
      <c r="D149" s="90" t="s">
        <v>6955</v>
      </c>
      <c r="E149" s="90" t="s">
        <v>6239</v>
      </c>
      <c r="F149" s="90" t="s">
        <v>7322</v>
      </c>
      <c r="G149" s="90" t="s">
        <v>6623</v>
      </c>
    </row>
    <row r="150" spans="1:7" x14ac:dyDescent="0.3">
      <c r="A150" t="s">
        <v>4104</v>
      </c>
      <c r="B150" s="444" t="str">
        <f t="shared" si="3"/>
        <v>Turnover in</v>
      </c>
      <c r="C150" t="s">
        <v>3955</v>
      </c>
      <c r="D150" s="90" t="s">
        <v>6956</v>
      </c>
      <c r="E150" s="90" t="s">
        <v>6240</v>
      </c>
      <c r="F150" s="90" t="s">
        <v>5850</v>
      </c>
      <c r="G150" s="90" t="s">
        <v>5739</v>
      </c>
    </row>
    <row r="151" spans="1:7" x14ac:dyDescent="0.3">
      <c r="A151" t="s">
        <v>4105</v>
      </c>
      <c r="B151" s="444" t="str">
        <f t="shared" si="3"/>
        <v>Number of employees</v>
      </c>
      <c r="C151" t="s">
        <v>4</v>
      </c>
      <c r="D151" s="90" t="s">
        <v>6060</v>
      </c>
      <c r="E151" s="90" t="s">
        <v>6241</v>
      </c>
      <c r="F151" s="90" t="s">
        <v>7323</v>
      </c>
      <c r="G151" s="90" t="s">
        <v>6624</v>
      </c>
    </row>
    <row r="152" spans="1:7" x14ac:dyDescent="0.3">
      <c r="A152" t="s">
        <v>4106</v>
      </c>
      <c r="B152" s="444" t="str">
        <f t="shared" si="3"/>
        <v>Employee counting methodology (At the end of reporting period or as an average during the reporting period)</v>
      </c>
      <c r="C152" t="s">
        <v>3097</v>
      </c>
      <c r="D152" s="90" t="s">
        <v>6957</v>
      </c>
      <c r="E152" s="90" t="s">
        <v>6242</v>
      </c>
      <c r="F152" s="90" t="s">
        <v>7324</v>
      </c>
      <c r="G152" s="90" t="s">
        <v>6534</v>
      </c>
    </row>
    <row r="153" spans="1:7" x14ac:dyDescent="0.3">
      <c r="A153" t="s">
        <v>4107</v>
      </c>
      <c r="B153" s="444" t="str">
        <f t="shared" si="3"/>
        <v>Employee counting methodology (Headcount or Full-time equivalent)</v>
      </c>
      <c r="C153" t="s">
        <v>3098</v>
      </c>
      <c r="D153" s="90" t="s">
        <v>6958</v>
      </c>
      <c r="E153" s="90" t="s">
        <v>6243</v>
      </c>
      <c r="F153" s="90" t="s">
        <v>7325</v>
      </c>
      <c r="G153" s="90" t="s">
        <v>6535</v>
      </c>
    </row>
    <row r="154" spans="1:7" s="12" customFormat="1" ht="15" thickBot="1" x14ac:dyDescent="0.35">
      <c r="A154" s="12" t="s">
        <v>4108</v>
      </c>
      <c r="B154" s="478" t="str">
        <f t="shared" si="3"/>
        <v>Country of primary operations and location of significant asset(s)</v>
      </c>
      <c r="C154" s="12" t="s">
        <v>5</v>
      </c>
      <c r="D154" s="445" t="s">
        <v>6959</v>
      </c>
      <c r="E154" s="445" t="s">
        <v>6244</v>
      </c>
      <c r="F154" s="445" t="s">
        <v>7326</v>
      </c>
      <c r="G154" s="445" t="s">
        <v>6625</v>
      </c>
    </row>
    <row r="155" spans="1:7" x14ac:dyDescent="0.3">
      <c r="A155" t="s">
        <v>4109</v>
      </c>
      <c r="B155" s="444" t="str">
        <f t="shared" si="3"/>
        <v>B1 - List of subsidiaries</v>
      </c>
      <c r="C155" t="s">
        <v>4361</v>
      </c>
      <c r="D155" s="90" t="s">
        <v>6960</v>
      </c>
      <c r="E155" s="90" t="s">
        <v>6245</v>
      </c>
      <c r="F155" s="90" t="s">
        <v>5851</v>
      </c>
      <c r="G155" s="90" t="s">
        <v>5740</v>
      </c>
    </row>
    <row r="156" spans="1:7" x14ac:dyDescent="0.3">
      <c r="A156" t="s">
        <v>4110</v>
      </c>
      <c r="B156" s="444" t="str">
        <f t="shared" si="3"/>
        <v>ID</v>
      </c>
      <c r="C156" t="s">
        <v>6</v>
      </c>
      <c r="D156" s="90" t="s">
        <v>6</v>
      </c>
      <c r="E156" s="90" t="s">
        <v>6</v>
      </c>
      <c r="F156" s="90" t="s">
        <v>6</v>
      </c>
      <c r="G156" s="90" t="s">
        <v>6</v>
      </c>
    </row>
    <row r="157" spans="1:7" x14ac:dyDescent="0.3">
      <c r="A157" t="s">
        <v>4111</v>
      </c>
      <c r="B157" s="444" t="str">
        <f t="shared" si="3"/>
        <v>Name</v>
      </c>
      <c r="C157" t="s">
        <v>7</v>
      </c>
      <c r="D157" s="90" t="s">
        <v>6961</v>
      </c>
      <c r="E157" s="90" t="s">
        <v>6075</v>
      </c>
      <c r="F157" s="90" t="s">
        <v>5700</v>
      </c>
      <c r="G157" s="90" t="s">
        <v>5741</v>
      </c>
    </row>
    <row r="158" spans="1:7" s="12" customFormat="1" ht="15" thickBot="1" x14ac:dyDescent="0.35">
      <c r="A158" s="12" t="s">
        <v>4112</v>
      </c>
      <c r="B158" s="478" t="str">
        <f t="shared" si="3"/>
        <v>Registered Address</v>
      </c>
      <c r="C158" s="12" t="s">
        <v>3018</v>
      </c>
      <c r="D158" s="445" t="s">
        <v>6008</v>
      </c>
      <c r="E158" s="445" t="s">
        <v>6076</v>
      </c>
      <c r="F158" s="445" t="s">
        <v>7327</v>
      </c>
      <c r="G158" s="445" t="s">
        <v>6626</v>
      </c>
    </row>
    <row r="159" spans="1:7" x14ac:dyDescent="0.3">
      <c r="A159" t="s">
        <v>4113</v>
      </c>
      <c r="B159" s="444" t="str">
        <f t="shared" si="3"/>
        <v>B1 - Disclosure of sustainability-related certification(s) or label(s)</v>
      </c>
      <c r="C159" t="s">
        <v>4362</v>
      </c>
      <c r="D159" s="90" t="s">
        <v>6962</v>
      </c>
      <c r="E159" s="90" t="s">
        <v>6246</v>
      </c>
      <c r="F159" s="90" t="s">
        <v>7328</v>
      </c>
      <c r="G159" s="90" t="s">
        <v>6627</v>
      </c>
    </row>
    <row r="160" spans="1:7" x14ac:dyDescent="0.3">
      <c r="A160" t="s">
        <v>4114</v>
      </c>
      <c r="B160" s="444" t="str">
        <f t="shared" si="3"/>
        <v>Has the undertaking obtained any sustainability-related certification(s) or label(s) ?</v>
      </c>
      <c r="C160" t="s">
        <v>3092</v>
      </c>
      <c r="D160" s="90" t="s">
        <v>6963</v>
      </c>
      <c r="E160" s="90" t="s">
        <v>6247</v>
      </c>
      <c r="F160" s="90" t="s">
        <v>7329</v>
      </c>
      <c r="G160" s="90" t="s">
        <v>5742</v>
      </c>
    </row>
    <row r="161" spans="1:7" s="12" customFormat="1" ht="15" thickBot="1" x14ac:dyDescent="0.35">
      <c r="A161" s="12" t="s">
        <v>4115</v>
      </c>
      <c r="B161" s="478" t="str">
        <f t="shared" si="3"/>
        <v>Description of sustainability-related certification(s) or label(s) including where relevant the issuers of the certification or label date and rating score</v>
      </c>
      <c r="C161" s="12" t="s">
        <v>4032</v>
      </c>
      <c r="D161" s="445" t="s">
        <v>6964</v>
      </c>
      <c r="E161" s="445" t="s">
        <v>6248</v>
      </c>
      <c r="F161" s="445" t="s">
        <v>7330</v>
      </c>
      <c r="G161" s="445" t="s">
        <v>6628</v>
      </c>
    </row>
    <row r="162" spans="1:7" x14ac:dyDescent="0.3">
      <c r="A162" t="s">
        <v>4116</v>
      </c>
      <c r="B162" s="444" t="str">
        <f t="shared" si="3"/>
        <v>B1 - List of site(s)</v>
      </c>
      <c r="C162" t="s">
        <v>4363</v>
      </c>
      <c r="D162" s="90" t="s">
        <v>6965</v>
      </c>
      <c r="E162" s="90" t="s">
        <v>6249</v>
      </c>
      <c r="F162" s="90" t="s">
        <v>7331</v>
      </c>
      <c r="G162" s="90" t="s">
        <v>6629</v>
      </c>
    </row>
    <row r="163" spans="1:7" x14ac:dyDescent="0.3">
      <c r="A163" t="s">
        <v>4117</v>
      </c>
      <c r="B163" s="444" t="str">
        <f t="shared" si="3"/>
        <v>Address</v>
      </c>
      <c r="C163" t="s">
        <v>8</v>
      </c>
      <c r="D163" s="90" t="s">
        <v>6009</v>
      </c>
      <c r="E163" s="90" t="s">
        <v>5696</v>
      </c>
      <c r="F163" s="90" t="s">
        <v>7332</v>
      </c>
      <c r="G163" s="90" t="s">
        <v>5743</v>
      </c>
    </row>
    <row r="164" spans="1:7" x14ac:dyDescent="0.3">
      <c r="A164" t="s">
        <v>4118</v>
      </c>
      <c r="B164" s="444" t="str">
        <f t="shared" si="3"/>
        <v>Postal code</v>
      </c>
      <c r="C164" t="s">
        <v>9</v>
      </c>
      <c r="D164" s="90" t="s">
        <v>6010</v>
      </c>
      <c r="E164" s="90" t="s">
        <v>5933</v>
      </c>
      <c r="F164" s="90" t="s">
        <v>5744</v>
      </c>
      <c r="G164" s="90" t="s">
        <v>5744</v>
      </c>
    </row>
    <row r="165" spans="1:7" x14ac:dyDescent="0.3">
      <c r="A165" t="s">
        <v>4119</v>
      </c>
      <c r="B165" s="444" t="str">
        <f t="shared" si="3"/>
        <v>City</v>
      </c>
      <c r="C165" t="s">
        <v>10</v>
      </c>
      <c r="D165" s="90" t="s">
        <v>6966</v>
      </c>
      <c r="E165" s="90" t="s">
        <v>5934</v>
      </c>
      <c r="F165" s="90" t="s">
        <v>5852</v>
      </c>
      <c r="G165" s="90" t="s">
        <v>5745</v>
      </c>
    </row>
    <row r="166" spans="1:7" x14ac:dyDescent="0.3">
      <c r="A166" t="s">
        <v>4120</v>
      </c>
      <c r="B166" s="444" t="str">
        <f t="shared" si="3"/>
        <v>Country</v>
      </c>
      <c r="C166" t="s">
        <v>11</v>
      </c>
      <c r="D166" s="90" t="s">
        <v>6967</v>
      </c>
      <c r="E166" s="90" t="s">
        <v>5935</v>
      </c>
      <c r="F166" s="90" t="s">
        <v>5746</v>
      </c>
      <c r="G166" s="90" t="s">
        <v>5746</v>
      </c>
    </row>
    <row r="167" spans="1:7" x14ac:dyDescent="0.3">
      <c r="A167" t="s">
        <v>4121</v>
      </c>
      <c r="B167" s="444" t="str">
        <f t="shared" si="3"/>
        <v>GPS Coordinates (geolocation)</v>
      </c>
      <c r="C167" t="s">
        <v>2920</v>
      </c>
      <c r="D167" s="90" t="s">
        <v>6968</v>
      </c>
      <c r="E167" s="90" t="s">
        <v>6250</v>
      </c>
      <c r="F167" s="90" t="s">
        <v>5853</v>
      </c>
      <c r="G167" s="90" t="s">
        <v>5747</v>
      </c>
    </row>
    <row r="168" spans="1:7" s="12" customFormat="1" ht="13.95" customHeight="1" thickBot="1" x14ac:dyDescent="0.35">
      <c r="A168" s="12" t="s">
        <v>4122</v>
      </c>
      <c r="B168" s="478"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79" t="s">
        <v>4365</v>
      </c>
      <c r="D168" s="445" t="s">
        <v>6969</v>
      </c>
      <c r="E168" s="445" t="s">
        <v>6251</v>
      </c>
      <c r="F168" s="445" t="s">
        <v>7333</v>
      </c>
      <c r="G168" s="445" t="s">
        <v>6630</v>
      </c>
    </row>
    <row r="169" spans="1:7" x14ac:dyDescent="0.3">
      <c r="A169" t="s">
        <v>4123</v>
      </c>
      <c r="B169" s="444" t="str">
        <f t="shared" si="3"/>
        <v>B2 – Practices policies and future initiatives for transitioning towards a more sustainable economy</v>
      </c>
      <c r="C169" t="s">
        <v>4033</v>
      </c>
      <c r="D169" s="90" t="s">
        <v>6970</v>
      </c>
      <c r="E169" s="90" t="s">
        <v>5936</v>
      </c>
      <c r="F169" s="90" t="s">
        <v>7270</v>
      </c>
      <c r="G169" s="90" t="s">
        <v>5748</v>
      </c>
    </row>
    <row r="170" spans="1:7" x14ac:dyDescent="0.3">
      <c r="A170" t="s">
        <v>4124</v>
      </c>
      <c r="B170" s="444" t="str">
        <f t="shared" si="3"/>
        <v>Has the undertaking put in place specific practices policies and or future initiatives for transitioning towards a more sustainable economy?</v>
      </c>
      <c r="C170" t="s">
        <v>4055</v>
      </c>
      <c r="D170" s="90" t="s">
        <v>6971</v>
      </c>
      <c r="E170" s="90" t="s">
        <v>6252</v>
      </c>
      <c r="F170" s="90" t="s">
        <v>7334</v>
      </c>
      <c r="G170" s="90" t="s">
        <v>6631</v>
      </c>
    </row>
    <row r="171" spans="1:7" x14ac:dyDescent="0.3">
      <c r="A171" t="s">
        <v>4125</v>
      </c>
      <c r="B171" s="444" t="str">
        <f t="shared" si="3"/>
        <v>Sustainability issues addressed by a practice policy and or future initiatives that the undertaking has put in place</v>
      </c>
      <c r="C171" t="s">
        <v>4056</v>
      </c>
      <c r="D171" s="90" t="s">
        <v>6972</v>
      </c>
      <c r="E171" s="90" t="s">
        <v>6253</v>
      </c>
      <c r="F171" s="90" t="s">
        <v>7335</v>
      </c>
      <c r="G171" s="90" t="s">
        <v>6632</v>
      </c>
    </row>
    <row r="172" spans="1:7" x14ac:dyDescent="0.3">
      <c r="A172" t="s">
        <v>4126</v>
      </c>
      <c r="B172" s="444" t="str">
        <f t="shared" si="3"/>
        <v>Undertaking has a practice policy and or future initiative that is publicly available</v>
      </c>
      <c r="C172" t="s">
        <v>4031</v>
      </c>
      <c r="D172" s="90" t="s">
        <v>6973</v>
      </c>
      <c r="E172" s="90" t="s">
        <v>6254</v>
      </c>
      <c r="F172" s="90" t="s">
        <v>7336</v>
      </c>
      <c r="G172" s="90" t="s">
        <v>6633</v>
      </c>
    </row>
    <row r="173" spans="1:7" x14ac:dyDescent="0.3">
      <c r="A173" t="s">
        <v>4127</v>
      </c>
      <c r="B173" s="444" t="str">
        <f t="shared" si="3"/>
        <v>Undertaking has set a target which is related to a policy</v>
      </c>
      <c r="C173" t="s">
        <v>3572</v>
      </c>
      <c r="D173" s="90" t="s">
        <v>6974</v>
      </c>
      <c r="E173" s="90" t="s">
        <v>6255</v>
      </c>
      <c r="F173" s="90" t="s">
        <v>7337</v>
      </c>
      <c r="G173" s="90" t="s">
        <v>6634</v>
      </c>
    </row>
    <row r="174" spans="1:7" x14ac:dyDescent="0.3">
      <c r="A174" t="s">
        <v>4128</v>
      </c>
      <c r="B174" s="444" t="str">
        <f t="shared" si="3"/>
        <v>Climate change</v>
      </c>
      <c r="C174" t="s">
        <v>2891</v>
      </c>
      <c r="D174" s="90" t="s">
        <v>6011</v>
      </c>
      <c r="E174" s="90" t="s">
        <v>6256</v>
      </c>
      <c r="F174" s="90" t="s">
        <v>7338</v>
      </c>
      <c r="G174" s="90" t="s">
        <v>5749</v>
      </c>
    </row>
    <row r="175" spans="1:7" x14ac:dyDescent="0.3">
      <c r="A175" t="s">
        <v>4129</v>
      </c>
      <c r="B175" s="444" t="str">
        <f t="shared" si="3"/>
        <v>Pollution</v>
      </c>
      <c r="C175" t="s">
        <v>2892</v>
      </c>
      <c r="D175" s="90" t="s">
        <v>6012</v>
      </c>
      <c r="E175" s="90" t="s">
        <v>5937</v>
      </c>
      <c r="F175" s="90" t="s">
        <v>5854</v>
      </c>
      <c r="G175" s="90" t="s">
        <v>5750</v>
      </c>
    </row>
    <row r="176" spans="1:7" x14ac:dyDescent="0.3">
      <c r="A176" t="s">
        <v>4130</v>
      </c>
      <c r="B176" s="444" t="str">
        <f t="shared" si="3"/>
        <v>Water and marine resources</v>
      </c>
      <c r="C176" t="s">
        <v>2893</v>
      </c>
      <c r="D176" s="90" t="s">
        <v>6013</v>
      </c>
      <c r="E176" s="90" t="s">
        <v>6257</v>
      </c>
      <c r="F176" s="90" t="s">
        <v>7339</v>
      </c>
      <c r="G176" s="90" t="s">
        <v>6635</v>
      </c>
    </row>
    <row r="177" spans="1:7" x14ac:dyDescent="0.3">
      <c r="A177" t="s">
        <v>4131</v>
      </c>
      <c r="B177" s="444" t="str">
        <f t="shared" si="3"/>
        <v>Biodiversity and ecosystems</v>
      </c>
      <c r="C177" t="s">
        <v>2894</v>
      </c>
      <c r="D177" s="90" t="s">
        <v>6014</v>
      </c>
      <c r="E177" s="90" t="s">
        <v>6258</v>
      </c>
      <c r="F177" s="90" t="s">
        <v>5855</v>
      </c>
      <c r="G177" s="90" t="s">
        <v>6104</v>
      </c>
    </row>
    <row r="178" spans="1:7" x14ac:dyDescent="0.3">
      <c r="A178" t="s">
        <v>4132</v>
      </c>
      <c r="B178" s="444" t="str">
        <f t="shared" si="3"/>
        <v>Circular economy</v>
      </c>
      <c r="C178" t="s">
        <v>2895</v>
      </c>
      <c r="D178" s="90" t="s">
        <v>6061</v>
      </c>
      <c r="E178" s="90" t="s">
        <v>5938</v>
      </c>
      <c r="F178" s="90" t="s">
        <v>5856</v>
      </c>
      <c r="G178" s="90" t="s">
        <v>5751</v>
      </c>
    </row>
    <row r="179" spans="1:7" x14ac:dyDescent="0.3">
      <c r="A179" t="s">
        <v>4133</v>
      </c>
      <c r="B179" s="444" t="str">
        <f t="shared" si="3"/>
        <v>Own workforce</v>
      </c>
      <c r="C179" t="s">
        <v>2896</v>
      </c>
      <c r="D179" s="90" t="s">
        <v>6975</v>
      </c>
      <c r="E179" s="90" t="s">
        <v>6259</v>
      </c>
      <c r="F179" s="90" t="s">
        <v>7340</v>
      </c>
      <c r="G179" s="90" t="s">
        <v>6514</v>
      </c>
    </row>
    <row r="180" spans="1:7" x14ac:dyDescent="0.3">
      <c r="A180" t="s">
        <v>4134</v>
      </c>
      <c r="B180" s="444" t="str">
        <f t="shared" si="3"/>
        <v>Workers in the value chain</v>
      </c>
      <c r="C180" t="s">
        <v>2652</v>
      </c>
      <c r="D180" s="90" t="s">
        <v>6062</v>
      </c>
      <c r="E180" s="90" t="s">
        <v>6260</v>
      </c>
      <c r="F180" s="90" t="s">
        <v>7345</v>
      </c>
      <c r="G180" s="90" t="s">
        <v>6636</v>
      </c>
    </row>
    <row r="181" spans="1:7" x14ac:dyDescent="0.3">
      <c r="A181" t="s">
        <v>4135</v>
      </c>
      <c r="B181" s="444" t="str">
        <f t="shared" si="3"/>
        <v>Affected communities</v>
      </c>
      <c r="C181" t="s">
        <v>2897</v>
      </c>
      <c r="D181" s="90" t="s">
        <v>6976</v>
      </c>
      <c r="E181" s="90" t="s">
        <v>6261</v>
      </c>
      <c r="F181" s="90" t="s">
        <v>5857</v>
      </c>
      <c r="G181" s="90" t="s">
        <v>5752</v>
      </c>
    </row>
    <row r="182" spans="1:7" x14ac:dyDescent="0.3">
      <c r="A182" t="s">
        <v>4136</v>
      </c>
      <c r="B182" s="444" t="str">
        <f t="shared" si="3"/>
        <v>Consumers and end-users</v>
      </c>
      <c r="C182" t="s">
        <v>2898</v>
      </c>
      <c r="D182" s="90" t="s">
        <v>6063</v>
      </c>
      <c r="E182" s="90" t="s">
        <v>5939</v>
      </c>
      <c r="F182" s="90" t="s">
        <v>5858</v>
      </c>
      <c r="G182" s="90" t="s">
        <v>5753</v>
      </c>
    </row>
    <row r="183" spans="1:7" s="12" customFormat="1" ht="15" thickBot="1" x14ac:dyDescent="0.35">
      <c r="A183" s="12" t="s">
        <v>4137</v>
      </c>
      <c r="B183" s="478" t="str">
        <f t="shared" si="3"/>
        <v>Business conduct</v>
      </c>
      <c r="C183" s="12" t="s">
        <v>2889</v>
      </c>
      <c r="D183" s="445" t="s">
        <v>6977</v>
      </c>
      <c r="E183" s="445" t="s">
        <v>6262</v>
      </c>
      <c r="F183" s="445" t="s">
        <v>7341</v>
      </c>
      <c r="G183" s="445" t="s">
        <v>5754</v>
      </c>
    </row>
    <row r="184" spans="1:7" x14ac:dyDescent="0.3">
      <c r="A184" t="s">
        <v>4138</v>
      </c>
      <c r="B184" s="444" t="str">
        <f t="shared" si="3"/>
        <v>B2 - Cooperative specific disclosures</v>
      </c>
      <c r="C184" t="s">
        <v>4007</v>
      </c>
      <c r="D184" s="90" t="s">
        <v>6015</v>
      </c>
      <c r="E184" s="90" t="s">
        <v>5940</v>
      </c>
      <c r="F184" s="90" t="s">
        <v>5859</v>
      </c>
      <c r="G184" s="90" t="s">
        <v>5755</v>
      </c>
    </row>
    <row r="185" spans="1:7" x14ac:dyDescent="0.3">
      <c r="A185" t="s">
        <v>4139</v>
      </c>
      <c r="B185" s="444" t="str">
        <f t="shared" si="3"/>
        <v>Effective participation of workers users or other interested parties or communities in governance</v>
      </c>
      <c r="C185" t="s">
        <v>4030</v>
      </c>
      <c r="D185" s="90" t="s">
        <v>6978</v>
      </c>
      <c r="E185" s="90" t="s">
        <v>6263</v>
      </c>
      <c r="F185" s="90" t="s">
        <v>7346</v>
      </c>
      <c r="G185" s="90" t="s">
        <v>6637</v>
      </c>
    </row>
    <row r="186" spans="1:7" x14ac:dyDescent="0.3">
      <c r="A186" t="s">
        <v>4140</v>
      </c>
      <c r="B186" s="444" t="str">
        <f t="shared" si="3"/>
        <v>Financial investment in the capital or assets of social economy entities referred to in the Council Recommendation of 29 September 2023 (excluding donations and contributions)</v>
      </c>
      <c r="C186" t="s">
        <v>3675</v>
      </c>
      <c r="D186" s="90" t="s">
        <v>6979</v>
      </c>
      <c r="E186" s="90" t="s">
        <v>6264</v>
      </c>
      <c r="F186" s="90" t="s">
        <v>7347</v>
      </c>
      <c r="G186" s="90" t="s">
        <v>6638</v>
      </c>
    </row>
    <row r="187" spans="1:7" s="12" customFormat="1" ht="15" thickBot="1" x14ac:dyDescent="0.35">
      <c r="A187" s="12" t="s">
        <v>4141</v>
      </c>
      <c r="B187" s="478" t="str">
        <f t="shared" si="3"/>
        <v>Any limits to the distribution of profits connected to the mutualistic nature or to the nature of the activities consisting in services of general economic interest (SGEI)</v>
      </c>
      <c r="C187" s="12" t="s">
        <v>4633</v>
      </c>
      <c r="D187" s="445" t="s">
        <v>6980</v>
      </c>
      <c r="E187" s="445" t="s">
        <v>6265</v>
      </c>
      <c r="F187" s="445" t="s">
        <v>7348</v>
      </c>
      <c r="G187" s="445" t="s">
        <v>6639</v>
      </c>
    </row>
    <row r="188" spans="1:7" x14ac:dyDescent="0.3">
      <c r="A188" t="s">
        <v>4142</v>
      </c>
      <c r="B188" s="444" t="str">
        <f t="shared" si="3"/>
        <v>C2 – Description of practices policies and future initiatives for transitioning towards a more sustainable economy</v>
      </c>
      <c r="C188" t="s">
        <v>4034</v>
      </c>
      <c r="D188" s="90" t="s">
        <v>6981</v>
      </c>
      <c r="E188" s="90" t="s">
        <v>5941</v>
      </c>
      <c r="F188" s="90" t="s">
        <v>7349</v>
      </c>
      <c r="G188" s="90" t="s">
        <v>6596</v>
      </c>
    </row>
    <row r="189" spans="1:7" x14ac:dyDescent="0.3">
      <c r="A189" t="s">
        <v>4143</v>
      </c>
      <c r="B189" s="444" t="str">
        <f t="shared" si="3"/>
        <v>Description of a practice policy and or future initiative towards a more sustainable future (In case the practice  policy  future initiative covers suppliers or clients the undertaking shall mention it)</v>
      </c>
      <c r="C189" t="s">
        <v>4057</v>
      </c>
      <c r="D189" s="90" t="s">
        <v>6982</v>
      </c>
      <c r="E189" s="90" t="s">
        <v>6266</v>
      </c>
      <c r="F189" s="90" t="s">
        <v>7350</v>
      </c>
      <c r="G189" s="90" t="s">
        <v>6640</v>
      </c>
    </row>
    <row r="190" spans="1:7" x14ac:dyDescent="0.3">
      <c r="A190" t="s">
        <v>4144</v>
      </c>
      <c r="B190" s="444" t="str">
        <f t="shared" si="3"/>
        <v>Description of target related to a policy</v>
      </c>
      <c r="C190" t="s">
        <v>3573</v>
      </c>
      <c r="D190" s="90" t="s">
        <v>6016</v>
      </c>
      <c r="E190" s="90" t="s">
        <v>6267</v>
      </c>
      <c r="F190" s="90" t="s">
        <v>7351</v>
      </c>
      <c r="G190" s="90" t="s">
        <v>6641</v>
      </c>
    </row>
    <row r="191" spans="1:7" s="12" customFormat="1" ht="15" thickBot="1" x14ac:dyDescent="0.35">
      <c r="A191" s="12" t="s">
        <v>4145</v>
      </c>
      <c r="B191" s="478" t="str">
        <f t="shared" si="3"/>
        <v>Most senior level within its employees that is accountable for implementing the policies when this has been determined by the undertaking</v>
      </c>
      <c r="C191" s="12" t="s">
        <v>4617</v>
      </c>
      <c r="D191" s="445" t="s">
        <v>6983</v>
      </c>
      <c r="E191" s="445" t="s">
        <v>6268</v>
      </c>
      <c r="F191" s="445" t="s">
        <v>7352</v>
      </c>
      <c r="G191" s="445" t="s">
        <v>6642</v>
      </c>
    </row>
    <row r="192" spans="1:7" x14ac:dyDescent="0.3">
      <c r="A192" t="s">
        <v>4146</v>
      </c>
      <c r="B192" s="444" t="str">
        <f t="shared" si="3"/>
        <v>C1 – Strategy: Business Model and Sustainability – Related Initiatives</v>
      </c>
      <c r="C192" t="s">
        <v>12</v>
      </c>
      <c r="D192" s="90" t="s">
        <v>6984</v>
      </c>
      <c r="E192" s="90" t="s">
        <v>6269</v>
      </c>
      <c r="F192" s="90" t="s">
        <v>7353</v>
      </c>
      <c r="G192" s="90" t="s">
        <v>6536</v>
      </c>
    </row>
    <row r="193" spans="1:7" x14ac:dyDescent="0.3">
      <c r="A193" t="s">
        <v>4147</v>
      </c>
      <c r="B193" s="444" t="str">
        <f t="shared" si="3"/>
        <v>Description of significant groups of products and or services offered</v>
      </c>
      <c r="C193" t="s">
        <v>3993</v>
      </c>
      <c r="D193" s="90" t="s">
        <v>6985</v>
      </c>
      <c r="E193" s="90" t="s">
        <v>6270</v>
      </c>
      <c r="F193" s="90" t="s">
        <v>7354</v>
      </c>
      <c r="G193" s="90" t="s">
        <v>6515</v>
      </c>
    </row>
    <row r="194" spans="1:7" x14ac:dyDescent="0.3">
      <c r="A194" t="s">
        <v>4148</v>
      </c>
      <c r="B194" s="444" t="str">
        <f t="shared" si="3"/>
        <v>Description of significant market(s) the undertaking operates in (e.g. B2B, wholesale, retail, countries)</v>
      </c>
      <c r="C194" t="s">
        <v>4634</v>
      </c>
      <c r="D194" s="90" t="s">
        <v>6986</v>
      </c>
      <c r="E194" s="90" t="s">
        <v>6271</v>
      </c>
      <c r="F194" s="90" t="s">
        <v>7355</v>
      </c>
      <c r="G194" s="90" t="s">
        <v>6643</v>
      </c>
    </row>
    <row r="195" spans="1:7" s="12" customFormat="1" ht="15" thickBot="1" x14ac:dyDescent="0.35">
      <c r="A195" s="12" t="s">
        <v>4368</v>
      </c>
      <c r="B195" s="478" t="str">
        <f t="shared" si="3"/>
        <v>Description of main business relationships (such as key suppliers, customers, distribution channels)</v>
      </c>
      <c r="C195" s="12" t="s">
        <v>4616</v>
      </c>
      <c r="D195" s="445" t="s">
        <v>6987</v>
      </c>
      <c r="E195" s="445" t="s">
        <v>6272</v>
      </c>
      <c r="F195" s="445" t="s">
        <v>7356</v>
      </c>
      <c r="G195" s="445" t="s">
        <v>6644</v>
      </c>
    </row>
    <row r="196" spans="1:7" x14ac:dyDescent="0.3">
      <c r="A196" t="s">
        <v>4149</v>
      </c>
      <c r="B196" s="444" t="str">
        <f t="shared" ref="B196:B259" si="4">INDEX(C196:G196,MATCH(template_selected_display_language,$C$3:$G$3,0))</f>
        <v>Has the strategy key elements that relate to or affect sustainability issues?</v>
      </c>
      <c r="C196" t="s">
        <v>3087</v>
      </c>
      <c r="D196" s="90" t="s">
        <v>6988</v>
      </c>
      <c r="E196" s="90" t="s">
        <v>6273</v>
      </c>
      <c r="F196" s="90" t="s">
        <v>7357</v>
      </c>
      <c r="G196" s="90" t="s">
        <v>6645</v>
      </c>
    </row>
    <row r="197" spans="1:7" x14ac:dyDescent="0.3">
      <c r="A197" t="s">
        <v>4150</v>
      </c>
      <c r="B197" s="444" t="str">
        <f t="shared" si="4"/>
        <v>Description of those key elements in the strategy that relate or affect sustainability issues</v>
      </c>
      <c r="C197" t="s">
        <v>3574</v>
      </c>
      <c r="D197" s="90" t="s">
        <v>6989</v>
      </c>
      <c r="E197" s="90" t="s">
        <v>6274</v>
      </c>
      <c r="F197" s="90" t="s">
        <v>7358</v>
      </c>
      <c r="G197" s="90" t="s">
        <v>6516</v>
      </c>
    </row>
    <row r="198" spans="1:7" s="12" customFormat="1" ht="15" thickBot="1" x14ac:dyDescent="0.35">
      <c r="A198" s="12" t="s">
        <v>4151</v>
      </c>
      <c r="B198" s="478" t="str">
        <f t="shared" si="4"/>
        <v>Disclosure of any other general and or entity specific information on the reporting period</v>
      </c>
      <c r="C198" s="12" t="s">
        <v>3994</v>
      </c>
      <c r="D198" s="445" t="s">
        <v>6990</v>
      </c>
      <c r="E198" s="445" t="s">
        <v>6209</v>
      </c>
      <c r="F198" s="445" t="s">
        <v>7359</v>
      </c>
      <c r="G198" s="445" t="s">
        <v>6646</v>
      </c>
    </row>
    <row r="199" spans="1:7" x14ac:dyDescent="0.3">
      <c r="A199" t="s">
        <v>4152</v>
      </c>
      <c r="B199" s="444" t="str">
        <f t="shared" si="4"/>
        <v>B3 - Total Energy Consumption (in MWh)</v>
      </c>
      <c r="C199" t="s">
        <v>3956</v>
      </c>
      <c r="D199" s="90" t="s">
        <v>6991</v>
      </c>
      <c r="E199" s="90" t="s">
        <v>5942</v>
      </c>
      <c r="F199" s="90" t="s">
        <v>7360</v>
      </c>
      <c r="G199" s="90" t="s">
        <v>6647</v>
      </c>
    </row>
    <row r="200" spans="1:7" s="12" customFormat="1" ht="15" thickBot="1" x14ac:dyDescent="0.35">
      <c r="A200" s="12" t="s">
        <v>4153</v>
      </c>
      <c r="B200" s="478" t="str">
        <f t="shared" si="4"/>
        <v>Total Energy Consumption</v>
      </c>
      <c r="C200" s="12" t="s">
        <v>2876</v>
      </c>
      <c r="D200" s="445" t="s">
        <v>6017</v>
      </c>
      <c r="E200" s="445" t="s">
        <v>5943</v>
      </c>
      <c r="F200" s="445" t="s">
        <v>6094</v>
      </c>
      <c r="G200" s="445" t="s">
        <v>6648</v>
      </c>
    </row>
    <row r="201" spans="1:7" x14ac:dyDescent="0.3">
      <c r="A201" t="s">
        <v>4154</v>
      </c>
      <c r="B201" s="444" t="str">
        <f t="shared" si="4"/>
        <v>B3 - Breakdown of energy consumption (in MWh)</v>
      </c>
      <c r="C201" t="s">
        <v>3957</v>
      </c>
      <c r="D201" s="90" t="s">
        <v>6992</v>
      </c>
      <c r="E201" s="90" t="s">
        <v>5944</v>
      </c>
      <c r="F201" s="90" t="s">
        <v>7361</v>
      </c>
      <c r="G201" s="90" t="s">
        <v>5756</v>
      </c>
    </row>
    <row r="202" spans="1:7" x14ac:dyDescent="0.3">
      <c r="A202" t="s">
        <v>4155</v>
      </c>
      <c r="B202" s="444" t="str">
        <f t="shared" si="4"/>
        <v>Has the undertaking obtained the necessary information to provide an energy consumption breakdown?</v>
      </c>
      <c r="C202" t="s">
        <v>3086</v>
      </c>
      <c r="D202" s="90" t="s">
        <v>6993</v>
      </c>
      <c r="E202" s="90" t="s">
        <v>6275</v>
      </c>
      <c r="F202" s="90" t="s">
        <v>7362</v>
      </c>
      <c r="G202" s="90" t="s">
        <v>5757</v>
      </c>
    </row>
    <row r="203" spans="1:7" x14ac:dyDescent="0.3">
      <c r="A203" t="s">
        <v>4156</v>
      </c>
      <c r="B203" s="444" t="str">
        <f t="shared" si="4"/>
        <v>Renewable</v>
      </c>
      <c r="C203" t="s">
        <v>3050</v>
      </c>
      <c r="D203" s="90" t="s">
        <v>6994</v>
      </c>
      <c r="E203" s="90" t="s">
        <v>5945</v>
      </c>
      <c r="F203" s="90" t="s">
        <v>5860</v>
      </c>
      <c r="G203" s="90" t="s">
        <v>5758</v>
      </c>
    </row>
    <row r="204" spans="1:7" x14ac:dyDescent="0.3">
      <c r="A204" t="s">
        <v>4157</v>
      </c>
      <c r="B204" s="444" t="str">
        <f t="shared" si="4"/>
        <v>Non-renewable</v>
      </c>
      <c r="C204" t="s">
        <v>3051</v>
      </c>
      <c r="D204" s="90" t="s">
        <v>6995</v>
      </c>
      <c r="E204" s="90" t="s">
        <v>6276</v>
      </c>
      <c r="F204" s="90" t="s">
        <v>5861</v>
      </c>
      <c r="G204" s="90" t="s">
        <v>5759</v>
      </c>
    </row>
    <row r="205" spans="1:7" x14ac:dyDescent="0.3">
      <c r="A205" t="s">
        <v>4158</v>
      </c>
      <c r="B205" s="444" t="str">
        <f t="shared" si="4"/>
        <v>Total renewable and non-renewable</v>
      </c>
      <c r="C205" t="s">
        <v>3052</v>
      </c>
      <c r="D205" s="90" t="s">
        <v>6996</v>
      </c>
      <c r="E205" s="90" t="s">
        <v>6277</v>
      </c>
      <c r="F205" s="90" t="s">
        <v>5862</v>
      </c>
      <c r="G205" s="90" t="s">
        <v>5760</v>
      </c>
    </row>
    <row r="206" spans="1:7" x14ac:dyDescent="0.3">
      <c r="A206" t="s">
        <v>4159</v>
      </c>
      <c r="B206" s="444" t="str">
        <f t="shared" si="4"/>
        <v>Electricity (as reflected in utility billings)</v>
      </c>
      <c r="C206" t="s">
        <v>13</v>
      </c>
      <c r="D206" s="90" t="s">
        <v>6997</v>
      </c>
      <c r="E206" s="90" t="s">
        <v>6278</v>
      </c>
      <c r="F206" s="90" t="s">
        <v>7363</v>
      </c>
      <c r="G206" s="90" t="s">
        <v>6649</v>
      </c>
    </row>
    <row r="207" spans="1:7" x14ac:dyDescent="0.3">
      <c r="A207" t="s">
        <v>4160</v>
      </c>
      <c r="B207" s="444" t="str">
        <f t="shared" si="4"/>
        <v>Self-generated electricity</v>
      </c>
      <c r="C207" t="s">
        <v>3958</v>
      </c>
      <c r="D207" s="90" t="s">
        <v>6998</v>
      </c>
      <c r="E207" s="90" t="s">
        <v>6279</v>
      </c>
      <c r="F207" s="90" t="s">
        <v>7364</v>
      </c>
      <c r="G207" s="90" t="s">
        <v>6650</v>
      </c>
    </row>
    <row r="208" spans="1:7" s="12" customFormat="1" ht="15" thickBot="1" x14ac:dyDescent="0.35">
      <c r="A208" s="12" t="s">
        <v>4161</v>
      </c>
      <c r="B208" s="478" t="str">
        <f t="shared" si="4"/>
        <v>Fuels (see Fuel Converter on Fuels worksheet)</v>
      </c>
      <c r="C208" s="12" t="s">
        <v>3959</v>
      </c>
      <c r="D208" s="445" t="s">
        <v>6999</v>
      </c>
      <c r="E208" s="445" t="s">
        <v>6280</v>
      </c>
      <c r="F208" s="445" t="s">
        <v>7365</v>
      </c>
      <c r="G208" s="445" t="s">
        <v>6651</v>
      </c>
    </row>
    <row r="209" spans="1:7" x14ac:dyDescent="0.3">
      <c r="A209" t="s">
        <v>4162</v>
      </c>
      <c r="B209" s="444" t="str">
        <f t="shared" si="4"/>
        <v>B3 - Estimated Greenhouse Gas Emissions considering the GHG Protocol Version 2004 (in tCO2e)</v>
      </c>
      <c r="C209" t="s">
        <v>4008</v>
      </c>
      <c r="D209" s="90" t="s">
        <v>7000</v>
      </c>
      <c r="E209" s="90" t="s">
        <v>6281</v>
      </c>
      <c r="F209" s="90" t="s">
        <v>7366</v>
      </c>
      <c r="G209" s="90" t="s">
        <v>6652</v>
      </c>
    </row>
    <row r="210" spans="1:7" x14ac:dyDescent="0.3">
      <c r="A210" t="s">
        <v>4163</v>
      </c>
      <c r="B210" s="444" t="str">
        <f t="shared" si="4"/>
        <v>C3 - GHG reduction targets (in tC02e)</v>
      </c>
      <c r="C210" t="s">
        <v>4009</v>
      </c>
      <c r="D210" s="90" t="s">
        <v>7001</v>
      </c>
      <c r="E210" s="90" t="s">
        <v>6282</v>
      </c>
      <c r="F210" s="90" t="s">
        <v>7367</v>
      </c>
      <c r="G210" s="90" t="s">
        <v>6653</v>
      </c>
    </row>
    <row r="211" spans="1:7" x14ac:dyDescent="0.3">
      <c r="A211" t="s">
        <v>4164</v>
      </c>
      <c r="B211" s="444" t="str">
        <f t="shared" si="4"/>
        <v>Has  the undertaking has established GHG emission reduction targets?</v>
      </c>
      <c r="C211" t="s">
        <v>3960</v>
      </c>
      <c r="D211" s="90" t="s">
        <v>7002</v>
      </c>
      <c r="E211" s="90" t="s">
        <v>6283</v>
      </c>
      <c r="F211" s="90" t="s">
        <v>7368</v>
      </c>
      <c r="G211" s="90" t="s">
        <v>6654</v>
      </c>
    </row>
    <row r="212" spans="1:7" x14ac:dyDescent="0.3">
      <c r="A212" t="s">
        <v>4165</v>
      </c>
      <c r="B212" s="444" t="str">
        <f t="shared" si="4"/>
        <v>Current Reporting Period</v>
      </c>
      <c r="C212" t="s">
        <v>14</v>
      </c>
      <c r="D212" s="90" t="s">
        <v>6055</v>
      </c>
      <c r="E212" s="90" t="s">
        <v>5946</v>
      </c>
      <c r="F212" s="90" t="s">
        <v>7369</v>
      </c>
      <c r="G212" s="90" t="s">
        <v>6655</v>
      </c>
    </row>
    <row r="213" spans="1:7" x14ac:dyDescent="0.3">
      <c r="A213" t="s">
        <v>4166</v>
      </c>
      <c r="B213" s="444" t="str">
        <f t="shared" si="4"/>
        <v>Base Year</v>
      </c>
      <c r="C213" t="s">
        <v>3534</v>
      </c>
      <c r="D213" s="90" t="s">
        <v>7003</v>
      </c>
      <c r="E213" s="90" t="s">
        <v>5947</v>
      </c>
      <c r="F213" s="90" t="s">
        <v>6095</v>
      </c>
      <c r="G213" s="90" t="s">
        <v>6656</v>
      </c>
    </row>
    <row r="214" spans="1:7" x14ac:dyDescent="0.3">
      <c r="A214" t="s">
        <v>4167</v>
      </c>
      <c r="B214" s="444" t="str">
        <f t="shared" si="4"/>
        <v>Target Year</v>
      </c>
      <c r="C214" t="s">
        <v>3535</v>
      </c>
      <c r="D214" s="90" t="s">
        <v>6018</v>
      </c>
      <c r="E214" s="90" t="s">
        <v>5948</v>
      </c>
      <c r="F214" s="90" t="s">
        <v>7370</v>
      </c>
      <c r="G214" s="90" t="s">
        <v>5761</v>
      </c>
    </row>
    <row r="215" spans="1:7" x14ac:dyDescent="0.3">
      <c r="A215" t="s">
        <v>4168</v>
      </c>
      <c r="B215" s="444" t="str">
        <f t="shared" si="4"/>
        <v>Percentage reduction from base year</v>
      </c>
      <c r="C215" t="s">
        <v>3548</v>
      </c>
      <c r="D215" s="90" t="s">
        <v>7004</v>
      </c>
      <c r="E215" s="90" t="s">
        <v>6284</v>
      </c>
      <c r="F215" s="90" t="s">
        <v>7371</v>
      </c>
      <c r="G215" s="90" t="s">
        <v>6657</v>
      </c>
    </row>
    <row r="216" spans="1:7" x14ac:dyDescent="0.3">
      <c r="A216" t="s">
        <v>4169</v>
      </c>
      <c r="B216" s="444" t="str">
        <f t="shared" si="4"/>
        <v>Year (date)</v>
      </c>
      <c r="C216" t="s">
        <v>2914</v>
      </c>
      <c r="D216" s="90" t="s">
        <v>6019</v>
      </c>
      <c r="E216" s="90" t="s">
        <v>5949</v>
      </c>
      <c r="F216" s="90" t="s">
        <v>5863</v>
      </c>
      <c r="G216" s="90" t="s">
        <v>5762</v>
      </c>
    </row>
    <row r="217" spans="1:7" x14ac:dyDescent="0.3">
      <c r="A217" t="s">
        <v>4170</v>
      </c>
      <c r="B217" s="444" t="str">
        <f t="shared" si="4"/>
        <v>Gross Scope 1 GHG Emissions</v>
      </c>
      <c r="C217" t="s">
        <v>3536</v>
      </c>
      <c r="D217" s="90" t="s">
        <v>7005</v>
      </c>
      <c r="E217" s="90" t="s">
        <v>6285</v>
      </c>
      <c r="F217" s="90" t="s">
        <v>7372</v>
      </c>
      <c r="G217" s="90" t="s">
        <v>6658</v>
      </c>
    </row>
    <row r="218" spans="1:7" x14ac:dyDescent="0.3">
      <c r="A218" t="s">
        <v>4171</v>
      </c>
      <c r="B218" s="444" t="str">
        <f t="shared" si="4"/>
        <v>Gross Scope 2 location-based GHG Emissions</v>
      </c>
      <c r="C218" t="s">
        <v>3537</v>
      </c>
      <c r="D218" s="90" t="s">
        <v>7006</v>
      </c>
      <c r="E218" s="90" t="s">
        <v>6286</v>
      </c>
      <c r="F218" s="90" t="s">
        <v>7373</v>
      </c>
      <c r="G218" s="90" t="s">
        <v>5763</v>
      </c>
    </row>
    <row r="219" spans="1:7" x14ac:dyDescent="0.3">
      <c r="A219" t="s">
        <v>4172</v>
      </c>
      <c r="B219" s="444" t="str">
        <f t="shared" si="4"/>
        <v>Gross scope 2 market-based GHG Emissions</v>
      </c>
      <c r="C219" t="s">
        <v>3995</v>
      </c>
      <c r="D219" s="90" t="s">
        <v>7007</v>
      </c>
      <c r="E219" s="90" t="s">
        <v>6287</v>
      </c>
      <c r="F219" s="90" t="s">
        <v>7374</v>
      </c>
      <c r="G219" s="90" t="s">
        <v>6659</v>
      </c>
    </row>
    <row r="220" spans="1:7" x14ac:dyDescent="0.3">
      <c r="A220" t="s">
        <v>4173</v>
      </c>
      <c r="B220" s="444" t="str">
        <f t="shared" si="4"/>
        <v>Total Scope 1 and Scope 2 GHG Emissions (location-based)</v>
      </c>
      <c r="C220" t="s">
        <v>3538</v>
      </c>
      <c r="D220" s="90" t="s">
        <v>7008</v>
      </c>
      <c r="E220" s="90" t="s">
        <v>6288</v>
      </c>
      <c r="F220" s="90" t="s">
        <v>7375</v>
      </c>
      <c r="G220" s="90" t="s">
        <v>6660</v>
      </c>
    </row>
    <row r="221" spans="1:7" x14ac:dyDescent="0.3">
      <c r="A221" t="s">
        <v>4174</v>
      </c>
      <c r="B221" s="444" t="str">
        <f t="shared" si="4"/>
        <v>Total Scope 1 and Scope 2 GHG emissions  (market-based)</v>
      </c>
      <c r="C221" t="s">
        <v>4010</v>
      </c>
      <c r="D221" s="90" t="s">
        <v>7008</v>
      </c>
      <c r="E221" s="90" t="s">
        <v>6289</v>
      </c>
      <c r="F221" s="90" t="s">
        <v>7376</v>
      </c>
      <c r="G221" s="90" t="s">
        <v>6661</v>
      </c>
    </row>
    <row r="222" spans="1:7" x14ac:dyDescent="0.3">
      <c r="A222" t="s">
        <v>4175</v>
      </c>
      <c r="B222" s="444" t="str">
        <f t="shared" si="4"/>
        <v>Is the undertaking disclosing entity-specific information on Scope 3 emissions (in tCO2e)?</v>
      </c>
      <c r="C222" t="s">
        <v>3679</v>
      </c>
      <c r="D222" s="90" t="s">
        <v>7009</v>
      </c>
      <c r="E222" s="90" t="s">
        <v>6290</v>
      </c>
      <c r="F222" s="90" t="s">
        <v>7377</v>
      </c>
      <c r="G222" s="90" t="s">
        <v>6517</v>
      </c>
    </row>
    <row r="223" spans="1:7" x14ac:dyDescent="0.3">
      <c r="A223" t="s">
        <v>4176</v>
      </c>
      <c r="B223" s="444" t="str">
        <f t="shared" si="4"/>
        <v>1. Purchased Goods and Services</v>
      </c>
      <c r="C223" t="s">
        <v>3961</v>
      </c>
      <c r="D223" s="90" t="s">
        <v>7010</v>
      </c>
      <c r="E223" s="90" t="s">
        <v>5950</v>
      </c>
      <c r="F223" s="90" t="s">
        <v>6096</v>
      </c>
      <c r="G223" s="90" t="s">
        <v>5764</v>
      </c>
    </row>
    <row r="224" spans="1:7" x14ac:dyDescent="0.3">
      <c r="A224" t="s">
        <v>4177</v>
      </c>
      <c r="B224" s="444" t="str">
        <f t="shared" si="4"/>
        <v>2. Capital Goods</v>
      </c>
      <c r="C224" t="s">
        <v>3962</v>
      </c>
      <c r="D224" s="90" t="s">
        <v>7011</v>
      </c>
      <c r="E224" s="90" t="s">
        <v>5951</v>
      </c>
      <c r="F224" s="90" t="s">
        <v>7378</v>
      </c>
      <c r="G224" s="90" t="s">
        <v>5765</v>
      </c>
    </row>
    <row r="225" spans="1:7" x14ac:dyDescent="0.3">
      <c r="A225" t="s">
        <v>4178</v>
      </c>
      <c r="B225" s="444" t="str">
        <f t="shared" si="4"/>
        <v>3. Fuel- and Energy-Related Activities (Not Included in Scope 1 or Scope 2)</v>
      </c>
      <c r="C225" t="s">
        <v>3563</v>
      </c>
      <c r="D225" s="90" t="s">
        <v>7012</v>
      </c>
      <c r="E225" s="90" t="s">
        <v>6291</v>
      </c>
      <c r="F225" s="90" t="s">
        <v>7379</v>
      </c>
      <c r="G225" s="90" t="s">
        <v>6662</v>
      </c>
    </row>
    <row r="226" spans="1:7" x14ac:dyDescent="0.3">
      <c r="A226" t="s">
        <v>4179</v>
      </c>
      <c r="B226" s="444" t="str">
        <f t="shared" si="4"/>
        <v>4. Upstream Transportation and Distribution</v>
      </c>
      <c r="C226" t="s">
        <v>3963</v>
      </c>
      <c r="D226" s="90" t="s">
        <v>7013</v>
      </c>
      <c r="E226" s="90" t="s">
        <v>6292</v>
      </c>
      <c r="F226" s="90" t="s">
        <v>5864</v>
      </c>
      <c r="G226" s="90" t="s">
        <v>5766</v>
      </c>
    </row>
    <row r="227" spans="1:7" x14ac:dyDescent="0.3">
      <c r="A227" t="s">
        <v>4180</v>
      </c>
      <c r="B227" s="444" t="str">
        <f t="shared" si="4"/>
        <v>5. Waste Generated in Operations</v>
      </c>
      <c r="C227" t="s">
        <v>3964</v>
      </c>
      <c r="D227" s="90" t="s">
        <v>7014</v>
      </c>
      <c r="E227" s="90" t="s">
        <v>6293</v>
      </c>
      <c r="F227" s="90" t="s">
        <v>7380</v>
      </c>
      <c r="G227" s="90" t="s">
        <v>5767</v>
      </c>
    </row>
    <row r="228" spans="1:7" x14ac:dyDescent="0.3">
      <c r="A228" t="s">
        <v>4181</v>
      </c>
      <c r="B228" s="444" t="str">
        <f t="shared" si="4"/>
        <v>6. Business Travel</v>
      </c>
      <c r="C228" t="s">
        <v>3965</v>
      </c>
      <c r="D228" s="90" t="s">
        <v>6020</v>
      </c>
      <c r="E228" s="90" t="s">
        <v>5952</v>
      </c>
      <c r="F228" s="90" t="s">
        <v>7381</v>
      </c>
      <c r="G228" s="90" t="s">
        <v>5768</v>
      </c>
    </row>
    <row r="229" spans="1:7" x14ac:dyDescent="0.3">
      <c r="A229" t="s">
        <v>4182</v>
      </c>
      <c r="B229" s="444" t="str">
        <f t="shared" si="4"/>
        <v>7. Employee Commuting</v>
      </c>
      <c r="C229" t="s">
        <v>3966</v>
      </c>
      <c r="D229" s="90" t="s">
        <v>7015</v>
      </c>
      <c r="E229" s="90" t="s">
        <v>5953</v>
      </c>
      <c r="F229" s="90" t="s">
        <v>7382</v>
      </c>
      <c r="G229" s="90" t="s">
        <v>6663</v>
      </c>
    </row>
    <row r="230" spans="1:7" x14ac:dyDescent="0.3">
      <c r="A230" t="s">
        <v>4183</v>
      </c>
      <c r="B230" s="444" t="str">
        <f t="shared" si="4"/>
        <v>8. Upstream Leased Assets</v>
      </c>
      <c r="C230" t="s">
        <v>3967</v>
      </c>
      <c r="D230" s="90" t="s">
        <v>7016</v>
      </c>
      <c r="E230" s="90" t="s">
        <v>6294</v>
      </c>
      <c r="F230" s="90" t="s">
        <v>7383</v>
      </c>
      <c r="G230" s="90" t="s">
        <v>6518</v>
      </c>
    </row>
    <row r="231" spans="1:7" x14ac:dyDescent="0.3">
      <c r="A231" t="s">
        <v>4184</v>
      </c>
      <c r="B231" s="444" t="str">
        <f t="shared" si="4"/>
        <v>9. Downstream Transportation and Distribution</v>
      </c>
      <c r="C231" t="s">
        <v>3968</v>
      </c>
      <c r="D231" s="90" t="s">
        <v>7017</v>
      </c>
      <c r="E231" s="90" t="s">
        <v>6295</v>
      </c>
      <c r="F231" s="90" t="s">
        <v>7384</v>
      </c>
      <c r="G231" s="90" t="s">
        <v>5769</v>
      </c>
    </row>
    <row r="232" spans="1:7" x14ac:dyDescent="0.3">
      <c r="A232" t="s">
        <v>4185</v>
      </c>
      <c r="B232" s="444" t="str">
        <f t="shared" si="4"/>
        <v>10. Processing of Sold Products</v>
      </c>
      <c r="C232" t="s">
        <v>3969</v>
      </c>
      <c r="D232" s="90" t="s">
        <v>7018</v>
      </c>
      <c r="E232" s="90" t="s">
        <v>5954</v>
      </c>
      <c r="F232" s="90" t="s">
        <v>7579</v>
      </c>
      <c r="G232" s="90" t="s">
        <v>5770</v>
      </c>
    </row>
    <row r="233" spans="1:7" x14ac:dyDescent="0.3">
      <c r="A233" t="s">
        <v>4186</v>
      </c>
      <c r="B233" s="444" t="str">
        <f t="shared" si="4"/>
        <v>11. Use of Sold Products</v>
      </c>
      <c r="C233" t="s">
        <v>3970</v>
      </c>
      <c r="D233" s="90" t="s">
        <v>7019</v>
      </c>
      <c r="E233" s="90" t="s">
        <v>6296</v>
      </c>
      <c r="F233" s="90" t="s">
        <v>5865</v>
      </c>
      <c r="G233" s="90" t="s">
        <v>6664</v>
      </c>
    </row>
    <row r="234" spans="1:7" x14ac:dyDescent="0.3">
      <c r="A234" t="s">
        <v>4187</v>
      </c>
      <c r="B234" s="444" t="str">
        <f t="shared" si="4"/>
        <v>12. End-of-Life Treatment of Sold Products</v>
      </c>
      <c r="C234" t="s">
        <v>3971</v>
      </c>
      <c r="D234" s="90" t="s">
        <v>7020</v>
      </c>
      <c r="E234" s="90" t="s">
        <v>6297</v>
      </c>
      <c r="F234" s="90" t="s">
        <v>7580</v>
      </c>
      <c r="G234" s="90" t="s">
        <v>5771</v>
      </c>
    </row>
    <row r="235" spans="1:7" x14ac:dyDescent="0.3">
      <c r="A235" t="s">
        <v>4188</v>
      </c>
      <c r="B235" s="444" t="str">
        <f t="shared" si="4"/>
        <v>13. Downstream Leased Assets</v>
      </c>
      <c r="C235" t="s">
        <v>3972</v>
      </c>
      <c r="D235" s="90" t="s">
        <v>7021</v>
      </c>
      <c r="E235" s="90" t="s">
        <v>6298</v>
      </c>
      <c r="F235" s="90" t="s">
        <v>7385</v>
      </c>
      <c r="G235" s="90" t="s">
        <v>5772</v>
      </c>
    </row>
    <row r="236" spans="1:7" x14ac:dyDescent="0.3">
      <c r="A236" t="s">
        <v>4189</v>
      </c>
      <c r="B236" s="444" t="str">
        <f t="shared" si="4"/>
        <v>14. Franchises</v>
      </c>
      <c r="C236" t="s">
        <v>3973</v>
      </c>
      <c r="D236" s="90" t="s">
        <v>6021</v>
      </c>
      <c r="E236" s="90" t="s">
        <v>6077</v>
      </c>
      <c r="F236" s="90" t="s">
        <v>6097</v>
      </c>
      <c r="G236" s="90" t="s">
        <v>5773</v>
      </c>
    </row>
    <row r="237" spans="1:7" x14ac:dyDescent="0.3">
      <c r="A237" t="s">
        <v>4190</v>
      </c>
      <c r="B237" s="444" t="str">
        <f t="shared" si="4"/>
        <v>15. Investments</v>
      </c>
      <c r="C237" t="s">
        <v>3552</v>
      </c>
      <c r="D237" s="90" t="s">
        <v>7022</v>
      </c>
      <c r="E237" s="90" t="s">
        <v>6078</v>
      </c>
      <c r="F237" s="90" t="s">
        <v>5866</v>
      </c>
      <c r="G237" s="90" t="s">
        <v>5774</v>
      </c>
    </row>
    <row r="238" spans="1:7" x14ac:dyDescent="0.3">
      <c r="A238" t="s">
        <v>4191</v>
      </c>
      <c r="B238" s="444" t="str">
        <f t="shared" si="4"/>
        <v>Total Scope 3 GHG  emissions</v>
      </c>
      <c r="C238" t="s">
        <v>3577</v>
      </c>
      <c r="D238" s="90" t="s">
        <v>7023</v>
      </c>
      <c r="E238" s="90" t="s">
        <v>6299</v>
      </c>
      <c r="F238" s="90" t="s">
        <v>7386</v>
      </c>
      <c r="G238" s="90" t="s">
        <v>6665</v>
      </c>
    </row>
    <row r="239" spans="1:7" x14ac:dyDescent="0.3">
      <c r="A239" t="s">
        <v>4192</v>
      </c>
      <c r="B239" s="444" t="str">
        <f t="shared" si="4"/>
        <v>Total Scope 1 Scope 2 and Scope 3 GHG Emissions (location-based)</v>
      </c>
      <c r="C239" t="s">
        <v>4035</v>
      </c>
      <c r="D239" s="90" t="s">
        <v>7024</v>
      </c>
      <c r="E239" s="90" t="s">
        <v>6300</v>
      </c>
      <c r="F239" s="90" t="s">
        <v>7387</v>
      </c>
      <c r="G239" s="90" t="s">
        <v>6666</v>
      </c>
    </row>
    <row r="240" spans="1:7" s="12" customFormat="1" ht="15" thickBot="1" x14ac:dyDescent="0.35">
      <c r="A240" s="12" t="s">
        <v>4193</v>
      </c>
      <c r="B240" s="478" t="str">
        <f t="shared" si="4"/>
        <v>Total Scope 1 Scope 2 and Scope 3 GHG Emissions (market-based)</v>
      </c>
      <c r="C240" s="12" t="s">
        <v>4036</v>
      </c>
      <c r="D240" s="445" t="s">
        <v>7025</v>
      </c>
      <c r="E240" s="445" t="s">
        <v>6301</v>
      </c>
      <c r="F240" s="445" t="s">
        <v>7388</v>
      </c>
      <c r="G240" s="445" t="s">
        <v>6667</v>
      </c>
    </row>
    <row r="241" spans="1:7" x14ac:dyDescent="0.3">
      <c r="A241" t="s">
        <v>4194</v>
      </c>
      <c r="B241" s="444" t="str">
        <f t="shared" si="4"/>
        <v>C3 - Disclosure of list of main actions the entity seeks in order to achieve its targets</v>
      </c>
      <c r="C241" t="s">
        <v>4011</v>
      </c>
      <c r="D241" s="90" t="s">
        <v>7026</v>
      </c>
      <c r="E241" s="90" t="s">
        <v>6302</v>
      </c>
      <c r="F241" s="90" t="s">
        <v>7389</v>
      </c>
      <c r="G241" s="90" t="s">
        <v>6668</v>
      </c>
    </row>
    <row r="242" spans="1:7" x14ac:dyDescent="0.3">
      <c r="A242" t="s">
        <v>4195</v>
      </c>
      <c r="B242" s="444" t="str">
        <f t="shared" si="4"/>
        <v>C3 - Transition plan for undertakings operating in high climate impact sectors</v>
      </c>
      <c r="C242" t="s">
        <v>4012</v>
      </c>
      <c r="D242" s="90" t="s">
        <v>7027</v>
      </c>
      <c r="E242" s="90" t="s">
        <v>6303</v>
      </c>
      <c r="F242" s="90" t="s">
        <v>7390</v>
      </c>
      <c r="G242" s="90" t="s">
        <v>6669</v>
      </c>
    </row>
    <row r="243" spans="1:7" x14ac:dyDescent="0.3">
      <c r="A243" t="s">
        <v>4196</v>
      </c>
      <c r="B243" s="444" t="str">
        <f t="shared" si="4"/>
        <v>Is the undertaking operating in high impact sectors?</v>
      </c>
      <c r="C243" t="s">
        <v>3974</v>
      </c>
      <c r="D243" s="90" t="s">
        <v>7028</v>
      </c>
      <c r="E243" s="90" t="s">
        <v>6304</v>
      </c>
      <c r="F243" s="90" t="s">
        <v>7391</v>
      </c>
      <c r="G243" s="90" t="s">
        <v>5775</v>
      </c>
    </row>
    <row r="244" spans="1:7" x14ac:dyDescent="0.3">
      <c r="A244" t="s">
        <v>4197</v>
      </c>
      <c r="B244" s="444" t="str">
        <f t="shared" si="4"/>
        <v>Status of implementation of a transition plan in relation to climate change mitigation</v>
      </c>
      <c r="C244" t="s">
        <v>3975</v>
      </c>
      <c r="D244" s="90" t="s">
        <v>7029</v>
      </c>
      <c r="E244" s="90" t="s">
        <v>6305</v>
      </c>
      <c r="F244" s="90" t="s">
        <v>7392</v>
      </c>
      <c r="G244" s="90" t="s">
        <v>6670</v>
      </c>
    </row>
    <row r="245" spans="1:7" x14ac:dyDescent="0.3">
      <c r="A245" t="s">
        <v>4198</v>
      </c>
      <c r="B245" s="444" t="str">
        <f t="shared" si="4"/>
        <v>Description of a transition plan for climate change mitigation including an explanation of how it is contributing to reduce GHG emissions</v>
      </c>
      <c r="C245" t="s">
        <v>4037</v>
      </c>
      <c r="D245" s="90" t="s">
        <v>7030</v>
      </c>
      <c r="E245" s="90" t="s">
        <v>6306</v>
      </c>
      <c r="F245" s="90" t="s">
        <v>7393</v>
      </c>
      <c r="G245" s="90" t="s">
        <v>6671</v>
      </c>
    </row>
    <row r="246" spans="1:7" x14ac:dyDescent="0.3">
      <c r="A246" t="s">
        <v>4199</v>
      </c>
      <c r="B246" s="444" t="str">
        <f t="shared" si="4"/>
        <v>Date of foreseen adoption of transition plan for undertaking not having adopted transition plan yet</v>
      </c>
      <c r="C246" t="s">
        <v>3542</v>
      </c>
      <c r="D246" s="90" t="s">
        <v>7031</v>
      </c>
      <c r="E246" s="90" t="s">
        <v>6307</v>
      </c>
      <c r="F246" s="90" t="s">
        <v>7394</v>
      </c>
      <c r="G246" s="90" t="s">
        <v>6672</v>
      </c>
    </row>
    <row r="247" spans="1:7" x14ac:dyDescent="0.3">
      <c r="A247" t="s">
        <v>4200</v>
      </c>
      <c r="B247" s="444" t="str">
        <f t="shared" si="4"/>
        <v>Year</v>
      </c>
      <c r="C247" t="s">
        <v>3025</v>
      </c>
      <c r="D247" s="90" t="s">
        <v>6064</v>
      </c>
      <c r="E247" s="90" t="s">
        <v>5695</v>
      </c>
      <c r="F247" s="90" t="s">
        <v>5867</v>
      </c>
      <c r="G247" s="90" t="s">
        <v>5776</v>
      </c>
    </row>
    <row r="248" spans="1:7" x14ac:dyDescent="0.3">
      <c r="A248" t="s">
        <v>4201</v>
      </c>
      <c r="B248" s="444" t="str">
        <f t="shared" si="4"/>
        <v>Month</v>
      </c>
      <c r="C248" t="s">
        <v>3026</v>
      </c>
      <c r="D248" s="90" t="s">
        <v>6022</v>
      </c>
      <c r="E248" s="90" t="s">
        <v>5955</v>
      </c>
      <c r="F248" s="90" t="s">
        <v>6098</v>
      </c>
      <c r="G248" s="90" t="s">
        <v>5777</v>
      </c>
    </row>
    <row r="249" spans="1:7" x14ac:dyDescent="0.3">
      <c r="A249" t="s">
        <v>4202</v>
      </c>
      <c r="B249" s="444" t="str">
        <f t="shared" si="4"/>
        <v>Day</v>
      </c>
      <c r="C249" t="s">
        <v>3777</v>
      </c>
      <c r="D249" s="90" t="s">
        <v>6054</v>
      </c>
      <c r="E249" s="90" t="s">
        <v>5956</v>
      </c>
      <c r="F249" s="90" t="s">
        <v>5868</v>
      </c>
      <c r="G249" s="90" t="s">
        <v>5778</v>
      </c>
    </row>
    <row r="250" spans="1:7" x14ac:dyDescent="0.3">
      <c r="A250" t="s">
        <v>4203</v>
      </c>
      <c r="B250" s="444" t="str">
        <f t="shared" si="4"/>
        <v>B3 - Greenhouse gas emission intensity per turnover (in tCO2e)</v>
      </c>
      <c r="C250" t="s">
        <v>4013</v>
      </c>
      <c r="D250" s="90" t="s">
        <v>7032</v>
      </c>
      <c r="E250" s="90" t="s">
        <v>6308</v>
      </c>
      <c r="F250" s="90" t="s">
        <v>7395</v>
      </c>
      <c r="G250" s="90" t="s">
        <v>6673</v>
      </c>
    </row>
    <row r="251" spans="1:7" x14ac:dyDescent="0.3">
      <c r="A251" t="s">
        <v>4204</v>
      </c>
      <c r="B251" s="444" t="str">
        <f t="shared" si="4"/>
        <v>Scope 1 and Scope 2 GHG Emissions intensity (location-based)</v>
      </c>
      <c r="C251" t="s">
        <v>4014</v>
      </c>
      <c r="D251" s="90" t="s">
        <v>7033</v>
      </c>
      <c r="E251" s="90" t="s">
        <v>6309</v>
      </c>
      <c r="F251" s="90" t="s">
        <v>7396</v>
      </c>
      <c r="G251" s="90" t="s">
        <v>6674</v>
      </c>
    </row>
    <row r="252" spans="1:7" x14ac:dyDescent="0.3">
      <c r="A252" t="s">
        <v>4205</v>
      </c>
      <c r="B252" s="444" t="str">
        <f t="shared" si="4"/>
        <v>Scope 1 and Scope 2 GHG Emissions intensity (market-based)</v>
      </c>
      <c r="C252" t="s">
        <v>4015</v>
      </c>
      <c r="D252" s="90" t="s">
        <v>7034</v>
      </c>
      <c r="E252" s="90" t="s">
        <v>6310</v>
      </c>
      <c r="F252" s="90" t="s">
        <v>7397</v>
      </c>
      <c r="G252" s="90" t="s">
        <v>6675</v>
      </c>
    </row>
    <row r="253" spans="1:7" x14ac:dyDescent="0.3">
      <c r="A253" t="s">
        <v>4206</v>
      </c>
      <c r="B253" s="444" t="str">
        <f t="shared" si="4"/>
        <v>Total Scope 1 Scope 2 and Scope 3 GHG Emissions intensity (location-based)</v>
      </c>
      <c r="C253" t="s">
        <v>4038</v>
      </c>
      <c r="D253" s="90" t="s">
        <v>7035</v>
      </c>
      <c r="E253" s="90" t="s">
        <v>6311</v>
      </c>
      <c r="F253" s="90" t="s">
        <v>7398</v>
      </c>
      <c r="G253" s="90" t="s">
        <v>6676</v>
      </c>
    </row>
    <row r="254" spans="1:7" s="12" customFormat="1" ht="15" thickBot="1" x14ac:dyDescent="0.35">
      <c r="A254" s="12" t="s">
        <v>4207</v>
      </c>
      <c r="B254" s="478" t="str">
        <f t="shared" si="4"/>
        <v>Total Scope 1 Scope 2 and Scope 3 GHG Emissions intensity (market-based)</v>
      </c>
      <c r="C254" s="12" t="s">
        <v>4039</v>
      </c>
      <c r="D254" s="445" t="s">
        <v>7036</v>
      </c>
      <c r="E254" s="445" t="s">
        <v>6312</v>
      </c>
      <c r="F254" s="445" t="s">
        <v>7399</v>
      </c>
      <c r="G254" s="445" t="s">
        <v>6677</v>
      </c>
    </row>
    <row r="255" spans="1:7" x14ac:dyDescent="0.3">
      <c r="A255" t="s">
        <v>4208</v>
      </c>
      <c r="B255" s="444" t="str">
        <f t="shared" si="4"/>
        <v>B4 – Pollution of air water and soil</v>
      </c>
      <c r="C255" t="s">
        <v>4040</v>
      </c>
      <c r="D255" s="90" t="s">
        <v>6023</v>
      </c>
      <c r="E255" s="90" t="s">
        <v>5957</v>
      </c>
      <c r="F255" s="90" t="s">
        <v>7275</v>
      </c>
      <c r="G255" s="90" t="s">
        <v>6586</v>
      </c>
    </row>
    <row r="256" spans="1:7" x14ac:dyDescent="0.3">
      <c r="A256" t="s">
        <v>4209</v>
      </c>
      <c r="B256" s="444" t="str">
        <f t="shared" si="4"/>
        <v>Is the undertaking already required by law or other national regulations to report to competent authorities its emissions of pollutants or does it already voluntarily report on them according to an Environmental Management System?</v>
      </c>
      <c r="C256" t="s">
        <v>4041</v>
      </c>
      <c r="D256" s="90" t="s">
        <v>7037</v>
      </c>
      <c r="E256" s="90" t="s">
        <v>6313</v>
      </c>
      <c r="F256" s="90" t="s">
        <v>7400</v>
      </c>
      <c r="G256" s="90" t="s">
        <v>6678</v>
      </c>
    </row>
    <row r="257" spans="1:7" x14ac:dyDescent="0.3">
      <c r="A257" t="s">
        <v>4210</v>
      </c>
      <c r="B257" s="444" t="str">
        <f t="shared" si="4"/>
        <v>Is this disclosure already publicly available?</v>
      </c>
      <c r="C257" t="s">
        <v>3072</v>
      </c>
      <c r="D257" s="90" t="s">
        <v>6024</v>
      </c>
      <c r="E257" s="90" t="s">
        <v>6314</v>
      </c>
      <c r="F257" s="90" t="s">
        <v>5869</v>
      </c>
      <c r="G257" s="90" t="s">
        <v>6679</v>
      </c>
    </row>
    <row r="258" spans="1:7" x14ac:dyDescent="0.3">
      <c r="A258" t="s">
        <v>4211</v>
      </c>
      <c r="B258" s="444" t="str">
        <f t="shared" si="4"/>
        <v>Please provide the relevant URL link or hyperlink of where this information is reported</v>
      </c>
      <c r="C258" t="s">
        <v>3976</v>
      </c>
      <c r="D258" s="90" t="s">
        <v>7038</v>
      </c>
      <c r="E258" s="90" t="s">
        <v>6315</v>
      </c>
      <c r="F258" s="90" t="s">
        <v>7401</v>
      </c>
      <c r="G258" s="90" t="s">
        <v>6680</v>
      </c>
    </row>
    <row r="259" spans="1:7" x14ac:dyDescent="0.3">
      <c r="A259" t="s">
        <v>4212</v>
      </c>
      <c r="B259" s="444" t="str">
        <f t="shared" si="4"/>
        <v>Please select the unit used for reporting the amount (i.e. either kg or tonne)</v>
      </c>
      <c r="C259" t="s">
        <v>3069</v>
      </c>
      <c r="D259" s="90" t="s">
        <v>7039</v>
      </c>
      <c r="E259" s="90" t="s">
        <v>6316</v>
      </c>
      <c r="F259" s="90" t="s">
        <v>7402</v>
      </c>
      <c r="G259" s="90" t="s">
        <v>6681</v>
      </c>
    </row>
    <row r="260" spans="1:7" x14ac:dyDescent="0.3">
      <c r="A260" t="s">
        <v>4213</v>
      </c>
      <c r="B260" s="444" t="str">
        <f t="shared" ref="B260:B323" si="5">INDEX(C260:G260,MATCH(template_selected_display_language,$C$3:$G$3,0))</f>
        <v>Row ID</v>
      </c>
      <c r="C260" t="s">
        <v>15</v>
      </c>
      <c r="D260" s="90" t="s">
        <v>6025</v>
      </c>
      <c r="E260" s="90" t="s">
        <v>5958</v>
      </c>
      <c r="F260" s="90" t="s">
        <v>5870</v>
      </c>
      <c r="G260" s="90" t="s">
        <v>5779</v>
      </c>
    </row>
    <row r="261" spans="1:7" x14ac:dyDescent="0.3">
      <c r="A261" t="s">
        <v>4214</v>
      </c>
      <c r="B261" s="444" t="str">
        <f t="shared" si="5"/>
        <v>Pollutant</v>
      </c>
      <c r="C261" t="s">
        <v>3977</v>
      </c>
      <c r="D261" s="90" t="s">
        <v>6065</v>
      </c>
      <c r="E261" s="90" t="s">
        <v>6317</v>
      </c>
      <c r="F261" s="90" t="s">
        <v>5871</v>
      </c>
      <c r="G261" s="90" t="s">
        <v>5780</v>
      </c>
    </row>
    <row r="262" spans="1:7" x14ac:dyDescent="0.3">
      <c r="A262" t="s">
        <v>4215</v>
      </c>
      <c r="B262" s="444" t="str">
        <f t="shared" si="5"/>
        <v>Emission to air</v>
      </c>
      <c r="C262" t="s">
        <v>3978</v>
      </c>
      <c r="D262" s="90" t="s">
        <v>7040</v>
      </c>
      <c r="E262" s="90" t="s">
        <v>6079</v>
      </c>
      <c r="F262" s="90" t="s">
        <v>7403</v>
      </c>
      <c r="G262" s="90" t="s">
        <v>6519</v>
      </c>
    </row>
    <row r="263" spans="1:7" x14ac:dyDescent="0.3">
      <c r="A263" t="s">
        <v>4216</v>
      </c>
      <c r="B263" s="444" t="str">
        <f t="shared" si="5"/>
        <v>Emission to water</v>
      </c>
      <c r="C263" t="s">
        <v>3979</v>
      </c>
      <c r="D263" s="90" t="s">
        <v>7041</v>
      </c>
      <c r="E263" s="90" t="s">
        <v>5959</v>
      </c>
      <c r="F263" s="90" t="s">
        <v>5872</v>
      </c>
      <c r="G263" s="90" t="s">
        <v>6520</v>
      </c>
    </row>
    <row r="264" spans="1:7" s="12" customFormat="1" ht="15" thickBot="1" x14ac:dyDescent="0.35">
      <c r="A264" s="12" t="s">
        <v>4217</v>
      </c>
      <c r="B264" s="478" t="str">
        <f t="shared" si="5"/>
        <v>Emission to soil</v>
      </c>
      <c r="C264" s="12" t="s">
        <v>3980</v>
      </c>
      <c r="D264" s="445" t="s">
        <v>7042</v>
      </c>
      <c r="E264" s="445" t="s">
        <v>5960</v>
      </c>
      <c r="F264" s="445" t="s">
        <v>5873</v>
      </c>
      <c r="G264" s="445" t="s">
        <v>6521</v>
      </c>
    </row>
    <row r="265" spans="1:7" x14ac:dyDescent="0.3">
      <c r="A265" t="s">
        <v>4218</v>
      </c>
      <c r="B265" s="444" t="str">
        <f t="shared" si="5"/>
        <v>B5 - Sites in biodiversity sensitive areas</v>
      </c>
      <c r="C265" t="s">
        <v>4016</v>
      </c>
      <c r="D265" s="90" t="s">
        <v>7043</v>
      </c>
      <c r="E265" s="90" t="s">
        <v>6318</v>
      </c>
      <c r="F265" s="90" t="s">
        <v>7404</v>
      </c>
      <c r="G265" s="90" t="s">
        <v>6682</v>
      </c>
    </row>
    <row r="266" spans="1:7" x14ac:dyDescent="0.3">
      <c r="A266" t="s">
        <v>4219</v>
      </c>
      <c r="B266" s="444" t="str">
        <f t="shared" si="5"/>
        <v>Does the undertaking have sites that are located in or near biodiversity sensitive areas?</v>
      </c>
      <c r="C266" t="s">
        <v>3088</v>
      </c>
      <c r="D266" s="90" t="s">
        <v>7044</v>
      </c>
      <c r="E266" s="90" t="s">
        <v>6319</v>
      </c>
      <c r="F266" s="90" t="s">
        <v>7405</v>
      </c>
      <c r="G266" s="90" t="s">
        <v>6683</v>
      </c>
    </row>
    <row r="267" spans="1:7" x14ac:dyDescent="0.3">
      <c r="A267" t="s">
        <v>4220</v>
      </c>
      <c r="B267" s="444" t="str">
        <f t="shared" si="5"/>
        <v>Please select the unit used for the area (i.e. either hectares or m²):</v>
      </c>
      <c r="C267" t="s">
        <v>3067</v>
      </c>
      <c r="D267" s="90" t="s">
        <v>7045</v>
      </c>
      <c r="E267" s="90" t="s">
        <v>6320</v>
      </c>
      <c r="F267" s="90" t="s">
        <v>7406</v>
      </c>
      <c r="G267" s="90" t="s">
        <v>6684</v>
      </c>
    </row>
    <row r="268" spans="1:7" x14ac:dyDescent="0.3">
      <c r="A268" t="s">
        <v>4221</v>
      </c>
      <c r="B268" s="444" t="str">
        <f t="shared" si="5"/>
        <v>Related Site ID (select an ID from a site location reported in B1)</v>
      </c>
      <c r="C268" t="s">
        <v>3545</v>
      </c>
      <c r="D268" s="90" t="s">
        <v>7046</v>
      </c>
      <c r="E268" s="90" t="s">
        <v>6321</v>
      </c>
      <c r="F268" s="90" t="s">
        <v>7407</v>
      </c>
      <c r="G268" s="90" t="s">
        <v>6685</v>
      </c>
    </row>
    <row r="269" spans="1:7" x14ac:dyDescent="0.3">
      <c r="A269" t="s">
        <v>4222</v>
      </c>
      <c r="B269" s="444" t="str">
        <f t="shared" si="5"/>
        <v>Site Location in near a biodiversity area - auto filled from B1</v>
      </c>
      <c r="C269" t="s">
        <v>4058</v>
      </c>
      <c r="D269" s="90" t="s">
        <v>7047</v>
      </c>
      <c r="E269" s="90" t="s">
        <v>6322</v>
      </c>
      <c r="F269" s="90" t="s">
        <v>7408</v>
      </c>
      <c r="G269" s="90" t="s">
        <v>6686</v>
      </c>
    </row>
    <row r="270" spans="1:7" x14ac:dyDescent="0.3">
      <c r="A270" t="s">
        <v>4223</v>
      </c>
      <c r="B270" s="444" t="str">
        <f t="shared" si="5"/>
        <v>Area (hectares or m² based on the selection above)</v>
      </c>
      <c r="C270" t="s">
        <v>3065</v>
      </c>
      <c r="D270" s="90" t="s">
        <v>7048</v>
      </c>
      <c r="E270" s="90" t="s">
        <v>6323</v>
      </c>
      <c r="F270" s="90" t="s">
        <v>5874</v>
      </c>
      <c r="G270" s="90" t="s">
        <v>6687</v>
      </c>
    </row>
    <row r="271" spans="1:7" x14ac:dyDescent="0.3">
      <c r="A271" t="s">
        <v>4224</v>
      </c>
      <c r="B271" s="444" t="str">
        <f t="shared" si="5"/>
        <v>Site located in a biodiversity sensitive area</v>
      </c>
      <c r="C271" t="s">
        <v>2915</v>
      </c>
      <c r="D271" s="90" t="s">
        <v>7049</v>
      </c>
      <c r="E271" s="90" t="s">
        <v>6324</v>
      </c>
      <c r="F271" s="90" t="s">
        <v>5875</v>
      </c>
      <c r="G271" s="90" t="s">
        <v>6688</v>
      </c>
    </row>
    <row r="272" spans="1:7" s="12" customFormat="1" ht="15" thickBot="1" x14ac:dyDescent="0.35">
      <c r="A272" s="12" t="s">
        <v>4225</v>
      </c>
      <c r="B272" s="478" t="str">
        <f t="shared" si="5"/>
        <v>Site located near a biodiversity sensitive area</v>
      </c>
      <c r="C272" s="12" t="s">
        <v>2916</v>
      </c>
      <c r="D272" s="445" t="s">
        <v>7050</v>
      </c>
      <c r="E272" s="445" t="s">
        <v>6325</v>
      </c>
      <c r="F272" s="445" t="s">
        <v>7409</v>
      </c>
      <c r="G272" s="445" t="s">
        <v>6689</v>
      </c>
    </row>
    <row r="273" spans="1:7" x14ac:dyDescent="0.3">
      <c r="A273" t="s">
        <v>4226</v>
      </c>
      <c r="B273" s="444" t="str">
        <f t="shared" si="5"/>
        <v>B5 - Biodiversity - Land-use</v>
      </c>
      <c r="C273" t="s">
        <v>4017</v>
      </c>
      <c r="D273" s="90" t="s">
        <v>6026</v>
      </c>
      <c r="E273" s="90" t="s">
        <v>6326</v>
      </c>
      <c r="F273" s="90" t="s">
        <v>7410</v>
      </c>
      <c r="G273" s="90" t="s">
        <v>6690</v>
      </c>
    </row>
    <row r="274" spans="1:7" x14ac:dyDescent="0.3">
      <c r="A274" t="s">
        <v>4227</v>
      </c>
      <c r="B274" s="444" t="str">
        <f t="shared" si="5"/>
        <v>Land-use type</v>
      </c>
      <c r="C274" t="s">
        <v>17</v>
      </c>
      <c r="D274" s="90" t="s">
        <v>6066</v>
      </c>
      <c r="E274" s="90" t="s">
        <v>6327</v>
      </c>
      <c r="F274" s="90" t="s">
        <v>5876</v>
      </c>
      <c r="G274" s="90" t="s">
        <v>6691</v>
      </c>
    </row>
    <row r="275" spans="1:7" x14ac:dyDescent="0.3">
      <c r="A275" t="s">
        <v>4228</v>
      </c>
      <c r="B275" s="444" t="str">
        <f t="shared" si="5"/>
        <v>Area</v>
      </c>
      <c r="C275" t="s">
        <v>3532</v>
      </c>
      <c r="D275" s="90" t="s">
        <v>7051</v>
      </c>
      <c r="E275" s="90" t="s">
        <v>6328</v>
      </c>
      <c r="F275" s="90" t="s">
        <v>5781</v>
      </c>
      <c r="G275" s="90" t="s">
        <v>5781</v>
      </c>
    </row>
    <row r="276" spans="1:7" x14ac:dyDescent="0.3">
      <c r="A276" t="s">
        <v>4229</v>
      </c>
      <c r="B276" s="444" t="str">
        <f t="shared" si="5"/>
        <v>Total sealed area</v>
      </c>
      <c r="C276" t="s">
        <v>18</v>
      </c>
      <c r="D276" s="90" t="s">
        <v>7052</v>
      </c>
      <c r="E276" s="90" t="s">
        <v>6329</v>
      </c>
      <c r="F276" s="90" t="s">
        <v>7411</v>
      </c>
      <c r="G276" s="90" t="s">
        <v>6692</v>
      </c>
    </row>
    <row r="277" spans="1:7" x14ac:dyDescent="0.3">
      <c r="A277" t="s">
        <v>4230</v>
      </c>
      <c r="B277" s="444" t="str">
        <f t="shared" si="5"/>
        <v>Total nature-oriented area on-site</v>
      </c>
      <c r="C277" t="s">
        <v>3981</v>
      </c>
      <c r="D277" s="90" t="s">
        <v>7053</v>
      </c>
      <c r="E277" s="90" t="s">
        <v>6330</v>
      </c>
      <c r="F277" s="90" t="s">
        <v>7412</v>
      </c>
      <c r="G277" s="90" t="s">
        <v>6693</v>
      </c>
    </row>
    <row r="278" spans="1:7" x14ac:dyDescent="0.3">
      <c r="A278" t="s">
        <v>4231</v>
      </c>
      <c r="B278" s="444" t="str">
        <f t="shared" si="5"/>
        <v>Total nature-oriented area off-site</v>
      </c>
      <c r="C278" t="s">
        <v>3982</v>
      </c>
      <c r="D278" s="90" t="s">
        <v>7054</v>
      </c>
      <c r="E278" s="90" t="s">
        <v>6331</v>
      </c>
      <c r="F278" s="90" t="s">
        <v>7413</v>
      </c>
      <c r="G278" s="90" t="s">
        <v>6694</v>
      </c>
    </row>
    <row r="279" spans="1:7" s="12" customFormat="1" ht="15" thickBot="1" x14ac:dyDescent="0.35">
      <c r="A279" s="12" t="s">
        <v>4232</v>
      </c>
      <c r="B279" s="478" t="str">
        <f t="shared" si="5"/>
        <v>Total use of land</v>
      </c>
      <c r="C279" s="12" t="s">
        <v>19</v>
      </c>
      <c r="D279" s="445" t="s">
        <v>6027</v>
      </c>
      <c r="E279" s="445" t="s">
        <v>6332</v>
      </c>
      <c r="F279" s="445" t="s">
        <v>7414</v>
      </c>
      <c r="G279" s="445" t="s">
        <v>5782</v>
      </c>
    </row>
    <row r="280" spans="1:7" x14ac:dyDescent="0.3">
      <c r="A280" t="s">
        <v>4233</v>
      </c>
      <c r="B280" s="444" t="str">
        <f t="shared" si="5"/>
        <v>B6 - Water Withdrawal</v>
      </c>
      <c r="C280" t="s">
        <v>4018</v>
      </c>
      <c r="D280" s="90" t="s">
        <v>7055</v>
      </c>
      <c r="E280" s="90" t="s">
        <v>6333</v>
      </c>
      <c r="F280" s="90" t="s">
        <v>7415</v>
      </c>
      <c r="G280" s="90" t="s">
        <v>5718</v>
      </c>
    </row>
    <row r="281" spans="1:7" x14ac:dyDescent="0.3">
      <c r="A281" t="s">
        <v>4234</v>
      </c>
      <c r="B281" s="444" t="str">
        <f t="shared" si="5"/>
        <v>Total amount of water withdrawn from all sites (cubic meters m³)</v>
      </c>
      <c r="C281" t="s">
        <v>4042</v>
      </c>
      <c r="D281" s="90" t="s">
        <v>7056</v>
      </c>
      <c r="E281" s="90" t="s">
        <v>6334</v>
      </c>
      <c r="F281" s="90" t="s">
        <v>7416</v>
      </c>
      <c r="G281" s="90" t="s">
        <v>6695</v>
      </c>
    </row>
    <row r="282" spans="1:7" s="12" customFormat="1" ht="15" thickBot="1" x14ac:dyDescent="0.35">
      <c r="A282" s="12" t="s">
        <v>4235</v>
      </c>
      <c r="B282" s="478" t="str">
        <f t="shared" si="5"/>
        <v>Amount of water withdrawn at sites located in areas of high water-stress (cubic meters m³)</v>
      </c>
      <c r="C282" s="12" t="s">
        <v>4043</v>
      </c>
      <c r="D282" s="445" t="s">
        <v>7057</v>
      </c>
      <c r="E282" s="445" t="s">
        <v>6335</v>
      </c>
      <c r="F282" s="445" t="s">
        <v>7417</v>
      </c>
      <c r="G282" s="445" t="s">
        <v>6696</v>
      </c>
    </row>
    <row r="283" spans="1:7" x14ac:dyDescent="0.3">
      <c r="A283" t="s">
        <v>4236</v>
      </c>
      <c r="B283" s="444" t="str">
        <f t="shared" si="5"/>
        <v>B6 - Water Consumption</v>
      </c>
      <c r="C283" t="s">
        <v>4019</v>
      </c>
      <c r="D283" s="90" t="s">
        <v>7058</v>
      </c>
      <c r="E283" s="90" t="s">
        <v>6080</v>
      </c>
      <c r="F283" s="90" t="s">
        <v>7418</v>
      </c>
      <c r="G283" s="90" t="s">
        <v>6697</v>
      </c>
    </row>
    <row r="284" spans="1:7" x14ac:dyDescent="0.3">
      <c r="A284" t="s">
        <v>4237</v>
      </c>
      <c r="B284" s="444" t="str">
        <f t="shared" si="5"/>
        <v>Does the undertaking have production processes in place which significantly consume water (e.g. thermal energy processes like drying or power production production of goods agricultural irrigation etc.)?</v>
      </c>
      <c r="C284" t="s">
        <v>4044</v>
      </c>
      <c r="D284" s="90" t="s">
        <v>7059</v>
      </c>
      <c r="E284" s="90" t="s">
        <v>6336</v>
      </c>
      <c r="F284" s="90" t="s">
        <v>7419</v>
      </c>
      <c r="G284" s="90" t="s">
        <v>6698</v>
      </c>
    </row>
    <row r="285" spans="1:7" x14ac:dyDescent="0.3">
      <c r="A285" t="s">
        <v>4238</v>
      </c>
      <c r="B285" s="444" t="str">
        <f t="shared" si="5"/>
        <v>Water discharge from undertaking production processes (m³)</v>
      </c>
      <c r="C285" t="s">
        <v>3533</v>
      </c>
      <c r="D285" s="90" t="s">
        <v>7060</v>
      </c>
      <c r="E285" s="90" t="s">
        <v>6337</v>
      </c>
      <c r="F285" s="90" t="s">
        <v>7420</v>
      </c>
      <c r="G285" s="90" t="s">
        <v>6699</v>
      </c>
    </row>
    <row r="286" spans="1:7" s="12" customFormat="1" ht="15" thickBot="1" x14ac:dyDescent="0.35">
      <c r="A286" s="12" t="s">
        <v>4239</v>
      </c>
      <c r="B286" s="478" t="str">
        <f t="shared" si="5"/>
        <v>Total water consumption (m³)</v>
      </c>
      <c r="C286" s="12" t="s">
        <v>3607</v>
      </c>
      <c r="D286" s="445" t="s">
        <v>6028</v>
      </c>
      <c r="E286" s="445" t="s">
        <v>6081</v>
      </c>
      <c r="F286" s="445" t="s">
        <v>5877</v>
      </c>
      <c r="G286" s="445" t="s">
        <v>6105</v>
      </c>
    </row>
    <row r="287" spans="1:7" x14ac:dyDescent="0.3">
      <c r="A287" t="s">
        <v>4240</v>
      </c>
      <c r="B287" s="444" t="str">
        <f t="shared" si="5"/>
        <v>B7 - Description of circular economy principles</v>
      </c>
      <c r="C287" t="s">
        <v>4020</v>
      </c>
      <c r="D287" s="90" t="s">
        <v>6029</v>
      </c>
      <c r="E287" s="90" t="s">
        <v>6338</v>
      </c>
      <c r="F287" s="90" t="s">
        <v>5878</v>
      </c>
      <c r="G287" s="90" t="s">
        <v>6700</v>
      </c>
    </row>
    <row r="288" spans="1:7" x14ac:dyDescent="0.3">
      <c r="A288" t="s">
        <v>4241</v>
      </c>
      <c r="B288" s="444" t="str">
        <f t="shared" si="5"/>
        <v>Undertaking applies circular economy principles</v>
      </c>
      <c r="C288" t="s">
        <v>3540</v>
      </c>
      <c r="D288" s="90" t="s">
        <v>6030</v>
      </c>
      <c r="E288" s="90" t="s">
        <v>6339</v>
      </c>
      <c r="F288" s="90" t="s">
        <v>7421</v>
      </c>
      <c r="G288" s="90" t="s">
        <v>6701</v>
      </c>
    </row>
    <row r="289" spans="1:7" s="12" customFormat="1" ht="15" thickBot="1" x14ac:dyDescent="0.35">
      <c r="A289" s="12" t="s">
        <v>4242</v>
      </c>
      <c r="B289" s="478" t="str">
        <f t="shared" si="5"/>
        <v>Description of how it applies these principles</v>
      </c>
      <c r="C289" s="12" t="s">
        <v>2918</v>
      </c>
      <c r="D289" s="445" t="s">
        <v>7061</v>
      </c>
      <c r="E289" s="445" t="s">
        <v>5961</v>
      </c>
      <c r="F289" s="445" t="s">
        <v>7422</v>
      </c>
      <c r="G289" s="445" t="s">
        <v>6702</v>
      </c>
    </row>
    <row r="290" spans="1:7" x14ac:dyDescent="0.3">
      <c r="A290" t="s">
        <v>4243</v>
      </c>
      <c r="B290" s="444" t="str">
        <f t="shared" si="5"/>
        <v>B7 - Waste generated</v>
      </c>
      <c r="C290" t="s">
        <v>4021</v>
      </c>
      <c r="D290" s="90" t="s">
        <v>7062</v>
      </c>
      <c r="E290" s="90" t="s">
        <v>5962</v>
      </c>
      <c r="F290" s="90" t="s">
        <v>5879</v>
      </c>
      <c r="G290" s="90" t="s">
        <v>6703</v>
      </c>
    </row>
    <row r="291" spans="1:7" x14ac:dyDescent="0.3">
      <c r="A291" t="s">
        <v>4244</v>
      </c>
      <c r="B291" s="444" t="str">
        <f t="shared" si="5"/>
        <v>Type of waste</v>
      </c>
      <c r="C291" t="s">
        <v>2760</v>
      </c>
      <c r="D291" s="90" t="s">
        <v>6031</v>
      </c>
      <c r="E291" s="90" t="s">
        <v>6340</v>
      </c>
      <c r="F291" s="90" t="s">
        <v>7423</v>
      </c>
      <c r="G291" s="90" t="s">
        <v>6704</v>
      </c>
    </row>
    <row r="292" spans="1:7" x14ac:dyDescent="0.3">
      <c r="A292" t="s">
        <v>4245</v>
      </c>
      <c r="B292" s="444" t="str">
        <f t="shared" si="5"/>
        <v>Unit of measurement</v>
      </c>
      <c r="C292" t="s">
        <v>2756</v>
      </c>
      <c r="D292" s="90" t="s">
        <v>6032</v>
      </c>
      <c r="E292" s="90" t="s">
        <v>5963</v>
      </c>
      <c r="F292" s="90" t="s">
        <v>5880</v>
      </c>
      <c r="G292" s="90" t="s">
        <v>5783</v>
      </c>
    </row>
    <row r="293" spans="1:7" x14ac:dyDescent="0.3">
      <c r="A293" t="s">
        <v>4246</v>
      </c>
      <c r="B293" s="444" t="str">
        <f t="shared" si="5"/>
        <v>Waste diverted to recycle or reuse</v>
      </c>
      <c r="C293" t="s">
        <v>3983</v>
      </c>
      <c r="D293" s="90" t="s">
        <v>6033</v>
      </c>
      <c r="E293" s="90" t="s">
        <v>5964</v>
      </c>
      <c r="F293" s="90" t="s">
        <v>6099</v>
      </c>
      <c r="G293" s="90" t="s">
        <v>5784</v>
      </c>
    </row>
    <row r="294" spans="1:7" x14ac:dyDescent="0.3">
      <c r="A294" t="s">
        <v>4247</v>
      </c>
      <c r="B294" s="444" t="str">
        <f t="shared" si="5"/>
        <v>Waste directed to disposal</v>
      </c>
      <c r="C294" t="s">
        <v>3071</v>
      </c>
      <c r="D294" s="90" t="s">
        <v>7063</v>
      </c>
      <c r="E294" s="90" t="s">
        <v>6341</v>
      </c>
      <c r="F294" s="90" t="s">
        <v>7424</v>
      </c>
      <c r="G294" s="90" t="s">
        <v>6705</v>
      </c>
    </row>
    <row r="295" spans="1:7" x14ac:dyDescent="0.3">
      <c r="A295" t="s">
        <v>4248</v>
      </c>
      <c r="B295" s="444" t="str">
        <f t="shared" si="5"/>
        <v>Amount of waste recycled reused and directed to disposal</v>
      </c>
      <c r="C295" t="s">
        <v>4376</v>
      </c>
      <c r="D295" s="90" t="s">
        <v>7064</v>
      </c>
      <c r="E295" s="90" t="s">
        <v>6342</v>
      </c>
      <c r="F295" s="90" t="s">
        <v>7425</v>
      </c>
      <c r="G295" s="90" t="s">
        <v>6706</v>
      </c>
    </row>
    <row r="296" spans="1:7" x14ac:dyDescent="0.3">
      <c r="A296" t="s">
        <v>4249</v>
      </c>
      <c r="B296" s="444" t="str">
        <f t="shared" si="5"/>
        <v>Total Hazardous waste generated (mass)</v>
      </c>
      <c r="C296" t="s">
        <v>3609</v>
      </c>
      <c r="D296" s="90" t="s">
        <v>7065</v>
      </c>
      <c r="E296" s="90" t="s">
        <v>6343</v>
      </c>
      <c r="F296" s="90" t="s">
        <v>7426</v>
      </c>
      <c r="G296" s="90" t="s">
        <v>6707</v>
      </c>
    </row>
    <row r="297" spans="1:7" x14ac:dyDescent="0.3">
      <c r="A297" t="s">
        <v>4250</v>
      </c>
      <c r="B297" s="444" t="str">
        <f t="shared" si="5"/>
        <v>Total amount of waste generated</v>
      </c>
      <c r="C297" t="s">
        <v>3608</v>
      </c>
      <c r="D297" s="90" t="s">
        <v>6067</v>
      </c>
      <c r="E297" s="90" t="s">
        <v>6344</v>
      </c>
      <c r="F297" s="90" t="s">
        <v>5881</v>
      </c>
      <c r="G297" s="90" t="s">
        <v>5785</v>
      </c>
    </row>
    <row r="298" spans="1:7" x14ac:dyDescent="0.3">
      <c r="A298" t="s">
        <v>4251</v>
      </c>
      <c r="B298" s="444" t="str">
        <f t="shared" si="5"/>
        <v>Total Non-Hazardous waste generated (mass)</v>
      </c>
      <c r="C298" t="s">
        <v>3610</v>
      </c>
      <c r="D298" s="90" t="s">
        <v>7066</v>
      </c>
      <c r="E298" s="90" t="s">
        <v>6345</v>
      </c>
      <c r="F298" s="90" t="s">
        <v>7427</v>
      </c>
      <c r="G298" s="90" t="s">
        <v>6708</v>
      </c>
    </row>
    <row r="299" spans="1:7" x14ac:dyDescent="0.3">
      <c r="A299" t="s">
        <v>4252</v>
      </c>
      <c r="B299" s="444" t="str">
        <f t="shared" si="5"/>
        <v>Total waste generated (mass)</v>
      </c>
      <c r="C299" t="s">
        <v>3611</v>
      </c>
      <c r="D299" s="90" t="s">
        <v>7067</v>
      </c>
      <c r="E299" s="90" t="s">
        <v>6346</v>
      </c>
      <c r="F299" s="90" t="s">
        <v>7428</v>
      </c>
      <c r="G299" s="90" t="s">
        <v>5786</v>
      </c>
    </row>
    <row r="300" spans="1:7" x14ac:dyDescent="0.3">
      <c r="A300" t="s">
        <v>4253</v>
      </c>
      <c r="B300" s="444" t="str">
        <f t="shared" si="5"/>
        <v>Total Hazardous waste generated (volume)</v>
      </c>
      <c r="C300" t="s">
        <v>3612</v>
      </c>
      <c r="D300" s="90" t="s">
        <v>7068</v>
      </c>
      <c r="E300" s="90" t="s">
        <v>6347</v>
      </c>
      <c r="F300" s="90" t="s">
        <v>7429</v>
      </c>
      <c r="G300" s="90" t="s">
        <v>6709</v>
      </c>
    </row>
    <row r="301" spans="1:7" x14ac:dyDescent="0.3">
      <c r="A301" t="s">
        <v>4254</v>
      </c>
      <c r="B301" s="444" t="str">
        <f t="shared" si="5"/>
        <v>cubic meters (m³)</v>
      </c>
      <c r="C301" t="s">
        <v>2762</v>
      </c>
      <c r="D301" s="90" t="s">
        <v>6034</v>
      </c>
      <c r="E301" s="90" t="s">
        <v>6348</v>
      </c>
      <c r="F301" s="90" t="s">
        <v>5787</v>
      </c>
      <c r="G301" s="90" t="s">
        <v>5787</v>
      </c>
    </row>
    <row r="302" spans="1:7" x14ac:dyDescent="0.3">
      <c r="A302" t="s">
        <v>4255</v>
      </c>
      <c r="B302" s="444" t="str">
        <f t="shared" si="5"/>
        <v>Total Non-Hazardous waste generated (volume)</v>
      </c>
      <c r="C302" t="s">
        <v>3613</v>
      </c>
      <c r="D302" s="90" t="s">
        <v>7069</v>
      </c>
      <c r="E302" s="90" t="s">
        <v>6349</v>
      </c>
      <c r="F302" s="90" t="s">
        <v>7430</v>
      </c>
      <c r="G302" s="90" t="s">
        <v>6710</v>
      </c>
    </row>
    <row r="303" spans="1:7" s="12" customFormat="1" ht="15" thickBot="1" x14ac:dyDescent="0.35">
      <c r="A303" s="12" t="s">
        <v>4256</v>
      </c>
      <c r="B303" s="478" t="str">
        <f t="shared" si="5"/>
        <v>Total waste generated (volume)</v>
      </c>
      <c r="C303" s="12" t="s">
        <v>3614</v>
      </c>
      <c r="D303" s="445" t="s">
        <v>6071</v>
      </c>
      <c r="E303" s="445" t="s">
        <v>6350</v>
      </c>
      <c r="F303" s="445" t="s">
        <v>7431</v>
      </c>
      <c r="G303" s="445" t="s">
        <v>6711</v>
      </c>
    </row>
    <row r="304" spans="1:7" x14ac:dyDescent="0.3">
      <c r="A304" t="s">
        <v>4257</v>
      </c>
      <c r="B304" s="444" t="str">
        <f t="shared" si="5"/>
        <v>B7 – Annual mass-flow of relevant materials used</v>
      </c>
      <c r="C304" t="s">
        <v>4022</v>
      </c>
      <c r="D304" s="90" t="s">
        <v>7070</v>
      </c>
      <c r="E304" s="90" t="s">
        <v>6351</v>
      </c>
      <c r="F304" s="90" t="s">
        <v>7432</v>
      </c>
      <c r="G304" s="90" t="s">
        <v>6712</v>
      </c>
    </row>
    <row r="305" spans="1:7" ht="13.8" customHeight="1" x14ac:dyDescent="0.3">
      <c r="A305" t="s">
        <v>7230</v>
      </c>
      <c r="B305" s="444" t="str">
        <f t="shared" si="5"/>
        <v>Does the undertaking the undertaking operate in a sector using significant material flows (for example manufacturing construction packaging or others)?</v>
      </c>
      <c r="C305" t="s">
        <v>4377</v>
      </c>
      <c r="D305" s="90" t="s">
        <v>7071</v>
      </c>
      <c r="E305" s="90" t="s">
        <v>6352</v>
      </c>
      <c r="F305" s="90" t="s">
        <v>7433</v>
      </c>
      <c r="G305" s="90" t="s">
        <v>6713</v>
      </c>
    </row>
    <row r="306" spans="1:7" x14ac:dyDescent="0.3">
      <c r="A306" t="s">
        <v>4258</v>
      </c>
      <c r="B306" s="444" t="str">
        <f t="shared" si="5"/>
        <v>Name of the key material</v>
      </c>
      <c r="C306" t="s">
        <v>2759</v>
      </c>
      <c r="D306" s="90" t="s">
        <v>7072</v>
      </c>
      <c r="E306" s="90" t="s">
        <v>5965</v>
      </c>
      <c r="F306" s="90" t="s">
        <v>7434</v>
      </c>
      <c r="G306" s="90" t="s">
        <v>5788</v>
      </c>
    </row>
    <row r="307" spans="1:7" x14ac:dyDescent="0.3">
      <c r="A307" t="s">
        <v>4259</v>
      </c>
      <c r="B307" s="444" t="str">
        <f t="shared" si="5"/>
        <v>Mass Volume</v>
      </c>
      <c r="C307" t="s">
        <v>3998</v>
      </c>
      <c r="D307" s="90" t="s">
        <v>7073</v>
      </c>
      <c r="E307" s="90" t="s">
        <v>5966</v>
      </c>
      <c r="F307" s="90" t="s">
        <v>7435</v>
      </c>
      <c r="G307" s="90" t="s">
        <v>5789</v>
      </c>
    </row>
    <row r="308" spans="1:7" x14ac:dyDescent="0.3">
      <c r="A308" t="s">
        <v>4260</v>
      </c>
      <c r="B308" s="444" t="str">
        <f t="shared" si="5"/>
        <v>Total annual mass-flow of relevant materials used (mass in kg)</v>
      </c>
      <c r="C308" t="s">
        <v>2763</v>
      </c>
      <c r="D308" s="90" t="s">
        <v>7074</v>
      </c>
      <c r="E308" s="90" t="s">
        <v>6353</v>
      </c>
      <c r="F308" s="90" t="s">
        <v>7436</v>
      </c>
      <c r="G308" s="90" t="s">
        <v>6714</v>
      </c>
    </row>
    <row r="309" spans="1:7" x14ac:dyDescent="0.3">
      <c r="A309" t="s">
        <v>4261</v>
      </c>
      <c r="B309" s="444" t="str">
        <f t="shared" si="5"/>
        <v>kilograms (kg)</v>
      </c>
      <c r="C309" t="s">
        <v>2757</v>
      </c>
      <c r="D309" s="90" t="s">
        <v>6035</v>
      </c>
      <c r="E309" s="90" t="s">
        <v>5825</v>
      </c>
      <c r="F309" s="90" t="s">
        <v>5882</v>
      </c>
      <c r="G309" s="90" t="s">
        <v>5790</v>
      </c>
    </row>
    <row r="310" spans="1:7" s="12" customFormat="1" ht="15" thickBot="1" x14ac:dyDescent="0.35">
      <c r="A310" s="12" t="s">
        <v>4262</v>
      </c>
      <c r="B310" s="478" t="str">
        <f t="shared" si="5"/>
        <v>Total annual mass-flow of relevant materials used (volume in m³)</v>
      </c>
      <c r="C310" s="12" t="s">
        <v>3984</v>
      </c>
      <c r="D310" s="445" t="s">
        <v>7075</v>
      </c>
      <c r="E310" s="445" t="s">
        <v>6354</v>
      </c>
      <c r="F310" s="445" t="s">
        <v>7437</v>
      </c>
      <c r="G310" s="445" t="s">
        <v>6715</v>
      </c>
    </row>
    <row r="311" spans="1:7" x14ac:dyDescent="0.3">
      <c r="A311" t="s">
        <v>4263</v>
      </c>
      <c r="B311" s="444" t="str">
        <f t="shared" si="5"/>
        <v>C4 – Climate risks</v>
      </c>
      <c r="C311" t="s">
        <v>20</v>
      </c>
      <c r="D311" s="90" t="s">
        <v>7076</v>
      </c>
      <c r="E311" s="90" t="s">
        <v>6355</v>
      </c>
      <c r="F311" s="90" t="s">
        <v>7288</v>
      </c>
      <c r="G311" s="90" t="s">
        <v>5791</v>
      </c>
    </row>
    <row r="312" spans="1:7" x14ac:dyDescent="0.3">
      <c r="A312" t="s">
        <v>4264</v>
      </c>
      <c r="B312" s="444" t="str">
        <f t="shared" si="5"/>
        <v>Has the undertaking identified climate-related hazards and climate-related transition events creating gross climate-related risks for the undertaking?</v>
      </c>
      <c r="C312" t="s">
        <v>4045</v>
      </c>
      <c r="D312" s="90" t="s">
        <v>7077</v>
      </c>
      <c r="E312" s="90" t="s">
        <v>6356</v>
      </c>
      <c r="F312" s="90" t="s">
        <v>7438</v>
      </c>
      <c r="G312" s="90" t="s">
        <v>6716</v>
      </c>
    </row>
    <row r="313" spans="1:7" x14ac:dyDescent="0.3">
      <c r="A313" t="s">
        <v>4265</v>
      </c>
      <c r="B313" s="444" t="str">
        <f t="shared" si="5"/>
        <v>Description of climate-related hazards and climate-related transition events</v>
      </c>
      <c r="C313" t="s">
        <v>3551</v>
      </c>
      <c r="D313" s="90" t="s">
        <v>7078</v>
      </c>
      <c r="E313" s="90" t="s">
        <v>6357</v>
      </c>
      <c r="F313" s="90" t="s">
        <v>7439</v>
      </c>
      <c r="G313" s="90" t="s">
        <v>6717</v>
      </c>
    </row>
    <row r="314" spans="1:7" x14ac:dyDescent="0.3">
      <c r="A314" t="s">
        <v>4266</v>
      </c>
      <c r="B314" s="444" t="str">
        <f t="shared" si="5"/>
        <v>Disclosure of how it has assessed the exposure and sensitivity of its assets activities and value chain to these hazards and transition events</v>
      </c>
      <c r="C314" t="s">
        <v>4046</v>
      </c>
      <c r="D314" s="90" t="s">
        <v>7079</v>
      </c>
      <c r="E314" s="90" t="s">
        <v>6358</v>
      </c>
      <c r="F314" s="90" t="s">
        <v>7440</v>
      </c>
      <c r="G314" s="90" t="s">
        <v>6718</v>
      </c>
    </row>
    <row r="315" spans="1:7" x14ac:dyDescent="0.3">
      <c r="A315" t="s">
        <v>4267</v>
      </c>
      <c r="B315" s="444" t="str">
        <f t="shared" si="5"/>
        <v>Time horizons of any climate-related hazards and transition events identified</v>
      </c>
      <c r="C315" t="s">
        <v>21</v>
      </c>
      <c r="D315" s="90" t="s">
        <v>7080</v>
      </c>
      <c r="E315" s="90" t="s">
        <v>6359</v>
      </c>
      <c r="F315" s="90" t="s">
        <v>7441</v>
      </c>
      <c r="G315" s="90" t="s">
        <v>5792</v>
      </c>
    </row>
    <row r="316" spans="1:7" x14ac:dyDescent="0.3">
      <c r="A316" t="s">
        <v>4268</v>
      </c>
      <c r="B316" s="444" t="str">
        <f t="shared" si="5"/>
        <v>Disclosure of whether it has undertaken climate change adaptation actions for any climate-related hazards and transition events</v>
      </c>
      <c r="C316" t="s">
        <v>3615</v>
      </c>
      <c r="D316" s="90" t="s">
        <v>7081</v>
      </c>
      <c r="E316" s="90" t="s">
        <v>6360</v>
      </c>
      <c r="F316" s="90" t="s">
        <v>7442</v>
      </c>
      <c r="G316" s="90" t="s">
        <v>6719</v>
      </c>
    </row>
    <row r="317" spans="1:7" x14ac:dyDescent="0.3">
      <c r="A317" t="s">
        <v>4269</v>
      </c>
      <c r="B317" s="444" t="str">
        <f t="shared" si="5"/>
        <v>Potential adverse effects of climate risks that may affect its financial performance or business operations in the short- medium- or long-term indicating whether it assesses the risks to be high medium or low</v>
      </c>
      <c r="C317" t="s">
        <v>4047</v>
      </c>
      <c r="D317" s="90" t="s">
        <v>7082</v>
      </c>
      <c r="E317" s="90" t="s">
        <v>6361</v>
      </c>
      <c r="F317" s="90" t="s">
        <v>7443</v>
      </c>
      <c r="G317" s="90" t="s">
        <v>6720</v>
      </c>
    </row>
    <row r="318" spans="1:7" s="12" customFormat="1" ht="15" thickBot="1" x14ac:dyDescent="0.35">
      <c r="A318" s="12" t="s">
        <v>4270</v>
      </c>
      <c r="B318" s="478" t="str">
        <f t="shared" si="5"/>
        <v>Disclosure of any other environmental and or entity specific environmental disclosures</v>
      </c>
      <c r="C318" s="12" t="s">
        <v>3999</v>
      </c>
      <c r="D318" s="445" t="s">
        <v>7083</v>
      </c>
      <c r="E318" s="445" t="s">
        <v>6362</v>
      </c>
      <c r="F318" s="445" t="s">
        <v>7444</v>
      </c>
      <c r="G318" s="445" t="s">
        <v>6532</v>
      </c>
    </row>
    <row r="319" spans="1:7" x14ac:dyDescent="0.3">
      <c r="A319" t="s">
        <v>4271</v>
      </c>
      <c r="B319" s="444" t="str">
        <f t="shared" si="5"/>
        <v>Employee counting methodology for the disclosures below (Headcount or Full time Equivalent linked from B1</v>
      </c>
      <c r="C319" t="s">
        <v>4048</v>
      </c>
      <c r="D319" s="90" t="s">
        <v>7084</v>
      </c>
      <c r="E319" s="90" t="s">
        <v>6363</v>
      </c>
      <c r="F319" s="90" t="s">
        <v>7445</v>
      </c>
      <c r="G319" s="90" t="s">
        <v>6721</v>
      </c>
    </row>
    <row r="320" spans="1:7" s="12" customFormat="1" ht="15" thickBot="1" x14ac:dyDescent="0.35">
      <c r="A320" s="12" t="s">
        <v>4272</v>
      </c>
      <c r="B320" s="478" t="str">
        <f t="shared" si="5"/>
        <v>Employee counting methodology for the disclosures below (At the end of the reporting period or as an average across the reporting period linked from B1)</v>
      </c>
      <c r="C320" s="12" t="s">
        <v>4062</v>
      </c>
      <c r="D320" s="445" t="s">
        <v>7085</v>
      </c>
      <c r="E320" s="445" t="s">
        <v>6364</v>
      </c>
      <c r="F320" s="445" t="s">
        <v>7446</v>
      </c>
      <c r="G320" s="445" t="s">
        <v>6722</v>
      </c>
    </row>
    <row r="321" spans="1:7" x14ac:dyDescent="0.3">
      <c r="A321" t="s">
        <v>4273</v>
      </c>
      <c r="B321" s="444" t="str">
        <f t="shared" si="5"/>
        <v>B8 – Workforce – General characteristics - Type of contract</v>
      </c>
      <c r="C321" t="s">
        <v>4023</v>
      </c>
      <c r="D321" s="90" t="s">
        <v>7086</v>
      </c>
      <c r="E321" s="90" t="s">
        <v>6365</v>
      </c>
      <c r="F321" s="90" t="s">
        <v>7447</v>
      </c>
      <c r="G321" s="90" t="s">
        <v>6537</v>
      </c>
    </row>
    <row r="322" spans="1:7" x14ac:dyDescent="0.3">
      <c r="A322" t="s">
        <v>4274</v>
      </c>
      <c r="B322" s="444" t="str">
        <f t="shared" si="5"/>
        <v>Type of contract</v>
      </c>
      <c r="C322" t="s">
        <v>22</v>
      </c>
      <c r="D322" s="90" t="s">
        <v>6901</v>
      </c>
      <c r="E322" s="90" t="s">
        <v>5921</v>
      </c>
      <c r="F322" s="90" t="s">
        <v>5722</v>
      </c>
      <c r="G322" s="90" t="s">
        <v>5722</v>
      </c>
    </row>
    <row r="323" spans="1:7" x14ac:dyDescent="0.3">
      <c r="A323" t="s">
        <v>4275</v>
      </c>
      <c r="B323" s="444" t="str">
        <f t="shared" si="5"/>
        <v>Permanent contract</v>
      </c>
      <c r="C323" t="s">
        <v>24</v>
      </c>
      <c r="D323" s="90" t="s">
        <v>6036</v>
      </c>
      <c r="E323" s="90" t="s">
        <v>5967</v>
      </c>
      <c r="F323" s="90" t="s">
        <v>7448</v>
      </c>
      <c r="G323" s="90" t="s">
        <v>5793</v>
      </c>
    </row>
    <row r="324" spans="1:7" x14ac:dyDescent="0.3">
      <c r="A324" t="s">
        <v>4276</v>
      </c>
      <c r="B324" s="444" t="str">
        <f t="shared" ref="B324:B387" si="6">INDEX(C324:G324,MATCH(template_selected_display_language,$C$3:$G$3,0))</f>
        <v>Temporary contract</v>
      </c>
      <c r="C324" t="s">
        <v>23</v>
      </c>
      <c r="D324" s="90" t="s">
        <v>7087</v>
      </c>
      <c r="E324" s="90" t="s">
        <v>6082</v>
      </c>
      <c r="F324" s="90" t="s">
        <v>7449</v>
      </c>
      <c r="G324" s="90" t="s">
        <v>5794</v>
      </c>
    </row>
    <row r="325" spans="1:7" s="12" customFormat="1" ht="15" thickBot="1" x14ac:dyDescent="0.35">
      <c r="A325" s="12" t="s">
        <v>4277</v>
      </c>
      <c r="B325" s="478" t="str">
        <f t="shared" si="6"/>
        <v>Total employees (linked to B1)</v>
      </c>
      <c r="C325" s="12" t="s">
        <v>4501</v>
      </c>
      <c r="D325" s="445" t="s">
        <v>7088</v>
      </c>
      <c r="E325" s="445" t="s">
        <v>6366</v>
      </c>
      <c r="F325" s="445" t="s">
        <v>7450</v>
      </c>
      <c r="G325" s="445" t="s">
        <v>6723</v>
      </c>
    </row>
    <row r="326" spans="1:7" x14ac:dyDescent="0.3">
      <c r="A326" t="s">
        <v>4278</v>
      </c>
      <c r="B326" s="444" t="str">
        <f t="shared" si="6"/>
        <v>B8 – Workforce – General characteristics - Gender</v>
      </c>
      <c r="C326" t="s">
        <v>4024</v>
      </c>
      <c r="D326" s="90" t="s">
        <v>7089</v>
      </c>
      <c r="E326" s="90" t="s">
        <v>6367</v>
      </c>
      <c r="F326" s="90" t="s">
        <v>7451</v>
      </c>
      <c r="G326" s="90" t="s">
        <v>6724</v>
      </c>
    </row>
    <row r="327" spans="1:7" x14ac:dyDescent="0.3">
      <c r="A327" t="s">
        <v>4279</v>
      </c>
      <c r="B327" s="444" t="str">
        <f t="shared" si="6"/>
        <v>Gender</v>
      </c>
      <c r="C327" t="s">
        <v>25</v>
      </c>
      <c r="D327" s="90" t="s">
        <v>6003</v>
      </c>
      <c r="E327" s="90" t="s">
        <v>5922</v>
      </c>
      <c r="F327" s="90" t="s">
        <v>5723</v>
      </c>
      <c r="G327" s="90" t="s">
        <v>5723</v>
      </c>
    </row>
    <row r="328" spans="1:7" x14ac:dyDescent="0.3">
      <c r="A328" t="s">
        <v>4280</v>
      </c>
      <c r="B328" s="444" t="str">
        <f t="shared" si="6"/>
        <v>Male</v>
      </c>
      <c r="C328" t="s">
        <v>26</v>
      </c>
      <c r="D328" s="90" t="s">
        <v>7090</v>
      </c>
      <c r="E328" s="90" t="s">
        <v>5968</v>
      </c>
      <c r="F328" s="90" t="s">
        <v>5795</v>
      </c>
      <c r="G328" s="90" t="s">
        <v>5795</v>
      </c>
    </row>
    <row r="329" spans="1:7" x14ac:dyDescent="0.3">
      <c r="A329" t="s">
        <v>4281</v>
      </c>
      <c r="B329" s="444" t="str">
        <f t="shared" si="6"/>
        <v>Female</v>
      </c>
      <c r="C329" t="s">
        <v>27</v>
      </c>
      <c r="D329" s="90" t="s">
        <v>7091</v>
      </c>
      <c r="E329" s="90" t="s">
        <v>5969</v>
      </c>
      <c r="F329" s="90" t="s">
        <v>7452</v>
      </c>
      <c r="G329" s="90" t="s">
        <v>6725</v>
      </c>
    </row>
    <row r="330" spans="1:7" x14ac:dyDescent="0.3">
      <c r="A330" t="s">
        <v>4282</v>
      </c>
      <c r="B330" s="444" t="str">
        <f t="shared" si="6"/>
        <v>Other</v>
      </c>
      <c r="C330" t="s">
        <v>28</v>
      </c>
      <c r="D330" s="90" t="s">
        <v>7092</v>
      </c>
      <c r="E330" s="90" t="s">
        <v>6368</v>
      </c>
      <c r="F330" s="90" t="s">
        <v>5883</v>
      </c>
      <c r="G330" s="90" t="s">
        <v>5796</v>
      </c>
    </row>
    <row r="331" spans="1:7" s="12" customFormat="1" ht="15" thickBot="1" x14ac:dyDescent="0.35">
      <c r="A331" s="12" t="s">
        <v>4283</v>
      </c>
      <c r="B331" s="478" t="str">
        <f t="shared" si="6"/>
        <v>Not reported</v>
      </c>
      <c r="C331" s="12" t="s">
        <v>29</v>
      </c>
      <c r="D331" s="445" t="s">
        <v>7093</v>
      </c>
      <c r="E331" s="445" t="s">
        <v>5970</v>
      </c>
      <c r="F331" s="445" t="s">
        <v>7453</v>
      </c>
      <c r="G331" s="445" t="s">
        <v>6522</v>
      </c>
    </row>
    <row r="332" spans="1:7" x14ac:dyDescent="0.3">
      <c r="A332" t="s">
        <v>4284</v>
      </c>
      <c r="B332" s="444" t="str">
        <f t="shared" si="6"/>
        <v>B8 – Workforce – General characteristics - Country of employment</v>
      </c>
      <c r="C332" t="s">
        <v>4025</v>
      </c>
      <c r="D332" s="90" t="s">
        <v>7094</v>
      </c>
      <c r="E332" s="90" t="s">
        <v>6369</v>
      </c>
      <c r="F332" s="90" t="s">
        <v>7454</v>
      </c>
      <c r="G332" s="90" t="s">
        <v>6726</v>
      </c>
    </row>
    <row r="333" spans="1:7" x14ac:dyDescent="0.3">
      <c r="A333" t="s">
        <v>4285</v>
      </c>
      <c r="B333" s="444" t="str">
        <f t="shared" si="6"/>
        <v>Country of employment contract</v>
      </c>
      <c r="C333" t="s">
        <v>30</v>
      </c>
      <c r="D333" s="90" t="s">
        <v>7095</v>
      </c>
      <c r="E333" s="90" t="s">
        <v>6370</v>
      </c>
      <c r="F333" s="90" t="s">
        <v>5884</v>
      </c>
      <c r="G333" s="90" t="s">
        <v>6727</v>
      </c>
    </row>
    <row r="334" spans="1:7" s="12" customFormat="1" ht="15" thickBot="1" x14ac:dyDescent="0.35">
      <c r="A334" s="12" t="s">
        <v>5687</v>
      </c>
      <c r="B334" s="478" t="str">
        <f t="shared" si="6"/>
        <v>Does the undertaking operate in more than one country?</v>
      </c>
      <c r="C334" s="12" t="s">
        <v>5686</v>
      </c>
      <c r="D334" s="445" t="s">
        <v>6037</v>
      </c>
      <c r="E334" s="445" t="s">
        <v>6371</v>
      </c>
      <c r="F334" s="445" t="s">
        <v>5885</v>
      </c>
      <c r="G334" s="445" t="s">
        <v>5797</v>
      </c>
    </row>
    <row r="335" spans="1:7" x14ac:dyDescent="0.3">
      <c r="A335" t="s">
        <v>4286</v>
      </c>
      <c r="B335" s="444" t="str">
        <f t="shared" si="6"/>
        <v>B8 – Workforce – General characteristics - Turnover rate</v>
      </c>
      <c r="C335" t="s">
        <v>4026</v>
      </c>
      <c r="D335" s="90" t="s">
        <v>7096</v>
      </c>
      <c r="E335" s="90" t="s">
        <v>6372</v>
      </c>
      <c r="F335" s="90" t="s">
        <v>7455</v>
      </c>
      <c r="G335" s="90" t="s">
        <v>6728</v>
      </c>
    </row>
    <row r="336" spans="1:7" x14ac:dyDescent="0.3">
      <c r="A336" t="s">
        <v>4287</v>
      </c>
      <c r="B336" s="444" t="str">
        <f t="shared" si="6"/>
        <v>Number of employees who left during the reporting period</v>
      </c>
      <c r="C336" t="s">
        <v>3103</v>
      </c>
      <c r="D336" s="90" t="s">
        <v>7097</v>
      </c>
      <c r="E336" s="90" t="s">
        <v>6373</v>
      </c>
      <c r="F336" s="90" t="s">
        <v>7456</v>
      </c>
      <c r="G336" s="90" t="s">
        <v>6729</v>
      </c>
    </row>
    <row r="337" spans="1:7" x14ac:dyDescent="0.3">
      <c r="A337" t="s">
        <v>4288</v>
      </c>
      <c r="B337" s="444" t="str">
        <f t="shared" si="6"/>
        <v>Number of employees at the beginning of the reporting period</v>
      </c>
      <c r="C337" t="s">
        <v>3104</v>
      </c>
      <c r="D337" s="90" t="s">
        <v>6038</v>
      </c>
      <c r="E337" s="90" t="s">
        <v>6374</v>
      </c>
      <c r="F337" s="90" t="s">
        <v>7457</v>
      </c>
      <c r="G337" s="90" t="s">
        <v>6730</v>
      </c>
    </row>
    <row r="338" spans="1:7" x14ac:dyDescent="0.3">
      <c r="A338" t="s">
        <v>4289</v>
      </c>
      <c r="B338" s="444" t="str">
        <f t="shared" si="6"/>
        <v>Number of employees at the end of the reporting period</v>
      </c>
      <c r="C338" t="s">
        <v>3105</v>
      </c>
      <c r="D338" s="90" t="s">
        <v>6039</v>
      </c>
      <c r="E338" s="90" t="s">
        <v>6375</v>
      </c>
      <c r="F338" s="90" t="s">
        <v>7458</v>
      </c>
      <c r="G338" s="90" t="s">
        <v>6731</v>
      </c>
    </row>
    <row r="339" spans="1:7" s="12" customFormat="1" ht="15" thickBot="1" x14ac:dyDescent="0.35">
      <c r="A339" s="12" t="s">
        <v>4290</v>
      </c>
      <c r="B339" s="478" t="str">
        <f t="shared" si="6"/>
        <v>Employee turnover rate [%]  in the reporting period</v>
      </c>
      <c r="C339" s="12" t="s">
        <v>3549</v>
      </c>
      <c r="D339" s="445" t="s">
        <v>6040</v>
      </c>
      <c r="E339" s="445" t="s">
        <v>6376</v>
      </c>
      <c r="F339" s="445" t="s">
        <v>7459</v>
      </c>
      <c r="G339" s="445" t="s">
        <v>6732</v>
      </c>
    </row>
    <row r="340" spans="1:7" x14ac:dyDescent="0.3">
      <c r="A340" t="s">
        <v>4291</v>
      </c>
      <c r="B340" s="444" t="str">
        <f t="shared" si="6"/>
        <v>B9 – Workforce – Health and safety</v>
      </c>
      <c r="C340" t="s">
        <v>31</v>
      </c>
      <c r="D340" s="90" t="s">
        <v>7098</v>
      </c>
      <c r="E340" s="90" t="s">
        <v>6377</v>
      </c>
      <c r="F340" s="90" t="s">
        <v>7282</v>
      </c>
      <c r="G340" s="90" t="s">
        <v>6733</v>
      </c>
    </row>
    <row r="341" spans="1:7" x14ac:dyDescent="0.3">
      <c r="A341" t="s">
        <v>4292</v>
      </c>
      <c r="B341" s="444" t="str">
        <f t="shared" si="6"/>
        <v>Number of recordable work-related accidents in the reporting period</v>
      </c>
      <c r="C341" t="s">
        <v>3106</v>
      </c>
      <c r="D341" s="90" t="s">
        <v>7099</v>
      </c>
      <c r="E341" s="90" t="s">
        <v>6378</v>
      </c>
      <c r="F341" s="90" t="s">
        <v>7460</v>
      </c>
      <c r="G341" s="90" t="s">
        <v>6538</v>
      </c>
    </row>
    <row r="342" spans="1:7" x14ac:dyDescent="0.3">
      <c r="A342" t="s">
        <v>4293</v>
      </c>
      <c r="B342" s="444" t="str">
        <f t="shared" si="6"/>
        <v>Number of hours worked by  one full-time employee in the reporting period</v>
      </c>
      <c r="C342" t="s">
        <v>3107</v>
      </c>
      <c r="D342" s="90" t="s">
        <v>7100</v>
      </c>
      <c r="E342" s="90" t="s">
        <v>6379</v>
      </c>
      <c r="F342" s="90" t="s">
        <v>7461</v>
      </c>
      <c r="G342" s="90" t="s">
        <v>6734</v>
      </c>
    </row>
    <row r="343" spans="1:7" x14ac:dyDescent="0.3">
      <c r="A343" t="s">
        <v>4294</v>
      </c>
      <c r="B343" s="444" t="str">
        <f t="shared" si="6"/>
        <v>Total number of hours worked in a year by all employees in the reporting period</v>
      </c>
      <c r="C343" t="s">
        <v>3108</v>
      </c>
      <c r="D343" s="90" t="s">
        <v>7101</v>
      </c>
      <c r="E343" s="90" t="s">
        <v>6380</v>
      </c>
      <c r="F343" s="90" t="s">
        <v>7462</v>
      </c>
      <c r="G343" s="90" t="s">
        <v>6735</v>
      </c>
    </row>
    <row r="344" spans="1:7" x14ac:dyDescent="0.3">
      <c r="A344" t="s">
        <v>4295</v>
      </c>
      <c r="B344" s="444" t="str">
        <f t="shared" si="6"/>
        <v>Rate of recordable work-related accidents in the reporting period</v>
      </c>
      <c r="C344" t="s">
        <v>3985</v>
      </c>
      <c r="D344" s="90" t="s">
        <v>7102</v>
      </c>
      <c r="E344" s="90" t="s">
        <v>6381</v>
      </c>
      <c r="F344" s="90" t="s">
        <v>7463</v>
      </c>
      <c r="G344" s="90" t="s">
        <v>6736</v>
      </c>
    </row>
    <row r="345" spans="1:7" s="12" customFormat="1" ht="15" thickBot="1" x14ac:dyDescent="0.35">
      <c r="A345" s="12" t="s">
        <v>4296</v>
      </c>
      <c r="B345" s="478" t="str">
        <f t="shared" si="6"/>
        <v>Number of fatalities as a result of work-related injuries and work-related ill health</v>
      </c>
      <c r="C345" s="12" t="s">
        <v>32</v>
      </c>
      <c r="D345" s="445" t="s">
        <v>6041</v>
      </c>
      <c r="E345" s="445" t="s">
        <v>6382</v>
      </c>
      <c r="F345" s="445" t="s">
        <v>7464</v>
      </c>
      <c r="G345" s="445" t="s">
        <v>6737</v>
      </c>
    </row>
    <row r="346" spans="1:7" x14ac:dyDescent="0.3">
      <c r="A346" t="s">
        <v>4297</v>
      </c>
      <c r="B346" s="444" t="str">
        <f t="shared" si="6"/>
        <v>B10 – Workforce – Remuneration collective bargaining and training</v>
      </c>
      <c r="C346" t="s">
        <v>4049</v>
      </c>
      <c r="D346" s="90" t="s">
        <v>7103</v>
      </c>
      <c r="E346" s="90" t="s">
        <v>6193</v>
      </c>
      <c r="F346" s="90" t="s">
        <v>5886</v>
      </c>
      <c r="G346" s="90" t="s">
        <v>6738</v>
      </c>
    </row>
    <row r="347" spans="1:7" x14ac:dyDescent="0.3">
      <c r="A347" t="s">
        <v>4298</v>
      </c>
      <c r="B347" s="444" t="str">
        <f t="shared" si="6"/>
        <v>Employees receive pay that is equal or above applicable minimum wage determined directly by the national minimum wage law or through a collective bargaining agreement</v>
      </c>
      <c r="C347" t="s">
        <v>3053</v>
      </c>
      <c r="D347" s="90" t="s">
        <v>7104</v>
      </c>
      <c r="E347" s="90" t="s">
        <v>6383</v>
      </c>
      <c r="F347" s="90" t="s">
        <v>7465</v>
      </c>
      <c r="G347" s="90" t="s">
        <v>6739</v>
      </c>
    </row>
    <row r="348" spans="1:7" x14ac:dyDescent="0.3">
      <c r="A348" t="s">
        <v>4299</v>
      </c>
      <c r="B348" s="444" t="str">
        <f t="shared" si="6"/>
        <v>Average gross hourly pay level of male employees</v>
      </c>
      <c r="C348" t="s">
        <v>4001</v>
      </c>
      <c r="D348" s="90" t="s">
        <v>7105</v>
      </c>
      <c r="E348" s="90" t="s">
        <v>6083</v>
      </c>
      <c r="F348" s="90" t="s">
        <v>7466</v>
      </c>
      <c r="G348" s="90" t="s">
        <v>6740</v>
      </c>
    </row>
    <row r="349" spans="1:7" x14ac:dyDescent="0.3">
      <c r="A349" t="s">
        <v>4300</v>
      </c>
      <c r="B349" s="444" t="str">
        <f t="shared" si="6"/>
        <v>Average gross hourly pay level of female employees</v>
      </c>
      <c r="C349" t="s">
        <v>4002</v>
      </c>
      <c r="D349" s="90" t="s">
        <v>7106</v>
      </c>
      <c r="E349" s="90" t="s">
        <v>6384</v>
      </c>
      <c r="F349" s="90" t="s">
        <v>7467</v>
      </c>
      <c r="G349" s="90" t="s">
        <v>6741</v>
      </c>
    </row>
    <row r="350" spans="1:7" x14ac:dyDescent="0.3">
      <c r="A350" t="s">
        <v>4301</v>
      </c>
      <c r="B350" s="444" t="str">
        <f t="shared" si="6"/>
        <v>Percentage gap in pay between the  undertaking's female and male employees [%]</v>
      </c>
      <c r="C350" t="s">
        <v>4027</v>
      </c>
      <c r="D350" s="90" t="s">
        <v>7107</v>
      </c>
      <c r="E350" s="90" t="s">
        <v>6385</v>
      </c>
      <c r="F350" s="90" t="s">
        <v>7468</v>
      </c>
      <c r="G350" s="90" t="s">
        <v>6742</v>
      </c>
    </row>
    <row r="351" spans="1:7" x14ac:dyDescent="0.3">
      <c r="A351" t="s">
        <v>4302</v>
      </c>
      <c r="B351" s="444" t="str">
        <f t="shared" si="6"/>
        <v>Number of employees covered by collective bargaining agreements</v>
      </c>
      <c r="C351" t="s">
        <v>2902</v>
      </c>
      <c r="D351" s="90" t="s">
        <v>6042</v>
      </c>
      <c r="E351" s="90" t="s">
        <v>5971</v>
      </c>
      <c r="F351" s="90" t="s">
        <v>7469</v>
      </c>
      <c r="G351" s="90" t="s">
        <v>6539</v>
      </c>
    </row>
    <row r="352" spans="1:7" s="12" customFormat="1" ht="15" thickBot="1" x14ac:dyDescent="0.35">
      <c r="A352" s="12" t="s">
        <v>4303</v>
      </c>
      <c r="B352" s="478" t="str">
        <f t="shared" si="6"/>
        <v>Percentage of employees covered by collective bargaining agreements [%]</v>
      </c>
      <c r="C352" s="12" t="s">
        <v>3094</v>
      </c>
      <c r="D352" s="445" t="s">
        <v>6043</v>
      </c>
      <c r="E352" s="445" t="s">
        <v>5972</v>
      </c>
      <c r="F352" s="445" t="s">
        <v>7470</v>
      </c>
      <c r="G352" s="445" t="s">
        <v>6540</v>
      </c>
    </row>
    <row r="353" spans="1:7" x14ac:dyDescent="0.3">
      <c r="A353" t="s">
        <v>4304</v>
      </c>
      <c r="B353" s="444" t="str">
        <f t="shared" si="6"/>
        <v>Number of annual training hours per employee during the reporting period</v>
      </c>
      <c r="C353" t="s">
        <v>3550</v>
      </c>
      <c r="D353" s="90" t="s">
        <v>7108</v>
      </c>
      <c r="E353" s="90" t="s">
        <v>6386</v>
      </c>
      <c r="F353" s="90" t="s">
        <v>7471</v>
      </c>
      <c r="G353" s="90" t="s">
        <v>6743</v>
      </c>
    </row>
    <row r="354" spans="1:7" s="12" customFormat="1" ht="15" thickBot="1" x14ac:dyDescent="0.35">
      <c r="A354" s="12" t="s">
        <v>4305</v>
      </c>
      <c r="B354" s="478" t="str">
        <f t="shared" si="6"/>
        <v>Average number of annual training hours per employee</v>
      </c>
      <c r="C354" s="12" t="s">
        <v>2919</v>
      </c>
      <c r="D354" s="445" t="s">
        <v>7109</v>
      </c>
      <c r="E354" s="445" t="s">
        <v>6387</v>
      </c>
      <c r="F354" s="445" t="s">
        <v>7472</v>
      </c>
      <c r="G354" s="445" t="s">
        <v>6744</v>
      </c>
    </row>
    <row r="355" spans="1:7" x14ac:dyDescent="0.3">
      <c r="A355" t="s">
        <v>4306</v>
      </c>
      <c r="B355" s="444" t="str">
        <f t="shared" si="6"/>
        <v>C5 – Additional (general) workforce characteristics</v>
      </c>
      <c r="C355" t="s">
        <v>33</v>
      </c>
      <c r="D355" s="90" t="s">
        <v>7110</v>
      </c>
      <c r="E355" s="90" t="s">
        <v>6202</v>
      </c>
      <c r="F355" s="90" t="s">
        <v>7473</v>
      </c>
      <c r="G355" s="90" t="s">
        <v>6601</v>
      </c>
    </row>
    <row r="356" spans="1:7" x14ac:dyDescent="0.3">
      <c r="A356" t="s">
        <v>4307</v>
      </c>
      <c r="B356" s="444" t="str">
        <f t="shared" si="6"/>
        <v>Number of male employees at management level</v>
      </c>
      <c r="C356" t="s">
        <v>3986</v>
      </c>
      <c r="D356" s="90" t="s">
        <v>7111</v>
      </c>
      <c r="E356" s="90" t="s">
        <v>6388</v>
      </c>
      <c r="F356" s="90" t="s">
        <v>7474</v>
      </c>
      <c r="G356" s="90" t="s">
        <v>6745</v>
      </c>
    </row>
    <row r="357" spans="1:7" x14ac:dyDescent="0.3">
      <c r="A357" t="s">
        <v>4308</v>
      </c>
      <c r="B357" s="444" t="str">
        <f t="shared" si="6"/>
        <v>Number of female employees at management level</v>
      </c>
      <c r="C357" t="s">
        <v>2903</v>
      </c>
      <c r="D357" s="90" t="s">
        <v>7112</v>
      </c>
      <c r="E357" s="90" t="s">
        <v>6389</v>
      </c>
      <c r="F357" s="90" t="s">
        <v>7475</v>
      </c>
      <c r="G357" s="90" t="s">
        <v>6746</v>
      </c>
    </row>
    <row r="358" spans="1:7" x14ac:dyDescent="0.3">
      <c r="A358" t="s">
        <v>4309</v>
      </c>
      <c r="B358" s="444" t="str">
        <f t="shared" si="6"/>
        <v>Female-to-male ratio at management level for the reporting period</v>
      </c>
      <c r="C358" t="s">
        <v>2917</v>
      </c>
      <c r="D358" s="90" t="s">
        <v>7113</v>
      </c>
      <c r="E358" s="90" t="s">
        <v>6390</v>
      </c>
      <c r="F358" s="90" t="s">
        <v>7476</v>
      </c>
      <c r="G358" s="90" t="s">
        <v>6747</v>
      </c>
    </row>
    <row r="359" spans="1:7" x14ac:dyDescent="0.3">
      <c r="A359" t="s">
        <v>4310</v>
      </c>
      <c r="B359" s="444" t="str">
        <f t="shared" si="6"/>
        <v>Total self-employed workers without personnel that are working exclusively for the undertaking</v>
      </c>
      <c r="C359" t="s">
        <v>3054</v>
      </c>
      <c r="D359" s="90" t="s">
        <v>7114</v>
      </c>
      <c r="E359" s="90" t="s">
        <v>6391</v>
      </c>
      <c r="F359" s="90" t="s">
        <v>5887</v>
      </c>
      <c r="G359" s="90" t="s">
        <v>6748</v>
      </c>
    </row>
    <row r="360" spans="1:7" s="12" customFormat="1" ht="15" thickBot="1" x14ac:dyDescent="0.35">
      <c r="A360" s="12" t="s">
        <v>4311</v>
      </c>
      <c r="B360" s="478" t="str">
        <f t="shared" si="6"/>
        <v>Total temporary workers provided by undertakings primarily engaged in employment activities</v>
      </c>
      <c r="C360" s="12" t="s">
        <v>34</v>
      </c>
      <c r="D360" s="445" t="s">
        <v>7115</v>
      </c>
      <c r="E360" s="445" t="s">
        <v>6392</v>
      </c>
      <c r="F360" s="445" t="s">
        <v>7477</v>
      </c>
      <c r="G360" s="445" t="s">
        <v>5798</v>
      </c>
    </row>
    <row r="361" spans="1:7" x14ac:dyDescent="0.3">
      <c r="A361" t="s">
        <v>4312</v>
      </c>
      <c r="B361" s="444" t="str">
        <f t="shared" si="6"/>
        <v>C6 – Additional own workforce information - Human rights policies and processes</v>
      </c>
      <c r="C361" t="s">
        <v>35</v>
      </c>
      <c r="D361" s="90" t="s">
        <v>7116</v>
      </c>
      <c r="E361" s="90" t="s">
        <v>6203</v>
      </c>
      <c r="F361" s="90" t="s">
        <v>7478</v>
      </c>
      <c r="G361" s="90" t="s">
        <v>6602</v>
      </c>
    </row>
    <row r="362" spans="1:7" x14ac:dyDescent="0.3">
      <c r="A362" t="s">
        <v>4313</v>
      </c>
      <c r="B362" s="444" t="str">
        <f t="shared" si="6"/>
        <v>Does the undertaking have a code of conduct or human rights policy for its own workforce?</v>
      </c>
      <c r="C362" t="s">
        <v>36</v>
      </c>
      <c r="D362" s="90" t="s">
        <v>7117</v>
      </c>
      <c r="E362" s="90" t="s">
        <v>6393</v>
      </c>
      <c r="F362" s="90" t="s">
        <v>7479</v>
      </c>
      <c r="G362" s="90" t="s">
        <v>6749</v>
      </c>
    </row>
    <row r="363" spans="1:7" x14ac:dyDescent="0.3">
      <c r="A363" t="s">
        <v>4314</v>
      </c>
      <c r="B363" s="444" t="str">
        <f t="shared" si="6"/>
        <v>If yes does this cover:</v>
      </c>
      <c r="C363" t="s">
        <v>4050</v>
      </c>
      <c r="D363" s="90" t="s">
        <v>7118</v>
      </c>
      <c r="E363" s="90" t="s">
        <v>6394</v>
      </c>
      <c r="F363" s="90" t="s">
        <v>7480</v>
      </c>
      <c r="G363" s="90" t="s">
        <v>6750</v>
      </c>
    </row>
    <row r="364" spans="1:7" x14ac:dyDescent="0.3">
      <c r="A364" t="s">
        <v>4315</v>
      </c>
      <c r="B364" s="444" t="str">
        <f t="shared" si="6"/>
        <v>· child labour</v>
      </c>
      <c r="C364" t="s">
        <v>4502</v>
      </c>
      <c r="D364" s="90" t="s">
        <v>7119</v>
      </c>
      <c r="E364" s="90" t="s">
        <v>6395</v>
      </c>
      <c r="F364" s="90" t="s">
        <v>6100</v>
      </c>
      <c r="G364" s="90" t="s">
        <v>5799</v>
      </c>
    </row>
    <row r="365" spans="1:7" x14ac:dyDescent="0.3">
      <c r="A365" t="s">
        <v>4316</v>
      </c>
      <c r="B365" s="444" t="str">
        <f t="shared" si="6"/>
        <v>· forced labour</v>
      </c>
      <c r="C365" t="s">
        <v>4503</v>
      </c>
      <c r="D365" s="90" t="s">
        <v>6068</v>
      </c>
      <c r="E365" s="90" t="s">
        <v>6396</v>
      </c>
      <c r="F365" s="90" t="s">
        <v>5888</v>
      </c>
      <c r="G365" s="90" t="s">
        <v>5800</v>
      </c>
    </row>
    <row r="366" spans="1:7" x14ac:dyDescent="0.3">
      <c r="A366" t="s">
        <v>4317</v>
      </c>
      <c r="B366" s="444" t="str">
        <f t="shared" si="6"/>
        <v>· human trafficking</v>
      </c>
      <c r="C366" t="s">
        <v>4504</v>
      </c>
      <c r="D366" s="90" t="s">
        <v>7120</v>
      </c>
      <c r="E366" s="90" t="s">
        <v>6397</v>
      </c>
      <c r="F366" s="90" t="s">
        <v>7481</v>
      </c>
      <c r="G366" s="90" t="s">
        <v>6751</v>
      </c>
    </row>
    <row r="367" spans="1:7" x14ac:dyDescent="0.3">
      <c r="A367" t="s">
        <v>4318</v>
      </c>
      <c r="B367" s="444" t="str">
        <f t="shared" si="6"/>
        <v>· discrimination</v>
      </c>
      <c r="C367" t="s">
        <v>4505</v>
      </c>
      <c r="D367" s="90" t="s">
        <v>5693</v>
      </c>
      <c r="E367" s="90" t="s">
        <v>6398</v>
      </c>
      <c r="F367" s="90" t="s">
        <v>5889</v>
      </c>
      <c r="G367" s="90" t="s">
        <v>5801</v>
      </c>
    </row>
    <row r="368" spans="1:7" x14ac:dyDescent="0.3">
      <c r="A368" t="s">
        <v>4319</v>
      </c>
      <c r="B368" s="444" t="str">
        <f t="shared" si="6"/>
        <v>· accident prevention</v>
      </c>
      <c r="C368" t="s">
        <v>4506</v>
      </c>
      <c r="D368" s="90" t="s">
        <v>7121</v>
      </c>
      <c r="E368" s="90" t="s">
        <v>6399</v>
      </c>
      <c r="F368" s="90" t="s">
        <v>7482</v>
      </c>
      <c r="G368" s="90" t="s">
        <v>5802</v>
      </c>
    </row>
    <row r="369" spans="1:7" x14ac:dyDescent="0.3">
      <c r="A369" t="s">
        <v>4320</v>
      </c>
      <c r="B369" s="444" t="str">
        <f t="shared" si="6"/>
        <v>· other? ( if yes specify)</v>
      </c>
      <c r="C369" t="s">
        <v>4507</v>
      </c>
      <c r="D369" s="90" t="s">
        <v>7122</v>
      </c>
      <c r="E369" s="90" t="s">
        <v>6400</v>
      </c>
      <c r="F369" s="90" t="s">
        <v>7483</v>
      </c>
      <c r="G369" s="90" t="s">
        <v>6752</v>
      </c>
    </row>
    <row r="370" spans="1:7" x14ac:dyDescent="0.3">
      <c r="A370" t="s">
        <v>4321</v>
      </c>
      <c r="B370" s="444" t="str">
        <f t="shared" si="6"/>
        <v>Specify other types of content covered by the code of conduct or human rights policy</v>
      </c>
      <c r="C370" t="s">
        <v>3102</v>
      </c>
      <c r="D370" s="90" t="s">
        <v>7123</v>
      </c>
      <c r="E370" s="90" t="s">
        <v>6401</v>
      </c>
      <c r="F370" s="90" t="s">
        <v>7484</v>
      </c>
      <c r="G370" s="90" t="s">
        <v>6753</v>
      </c>
    </row>
    <row r="371" spans="1:7" s="12" customFormat="1" ht="15" thickBot="1" x14ac:dyDescent="0.35">
      <c r="A371" s="12" t="s">
        <v>4322</v>
      </c>
      <c r="B371" s="478" t="str">
        <f t="shared" si="6"/>
        <v>Does the undertaking have a complaint-handling mechanism for its own workforce?</v>
      </c>
      <c r="C371" s="12" t="s">
        <v>3987</v>
      </c>
      <c r="D371" s="445" t="s">
        <v>7124</v>
      </c>
      <c r="E371" s="445" t="s">
        <v>6402</v>
      </c>
      <c r="F371" s="445" t="s">
        <v>7485</v>
      </c>
      <c r="G371" s="445" t="s">
        <v>6754</v>
      </c>
    </row>
    <row r="372" spans="1:7" x14ac:dyDescent="0.3">
      <c r="A372" t="s">
        <v>4323</v>
      </c>
      <c r="B372" s="444" t="str">
        <f t="shared" si="6"/>
        <v>C7 – Severe negative human rights incidents</v>
      </c>
      <c r="C372" t="s">
        <v>37</v>
      </c>
      <c r="D372" s="90" t="s">
        <v>7125</v>
      </c>
      <c r="E372" s="90" t="s">
        <v>6204</v>
      </c>
      <c r="F372" s="90" t="s">
        <v>7486</v>
      </c>
      <c r="G372" s="90" t="s">
        <v>6755</v>
      </c>
    </row>
    <row r="373" spans="1:7" x14ac:dyDescent="0.3">
      <c r="A373" t="s">
        <v>4324</v>
      </c>
      <c r="B373" s="444" t="str">
        <f t="shared" si="6"/>
        <v>Does the undertaking have confirmed incidents in its own workforce?</v>
      </c>
      <c r="C373" t="s">
        <v>3017</v>
      </c>
      <c r="D373" s="90" t="s">
        <v>7126</v>
      </c>
      <c r="E373" s="90" t="s">
        <v>6403</v>
      </c>
      <c r="F373" s="90" t="s">
        <v>7487</v>
      </c>
      <c r="G373" s="90" t="s">
        <v>6756</v>
      </c>
    </row>
    <row r="374" spans="1:7" x14ac:dyDescent="0.3">
      <c r="A374" t="s">
        <v>4325</v>
      </c>
      <c r="B374" s="444" t="str">
        <f t="shared" si="6"/>
        <v>If yes are incidents related to:</v>
      </c>
      <c r="C374" t="s">
        <v>4051</v>
      </c>
      <c r="D374" s="90" t="s">
        <v>7127</v>
      </c>
      <c r="E374" s="90" t="s">
        <v>6404</v>
      </c>
      <c r="F374" s="90" t="s">
        <v>7488</v>
      </c>
      <c r="G374" s="90" t="s">
        <v>6757</v>
      </c>
    </row>
    <row r="375" spans="1:7" x14ac:dyDescent="0.3">
      <c r="A375" t="s">
        <v>4326</v>
      </c>
      <c r="B375" s="444" t="str">
        <f t="shared" si="6"/>
        <v>Specify other human rights related to the confirmed incidents</v>
      </c>
      <c r="C375" t="s">
        <v>3541</v>
      </c>
      <c r="D375" s="90" t="s">
        <v>7128</v>
      </c>
      <c r="E375" s="90" t="s">
        <v>6405</v>
      </c>
      <c r="F375" s="90" t="s">
        <v>7489</v>
      </c>
      <c r="G375" s="90" t="s">
        <v>6758</v>
      </c>
    </row>
    <row r="376" spans="1:7" x14ac:dyDescent="0.3">
      <c r="A376" t="s">
        <v>4327</v>
      </c>
      <c r="B376" s="444" t="str">
        <f t="shared" si="6"/>
        <v>Description of actions taken to address the confirmed incidents</v>
      </c>
      <c r="C376" t="s">
        <v>4003</v>
      </c>
      <c r="D376" s="90" t="s">
        <v>7129</v>
      </c>
      <c r="E376" s="90" t="s">
        <v>6406</v>
      </c>
      <c r="F376" s="90" t="s">
        <v>7490</v>
      </c>
      <c r="G376" s="90" t="s">
        <v>6759</v>
      </c>
    </row>
    <row r="377" spans="1:7" x14ac:dyDescent="0.3">
      <c r="A377" t="s">
        <v>4328</v>
      </c>
      <c r="B377" s="444" t="str">
        <f t="shared" si="6"/>
        <v>Is the undertaking aware of any confirmed incidents involving workers in the value chain affected communities consumers and end-users?</v>
      </c>
      <c r="C377" t="s">
        <v>4052</v>
      </c>
      <c r="D377" s="90" t="s">
        <v>7130</v>
      </c>
      <c r="E377" s="90" t="s">
        <v>6407</v>
      </c>
      <c r="F377" s="90" t="s">
        <v>7491</v>
      </c>
      <c r="G377" s="90" t="s">
        <v>6760</v>
      </c>
    </row>
    <row r="378" spans="1:7" s="12" customFormat="1" ht="15" thickBot="1" x14ac:dyDescent="0.35">
      <c r="A378" s="12" t="s">
        <v>4329</v>
      </c>
      <c r="B378" s="478" t="str">
        <f t="shared" si="6"/>
        <v>Specification of any confirmed incident involving workers in the value chain affected communities consumers and end-users</v>
      </c>
      <c r="C378" s="12" t="s">
        <v>4053</v>
      </c>
      <c r="D378" s="445" t="s">
        <v>7131</v>
      </c>
      <c r="E378" s="445" t="s">
        <v>6408</v>
      </c>
      <c r="F378" s="445" t="s">
        <v>7492</v>
      </c>
      <c r="G378" s="445" t="s">
        <v>6761</v>
      </c>
    </row>
    <row r="379" spans="1:7" s="120" customFormat="1" ht="15" thickBot="1" x14ac:dyDescent="0.35">
      <c r="A379" s="120" t="s">
        <v>4330</v>
      </c>
      <c r="B379" s="480" t="str">
        <f t="shared" si="6"/>
        <v>Disclosure of any other social and or entity specific social disclosures</v>
      </c>
      <c r="C379" s="120" t="s">
        <v>4059</v>
      </c>
      <c r="D379" s="481" t="s">
        <v>7132</v>
      </c>
      <c r="E379" s="481" t="s">
        <v>6409</v>
      </c>
      <c r="F379" s="481" t="s">
        <v>7493</v>
      </c>
      <c r="G379" s="481" t="s">
        <v>6762</v>
      </c>
    </row>
    <row r="380" spans="1:7" x14ac:dyDescent="0.3">
      <c r="A380" t="s">
        <v>4331</v>
      </c>
      <c r="B380" t="str">
        <f t="shared" si="6"/>
        <v>B11 – Convictions and fines for corruption and bribery</v>
      </c>
      <c r="C380" t="s">
        <v>38</v>
      </c>
      <c r="D380" s="90" t="s">
        <v>7133</v>
      </c>
      <c r="E380" s="90" t="s">
        <v>6195</v>
      </c>
      <c r="F380" s="90" t="s">
        <v>5890</v>
      </c>
      <c r="G380" s="90" t="s">
        <v>6763</v>
      </c>
    </row>
    <row r="381" spans="1:7" x14ac:dyDescent="0.3">
      <c r="A381" t="s">
        <v>4332</v>
      </c>
      <c r="B381" t="str">
        <f t="shared" si="6"/>
        <v>Has the undertaking incurred in convictions and fines in the reporting period?</v>
      </c>
      <c r="C381" t="s">
        <v>3089</v>
      </c>
      <c r="D381" s="90" t="s">
        <v>7134</v>
      </c>
      <c r="E381" s="90" t="s">
        <v>6410</v>
      </c>
      <c r="F381" s="90" t="s">
        <v>7494</v>
      </c>
      <c r="G381" s="90" t="s">
        <v>6764</v>
      </c>
    </row>
    <row r="382" spans="1:7" x14ac:dyDescent="0.3">
      <c r="A382" t="s">
        <v>4333</v>
      </c>
      <c r="B382" t="str">
        <f t="shared" si="6"/>
        <v>Total number of convictions  for the violation of anti-corruption and anti-bribery laws</v>
      </c>
      <c r="C382" t="s">
        <v>3109</v>
      </c>
      <c r="D382" s="90" t="s">
        <v>7135</v>
      </c>
      <c r="E382" s="90" t="s">
        <v>6411</v>
      </c>
      <c r="F382" s="90" t="s">
        <v>6101</v>
      </c>
      <c r="G382" s="90" t="s">
        <v>6765</v>
      </c>
    </row>
    <row r="383" spans="1:7" s="12" customFormat="1" ht="15" thickBot="1" x14ac:dyDescent="0.35">
      <c r="A383" s="12" t="s">
        <v>4334</v>
      </c>
      <c r="B383" s="12" t="str">
        <f t="shared" si="6"/>
        <v>Total amount of fines for the violation of anti-corruption and anti-bribery laws</v>
      </c>
      <c r="C383" s="12" t="s">
        <v>4510</v>
      </c>
      <c r="D383" s="445" t="s">
        <v>7136</v>
      </c>
      <c r="E383" s="445" t="s">
        <v>6412</v>
      </c>
      <c r="F383" s="445" t="s">
        <v>7495</v>
      </c>
      <c r="G383" s="445" t="s">
        <v>6766</v>
      </c>
    </row>
    <row r="384" spans="1:7" x14ac:dyDescent="0.3">
      <c r="A384" t="s">
        <v>4335</v>
      </c>
      <c r="B384" t="str">
        <f t="shared" si="6"/>
        <v>C8 – Revenues from certain activities</v>
      </c>
      <c r="C384" t="s">
        <v>4618</v>
      </c>
      <c r="D384" s="90" t="s">
        <v>7137</v>
      </c>
      <c r="E384" s="90" t="s">
        <v>5973</v>
      </c>
      <c r="F384" s="90" t="s">
        <v>7496</v>
      </c>
      <c r="G384" s="90" t="s">
        <v>6767</v>
      </c>
    </row>
    <row r="385" spans="1:7" x14ac:dyDescent="0.3">
      <c r="A385" t="s">
        <v>4336</v>
      </c>
      <c r="B385" t="str">
        <f t="shared" si="6"/>
        <v>Is the undertaking deriving revenues from one of the activities listed below?</v>
      </c>
      <c r="C385" t="s">
        <v>3090</v>
      </c>
      <c r="D385" s="90" t="s">
        <v>7138</v>
      </c>
      <c r="E385" s="90" t="s">
        <v>6413</v>
      </c>
      <c r="F385" s="90" t="s">
        <v>7497</v>
      </c>
      <c r="G385" s="90" t="s">
        <v>5803</v>
      </c>
    </row>
    <row r="386" spans="1:7" x14ac:dyDescent="0.3">
      <c r="A386" t="s">
        <v>4337</v>
      </c>
      <c r="B386" t="str">
        <f t="shared" si="6"/>
        <v>Monetary amount in</v>
      </c>
      <c r="C386" t="s">
        <v>3988</v>
      </c>
      <c r="D386" s="90" t="s">
        <v>7139</v>
      </c>
      <c r="E386" s="90" t="s">
        <v>5974</v>
      </c>
      <c r="F386" s="90" t="s">
        <v>5891</v>
      </c>
      <c r="G386" s="90" t="s">
        <v>5804</v>
      </c>
    </row>
    <row r="387" spans="1:7" x14ac:dyDescent="0.3">
      <c r="A387" t="s">
        <v>4338</v>
      </c>
      <c r="B387" t="str">
        <f t="shared" si="6"/>
        <v>Revenue derived from controversial weapons (anti-personnel mines cluster munitions chemical weapons and biological weapons)</v>
      </c>
      <c r="C387" t="s">
        <v>4054</v>
      </c>
      <c r="D387" s="90" t="s">
        <v>7140</v>
      </c>
      <c r="E387" s="90" t="s">
        <v>6414</v>
      </c>
      <c r="F387" s="90" t="s">
        <v>7498</v>
      </c>
      <c r="G387" s="90" t="s">
        <v>6541</v>
      </c>
    </row>
    <row r="388" spans="1:7" x14ac:dyDescent="0.3">
      <c r="A388" t="s">
        <v>4339</v>
      </c>
      <c r="B388" t="str">
        <f t="shared" ref="B388:B451" si="7">INDEX(C388:G388,MATCH(template_selected_display_language,$C$3:$G$3,0))</f>
        <v>Revenue derived from cultivation and production of tobacco</v>
      </c>
      <c r="C388" t="s">
        <v>3043</v>
      </c>
      <c r="D388" s="90" t="s">
        <v>7141</v>
      </c>
      <c r="E388" s="90" t="s">
        <v>6415</v>
      </c>
      <c r="F388" s="90" t="s">
        <v>7499</v>
      </c>
      <c r="G388" s="90" t="s">
        <v>6768</v>
      </c>
    </row>
    <row r="389" spans="1:7" x14ac:dyDescent="0.3">
      <c r="A389" t="s">
        <v>4340</v>
      </c>
      <c r="B389" t="str">
        <f t="shared" si="7"/>
        <v>Revenue derived from coal</v>
      </c>
      <c r="C389" t="s">
        <v>3042</v>
      </c>
      <c r="D389" s="90" t="s">
        <v>6044</v>
      </c>
      <c r="E389" s="90" t="s">
        <v>6416</v>
      </c>
      <c r="F389" s="90" t="s">
        <v>7500</v>
      </c>
      <c r="G389" s="90" t="s">
        <v>5805</v>
      </c>
    </row>
    <row r="390" spans="1:7" x14ac:dyDescent="0.3">
      <c r="A390" t="s">
        <v>4341</v>
      </c>
      <c r="B390" t="str">
        <f t="shared" si="7"/>
        <v>Revenue derived from oil</v>
      </c>
      <c r="C390" t="s">
        <v>3041</v>
      </c>
      <c r="D390" s="90" t="s">
        <v>7142</v>
      </c>
      <c r="E390" s="90" t="s">
        <v>6417</v>
      </c>
      <c r="F390" s="90" t="s">
        <v>7501</v>
      </c>
      <c r="G390" s="90" t="s">
        <v>5806</v>
      </c>
    </row>
    <row r="391" spans="1:7" x14ac:dyDescent="0.3">
      <c r="A391" t="s">
        <v>4342</v>
      </c>
      <c r="B391" t="str">
        <f t="shared" si="7"/>
        <v>Revenue derived from gas</v>
      </c>
      <c r="C391" t="s">
        <v>3040</v>
      </c>
      <c r="D391" s="90" t="s">
        <v>7143</v>
      </c>
      <c r="E391" s="90" t="s">
        <v>6418</v>
      </c>
      <c r="F391" s="90" t="s">
        <v>7502</v>
      </c>
      <c r="G391" s="90" t="s">
        <v>6107</v>
      </c>
    </row>
    <row r="392" spans="1:7" x14ac:dyDescent="0.3">
      <c r="A392" t="s">
        <v>4343</v>
      </c>
      <c r="B392" t="str">
        <f t="shared" si="7"/>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4635</v>
      </c>
      <c r="D392" s="90" t="s">
        <v>7144</v>
      </c>
      <c r="E392" s="90" t="s">
        <v>6419</v>
      </c>
      <c r="F392" s="90" t="s">
        <v>7503</v>
      </c>
      <c r="G392" s="90" t="s">
        <v>6542</v>
      </c>
    </row>
    <row r="393" spans="1:7" s="12" customFormat="1" ht="15" thickBot="1" x14ac:dyDescent="0.35">
      <c r="A393" s="12" t="s">
        <v>4344</v>
      </c>
      <c r="B393" s="12" t="str">
        <f t="shared" si="7"/>
        <v>Revenue derived from chemicals production</v>
      </c>
      <c r="C393" s="12" t="s">
        <v>3039</v>
      </c>
      <c r="D393" s="445" t="s">
        <v>7145</v>
      </c>
      <c r="E393" s="445" t="s">
        <v>6420</v>
      </c>
      <c r="F393" s="445" t="s">
        <v>7504</v>
      </c>
      <c r="G393" s="445" t="s">
        <v>5807</v>
      </c>
    </row>
    <row r="394" spans="1:7" x14ac:dyDescent="0.3">
      <c r="A394" t="s">
        <v>4345</v>
      </c>
      <c r="B394" t="str">
        <f t="shared" si="7"/>
        <v>C8 – Exclusion from EU reference benchmarks</v>
      </c>
      <c r="C394" t="s">
        <v>4028</v>
      </c>
      <c r="D394" s="90" t="s">
        <v>7146</v>
      </c>
      <c r="E394" s="90" t="s">
        <v>6421</v>
      </c>
      <c r="F394" s="90" t="s">
        <v>7505</v>
      </c>
      <c r="G394" s="90" t="s">
        <v>5808</v>
      </c>
    </row>
    <row r="395" spans="1:7" x14ac:dyDescent="0.3">
      <c r="A395" t="s">
        <v>4346</v>
      </c>
      <c r="B395" t="str">
        <f t="shared" si="7"/>
        <v>Undertakings are excluded from the EU Paris-aligned Benchmarks if they  derive:</v>
      </c>
      <c r="C395" t="s">
        <v>2901</v>
      </c>
      <c r="D395" s="90" t="s">
        <v>7147</v>
      </c>
      <c r="E395" s="90" t="s">
        <v>6422</v>
      </c>
      <c r="F395" s="90" t="s">
        <v>7506</v>
      </c>
      <c r="G395" s="90" t="s">
        <v>6836</v>
      </c>
    </row>
    <row r="396" spans="1:7" x14ac:dyDescent="0.3">
      <c r="A396" t="s">
        <v>4347</v>
      </c>
      <c r="B396" t="str">
        <f t="shared" si="7"/>
        <v>1% or more of their revenues from exploration mining extraction distribution or refining of hard coal and lignite</v>
      </c>
      <c r="C396" t="s">
        <v>4004</v>
      </c>
      <c r="D396" s="90" t="s">
        <v>7148</v>
      </c>
      <c r="E396" s="90" t="s">
        <v>6423</v>
      </c>
      <c r="F396" s="90" t="s">
        <v>7507</v>
      </c>
      <c r="G396" s="90" t="s">
        <v>6523</v>
      </c>
    </row>
    <row r="397" spans="1:7" x14ac:dyDescent="0.3">
      <c r="A397" t="s">
        <v>4348</v>
      </c>
      <c r="B397" t="str">
        <f t="shared" si="7"/>
        <v>10% or more of their revenues from the exploration extraction distribution or refining of oil fuels</v>
      </c>
      <c r="C397" t="s">
        <v>4005</v>
      </c>
      <c r="D397" s="90" t="s">
        <v>7149</v>
      </c>
      <c r="E397" s="90" t="s">
        <v>6424</v>
      </c>
      <c r="F397" s="90" t="s">
        <v>7508</v>
      </c>
      <c r="G397" s="90" t="s">
        <v>6769</v>
      </c>
    </row>
    <row r="398" spans="1:7" x14ac:dyDescent="0.3">
      <c r="A398" t="s">
        <v>4349</v>
      </c>
      <c r="B398" t="str">
        <f t="shared" si="7"/>
        <v>50% or more of their revenues from the exploration extraction manufacturing or distribution of gaseous fuels</v>
      </c>
      <c r="C398" t="s">
        <v>4006</v>
      </c>
      <c r="D398" s="90" t="s">
        <v>7150</v>
      </c>
      <c r="E398" s="90" t="s">
        <v>6425</v>
      </c>
      <c r="F398" s="90" t="s">
        <v>7509</v>
      </c>
      <c r="G398" s="90" t="s">
        <v>6770</v>
      </c>
    </row>
    <row r="399" spans="1:7" x14ac:dyDescent="0.3">
      <c r="A399" t="s">
        <v>4350</v>
      </c>
      <c r="B399" t="str">
        <f t="shared" si="7"/>
        <v>50% or more of their revenues from electricity generation with a GHG intensity of more than 100g CO2 e kWh</v>
      </c>
      <c r="C399" t="s">
        <v>4060</v>
      </c>
      <c r="D399" s="90" t="s">
        <v>7151</v>
      </c>
      <c r="E399" s="90" t="s">
        <v>6426</v>
      </c>
      <c r="F399" s="90" t="s">
        <v>7510</v>
      </c>
      <c r="G399" s="90" t="s">
        <v>6771</v>
      </c>
    </row>
    <row r="400" spans="1:7" x14ac:dyDescent="0.3">
      <c r="A400" t="s">
        <v>4351</v>
      </c>
      <c r="B400" t="str">
        <f t="shared" si="7"/>
        <v>None of the above</v>
      </c>
      <c r="C400" t="s">
        <v>2924</v>
      </c>
      <c r="D400" s="90" t="s">
        <v>7152</v>
      </c>
      <c r="E400" s="90" t="s">
        <v>6427</v>
      </c>
      <c r="F400" s="90" t="s">
        <v>7511</v>
      </c>
      <c r="G400" s="90" t="s">
        <v>5809</v>
      </c>
    </row>
    <row r="401" spans="1:7" s="12" customFormat="1" ht="15" thickBot="1" x14ac:dyDescent="0.35">
      <c r="A401" s="12" t="s">
        <v>4352</v>
      </c>
      <c r="B401" s="12" t="str">
        <f t="shared" si="7"/>
        <v>Undertakings are excluded from any EU reference benchmarks that are aligned with the Paris Agreement</v>
      </c>
      <c r="C401" s="12" t="s">
        <v>3989</v>
      </c>
      <c r="D401" s="445" t="s">
        <v>7153</v>
      </c>
      <c r="E401" s="445" t="s">
        <v>6428</v>
      </c>
      <c r="F401" s="445" t="s">
        <v>7512</v>
      </c>
      <c r="G401" s="445" t="s">
        <v>6772</v>
      </c>
    </row>
    <row r="402" spans="1:7" x14ac:dyDescent="0.3">
      <c r="A402" t="s">
        <v>4353</v>
      </c>
      <c r="B402" t="str">
        <f t="shared" si="7"/>
        <v>C9 – Gender diversity ratio in the governance body</v>
      </c>
      <c r="C402" t="s">
        <v>39</v>
      </c>
      <c r="D402" s="90" t="s">
        <v>6045</v>
      </c>
      <c r="E402" s="90" t="s">
        <v>6429</v>
      </c>
      <c r="F402" s="90" t="s">
        <v>7513</v>
      </c>
      <c r="G402" s="90" t="s">
        <v>6604</v>
      </c>
    </row>
    <row r="403" spans="1:7" x14ac:dyDescent="0.3">
      <c r="A403" t="s">
        <v>4354</v>
      </c>
      <c r="B403" t="str">
        <f t="shared" si="7"/>
        <v>Does the undertaking have a governance body in place?</v>
      </c>
      <c r="C403" t="s">
        <v>3091</v>
      </c>
      <c r="D403" s="90" t="s">
        <v>7154</v>
      </c>
      <c r="E403" s="90" t="s">
        <v>6430</v>
      </c>
      <c r="F403" s="90" t="s">
        <v>7514</v>
      </c>
      <c r="G403" s="90" t="s">
        <v>6773</v>
      </c>
    </row>
    <row r="404" spans="1:7" x14ac:dyDescent="0.3">
      <c r="A404" t="s">
        <v>4355</v>
      </c>
      <c r="B404" t="str">
        <f t="shared" si="7"/>
        <v>Number of female board members at the end of the reporting period</v>
      </c>
      <c r="C404" t="s">
        <v>3546</v>
      </c>
      <c r="D404" s="90" t="s">
        <v>6046</v>
      </c>
      <c r="E404" s="90" t="s">
        <v>6431</v>
      </c>
      <c r="F404" s="90" t="s">
        <v>7515</v>
      </c>
      <c r="G404" s="90" t="s">
        <v>6774</v>
      </c>
    </row>
    <row r="405" spans="1:7" x14ac:dyDescent="0.3">
      <c r="A405" t="s">
        <v>4356</v>
      </c>
      <c r="B405" t="str">
        <f t="shared" si="7"/>
        <v>Number of male board members at the end of the reporting period</v>
      </c>
      <c r="C405" t="s">
        <v>3547</v>
      </c>
      <c r="D405" s="90" t="s">
        <v>6047</v>
      </c>
      <c r="E405" s="90" t="s">
        <v>6432</v>
      </c>
      <c r="F405" s="90" t="s">
        <v>7516</v>
      </c>
      <c r="G405" s="90" t="s">
        <v>6775</v>
      </c>
    </row>
    <row r="406" spans="1:7" s="12" customFormat="1" ht="15" thickBot="1" x14ac:dyDescent="0.35">
      <c r="A406" s="12" t="s">
        <v>4357</v>
      </c>
      <c r="B406" s="12" t="str">
        <f t="shared" si="7"/>
        <v>Gender diversity ratio in governance body</v>
      </c>
      <c r="C406" s="12" t="s">
        <v>3990</v>
      </c>
      <c r="D406" s="445" t="s">
        <v>6048</v>
      </c>
      <c r="E406" s="445" t="s">
        <v>6433</v>
      </c>
      <c r="F406" s="445" t="s">
        <v>5892</v>
      </c>
      <c r="G406" s="445" t="s">
        <v>5810</v>
      </c>
    </row>
    <row r="407" spans="1:7" s="120" customFormat="1" ht="15" thickBot="1" x14ac:dyDescent="0.35">
      <c r="A407" s="120" t="s">
        <v>4358</v>
      </c>
      <c r="B407" s="120" t="str">
        <f t="shared" si="7"/>
        <v>Disclosure of any other governance and or entity specific governance disclosures</v>
      </c>
      <c r="C407" s="120" t="s">
        <v>4061</v>
      </c>
      <c r="D407" s="481" t="s">
        <v>7155</v>
      </c>
      <c r="E407" s="481" t="s">
        <v>6434</v>
      </c>
      <c r="F407" s="481" t="s">
        <v>7517</v>
      </c>
      <c r="G407" s="481" t="s">
        <v>6776</v>
      </c>
    </row>
    <row r="408" spans="1:7" x14ac:dyDescent="0.3">
      <c r="A408" t="s">
        <v>4542</v>
      </c>
      <c r="B408" t="str">
        <f t="shared" si="7"/>
        <v>FUEL CONVERTER</v>
      </c>
      <c r="C408" t="s">
        <v>2925</v>
      </c>
      <c r="D408" s="90" t="s">
        <v>7156</v>
      </c>
      <c r="E408" s="90" t="s">
        <v>5975</v>
      </c>
      <c r="F408" s="90" t="s">
        <v>5893</v>
      </c>
      <c r="G408" s="90" t="s">
        <v>5811</v>
      </c>
    </row>
    <row r="409" spans="1:7" x14ac:dyDescent="0.3">
      <c r="A409" t="s">
        <v>4543</v>
      </c>
      <c r="B409" t="str">
        <f t="shared" si="7"/>
        <v>DISCLAIMER:</v>
      </c>
      <c r="C409" t="s">
        <v>4533</v>
      </c>
      <c r="D409" s="90" t="s">
        <v>7157</v>
      </c>
      <c r="E409" s="90" t="s">
        <v>6435</v>
      </c>
      <c r="F409" s="90" t="s">
        <v>7518</v>
      </c>
      <c r="G409" s="90" t="s">
        <v>6777</v>
      </c>
    </row>
    <row r="410" spans="1:7" x14ac:dyDescent="0.3">
      <c r="A410" t="s">
        <v>4544</v>
      </c>
      <c r="B410" t="str">
        <f t="shared" si="7"/>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4534</v>
      </c>
      <c r="D410" s="90" t="s">
        <v>7158</v>
      </c>
      <c r="E410" s="90" t="s">
        <v>6436</v>
      </c>
      <c r="F410" s="90" t="s">
        <v>7519</v>
      </c>
      <c r="G410" s="90" t="s">
        <v>6543</v>
      </c>
    </row>
    <row r="411" spans="1:7" x14ac:dyDescent="0.3">
      <c r="A411" t="s">
        <v>4545</v>
      </c>
      <c r="B411" t="str">
        <f t="shared" si="7"/>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4535</v>
      </c>
      <c r="D411" s="90" t="s">
        <v>7159</v>
      </c>
      <c r="E411" s="90" t="s">
        <v>6437</v>
      </c>
      <c r="F411" s="90" t="s">
        <v>7520</v>
      </c>
      <c r="G411" s="90" t="s">
        <v>6778</v>
      </c>
    </row>
    <row r="412" spans="1:7" x14ac:dyDescent="0.3">
      <c r="A412" t="s">
        <v>4574</v>
      </c>
      <c r="B412" t="str">
        <f t="shared" si="7"/>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4536</v>
      </c>
      <c r="D412" s="90" t="s">
        <v>7160</v>
      </c>
      <c r="E412" s="90" t="s">
        <v>6438</v>
      </c>
      <c r="F412" s="90" t="s">
        <v>7521</v>
      </c>
      <c r="G412" s="90" t="s">
        <v>6544</v>
      </c>
    </row>
    <row r="413" spans="1:7" x14ac:dyDescent="0.3">
      <c r="A413" t="s">
        <v>4546</v>
      </c>
      <c r="B413" t="str">
        <f t="shared" si="7"/>
        <v>Indicates that the cell should be filled either by selecting a value from the dropdown (e.g. Type of fuel or Unit of Measurement) or by entering an amount.</v>
      </c>
      <c r="C413" t="s">
        <v>3776</v>
      </c>
      <c r="D413" s="90" t="s">
        <v>7161</v>
      </c>
      <c r="E413" s="90" t="s">
        <v>6439</v>
      </c>
      <c r="F413" s="90" t="s">
        <v>7522</v>
      </c>
      <c r="G413" s="90" t="s">
        <v>6779</v>
      </c>
    </row>
    <row r="414" spans="1:7" x14ac:dyDescent="0.3">
      <c r="A414" t="s">
        <v>4547</v>
      </c>
      <c r="B414" t="str">
        <f t="shared" si="7"/>
        <v>Fuel type</v>
      </c>
      <c r="C414" t="s">
        <v>4065</v>
      </c>
      <c r="D414" s="90" t="s">
        <v>7162</v>
      </c>
      <c r="E414" s="90" t="s">
        <v>5976</v>
      </c>
      <c r="F414" s="90" t="s">
        <v>6102</v>
      </c>
      <c r="G414" s="90" t="s">
        <v>5812</v>
      </c>
    </row>
    <row r="415" spans="1:7" x14ac:dyDescent="0.3">
      <c r="A415" t="s">
        <v>4548</v>
      </c>
      <c r="B415" t="str">
        <f t="shared" si="7"/>
        <v>Amount</v>
      </c>
      <c r="C415" t="s">
        <v>3024</v>
      </c>
      <c r="D415" s="90" t="s">
        <v>7163</v>
      </c>
      <c r="E415" s="90" t="s">
        <v>6440</v>
      </c>
      <c r="F415" s="90" t="s">
        <v>5894</v>
      </c>
      <c r="G415" s="90" t="s">
        <v>6780</v>
      </c>
    </row>
    <row r="416" spans="1:7" x14ac:dyDescent="0.3">
      <c r="A416" t="s">
        <v>4549</v>
      </c>
      <c r="B416" t="str">
        <f t="shared" si="7"/>
        <v>State of matter</v>
      </c>
      <c r="C416" t="s">
        <v>3019</v>
      </c>
      <c r="D416" s="90" t="s">
        <v>7164</v>
      </c>
      <c r="E416" s="90" t="s">
        <v>5977</v>
      </c>
      <c r="F416" s="90" t="s">
        <v>5895</v>
      </c>
      <c r="G416" s="90" t="s">
        <v>6781</v>
      </c>
    </row>
    <row r="417" spans="1:7" x14ac:dyDescent="0.3">
      <c r="A417" t="s">
        <v>4550</v>
      </c>
      <c r="B417" t="str">
        <f t="shared" si="7"/>
        <v>Typical renewable state</v>
      </c>
      <c r="C417" t="s">
        <v>4066</v>
      </c>
      <c r="D417" s="90" t="s">
        <v>7165</v>
      </c>
      <c r="E417" s="90" t="s">
        <v>5978</v>
      </c>
      <c r="F417" s="90" t="s">
        <v>5896</v>
      </c>
      <c r="G417" s="90" t="s">
        <v>5813</v>
      </c>
    </row>
    <row r="418" spans="1:7" x14ac:dyDescent="0.3">
      <c r="A418" t="s">
        <v>4551</v>
      </c>
      <c r="B418" t="str">
        <f t="shared" si="7"/>
        <v>Calculated Energy in MWh</v>
      </c>
      <c r="C418" t="s">
        <v>4067</v>
      </c>
      <c r="D418" s="90" t="s">
        <v>7166</v>
      </c>
      <c r="E418" s="90" t="s">
        <v>6084</v>
      </c>
      <c r="F418" s="90" t="s">
        <v>7523</v>
      </c>
      <c r="G418" s="90" t="s">
        <v>5814</v>
      </c>
    </row>
    <row r="419" spans="1:7" x14ac:dyDescent="0.3">
      <c r="A419" t="s">
        <v>4552</v>
      </c>
      <c r="B419" t="str">
        <f t="shared" si="7"/>
        <v>Usage of Fuel Converter:</v>
      </c>
      <c r="C419" t="s">
        <v>3674</v>
      </c>
      <c r="D419" s="90" t="s">
        <v>7167</v>
      </c>
      <c r="E419" s="90" t="s">
        <v>6441</v>
      </c>
      <c r="F419" s="90" t="s">
        <v>7524</v>
      </c>
      <c r="G419" s="90" t="s">
        <v>6782</v>
      </c>
    </row>
    <row r="420" spans="1:7" x14ac:dyDescent="0.3">
      <c r="A420" t="s">
        <v>4575</v>
      </c>
      <c r="B420" t="str">
        <f t="shared" si="7"/>
        <v>1. In cell A9 select the Fuel used, searching for it or scrolling down the list displayed clicking the cell</v>
      </c>
      <c r="C420" t="s">
        <v>4068</v>
      </c>
      <c r="D420" s="90" t="s">
        <v>7168</v>
      </c>
      <c r="E420" s="90" t="s">
        <v>6442</v>
      </c>
      <c r="F420" s="90" t="s">
        <v>7573</v>
      </c>
      <c r="G420" s="90" t="s">
        <v>6783</v>
      </c>
    </row>
    <row r="421" spans="1:7" x14ac:dyDescent="0.3">
      <c r="A421" t="s">
        <v>4553</v>
      </c>
      <c r="B421" t="str">
        <f t="shared" si="7"/>
        <v>2. In cell B9 select the Unit of measurement used</v>
      </c>
      <c r="C421" t="s">
        <v>4069</v>
      </c>
      <c r="D421" s="90" t="s">
        <v>6049</v>
      </c>
      <c r="E421" s="90" t="s">
        <v>6443</v>
      </c>
      <c r="F421" s="90" t="s">
        <v>7572</v>
      </c>
      <c r="G421" s="90" t="s">
        <v>6827</v>
      </c>
    </row>
    <row r="422" spans="1:7" x14ac:dyDescent="0.3">
      <c r="A422" t="s">
        <v>4554</v>
      </c>
      <c r="B422" t="str">
        <f t="shared" si="7"/>
        <v>3. In cell C9 select the Amount of fuel used</v>
      </c>
      <c r="C422" t="s">
        <v>4070</v>
      </c>
      <c r="D422" s="90" t="s">
        <v>7169</v>
      </c>
      <c r="E422" s="90" t="s">
        <v>5979</v>
      </c>
      <c r="F422" s="90" t="s">
        <v>7525</v>
      </c>
      <c r="G422" s="90" t="s">
        <v>6828</v>
      </c>
    </row>
    <row r="423" spans="1:7" x14ac:dyDescent="0.3">
      <c r="A423" t="s">
        <v>4555</v>
      </c>
      <c r="B423" t="str">
        <f t="shared" si="7"/>
        <v>4. In cell D9 it is displayed the State of matter for the Fuel selected</v>
      </c>
      <c r="C423" t="s">
        <v>4072</v>
      </c>
      <c r="D423" s="90" t="s">
        <v>7170</v>
      </c>
      <c r="E423" s="90" t="s">
        <v>5980</v>
      </c>
      <c r="F423" s="90" t="s">
        <v>7526</v>
      </c>
      <c r="G423" s="90" t="s">
        <v>6829</v>
      </c>
    </row>
    <row r="424" spans="1:7" x14ac:dyDescent="0.3">
      <c r="A424" t="s">
        <v>4556</v>
      </c>
      <c r="B424" t="str">
        <f t="shared" si="7"/>
        <v>5. In cell E9 it is displayed the Typical renewability state for the Fuel selected</v>
      </c>
      <c r="C424" t="s">
        <v>4071</v>
      </c>
      <c r="D424" s="90" t="s">
        <v>7171</v>
      </c>
      <c r="E424" s="90" t="s">
        <v>6444</v>
      </c>
      <c r="F424" s="90" t="s">
        <v>7574</v>
      </c>
      <c r="G424" s="90" t="s">
        <v>6830</v>
      </c>
    </row>
    <row r="425" spans="1:7" x14ac:dyDescent="0.3">
      <c r="A425" t="s">
        <v>4557</v>
      </c>
      <c r="B425" t="str">
        <f t="shared" si="7"/>
        <v>6. In cell F9 is displayed the Energy produced in Mega Watt hours by the Amount of Fuel specified</v>
      </c>
      <c r="C425" t="s">
        <v>4073</v>
      </c>
      <c r="D425" s="90" t="s">
        <v>7172</v>
      </c>
      <c r="E425" s="90" t="s">
        <v>6445</v>
      </c>
      <c r="F425" s="90" t="s">
        <v>7575</v>
      </c>
      <c r="G425" s="90" t="s">
        <v>6831</v>
      </c>
    </row>
    <row r="426" spans="1:7" x14ac:dyDescent="0.3">
      <c r="A426" t="s">
        <v>4558</v>
      </c>
      <c r="B426" t="str">
        <f t="shared" si="7"/>
        <v>7. In cell A28 is displayed the Total Energy in Mega Watt hours</v>
      </c>
      <c r="C426" t="s">
        <v>4537</v>
      </c>
      <c r="D426" s="90" t="s">
        <v>7173</v>
      </c>
      <c r="E426" s="90" t="s">
        <v>6085</v>
      </c>
      <c r="F426" s="90" t="s">
        <v>7576</v>
      </c>
      <c r="G426" s="90" t="s">
        <v>6832</v>
      </c>
    </row>
    <row r="427" spans="1:7" x14ac:dyDescent="0.3">
      <c r="A427" t="s">
        <v>4559</v>
      </c>
      <c r="B427" t="str">
        <f t="shared" si="7"/>
        <v>8. In cell A31 is displayed the Total Renewable Energy in Mega Watt hours</v>
      </c>
      <c r="C427" t="s">
        <v>4538</v>
      </c>
      <c r="D427" s="90" t="s">
        <v>7174</v>
      </c>
      <c r="E427" s="90" t="s">
        <v>6086</v>
      </c>
      <c r="F427" s="90" t="s">
        <v>7577</v>
      </c>
      <c r="G427" s="90" t="s">
        <v>6833</v>
      </c>
    </row>
    <row r="428" spans="1:7" x14ac:dyDescent="0.3">
      <c r="A428" t="s">
        <v>4576</v>
      </c>
      <c r="B428" t="str">
        <f t="shared" si="7"/>
        <v>9. In cell B31 is displayed the Total Non-renewable Energy in Mega Watt hours</v>
      </c>
      <c r="C428" t="s">
        <v>4539</v>
      </c>
      <c r="D428" s="90" t="s">
        <v>7175</v>
      </c>
      <c r="E428" s="90" t="s">
        <v>5981</v>
      </c>
      <c r="F428" s="90" t="s">
        <v>7578</v>
      </c>
      <c r="G428" s="90" t="s">
        <v>6834</v>
      </c>
    </row>
    <row r="429" spans="1:7" x14ac:dyDescent="0.3">
      <c r="A429" t="s">
        <v>4560</v>
      </c>
      <c r="B429" t="str">
        <f t="shared" si="7"/>
        <v>10. Further notes can be found below</v>
      </c>
      <c r="C429" t="s">
        <v>4540</v>
      </c>
      <c r="D429" s="90" t="s">
        <v>7176</v>
      </c>
      <c r="E429" s="90" t="s">
        <v>5982</v>
      </c>
      <c r="F429" s="90" t="s">
        <v>7527</v>
      </c>
      <c r="G429" s="477" t="s">
        <v>6835</v>
      </c>
    </row>
    <row r="430" spans="1:7" x14ac:dyDescent="0.3">
      <c r="A430" t="s">
        <v>4561</v>
      </c>
      <c r="B430" t="str">
        <f t="shared" si="7"/>
        <v>Transfer the total calculated results to the B3 "Fuel Energy Consumption" reporting cell</v>
      </c>
      <c r="C430" t="s">
        <v>4638</v>
      </c>
      <c r="D430" s="90" t="s">
        <v>7177</v>
      </c>
      <c r="E430" s="90" t="s">
        <v>6446</v>
      </c>
      <c r="F430" s="90" t="s">
        <v>7528</v>
      </c>
      <c r="G430" s="90" t="s">
        <v>6784</v>
      </c>
    </row>
    <row r="431" spans="1:7" x14ac:dyDescent="0.3">
      <c r="A431" t="s">
        <v>4562</v>
      </c>
      <c r="B431" t="str">
        <f t="shared" si="7"/>
        <v>Total Energy [MWh]</v>
      </c>
      <c r="C431" t="s">
        <v>3562</v>
      </c>
      <c r="D431" s="90" t="s">
        <v>6069</v>
      </c>
      <c r="E431" s="90" t="s">
        <v>6447</v>
      </c>
      <c r="F431" s="90" t="s">
        <v>5897</v>
      </c>
      <c r="G431" s="90" t="s">
        <v>6785</v>
      </c>
    </row>
    <row r="432" spans="1:7" x14ac:dyDescent="0.3">
      <c r="A432" t="s">
        <v>4563</v>
      </c>
      <c r="B432" t="str">
        <f t="shared" si="7"/>
        <v>Total Renewable Energy [MWh]</v>
      </c>
      <c r="C432" t="s">
        <v>3543</v>
      </c>
      <c r="D432" s="90" t="s">
        <v>7178</v>
      </c>
      <c r="E432" s="90" t="s">
        <v>6448</v>
      </c>
      <c r="F432" s="90" t="s">
        <v>7529</v>
      </c>
      <c r="G432" s="90" t="s">
        <v>6786</v>
      </c>
    </row>
    <row r="433" spans="1:7" x14ac:dyDescent="0.3">
      <c r="A433" t="s">
        <v>4577</v>
      </c>
      <c r="B433" t="str">
        <f t="shared" si="7"/>
        <v>Total Non-renewable Energy [MWh]</v>
      </c>
      <c r="C433" t="s">
        <v>3544</v>
      </c>
      <c r="D433" s="90" t="s">
        <v>7179</v>
      </c>
      <c r="E433" s="90" t="s">
        <v>6449</v>
      </c>
      <c r="F433" s="90" t="s">
        <v>7530</v>
      </c>
      <c r="G433" s="90" t="s">
        <v>6787</v>
      </c>
    </row>
    <row r="434" spans="1:7" x14ac:dyDescent="0.3">
      <c r="A434" t="s">
        <v>4564</v>
      </c>
      <c r="B434" t="str">
        <f t="shared" si="7"/>
        <v>Further notes:</v>
      </c>
      <c r="C434" t="s">
        <v>3673</v>
      </c>
      <c r="D434" s="90" t="s">
        <v>7180</v>
      </c>
      <c r="E434" s="90" t="s">
        <v>5983</v>
      </c>
      <c r="F434" s="90" t="s">
        <v>7531</v>
      </c>
      <c r="G434" s="90" t="s">
        <v>5815</v>
      </c>
    </row>
    <row r="435" spans="1:7" s="12" customFormat="1" ht="15" customHeight="1" thickBot="1" x14ac:dyDescent="0.35">
      <c r="A435" s="12" t="s">
        <v>4565</v>
      </c>
      <c r="B435" s="1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79" t="s">
        <v>3672</v>
      </c>
      <c r="D435" s="445" t="s">
        <v>7181</v>
      </c>
      <c r="E435" s="445" t="s">
        <v>6450</v>
      </c>
      <c r="F435" s="445" t="s">
        <v>7532</v>
      </c>
      <c r="G435" s="445" t="s">
        <v>6545</v>
      </c>
    </row>
    <row r="436" spans="1:7" x14ac:dyDescent="0.3">
      <c r="A436" t="s">
        <v>4566</v>
      </c>
      <c r="B436" t="str">
        <f t="shared" si="7"/>
        <v>Energy Consumption per Hour in MWh for Solid Fuels:</v>
      </c>
      <c r="C436" t="s">
        <v>4511</v>
      </c>
      <c r="D436" s="90" t="s">
        <v>7182</v>
      </c>
      <c r="E436" s="90" t="s">
        <v>6087</v>
      </c>
      <c r="F436" s="90" t="s">
        <v>7533</v>
      </c>
      <c r="G436" s="90" t="s">
        <v>6108</v>
      </c>
    </row>
    <row r="437" spans="1:7" x14ac:dyDescent="0.3">
      <c r="A437" t="s">
        <v>4567</v>
      </c>
      <c r="B437" t="str">
        <f t="shared" si="7"/>
        <v>Energy [MWh] = Mass [t] * NCV [MWh/t]</v>
      </c>
      <c r="C437" t="s">
        <v>4513</v>
      </c>
      <c r="D437" s="90" t="s">
        <v>7183</v>
      </c>
      <c r="E437" s="90" t="s">
        <v>6451</v>
      </c>
      <c r="F437" s="90" t="s">
        <v>7534</v>
      </c>
      <c r="G437" s="90" t="s">
        <v>6788</v>
      </c>
    </row>
    <row r="438" spans="1:7" x14ac:dyDescent="0.3">
      <c r="A438" t="s">
        <v>4568</v>
      </c>
      <c r="B438" t="str">
        <f t="shared" si="7"/>
        <v>Energy Consumption per Hour in MWh for Liquid Fuels:</v>
      </c>
      <c r="C438" t="s">
        <v>4512</v>
      </c>
      <c r="D438" s="90" t="s">
        <v>7184</v>
      </c>
      <c r="E438" s="90" t="s">
        <v>6452</v>
      </c>
      <c r="F438" s="90" t="s">
        <v>7535</v>
      </c>
      <c r="G438" s="90" t="s">
        <v>5816</v>
      </c>
    </row>
    <row r="439" spans="1:7" x14ac:dyDescent="0.3">
      <c r="A439" t="s">
        <v>4569</v>
      </c>
      <c r="B439" t="str">
        <f t="shared" si="7"/>
        <v>Mass [t] = Volume [L] * Density [t/L]</v>
      </c>
      <c r="C439" t="s">
        <v>4514</v>
      </c>
      <c r="D439" s="90" t="s">
        <v>6050</v>
      </c>
      <c r="E439" s="90" t="s">
        <v>5984</v>
      </c>
      <c r="F439" s="90" t="s">
        <v>5898</v>
      </c>
      <c r="G439" s="90" t="s">
        <v>5817</v>
      </c>
    </row>
    <row r="440" spans="1:7" x14ac:dyDescent="0.3">
      <c r="A440" t="s">
        <v>4570</v>
      </c>
      <c r="B440" t="str">
        <f t="shared" si="7"/>
        <v>Energy [MWh] = Mass [t] * [MWh/t]</v>
      </c>
      <c r="C440" t="s">
        <v>4515</v>
      </c>
      <c r="D440" s="90" t="s">
        <v>7185</v>
      </c>
      <c r="E440" s="90" t="s">
        <v>5985</v>
      </c>
      <c r="F440" s="90" t="s">
        <v>5697</v>
      </c>
      <c r="G440" s="90" t="s">
        <v>5818</v>
      </c>
    </row>
    <row r="441" spans="1:7" x14ac:dyDescent="0.3">
      <c r="A441" t="s">
        <v>4571</v>
      </c>
      <c r="B441" t="str">
        <f t="shared" si="7"/>
        <v>Energy Consumption per Hour in MWh for Gaseous Fuels:</v>
      </c>
      <c r="C441" t="s">
        <v>4516</v>
      </c>
      <c r="D441" s="90" t="s">
        <v>7186</v>
      </c>
      <c r="E441" s="90" t="s">
        <v>5986</v>
      </c>
      <c r="F441" s="90" t="s">
        <v>7536</v>
      </c>
      <c r="G441" s="90" t="s">
        <v>5819</v>
      </c>
    </row>
    <row r="442" spans="1:7" x14ac:dyDescent="0.3">
      <c r="A442" t="s">
        <v>4572</v>
      </c>
      <c r="B442" t="str">
        <f t="shared" si="7"/>
        <v>Mass [t] = Volume [m³] * Density [t/m³]</v>
      </c>
      <c r="C442" t="s">
        <v>4541</v>
      </c>
      <c r="D442" s="90" t="s">
        <v>6070</v>
      </c>
      <c r="E442" s="90" t="s">
        <v>6088</v>
      </c>
      <c r="F442" s="90" t="s">
        <v>6103</v>
      </c>
      <c r="G442" s="90" t="s">
        <v>6109</v>
      </c>
    </row>
    <row r="443" spans="1:7" s="12" customFormat="1" ht="15" thickBot="1" x14ac:dyDescent="0.35">
      <c r="A443" s="12" t="s">
        <v>4573</v>
      </c>
      <c r="B443" s="12" t="str">
        <f t="shared" si="7"/>
        <v>Energy [MWh] = Mass [t] * NCV [MWh/t]</v>
      </c>
      <c r="C443" s="12" t="s">
        <v>4513</v>
      </c>
      <c r="D443" s="445" t="s">
        <v>7183</v>
      </c>
      <c r="E443" s="445" t="s">
        <v>6451</v>
      </c>
      <c r="F443" s="445" t="s">
        <v>7534</v>
      </c>
      <c r="G443" s="445" t="s">
        <v>6789</v>
      </c>
    </row>
    <row r="444" spans="1:7" x14ac:dyDescent="0.3">
      <c r="A444" t="s">
        <v>4584</v>
      </c>
      <c r="B444" t="str">
        <f t="shared" si="7"/>
        <v>UNIT OF MEASUREMENT CONVERTER</v>
      </c>
      <c r="C444" t="s">
        <v>2928</v>
      </c>
      <c r="D444" s="90" t="s">
        <v>7187</v>
      </c>
      <c r="E444" s="90" t="s">
        <v>6453</v>
      </c>
      <c r="F444" s="90" t="s">
        <v>7537</v>
      </c>
      <c r="G444" s="90" t="s">
        <v>5820</v>
      </c>
    </row>
    <row r="445" spans="1:7" x14ac:dyDescent="0.3">
      <c r="A445" t="s">
        <v>4590</v>
      </c>
      <c r="B445" t="str">
        <f t="shared" si="7"/>
        <v xml:space="preserve">From </v>
      </c>
      <c r="C445" t="s">
        <v>4578</v>
      </c>
      <c r="D445" s="90" t="s">
        <v>7188</v>
      </c>
      <c r="E445" s="90" t="s">
        <v>5694</v>
      </c>
      <c r="F445" s="90" t="s">
        <v>5698</v>
      </c>
      <c r="G445" s="90" t="s">
        <v>6790</v>
      </c>
    </row>
    <row r="446" spans="1:7" x14ac:dyDescent="0.3">
      <c r="A446" t="s">
        <v>4585</v>
      </c>
      <c r="B446" t="str">
        <f t="shared" si="7"/>
        <v>Unit of measurement of Mass Converter</v>
      </c>
      <c r="C446" t="s">
        <v>2929</v>
      </c>
      <c r="D446" s="90" t="s">
        <v>7189</v>
      </c>
      <c r="E446" s="90" t="s">
        <v>6454</v>
      </c>
      <c r="F446" s="90" t="s">
        <v>7538</v>
      </c>
      <c r="G446" s="90" t="s">
        <v>6791</v>
      </c>
    </row>
    <row r="447" spans="1:7" x14ac:dyDescent="0.3">
      <c r="A447" t="s">
        <v>4586</v>
      </c>
      <c r="B447" t="str">
        <f t="shared" si="7"/>
        <v>Unit of measurement of Volume Converter</v>
      </c>
      <c r="C447" t="s">
        <v>2931</v>
      </c>
      <c r="D447" s="90" t="s">
        <v>7190</v>
      </c>
      <c r="E447" s="90" t="s">
        <v>6455</v>
      </c>
      <c r="F447" s="90" t="s">
        <v>7539</v>
      </c>
      <c r="G447" s="90" t="s">
        <v>6792</v>
      </c>
    </row>
    <row r="448" spans="1:7" x14ac:dyDescent="0.3">
      <c r="A448" t="s">
        <v>4587</v>
      </c>
      <c r="B448" t="str">
        <f t="shared" si="7"/>
        <v>Unit of measurement of Energy Consumption per Hour</v>
      </c>
      <c r="C448" t="s">
        <v>2932</v>
      </c>
      <c r="D448" s="90" t="s">
        <v>6051</v>
      </c>
      <c r="E448" s="90" t="s">
        <v>5987</v>
      </c>
      <c r="F448" s="90" t="s">
        <v>7540</v>
      </c>
      <c r="G448" s="90" t="s">
        <v>6793</v>
      </c>
    </row>
    <row r="449" spans="1:7" x14ac:dyDescent="0.3">
      <c r="A449" t="s">
        <v>4592</v>
      </c>
      <c r="B449" t="str">
        <f t="shared" si="7"/>
        <v>Unit of measurement of NCV Converter</v>
      </c>
      <c r="C449" t="s">
        <v>2934</v>
      </c>
      <c r="D449" s="90" t="s">
        <v>7191</v>
      </c>
      <c r="E449" s="90" t="s">
        <v>6456</v>
      </c>
      <c r="F449" s="90" t="s">
        <v>5899</v>
      </c>
      <c r="G449" s="90" t="s">
        <v>5821</v>
      </c>
    </row>
    <row r="450" spans="1:7" x14ac:dyDescent="0.3">
      <c r="A450" t="s">
        <v>4598</v>
      </c>
      <c r="B450" t="str">
        <f t="shared" si="7"/>
        <v>Unit of measurement of Density Converter</v>
      </c>
      <c r="C450" t="s">
        <v>2933</v>
      </c>
      <c r="D450" s="90" t="s">
        <v>7192</v>
      </c>
      <c r="E450" s="90" t="s">
        <v>6457</v>
      </c>
      <c r="F450" s="90" t="s">
        <v>7541</v>
      </c>
      <c r="G450" s="90" t="s">
        <v>6794</v>
      </c>
    </row>
    <row r="451" spans="1:7" x14ac:dyDescent="0.3">
      <c r="A451" t="s">
        <v>4588</v>
      </c>
      <c r="B451" t="str">
        <f t="shared" si="7"/>
        <v>Usage of Unit of Measurement Converter</v>
      </c>
      <c r="C451" t="s">
        <v>4517</v>
      </c>
      <c r="D451" s="90" t="s">
        <v>7193</v>
      </c>
      <c r="E451" s="90" t="s">
        <v>6458</v>
      </c>
      <c r="F451" s="90" t="s">
        <v>7542</v>
      </c>
      <c r="G451" s="90" t="s">
        <v>6795</v>
      </c>
    </row>
    <row r="452" spans="1:7" x14ac:dyDescent="0.3">
      <c r="A452" t="s">
        <v>4589</v>
      </c>
      <c r="B452" t="str">
        <f t="shared" ref="B452:B490" si="8">INDEX(C452:G452,MATCH(template_selected_display_language,$C$3:$G$3,0))</f>
        <v>Steps to follow for the Mass table:</v>
      </c>
      <c r="C452" t="s">
        <v>4518</v>
      </c>
      <c r="D452" s="90" t="s">
        <v>7194</v>
      </c>
      <c r="E452" s="90" t="s">
        <v>6459</v>
      </c>
      <c r="F452" s="90" t="s">
        <v>7543</v>
      </c>
      <c r="G452" s="90" t="s">
        <v>6796</v>
      </c>
    </row>
    <row r="453" spans="1:7" x14ac:dyDescent="0.3">
      <c r="A453" t="s">
        <v>4597</v>
      </c>
      <c r="B453" t="str">
        <f t="shared" si="8"/>
        <v>1. In the cell B5 of the table related to the Unit of measurement of Mass Converter should be inserted the Unit of measurement to convert.</v>
      </c>
      <c r="C453" t="s">
        <v>4532</v>
      </c>
      <c r="D453" s="90" t="s">
        <v>7195</v>
      </c>
      <c r="E453" s="90" t="s">
        <v>6460</v>
      </c>
      <c r="F453" s="90" t="s">
        <v>7571</v>
      </c>
      <c r="G453" s="90" t="s">
        <v>6797</v>
      </c>
    </row>
    <row r="454" spans="1:7" x14ac:dyDescent="0.3">
      <c r="A454" t="s">
        <v>4593</v>
      </c>
      <c r="B454" t="str">
        <f t="shared" si="8"/>
        <v>2. Then in the cell B6 the amount of mass can be inserted.</v>
      </c>
      <c r="C454" t="s">
        <v>4530</v>
      </c>
      <c r="D454" s="90" t="s">
        <v>7196</v>
      </c>
      <c r="E454" s="90" t="s">
        <v>5988</v>
      </c>
      <c r="F454" s="90" t="s">
        <v>7570</v>
      </c>
      <c r="G454" s="90" t="s">
        <v>6798</v>
      </c>
    </row>
    <row r="455" spans="1:7" x14ac:dyDescent="0.3">
      <c r="A455" t="s">
        <v>4594</v>
      </c>
      <c r="B455" t="str">
        <f t="shared" si="8"/>
        <v>3. Finally in the cell D5 there should be the unit of measurement of interest.</v>
      </c>
      <c r="C455" t="s">
        <v>4531</v>
      </c>
      <c r="D455" s="90" t="s">
        <v>7197</v>
      </c>
      <c r="E455" s="90" t="s">
        <v>6461</v>
      </c>
      <c r="F455" s="90" t="s">
        <v>7569</v>
      </c>
      <c r="G455" s="90" t="s">
        <v>6799</v>
      </c>
    </row>
    <row r="456" spans="1:7" x14ac:dyDescent="0.3">
      <c r="A456" t="s">
        <v>4595</v>
      </c>
      <c r="B456" t="str">
        <f t="shared" si="8"/>
        <v>4. The outcome of the conversion will be displayed in the cell D6.</v>
      </c>
      <c r="C456" t="s">
        <v>4529</v>
      </c>
      <c r="D456" s="90" t="s">
        <v>7198</v>
      </c>
      <c r="E456" s="90" t="s">
        <v>5989</v>
      </c>
      <c r="F456" s="90" t="s">
        <v>5900</v>
      </c>
      <c r="G456" s="90" t="s">
        <v>6800</v>
      </c>
    </row>
    <row r="457" spans="1:7" x14ac:dyDescent="0.3">
      <c r="A457" t="s">
        <v>4596</v>
      </c>
      <c r="B457" t="str">
        <f t="shared" si="8"/>
        <v>The steps to follow for the other tables (Volume, Energy Consumption, Density and NCV) are the same of the Mass table.</v>
      </c>
      <c r="C457" t="s">
        <v>4519</v>
      </c>
      <c r="D457" s="90" t="s">
        <v>7199</v>
      </c>
      <c r="E457" s="90" t="s">
        <v>6462</v>
      </c>
      <c r="F457" s="90" t="s">
        <v>7544</v>
      </c>
      <c r="G457" s="90" t="s">
        <v>6801</v>
      </c>
    </row>
    <row r="458" spans="1:7" x14ac:dyDescent="0.3">
      <c r="A458" t="s">
        <v>4591</v>
      </c>
      <c r="B458" t="str">
        <f t="shared" si="8"/>
        <v>Below are specified all the Units of measurement conversions of each table.</v>
      </c>
      <c r="C458" t="s">
        <v>4520</v>
      </c>
      <c r="D458" s="90" t="s">
        <v>7200</v>
      </c>
      <c r="E458" s="90" t="s">
        <v>6463</v>
      </c>
      <c r="F458" s="90" t="s">
        <v>7545</v>
      </c>
      <c r="G458" s="90" t="s">
        <v>5822</v>
      </c>
    </row>
    <row r="459" spans="1:7" x14ac:dyDescent="0.3">
      <c r="A459" t="s">
        <v>4603</v>
      </c>
      <c r="B459" t="str">
        <f t="shared" si="8"/>
        <v>▪ Unit of measurement of Mass Converter:</v>
      </c>
      <c r="C459" t="s">
        <v>4579</v>
      </c>
      <c r="D459" s="90" t="s">
        <v>7189</v>
      </c>
      <c r="E459" s="90" t="s">
        <v>6464</v>
      </c>
      <c r="F459" s="90" t="s">
        <v>5901</v>
      </c>
      <c r="G459" s="90" t="s">
        <v>6802</v>
      </c>
    </row>
    <row r="460" spans="1:7" x14ac:dyDescent="0.3">
      <c r="A460" t="s">
        <v>4602</v>
      </c>
      <c r="B460" t="str">
        <f t="shared" si="8"/>
        <v>▪ Unit of measurement of Volume Converter:</v>
      </c>
      <c r="C460" t="s">
        <v>4580</v>
      </c>
      <c r="D460" s="90" t="s">
        <v>7190</v>
      </c>
      <c r="E460" s="90" t="s">
        <v>6465</v>
      </c>
      <c r="F460" s="90" t="s">
        <v>7568</v>
      </c>
      <c r="G460" s="90" t="s">
        <v>6803</v>
      </c>
    </row>
    <row r="461" spans="1:7" x14ac:dyDescent="0.3">
      <c r="A461" t="s">
        <v>4601</v>
      </c>
      <c r="B461" t="str">
        <f t="shared" si="8"/>
        <v>▪ Unit of measurement of Energy Converter:</v>
      </c>
      <c r="C461" t="s">
        <v>4581</v>
      </c>
      <c r="D461" s="90" t="s">
        <v>7201</v>
      </c>
      <c r="E461" s="90" t="s">
        <v>6466</v>
      </c>
      <c r="F461" s="90" t="s">
        <v>7567</v>
      </c>
      <c r="G461" s="90" t="s">
        <v>6804</v>
      </c>
    </row>
    <row r="462" spans="1:7" x14ac:dyDescent="0.3">
      <c r="A462" t="s">
        <v>4600</v>
      </c>
      <c r="B462" t="str">
        <f t="shared" si="8"/>
        <v>▪ Unit of measurement of Density Converter:</v>
      </c>
      <c r="C462" t="s">
        <v>4582</v>
      </c>
      <c r="D462" s="90" t="s">
        <v>7192</v>
      </c>
      <c r="E462" s="90" t="s">
        <v>6467</v>
      </c>
      <c r="F462" s="90" t="s">
        <v>7546</v>
      </c>
      <c r="G462" s="90" t="s">
        <v>6805</v>
      </c>
    </row>
    <row r="463" spans="1:7" s="12" customFormat="1" ht="15" thickBot="1" x14ac:dyDescent="0.35">
      <c r="A463" s="12" t="s">
        <v>4599</v>
      </c>
      <c r="B463" s="12" t="str">
        <f t="shared" si="8"/>
        <v>▪ Unit of measurement of NCV Converter:</v>
      </c>
      <c r="C463" s="12" t="s">
        <v>4583</v>
      </c>
      <c r="D463" s="445" t="s">
        <v>7191</v>
      </c>
      <c r="E463" s="445" t="s">
        <v>6468</v>
      </c>
      <c r="F463" s="445" t="s">
        <v>7547</v>
      </c>
      <c r="G463" s="445" t="s">
        <v>6806</v>
      </c>
    </row>
    <row r="464" spans="1:7" x14ac:dyDescent="0.3">
      <c r="A464" t="s">
        <v>4606</v>
      </c>
      <c r="B464" t="str">
        <f t="shared" si="8"/>
        <v>INCOMPLETE</v>
      </c>
      <c r="C464" t="s">
        <v>4604</v>
      </c>
      <c r="D464" s="90" t="s">
        <v>7202</v>
      </c>
      <c r="E464" s="90" t="s">
        <v>6469</v>
      </c>
      <c r="F464" s="90" t="s">
        <v>5701</v>
      </c>
      <c r="G464" s="90" t="s">
        <v>5701</v>
      </c>
    </row>
    <row r="465" spans="1:7" x14ac:dyDescent="0.3">
      <c r="A465" t="s">
        <v>4607</v>
      </c>
      <c r="B465" t="str">
        <f t="shared" si="8"/>
        <v>COMPLETE</v>
      </c>
      <c r="C465" t="s">
        <v>4605</v>
      </c>
      <c r="D465" s="90" t="s">
        <v>7203</v>
      </c>
      <c r="E465" s="90" t="s">
        <v>6470</v>
      </c>
      <c r="F465" s="90" t="s">
        <v>5702</v>
      </c>
      <c r="G465" s="90" t="s">
        <v>5702</v>
      </c>
    </row>
    <row r="466" spans="1:7" x14ac:dyDescent="0.3">
      <c r="A466" t="s">
        <v>4619</v>
      </c>
      <c r="B466" t="str">
        <f t="shared" si="8"/>
        <v>MISSING VALUE</v>
      </c>
      <c r="C466" t="s">
        <v>4608</v>
      </c>
      <c r="D466" s="90" t="s">
        <v>7204</v>
      </c>
      <c r="E466" s="90" t="s">
        <v>6471</v>
      </c>
      <c r="F466" s="90" t="s">
        <v>7548</v>
      </c>
      <c r="G466" s="90" t="s">
        <v>6524</v>
      </c>
    </row>
    <row r="467" spans="1:7" x14ac:dyDescent="0.3">
      <c r="A467" t="s">
        <v>4620</v>
      </c>
      <c r="B467" t="str">
        <f t="shared" si="8"/>
        <v>ERROR</v>
      </c>
      <c r="C467" t="s">
        <v>4609</v>
      </c>
      <c r="D467" s="90" t="s">
        <v>6052</v>
      </c>
      <c r="E467" s="90" t="s">
        <v>5990</v>
      </c>
      <c r="F467" s="90" t="s">
        <v>5902</v>
      </c>
      <c r="G467" s="90" t="s">
        <v>4609</v>
      </c>
    </row>
    <row r="468" spans="1:7" x14ac:dyDescent="0.3">
      <c r="A468" t="s">
        <v>4621</v>
      </c>
      <c r="B468" t="str">
        <f t="shared" si="8"/>
        <v>VALUE INCONSISTENCY</v>
      </c>
      <c r="C468" t="s">
        <v>4610</v>
      </c>
      <c r="D468" s="90" t="s">
        <v>7205</v>
      </c>
      <c r="E468" s="90" t="s">
        <v>5991</v>
      </c>
      <c r="F468" s="90" t="s">
        <v>7549</v>
      </c>
      <c r="G468" s="90" t="s">
        <v>5823</v>
      </c>
    </row>
    <row r="469" spans="1:7" x14ac:dyDescent="0.3">
      <c r="A469" t="s">
        <v>4623</v>
      </c>
      <c r="B469" t="str">
        <f t="shared" si="8"/>
        <v>ERROR + VALUE INCONSISTENCY</v>
      </c>
      <c r="C469" t="s">
        <v>4611</v>
      </c>
      <c r="D469" s="90" t="s">
        <v>7206</v>
      </c>
      <c r="E469" s="90" t="s">
        <v>5992</v>
      </c>
      <c r="F469" s="90" t="s">
        <v>5903</v>
      </c>
      <c r="G469" s="90" t="s">
        <v>6525</v>
      </c>
    </row>
    <row r="470" spans="1:7" x14ac:dyDescent="0.3">
      <c r="A470" t="s">
        <v>4624</v>
      </c>
      <c r="B470" t="str">
        <f t="shared" si="8"/>
        <v>ERROR + MISSING VALUE + VALUE INCONSISTENCY</v>
      </c>
      <c r="C470" t="s">
        <v>4612</v>
      </c>
      <c r="D470" s="90" t="s">
        <v>7207</v>
      </c>
      <c r="E470" s="90" t="s">
        <v>6472</v>
      </c>
      <c r="F470" s="90" t="s">
        <v>7550</v>
      </c>
      <c r="G470" s="90" t="s">
        <v>6526</v>
      </c>
    </row>
    <row r="471" spans="1:7" x14ac:dyDescent="0.3">
      <c r="A471" t="s">
        <v>4625</v>
      </c>
      <c r="B471" t="str">
        <f t="shared" si="8"/>
        <v>ERROR + MISSING VALUE</v>
      </c>
      <c r="C471" t="s">
        <v>4613</v>
      </c>
      <c r="D471" s="90" t="s">
        <v>7208</v>
      </c>
      <c r="E471" s="90" t="s">
        <v>6473</v>
      </c>
      <c r="F471" s="90" t="s">
        <v>7551</v>
      </c>
      <c r="G471" s="90" t="s">
        <v>6527</v>
      </c>
    </row>
    <row r="472" spans="1:7" x14ac:dyDescent="0.3">
      <c r="A472" t="s">
        <v>4626</v>
      </c>
      <c r="B472" t="str">
        <f t="shared" si="8"/>
        <v>MISSING VALUE + VALUE INCONSISTENCY</v>
      </c>
      <c r="C472" t="s">
        <v>4614</v>
      </c>
      <c r="D472" s="90" t="s">
        <v>7209</v>
      </c>
      <c r="E472" s="90" t="s">
        <v>6474</v>
      </c>
      <c r="F472" s="90" t="s">
        <v>7552</v>
      </c>
      <c r="G472" s="90" t="s">
        <v>6528</v>
      </c>
    </row>
    <row r="473" spans="1:7" x14ac:dyDescent="0.3">
      <c r="A473" t="s">
        <v>4622</v>
      </c>
      <c r="B473" t="str">
        <f t="shared" si="8"/>
        <v>INVALID URL</v>
      </c>
      <c r="C473" t="s">
        <v>4615</v>
      </c>
      <c r="D473" s="90" t="s">
        <v>7210</v>
      </c>
      <c r="E473" s="90" t="s">
        <v>6475</v>
      </c>
      <c r="F473" s="90" t="s">
        <v>5904</v>
      </c>
      <c r="G473" s="90" t="s">
        <v>6807</v>
      </c>
    </row>
    <row r="474" spans="1:7" x14ac:dyDescent="0.3">
      <c r="A474" t="s">
        <v>5636</v>
      </c>
      <c r="B474" t="str">
        <f t="shared" si="8"/>
        <v>OK</v>
      </c>
      <c r="C474" t="s">
        <v>5635</v>
      </c>
      <c r="D474" s="90" t="s">
        <v>7211</v>
      </c>
      <c r="E474" s="90" t="s">
        <v>5635</v>
      </c>
      <c r="F474" s="90" t="s">
        <v>5635</v>
      </c>
      <c r="G474" s="90" t="s">
        <v>6826</v>
      </c>
    </row>
    <row r="475" spans="1:7" x14ac:dyDescent="0.3">
      <c r="A475" t="s">
        <v>5639</v>
      </c>
      <c r="B475" t="str">
        <f t="shared" si="8"/>
        <v>ℹ️ Liquid fuel: please select one unit of measurement among m³ and L</v>
      </c>
      <c r="C475" t="s">
        <v>6118</v>
      </c>
      <c r="D475" s="90" t="s">
        <v>7212</v>
      </c>
      <c r="E475" s="90" t="s">
        <v>6476</v>
      </c>
      <c r="F475" s="90" t="s">
        <v>6135</v>
      </c>
      <c r="G475" s="90" t="s">
        <v>6808</v>
      </c>
    </row>
    <row r="476" spans="1:7" x14ac:dyDescent="0.3">
      <c r="A476" t="s">
        <v>5637</v>
      </c>
      <c r="B476" t="str">
        <f t="shared" si="8"/>
        <v>ℹ️ Solid fuel: please select one unit of measurement among Gg, t, Kg and g</v>
      </c>
      <c r="C476" t="s">
        <v>6119</v>
      </c>
      <c r="D476" s="90" t="s">
        <v>7213</v>
      </c>
      <c r="E476" s="90" t="s">
        <v>6133</v>
      </c>
      <c r="F476" s="90" t="s">
        <v>7566</v>
      </c>
      <c r="G476" s="90" t="s">
        <v>6136</v>
      </c>
    </row>
    <row r="477" spans="1:7" x14ac:dyDescent="0.3">
      <c r="A477" t="s">
        <v>5638</v>
      </c>
      <c r="B477" t="str">
        <f t="shared" si="8"/>
        <v>ℹ️ Gaseous fuel: please select one unit of measurement among m³ and L</v>
      </c>
      <c r="C477" t="s">
        <v>6120</v>
      </c>
      <c r="D477" s="90" t="s">
        <v>7214</v>
      </c>
      <c r="E477" s="90" t="s">
        <v>6134</v>
      </c>
      <c r="F477" s="90" t="s">
        <v>7553</v>
      </c>
      <c r="G477" s="90" t="s">
        <v>6137</v>
      </c>
    </row>
    <row r="478" spans="1:7" x14ac:dyDescent="0.3">
      <c r="A478" t="s">
        <v>5674</v>
      </c>
      <c r="B478" t="str">
        <f t="shared" si="8"/>
        <v xml:space="preserve">ℹ️  The entity identifier is a unique ID, that will enable identifying the company that has reported the information. The VSME Standard does not require any specific identifier. An entity identifier is required for the digital reporting. </v>
      </c>
      <c r="C478" t="s">
        <v>6121</v>
      </c>
      <c r="D478" s="90" t="s">
        <v>7215</v>
      </c>
      <c r="E478" s="90" t="s">
        <v>6477</v>
      </c>
      <c r="F478" s="90" t="s">
        <v>7554</v>
      </c>
      <c r="G478" s="90" t="s">
        <v>6809</v>
      </c>
    </row>
    <row r="479" spans="1:7" x14ac:dyDescent="0.3">
      <c r="A479" t="s">
        <v>5675</v>
      </c>
      <c r="B479" t="str">
        <f t="shared" si="8"/>
        <v>ℹ️ If VALUE INCONSISTENCY message appears on the right, please ensure that the reporting period end date is greater than the reporting period start date.</v>
      </c>
      <c r="C479" t="s">
        <v>6122</v>
      </c>
      <c r="D479" s="90" t="s">
        <v>7216</v>
      </c>
      <c r="E479" s="90" t="s">
        <v>6478</v>
      </c>
      <c r="F479" s="90" t="s">
        <v>7555</v>
      </c>
      <c r="G479" s="90" t="s">
        <v>6810</v>
      </c>
    </row>
    <row r="480" spans="1:7" x14ac:dyDescent="0.3">
      <c r="A480" t="s">
        <v>5676</v>
      </c>
      <c r="B480" t="str">
        <f t="shared" si="8"/>
        <v>ℹ️  Lists can be expanded using the little [+] button on the left.  If the number of rows is not sufficient, those can be added by right clicking the second row and selecting "Insert row".</v>
      </c>
      <c r="C480" t="s">
        <v>6123</v>
      </c>
      <c r="D480" s="90" t="s">
        <v>7217</v>
      </c>
      <c r="E480" s="90" t="s">
        <v>6479</v>
      </c>
      <c r="F480" s="90" t="s">
        <v>7556</v>
      </c>
      <c r="G480" s="90" t="s">
        <v>6811</v>
      </c>
    </row>
    <row r="481" spans="1:7" x14ac:dyDescent="0.3">
      <c r="A481" t="s">
        <v>5677</v>
      </c>
      <c r="B481" t="str">
        <f t="shared" si="8"/>
        <v>ℹ️ When "other" is chosen as undertaking legal form please fill the row below</v>
      </c>
      <c r="C481" t="s">
        <v>6124</v>
      </c>
      <c r="D481" s="90" t="s">
        <v>7218</v>
      </c>
      <c r="E481" s="90" t="s">
        <v>6480</v>
      </c>
      <c r="F481" s="90" t="s">
        <v>7557</v>
      </c>
      <c r="G481" s="90" t="s">
        <v>6812</v>
      </c>
    </row>
    <row r="482" spans="1:7" x14ac:dyDescent="0.3">
      <c r="A482" t="s">
        <v>5678</v>
      </c>
      <c r="B482" t="str">
        <f t="shared" si="8"/>
        <v>ℹ️  Please select a NACE code rather than a category else an ERROR message will appear.</v>
      </c>
      <c r="C482" t="s">
        <v>6125</v>
      </c>
      <c r="D482" s="90" t="s">
        <v>7219</v>
      </c>
      <c r="E482" s="90" t="s">
        <v>6481</v>
      </c>
      <c r="F482" s="90" t="s">
        <v>7558</v>
      </c>
      <c r="G482" s="90" t="s">
        <v>6824</v>
      </c>
    </row>
    <row r="483" spans="1:7" x14ac:dyDescent="0.3">
      <c r="A483" t="s">
        <v>5679</v>
      </c>
      <c r="B483" t="str">
        <f t="shared" si="8"/>
        <v>ℹ️  Please be careful to separate each street number and house number using the slash symbol "/" and not the comma ","</v>
      </c>
      <c r="C483" t="s">
        <v>6126</v>
      </c>
      <c r="D483" s="90" t="s">
        <v>7220</v>
      </c>
      <c r="E483" s="90" t="s">
        <v>6482</v>
      </c>
      <c r="F483" s="90" t="s">
        <v>7559</v>
      </c>
      <c r="G483" s="90" t="s">
        <v>6813</v>
      </c>
    </row>
    <row r="484" spans="1:7" x14ac:dyDescent="0.3">
      <c r="A484" t="s">
        <v>5680</v>
      </c>
      <c r="B484" t="str">
        <f t="shared" si="8"/>
        <v xml:space="preserve">ℹ️  Please note that the formula present in this cell may be overwritten in case the undertaking wants to directly provide the value. </v>
      </c>
      <c r="C484" t="s">
        <v>6127</v>
      </c>
      <c r="D484" s="90" t="s">
        <v>7221</v>
      </c>
      <c r="E484" s="90" t="s">
        <v>6483</v>
      </c>
      <c r="F484" s="90" t="s">
        <v>7560</v>
      </c>
      <c r="G484" s="90" t="s">
        <v>6814</v>
      </c>
    </row>
    <row r="485" spans="1:7" x14ac:dyDescent="0.3">
      <c r="A485" t="s">
        <v>5681</v>
      </c>
      <c r="B485" t="str">
        <f t="shared" si="8"/>
        <v>ℹ️  Scope 3 categories according to the GHG protocol might help to calculate the total Scope 3 GHG emissions. In case the undertaking wants to, it can directly provide the Total Scope 3 GHG emissions in the respective cell.</v>
      </c>
      <c r="C485" t="s">
        <v>6128</v>
      </c>
      <c r="D485" s="90" t="s">
        <v>7222</v>
      </c>
      <c r="E485" s="90" t="s">
        <v>6484</v>
      </c>
      <c r="F485" s="90" t="s">
        <v>7561</v>
      </c>
      <c r="G485" s="90" t="s">
        <v>6815</v>
      </c>
    </row>
    <row r="486" spans="1:7" x14ac:dyDescent="0.3">
      <c r="A486" t="s">
        <v>5682</v>
      </c>
      <c r="B486" t="str">
        <f t="shared" si="8"/>
        <v>ℹ️  If a validation related to value inconsistency is displayed, please select a site ID that is different from one of those previously selected.</v>
      </c>
      <c r="C486" t="s">
        <v>6129</v>
      </c>
      <c r="D486" s="90" t="s">
        <v>7223</v>
      </c>
      <c r="E486" s="90" t="s">
        <v>6485</v>
      </c>
      <c r="F486" s="90" t="s">
        <v>7562</v>
      </c>
      <c r="G486" s="90" t="s">
        <v>6816</v>
      </c>
    </row>
    <row r="487" spans="1:7" x14ac:dyDescent="0.3">
      <c r="A487" t="s">
        <v>5683</v>
      </c>
      <c r="B487" t="str">
        <f t="shared" si="8"/>
        <v>ℹ️  Please select a Type of waste (Hazardous or Non-Hazardous) rather than a category else an ERROR message will appear.</v>
      </c>
      <c r="C487" t="s">
        <v>6130</v>
      </c>
      <c r="D487" s="90" t="s">
        <v>7224</v>
      </c>
      <c r="E487" s="90" t="s">
        <v>6486</v>
      </c>
      <c r="F487" s="90" t="s">
        <v>7563</v>
      </c>
      <c r="G487" s="90" t="s">
        <v>6825</v>
      </c>
    </row>
    <row r="488" spans="1:7" ht="43.2" x14ac:dyDescent="0.3">
      <c r="A488" t="s">
        <v>5684</v>
      </c>
      <c r="B488" t="str">
        <f t="shared" si="8"/>
        <v xml:space="preserve">ℹ️  Please make sure that the total number of employees is the same as the one provided in the "General Information" sheet cell E55
</v>
      </c>
      <c r="C488" t="s">
        <v>6131</v>
      </c>
      <c r="D488" s="477" t="s">
        <v>7225</v>
      </c>
      <c r="E488" s="477" t="s">
        <v>6487</v>
      </c>
      <c r="F488" s="477" t="s">
        <v>7564</v>
      </c>
      <c r="G488" s="477" t="s">
        <v>6817</v>
      </c>
    </row>
    <row r="489" spans="1:7" x14ac:dyDescent="0.3">
      <c r="A489" t="s">
        <v>5685</v>
      </c>
      <c r="B489" t="str">
        <f t="shared" si="8"/>
        <v>ℹ️  The undertaking can modify the value in this cell as 2,000 hours is based on the assumption that one full-time worker works 2,000 hours per year. This figure may vary by country or sector, depending on national rules or collective bargaining agreements.</v>
      </c>
      <c r="C489" t="s">
        <v>6132</v>
      </c>
      <c r="D489" s="90" t="s">
        <v>7226</v>
      </c>
      <c r="E489" s="90" t="s">
        <v>6488</v>
      </c>
      <c r="F489" s="90" t="s">
        <v>7565</v>
      </c>
      <c r="G489" s="90" t="s">
        <v>6818</v>
      </c>
    </row>
    <row r="490" spans="1:7" x14ac:dyDescent="0.3">
      <c r="A490" t="s">
        <v>7606</v>
      </c>
      <c r="B490" t="str">
        <f t="shared" si="8"/>
        <v>ℹ️ Check EFRAG website for a non-exhaustive list of GHG calculators.</v>
      </c>
      <c r="C490" t="s">
        <v>7607</v>
      </c>
      <c r="D490" t="s">
        <v>7608</v>
      </c>
      <c r="E490" t="s">
        <v>7609</v>
      </c>
      <c r="F490" t="s">
        <v>7610</v>
      </c>
      <c r="G490" t="s">
        <v>7611</v>
      </c>
    </row>
  </sheetData>
  <sheetProtection algorithmName="SHA-512" hashValue="n43KUczVY/KrPwUakCahfHvrSjBaOgKUMJNKyHDq36BlrjN1feZ6FxTH3JFwO9oC+LIITnA8kBqSE1aRGXvlVQ==" saltValue="gdOznsj7lLLV9m8H9Z144w==" spinCount="100000" sheet="1" objects="1" scenarios="1"/>
  <autoFilter ref="A1:B407" xr:uid="{DA085A03-4878-4426-A2CC-5DD7C004193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2024-01-01 - 2024-12-31</v>
      </c>
      <c r="C1" t="s">
        <v>4360</v>
      </c>
      <c r="D1" t="s">
        <v>3556</v>
      </c>
      <c r="E1" t="s">
        <v>3557</v>
      </c>
      <c r="F1" t="s">
        <v>3558</v>
      </c>
      <c r="G1" t="s">
        <v>3559</v>
      </c>
    </row>
    <row r="2" spans="1:7" ht="13.95" customHeight="1" x14ac:dyDescent="0.3">
      <c r="A2" t="s">
        <v>4374</v>
      </c>
      <c r="B2" t="str">
        <f>template_reporting_period_startdate</f>
        <v>2024-01-01</v>
      </c>
      <c r="C2" t="s">
        <v>4375</v>
      </c>
      <c r="D2" s="315" t="str">
        <f>IF(AND('General Information'!$H$108=TRUE, 'General Information'!D109&lt;&gt;"", 'General Information'!E109&lt;&gt;"", 'General Information'!F109&lt;&gt;"", 'General Information'!G109&lt;&gt;""), _xlfn.WEBSERVICE("https://nominatim.openstreetmap.org/search?q=" &amp; 'General Information'!K109 &amp; "&amp;format=json&amp;polygon=1&amp;addressdetails=1"), "")</f>
        <v>[{"place_id":68393187,"licence":"Data © OpenStreetMap contributors, ODbL 1.0. http://osm.org/copyright","osm_type":"way","osm_id":463529462,"lat":"45.4639102","lon":"9.1906426","class":"place","type":"square","place_rank":25,"importance":0.4615664466266592,"addresstype":"square","name":"Piazza del Duomo","display_name":"Piazza del Duomo, Duomo, Municipio 1, Milano, Lombardia, Italia","address":{"square":"Piazza del Duomo","quarter":"Duomo","suburb":"Municipio 1","city":"Milano","county":"Milano","ISO3166-2-lvl6":"IT-MI","state":"Lombardia","ISO3166-2-lvl4":"IT-25","country":"Italia","country_code":"it"},"boundingbox":["45.4629837","45.4647918","9.1883468","9.1929868"]},{"place_id":68429123,"licence":"Data © OpenStreetMap contributors, ODbL 1.0. http://osm.org/copyright","osm_type":"node","osm_id":7235042681,"lat":"45.4607835","lon":"9.1893098","class":"tourism","type":"hotel","place_rank":30,"importance":8.390707255660361e-05,"addresstype":"tourism","name":"Hotel The Square Milano Duomo","display_name":"Hotel The Square Milano Duomo, 4, Via Alberico Albricci, Cerchia dei Navigli, Municipio 1, Milano, Lombardia, 20122, Italia","address":{"tourism":"Hotel The Square Milano Duomo","house_number":"4","road":"Via Alberico Albricci","subdivision":"Cerchia dei Navigli","suburb":"Municipio 1","city":"Milano","county":"Milano","ISO3166-2-lvl6":"IT-MI","state":"Lombardia","ISO3166-2-lvl4":"IT-25","postcode":"20122","country":"Italia","country_code":"it"},"boundingbox":["45.4607335","45.4608335","9.1892598","9.1893598"]}]</v>
      </c>
      <c r="E2" s="316" t="str">
        <f t="shared" ref="E2:E26" si="0">MID(D2,SEARCH("""lat"":""",D2)+7,SEARCH("""lon"":""",D2)-SEARCH("""lat"":""",D2)-9)</f>
        <v>45.4639102</v>
      </c>
      <c r="F2" s="316" t="str">
        <f t="shared" ref="F2:F26" si="1">MID(D2, SEARCH("""lon"":""", D2) + 7, SEARCH("""class""", D2) - SEARCH("""lon"":""", D2) - 9)</f>
        <v>9.1906426</v>
      </c>
      <c r="G2" t="str">
        <f t="shared" ref="G2:G26" si="2">E2 &amp; "," &amp; F2</f>
        <v>45.4639102,9.1906426</v>
      </c>
    </row>
    <row r="3" spans="1:7" ht="15.6" customHeight="1" x14ac:dyDescent="0.3">
      <c r="A3" t="s">
        <v>3062</v>
      </c>
      <c r="B3" t="str">
        <f>template_reporting_period_enddate</f>
        <v>2024-12-31</v>
      </c>
      <c r="C3" t="s">
        <v>4359</v>
      </c>
      <c r="D3" s="315" t="str">
        <f>IF(AND('General Information'!$H$108=TRUE, 'General Information'!D110&lt;&gt;"", 'General Information'!E110&lt;&gt;"", 'General Information'!F110&lt;&gt;"", 'General Information'!G110&lt;&gt;""), _xlfn.WEBSERVICE("https://nominatim.openstreetmap.org/search?q=" &amp; 'General Information'!K110 &amp; "&amp;format=json&amp;polygon=1&amp;addressdetails=1"), "")</f>
        <v/>
      </c>
      <c r="E3" s="316" t="e">
        <f t="shared" si="0"/>
        <v>#VALUE!</v>
      </c>
      <c r="F3" s="316" t="e">
        <f t="shared" si="1"/>
        <v>#VALUE!</v>
      </c>
      <c r="G3" t="e">
        <f t="shared" si="2"/>
        <v>#VALUE!</v>
      </c>
    </row>
    <row r="4" spans="1:7" x14ac:dyDescent="0.3">
      <c r="D4" s="315" t="str">
        <f>IF(AND('General Information'!$H$108=TRUE, 'General Information'!D111&lt;&gt;"", 'General Information'!E111&lt;&gt;"", 'General Information'!F111&lt;&gt;"", 'General Information'!G111&lt;&gt;""), _xlfn.WEBSERVICE("https://nominatim.openstreetmap.org/search?q=" &amp; 'General Information'!K111 &amp; "&amp;format=json&amp;polygon=1&amp;addressdetails=1"), "")</f>
        <v/>
      </c>
      <c r="E4" s="316" t="e">
        <f t="shared" si="0"/>
        <v>#VALUE!</v>
      </c>
      <c r="F4" s="316" t="e">
        <f t="shared" si="1"/>
        <v>#VALUE!</v>
      </c>
      <c r="G4" t="e">
        <f t="shared" si="2"/>
        <v>#VALUE!</v>
      </c>
    </row>
    <row r="5" spans="1:7" x14ac:dyDescent="0.3">
      <c r="D5" s="315" t="str">
        <f>IF(AND('General Information'!$H$108=TRUE, 'General Information'!D112&lt;&gt;"", 'General Information'!E112&lt;&gt;"", 'General Information'!F112&lt;&gt;"", 'General Information'!G112&lt;&gt;""), _xlfn.WEBSERVICE("https://nominatim.openstreetmap.org/search?q=" &amp; 'General Information'!K112 &amp; "&amp;format=json&amp;polygon=1&amp;addressdetails=1"), "")</f>
        <v/>
      </c>
      <c r="E5" s="316" t="e">
        <f t="shared" si="0"/>
        <v>#VALUE!</v>
      </c>
      <c r="F5" s="316" t="e">
        <f t="shared" si="1"/>
        <v>#VALUE!</v>
      </c>
      <c r="G5" t="e">
        <f t="shared" si="2"/>
        <v>#VALUE!</v>
      </c>
    </row>
    <row r="6" spans="1:7" x14ac:dyDescent="0.3">
      <c r="D6" s="315" t="str">
        <f>IF(AND('General Information'!$H$108=TRUE, 'General Information'!D113&lt;&gt;"", 'General Information'!E113&lt;&gt;"", 'General Information'!F113&lt;&gt;"", 'General Information'!G113&lt;&gt;""), _xlfn.WEBSERVICE("https://nominatim.openstreetmap.org/search?q=" &amp; 'General Information'!K113 &amp; "&amp;format=json&amp;polygon=1&amp;addressdetails=1"), "")</f>
        <v/>
      </c>
      <c r="E6" s="316" t="e">
        <f t="shared" si="0"/>
        <v>#VALUE!</v>
      </c>
      <c r="F6" s="316" t="e">
        <f t="shared" si="1"/>
        <v>#VALUE!</v>
      </c>
      <c r="G6" t="e">
        <f t="shared" si="2"/>
        <v>#VALUE!</v>
      </c>
    </row>
    <row r="7" spans="1:7" x14ac:dyDescent="0.3">
      <c r="D7" s="315" t="str">
        <f>IF(AND('General Information'!$H$108=TRUE, 'General Information'!D114&lt;&gt;"", 'General Information'!E114&lt;&gt;"", 'General Information'!F114&lt;&gt;"", 'General Information'!G114&lt;&gt;""), _xlfn.WEBSERVICE("https://nominatim.openstreetmap.org/search?q=" &amp; 'General Information'!K114 &amp; "&amp;format=json&amp;polygon=1&amp;addressdetails=1"), "")</f>
        <v/>
      </c>
      <c r="E7" s="316" t="e">
        <f t="shared" si="0"/>
        <v>#VALUE!</v>
      </c>
      <c r="F7" s="316" t="e">
        <f t="shared" si="1"/>
        <v>#VALUE!</v>
      </c>
      <c r="G7" t="e">
        <f t="shared" si="2"/>
        <v>#VALUE!</v>
      </c>
    </row>
    <row r="8" spans="1:7" x14ac:dyDescent="0.3">
      <c r="D8" s="315" t="str">
        <f>IF(AND('General Information'!$H$108=TRUE, 'General Information'!D115&lt;&gt;"", 'General Information'!E115&lt;&gt;"", 'General Information'!F115&lt;&gt;"", 'General Information'!G115&lt;&gt;""), _xlfn.WEBSERVICE("https://nominatim.openstreetmap.org/search?q=" &amp; 'General Information'!K115 &amp; "&amp;format=json&amp;polygon=1&amp;addressdetails=1"), "")</f>
        <v/>
      </c>
      <c r="E8" s="316" t="e">
        <f t="shared" si="0"/>
        <v>#VALUE!</v>
      </c>
      <c r="F8" s="316" t="e">
        <f t="shared" si="1"/>
        <v>#VALUE!</v>
      </c>
      <c r="G8" t="e">
        <f t="shared" si="2"/>
        <v>#VALUE!</v>
      </c>
    </row>
    <row r="9" spans="1:7" x14ac:dyDescent="0.3">
      <c r="D9" s="315" t="str">
        <f>IF(AND('General Information'!$H$108=TRUE, 'General Information'!D116&lt;&gt;"", 'General Information'!E116&lt;&gt;"", 'General Information'!F116&lt;&gt;"", 'General Information'!G116&lt;&gt;""), _xlfn.WEBSERVICE("https://nominatim.openstreetmap.org/search?q=" &amp; 'General Information'!K116 &amp; "&amp;format=json&amp;polygon=1&amp;addressdetails=1"), "")</f>
        <v/>
      </c>
      <c r="E9" s="316" t="e">
        <f t="shared" si="0"/>
        <v>#VALUE!</v>
      </c>
      <c r="F9" s="316" t="e">
        <f t="shared" si="1"/>
        <v>#VALUE!</v>
      </c>
      <c r="G9" t="e">
        <f t="shared" si="2"/>
        <v>#VALUE!</v>
      </c>
    </row>
    <row r="10" spans="1:7" x14ac:dyDescent="0.3">
      <c r="D10" s="315" t="str">
        <f>IF(AND('General Information'!$H$108=TRUE, 'General Information'!D117&lt;&gt;"", 'General Information'!E117&lt;&gt;"", 'General Information'!F117&lt;&gt;"", 'General Information'!G117&lt;&gt;""), _xlfn.WEBSERVICE("https://nominatim.openstreetmap.org/search?q=" &amp; 'General Information'!K117 &amp; "&amp;format=json&amp;polygon=1&amp;addressdetails=1"), "")</f>
        <v/>
      </c>
      <c r="E10" s="316" t="e">
        <f t="shared" si="0"/>
        <v>#VALUE!</v>
      </c>
      <c r="F10" s="316" t="e">
        <f t="shared" si="1"/>
        <v>#VALUE!</v>
      </c>
      <c r="G10" t="e">
        <f t="shared" si="2"/>
        <v>#VALUE!</v>
      </c>
    </row>
    <row r="11" spans="1:7" x14ac:dyDescent="0.3">
      <c r="D11" s="315" t="str">
        <f>IF(AND('General Information'!$H$108=TRUE, 'General Information'!D118&lt;&gt;"", 'General Information'!E118&lt;&gt;"", 'General Information'!F118&lt;&gt;"", 'General Information'!G118&lt;&gt;""), _xlfn.WEBSERVICE("https://nominatim.openstreetmap.org/search?q=" &amp; 'General Information'!K118 &amp; "&amp;format=json&amp;polygon=1&amp;addressdetails=1"), "")</f>
        <v/>
      </c>
      <c r="E11" s="316" t="e">
        <f t="shared" si="0"/>
        <v>#VALUE!</v>
      </c>
      <c r="F11" s="316" t="e">
        <f t="shared" si="1"/>
        <v>#VALUE!</v>
      </c>
      <c r="G11" t="e">
        <f t="shared" si="2"/>
        <v>#VALUE!</v>
      </c>
    </row>
    <row r="12" spans="1:7" x14ac:dyDescent="0.3">
      <c r="D12" s="315" t="str">
        <f>IF(AND('General Information'!$H$108=TRUE, 'General Information'!D119&lt;&gt;"", 'General Information'!E119&lt;&gt;"", 'General Information'!F119&lt;&gt;"", 'General Information'!G119&lt;&gt;""), _xlfn.WEBSERVICE("https://nominatim.openstreetmap.org/search?q=" &amp; 'General Information'!K119 &amp; "&amp;format=json&amp;polygon=1&amp;addressdetails=1"), "")</f>
        <v/>
      </c>
      <c r="E12" s="316" t="e">
        <f t="shared" si="0"/>
        <v>#VALUE!</v>
      </c>
      <c r="F12" s="316" t="e">
        <f t="shared" si="1"/>
        <v>#VALUE!</v>
      </c>
      <c r="G12" t="e">
        <f t="shared" si="2"/>
        <v>#VALUE!</v>
      </c>
    </row>
    <row r="13" spans="1:7" x14ac:dyDescent="0.3">
      <c r="D13" s="315" t="str">
        <f>IF(AND('General Information'!$H$108=TRUE, 'General Information'!D120&lt;&gt;"", 'General Information'!E120&lt;&gt;"", 'General Information'!F120&lt;&gt;"", 'General Information'!G120&lt;&gt;""), _xlfn.WEBSERVICE("https://nominatim.openstreetmap.org/search?q=" &amp; 'General Information'!K120 &amp; "&amp;format=json&amp;polygon=1&amp;addressdetails=1"), "")</f>
        <v/>
      </c>
      <c r="E13" s="316" t="e">
        <f t="shared" si="0"/>
        <v>#VALUE!</v>
      </c>
      <c r="F13" s="316" t="e">
        <f t="shared" si="1"/>
        <v>#VALUE!</v>
      </c>
      <c r="G13" t="e">
        <f t="shared" si="2"/>
        <v>#VALUE!</v>
      </c>
    </row>
    <row r="14" spans="1:7" x14ac:dyDescent="0.3">
      <c r="D14" s="315" t="str">
        <f>IF(AND('General Information'!$H$108=TRUE, 'General Information'!D121&lt;&gt;"", 'General Information'!E121&lt;&gt;"", 'General Information'!F121&lt;&gt;"", 'General Information'!G121&lt;&gt;""), _xlfn.WEBSERVICE("https://nominatim.openstreetmap.org/search?q=" &amp; 'General Information'!K121 &amp; "&amp;format=json&amp;polygon=1&amp;addressdetails=1"), "")</f>
        <v/>
      </c>
      <c r="E14" s="316" t="e">
        <f t="shared" si="0"/>
        <v>#VALUE!</v>
      </c>
      <c r="F14" s="316" t="e">
        <f t="shared" si="1"/>
        <v>#VALUE!</v>
      </c>
      <c r="G14" t="e">
        <f t="shared" si="2"/>
        <v>#VALUE!</v>
      </c>
    </row>
    <row r="15" spans="1:7" x14ac:dyDescent="0.3">
      <c r="D15" s="315" t="str">
        <f>IF(AND('General Information'!$H$108=TRUE, 'General Information'!D122&lt;&gt;"", 'General Information'!E122&lt;&gt;"", 'General Information'!F122&lt;&gt;"", 'General Information'!G122&lt;&gt;""), _xlfn.WEBSERVICE("https://nominatim.openstreetmap.org/search?q=" &amp; 'General Information'!K122 &amp; "&amp;format=json&amp;polygon=1&amp;addressdetails=1"), "")</f>
        <v/>
      </c>
      <c r="E15" s="316" t="e">
        <f t="shared" si="0"/>
        <v>#VALUE!</v>
      </c>
      <c r="F15" s="316" t="e">
        <f t="shared" si="1"/>
        <v>#VALUE!</v>
      </c>
      <c r="G15" t="e">
        <f t="shared" si="2"/>
        <v>#VALUE!</v>
      </c>
    </row>
    <row r="16" spans="1:7" x14ac:dyDescent="0.3">
      <c r="D16" s="315" t="str">
        <f>IF(AND('General Information'!$H$108=TRUE, 'General Information'!D123&lt;&gt;"", 'General Information'!E123&lt;&gt;"", 'General Information'!F123&lt;&gt;"", 'General Information'!G123&lt;&gt;""), _xlfn.WEBSERVICE("https://nominatim.openstreetmap.org/search?q=" &amp; 'General Information'!K123 &amp; "&amp;format=json&amp;polygon=1&amp;addressdetails=1"), "")</f>
        <v/>
      </c>
      <c r="E16" s="316" t="e">
        <f t="shared" si="0"/>
        <v>#VALUE!</v>
      </c>
      <c r="F16" s="316" t="e">
        <f t="shared" si="1"/>
        <v>#VALUE!</v>
      </c>
      <c r="G16" t="e">
        <f t="shared" si="2"/>
        <v>#VALUE!</v>
      </c>
    </row>
    <row r="17" spans="4:7" x14ac:dyDescent="0.3">
      <c r="D17" s="315" t="str">
        <f>IF(AND('General Information'!$H$108=TRUE, 'General Information'!D124&lt;&gt;"", 'General Information'!E124&lt;&gt;"", 'General Information'!F124&lt;&gt;"", 'General Information'!G124&lt;&gt;""), _xlfn.WEBSERVICE("https://nominatim.openstreetmap.org/search?q=" &amp; 'General Information'!K124 &amp; "&amp;format=json&amp;polygon=1&amp;addressdetails=1"), "")</f>
        <v/>
      </c>
      <c r="E17" s="316" t="e">
        <f t="shared" si="0"/>
        <v>#VALUE!</v>
      </c>
      <c r="F17" s="316" t="e">
        <f t="shared" si="1"/>
        <v>#VALUE!</v>
      </c>
      <c r="G17" t="e">
        <f t="shared" si="2"/>
        <v>#VALUE!</v>
      </c>
    </row>
    <row r="18" spans="4:7" x14ac:dyDescent="0.3">
      <c r="D18" s="315" t="str">
        <f>IF(AND('General Information'!$H$108=TRUE, 'General Information'!D125&lt;&gt;"", 'General Information'!E125&lt;&gt;"", 'General Information'!F125&lt;&gt;"", 'General Information'!G125&lt;&gt;""), _xlfn.WEBSERVICE("https://nominatim.openstreetmap.org/search?q=" &amp; 'General Information'!K125 &amp; "&amp;format=json&amp;polygon=1&amp;addressdetails=1"), "")</f>
        <v/>
      </c>
      <c r="E18" s="316" t="e">
        <f t="shared" si="0"/>
        <v>#VALUE!</v>
      </c>
      <c r="F18" s="316" t="e">
        <f t="shared" si="1"/>
        <v>#VALUE!</v>
      </c>
      <c r="G18" t="e">
        <f t="shared" si="2"/>
        <v>#VALUE!</v>
      </c>
    </row>
    <row r="19" spans="4:7" x14ac:dyDescent="0.3">
      <c r="D19" s="315" t="str">
        <f>IF(AND('General Information'!$H$108=TRUE, 'General Information'!D126&lt;&gt;"", 'General Information'!E126&lt;&gt;"", 'General Information'!F126&lt;&gt;"", 'General Information'!G126&lt;&gt;""), _xlfn.WEBSERVICE("https://nominatim.openstreetmap.org/search?q=" &amp; 'General Information'!K126 &amp; "&amp;format=json&amp;polygon=1&amp;addressdetails=1"), "")</f>
        <v/>
      </c>
      <c r="E19" s="316" t="e">
        <f t="shared" si="0"/>
        <v>#VALUE!</v>
      </c>
      <c r="F19" s="316" t="e">
        <f t="shared" si="1"/>
        <v>#VALUE!</v>
      </c>
      <c r="G19" t="e">
        <f t="shared" si="2"/>
        <v>#VALUE!</v>
      </c>
    </row>
    <row r="20" spans="4:7" x14ac:dyDescent="0.3">
      <c r="D20" s="315" t="str">
        <f>IF(AND('General Information'!$H$108=TRUE, 'General Information'!D127&lt;&gt;"", 'General Information'!E127&lt;&gt;"", 'General Information'!F127&lt;&gt;"", 'General Information'!G127&lt;&gt;""), _xlfn.WEBSERVICE("https://nominatim.openstreetmap.org/search?q=" &amp; 'General Information'!K127 &amp; "&amp;format=json&amp;polygon=1&amp;addressdetails=1"), "")</f>
        <v/>
      </c>
      <c r="E20" s="316" t="e">
        <f t="shared" si="0"/>
        <v>#VALUE!</v>
      </c>
      <c r="F20" s="316" t="e">
        <f t="shared" si="1"/>
        <v>#VALUE!</v>
      </c>
      <c r="G20" t="e">
        <f t="shared" si="2"/>
        <v>#VALUE!</v>
      </c>
    </row>
    <row r="21" spans="4:7" x14ac:dyDescent="0.3">
      <c r="D21" s="315" t="str">
        <f>IF(AND('General Information'!$H$108=TRUE, 'General Information'!D128&lt;&gt;"", 'General Information'!E128&lt;&gt;"", 'General Information'!F128&lt;&gt;"", 'General Information'!G128&lt;&gt;""), _xlfn.WEBSERVICE("https://nominatim.openstreetmap.org/search?q=" &amp; 'General Information'!K128 &amp; "&amp;format=json&amp;polygon=1&amp;addressdetails=1"), "")</f>
        <v/>
      </c>
      <c r="E21" s="316" t="e">
        <f t="shared" si="0"/>
        <v>#VALUE!</v>
      </c>
      <c r="F21" s="316" t="e">
        <f t="shared" si="1"/>
        <v>#VALUE!</v>
      </c>
      <c r="G21" t="e">
        <f t="shared" si="2"/>
        <v>#VALUE!</v>
      </c>
    </row>
    <row r="22" spans="4:7" x14ac:dyDescent="0.3">
      <c r="D22" s="315" t="str">
        <f>IF(AND('General Information'!$H$108=TRUE, 'General Information'!D129&lt;&gt;"", 'General Information'!E129&lt;&gt;"", 'General Information'!F129&lt;&gt;"", 'General Information'!G129&lt;&gt;""), _xlfn.WEBSERVICE("https://nominatim.openstreetmap.org/search?q=" &amp; 'General Information'!K129 &amp; "&amp;format=json&amp;polygon=1&amp;addressdetails=1"), "")</f>
        <v/>
      </c>
      <c r="E22" s="316" t="e">
        <f t="shared" si="0"/>
        <v>#VALUE!</v>
      </c>
      <c r="F22" s="316" t="e">
        <f t="shared" si="1"/>
        <v>#VALUE!</v>
      </c>
      <c r="G22" t="e">
        <f t="shared" si="2"/>
        <v>#VALUE!</v>
      </c>
    </row>
    <row r="23" spans="4:7" x14ac:dyDescent="0.3">
      <c r="D23" s="315" t="str">
        <f>IF(AND('General Information'!$H$108=TRUE, 'General Information'!D130&lt;&gt;"", 'General Information'!E130&lt;&gt;"", 'General Information'!F130&lt;&gt;"", 'General Information'!G130&lt;&gt;""), _xlfn.WEBSERVICE("https://nominatim.openstreetmap.org/search?q=" &amp; 'General Information'!K130 &amp; "&amp;format=json&amp;polygon=1&amp;addressdetails=1"), "")</f>
        <v/>
      </c>
      <c r="E23" s="316" t="e">
        <f t="shared" si="0"/>
        <v>#VALUE!</v>
      </c>
      <c r="F23" s="316" t="e">
        <f t="shared" si="1"/>
        <v>#VALUE!</v>
      </c>
      <c r="G23" t="e">
        <f t="shared" si="2"/>
        <v>#VALUE!</v>
      </c>
    </row>
    <row r="24" spans="4:7" x14ac:dyDescent="0.3">
      <c r="D24" s="315" t="str">
        <f>IF(AND('General Information'!$H$108=TRUE, 'General Information'!D131&lt;&gt;"", 'General Information'!E131&lt;&gt;"", 'General Information'!F131&lt;&gt;"", 'General Information'!G131&lt;&gt;""), _xlfn.WEBSERVICE("https://nominatim.openstreetmap.org/search?q=" &amp; 'General Information'!K131 &amp; "&amp;format=json&amp;polygon=1&amp;addressdetails=1"), "")</f>
        <v/>
      </c>
      <c r="E24" s="316" t="e">
        <f t="shared" si="0"/>
        <v>#VALUE!</v>
      </c>
      <c r="F24" s="316" t="e">
        <f t="shared" si="1"/>
        <v>#VALUE!</v>
      </c>
      <c r="G24" t="e">
        <f t="shared" si="2"/>
        <v>#VALUE!</v>
      </c>
    </row>
    <row r="25" spans="4:7" x14ac:dyDescent="0.3">
      <c r="D25" s="315" t="str">
        <f>IF(AND('General Information'!$H$108=TRUE, 'General Information'!D132&lt;&gt;"", 'General Information'!E132&lt;&gt;"", 'General Information'!F132&lt;&gt;"", 'General Information'!G132&lt;&gt;""), _xlfn.WEBSERVICE("https://nominatim.openstreetmap.org/search?q=" &amp; 'General Information'!K132 &amp; "&amp;format=json&amp;polygon=1&amp;addressdetails=1"), "")</f>
        <v/>
      </c>
      <c r="E25" s="316" t="e">
        <f t="shared" si="0"/>
        <v>#VALUE!</v>
      </c>
      <c r="F25" s="316" t="e">
        <f t="shared" si="1"/>
        <v>#VALUE!</v>
      </c>
      <c r="G25" t="e">
        <f t="shared" si="2"/>
        <v>#VALUE!</v>
      </c>
    </row>
    <row r="26" spans="4:7" x14ac:dyDescent="0.3">
      <c r="D26" s="315" t="str">
        <f>IF(AND('General Information'!$H$108=TRUE, 'General Information'!D133&lt;&gt;"", 'General Information'!E133&lt;&gt;"", 'General Information'!F133&lt;&gt;"", 'General Information'!G133&lt;&gt;""), _xlfn.WEBSERVICE("https://nominatim.openstreetmap.org/search?q=" &amp; 'General Information'!K133 &amp; "&amp;format=json&amp;polygon=1&amp;addressdetails=1"), "")</f>
        <v/>
      </c>
      <c r="E26" s="316" t="e">
        <f t="shared" si="0"/>
        <v>#VALUE!</v>
      </c>
      <c r="F26" s="316" t="e">
        <f t="shared" si="1"/>
        <v>#VALUE!</v>
      </c>
      <c r="G26" t="e">
        <f t="shared" si="2"/>
        <v>#VALUE!</v>
      </c>
    </row>
  </sheetData>
  <sheetProtection algorithmName="SHA-512" hashValue="2e/IVEJMYgAyjeKKNpOIeNJgPWiJOoJYRXmny+foi/MY+HU5doW87KLmyHlyC2yiOh2y0B3rK5n9rI69FR21rA==" saltValue="8uGXS5h5ix4KPZhJqi12o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792</vt:i4>
      </vt:variant>
    </vt:vector>
  </HeadingPairs>
  <TitlesOfParts>
    <vt:vector size="806"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2026-01-26T15:28:08Z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