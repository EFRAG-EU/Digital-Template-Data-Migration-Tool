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237" documentId="13_ncr:1_{9680E5DD-9165-4C81-BC00-AB12D67C3114}" xr6:coauthVersionLast="47" xr6:coauthVersionMax="47" xr10:uidLastSave="{7A75F92B-48FE-42CE-B735-D0F20694CE38}"/>
  <bookViews>
    <workbookView xWindow="-108" yWindow="-108" windowWidth="23256" windowHeight="13896" tabRatio="672" activeTab="2" xr2:uid="{2424E359-BB1A-4C61-AEBD-805991FC6353}"/>
  </bookViews>
  <sheets>
    <sheet name="Cover Pag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sion Parameters" sheetId="15" r:id="rId8"/>
    <sheet name="Unit Of Measurement Converter" sheetId="9" r:id="rId9"/>
    <sheet name="Licence" sheetId="14" r:id="rId10"/>
    <sheet name="Fuel Converter" sheetId="8" r:id="rId11"/>
    <sheet name="Enumeration Lists" sheetId="6" r:id="rId12"/>
    <sheet name="Translations" sheetId="17" r:id="rId13"/>
    <sheet name="Technical Sheet" sheetId="11" state="hidden" r:id="rId14"/>
  </sheets>
  <definedNames>
    <definedName name="_xlnm._FilterDatabase" localSheetId="12" hidden="1">Translations!$A$1:$M$472</definedName>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number_of_training">'Social Disclosures'!$C$154</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aimer_cover_page">Translations!$B$474</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sensitive_information_before_converting">Translations!$B$471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rning_microsoft_excel">Translations!$B$472</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emplate_vsme_digital_template_sample">Translations!$B$473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3" i="17" l="1"/>
  <c r="B2" i="18" s="1"/>
  <c r="B474" i="17"/>
  <c r="B24" i="18" s="1"/>
  <c r="F112" i="11"/>
  <c r="H33" i="7" l="1"/>
  <c r="H27" i="7"/>
  <c r="D31" i="16"/>
  <c r="D19" i="16"/>
  <c r="F105" i="11" l="1"/>
  <c r="E107" i="11"/>
  <c r="F107" i="11"/>
  <c r="F108" i="11"/>
  <c r="F109" i="11"/>
  <c r="F110" i="11"/>
  <c r="F111" i="11"/>
  <c r="F113" i="11"/>
  <c r="E114" i="11"/>
  <c r="F114" i="11"/>
  <c r="F116" i="11"/>
  <c r="F117" i="11"/>
  <c r="F118" i="11"/>
  <c r="F119" i="11"/>
  <c r="F120" i="11"/>
  <c r="F122" i="11"/>
  <c r="F123" i="11"/>
  <c r="F125" i="11"/>
  <c r="F126" i="11"/>
  <c r="F128" i="11"/>
  <c r="F129" i="11"/>
  <c r="F130" i="11"/>
  <c r="E131" i="11"/>
  <c r="F131" i="11"/>
  <c r="F133" i="11"/>
  <c r="F134" i="11"/>
  <c r="F135" i="11"/>
  <c r="F136" i="11"/>
  <c r="F137" i="11"/>
  <c r="F139" i="11"/>
  <c r="F140" i="11"/>
  <c r="E141" i="11"/>
  <c r="F141" i="11"/>
  <c r="F142" i="11"/>
  <c r="E143" i="11"/>
  <c r="F143" i="11"/>
  <c r="E144" i="11"/>
  <c r="F144" i="11"/>
  <c r="F145" i="11"/>
  <c r="F146" i="11"/>
  <c r="E147" i="11"/>
  <c r="F147" i="11"/>
  <c r="F149" i="11"/>
  <c r="F150" i="11"/>
  <c r="F151" i="11"/>
  <c r="F152" i="11"/>
  <c r="E153" i="11"/>
  <c r="F153" i="11"/>
  <c r="F154" i="11"/>
  <c r="F155" i="11"/>
  <c r="F156" i="11"/>
  <c r="E157" i="11"/>
  <c r="F157" i="11"/>
  <c r="F159" i="11"/>
  <c r="F160" i="11"/>
  <c r="F161" i="11"/>
  <c r="E162" i="11"/>
  <c r="F162" i="11"/>
  <c r="F163" i="11"/>
  <c r="F164" i="11"/>
  <c r="F165" i="11"/>
  <c r="F166" i="11"/>
  <c r="D62" i="16"/>
  <c r="D52" i="16"/>
  <c r="D42" i="16"/>
  <c r="D36" i="16"/>
  <c r="D28" i="16"/>
  <c r="D25" i="16"/>
  <c r="D10" i="16"/>
  <c r="F179" i="3"/>
  <c r="E129" i="11" l="1"/>
  <c r="E112" i="11"/>
  <c r="E166" i="11"/>
  <c r="E130" i="11"/>
  <c r="E133" i="11"/>
  <c r="E161" i="11"/>
  <c r="E138" i="11"/>
  <c r="E149" i="11"/>
  <c r="E127" i="11"/>
  <c r="E116" i="11"/>
  <c r="E142" i="11"/>
  <c r="E165" i="11"/>
  <c r="E125" i="11"/>
  <c r="E137" i="11"/>
  <c r="E124" i="11"/>
  <c r="E163" i="11"/>
  <c r="E154" i="11"/>
  <c r="E136" i="11"/>
  <c r="E126" i="11"/>
  <c r="E155" i="11"/>
  <c r="E164" i="11"/>
  <c r="E146" i="11"/>
  <c r="E148" i="11"/>
  <c r="E135" i="11"/>
  <c r="E121" i="11"/>
  <c r="E106" i="11"/>
  <c r="E132" i="11"/>
  <c r="E158" i="11"/>
  <c r="E159" i="11"/>
  <c r="E152" i="11"/>
  <c r="E145" i="11"/>
  <c r="E151" i="11"/>
  <c r="E139" i="11"/>
  <c r="E140" i="11"/>
  <c r="F138" i="11"/>
  <c r="E134" i="11"/>
  <c r="F132" i="11"/>
  <c r="E128" i="11"/>
  <c r="E123" i="11"/>
  <c r="E122" i="11"/>
  <c r="E150" i="11"/>
  <c r="E113" i="11"/>
  <c r="E108" i="11"/>
  <c r="E109" i="11"/>
  <c r="E110" i="11"/>
  <c r="E111" i="11"/>
  <c r="F158" i="11"/>
  <c r="F106" i="11"/>
  <c r="E119" i="11"/>
  <c r="E156" i="11"/>
  <c r="E117" i="11"/>
  <c r="E118" i="11"/>
  <c r="E120" i="11"/>
  <c r="E160" i="11"/>
  <c r="F124" i="11"/>
  <c r="F115" i="11"/>
  <c r="E115" i="11"/>
  <c r="F121" i="11"/>
  <c r="F148" i="11"/>
  <c r="F127" i="11"/>
  <c r="H3" i="17"/>
  <c r="G3" i="17"/>
  <c r="E174" i="3" l="1"/>
  <c r="E3" i="17"/>
  <c r="D142" i="12"/>
  <c r="D143" i="12" s="1"/>
  <c r="P16" i="8" l="1"/>
  <c r="D212" i="1" l="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I3" i="17"/>
  <c r="F3" i="17"/>
  <c r="D3" i="17" l="1"/>
  <c r="M330" i="1" l="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39" i="3"/>
  <c r="I439"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2" i="3"/>
  <c r="I452"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F376"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182" i="3" l="1"/>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19" i="3" l="1"/>
  <c r="I38" i="7"/>
  <c r="I12" i="7"/>
  <c r="I200" i="12"/>
  <c r="I194" i="12"/>
  <c r="I192" i="12"/>
  <c r="I191" i="12"/>
  <c r="I186" i="12" a="1"/>
  <c r="I186" i="12" s="1"/>
  <c r="M548" i="1"/>
  <c r="L544" i="1"/>
  <c r="K438" i="1"/>
  <c r="K439" i="1"/>
  <c r="K440" i="1"/>
  <c r="K441" i="1"/>
  <c r="K442" i="1"/>
  <c r="K443" i="1"/>
  <c r="K444" i="1"/>
  <c r="K445" i="1"/>
  <c r="K446" i="1"/>
  <c r="K447" i="1"/>
  <c r="K437" i="1"/>
  <c r="L83" i="1" l="1"/>
  <c r="L84" i="1"/>
  <c r="L85" i="1"/>
  <c r="L86" i="1"/>
  <c r="L87" i="1"/>
  <c r="L88" i="1"/>
  <c r="L89" i="1"/>
  <c r="L82" i="1"/>
  <c r="L76" i="1"/>
  <c r="L58" i="1"/>
  <c r="L24" i="1"/>
  <c r="F292" i="3"/>
  <c r="F293" i="3"/>
  <c r="F294" i="3"/>
  <c r="F295" i="3"/>
  <c r="F296" i="3"/>
  <c r="F297" i="3"/>
  <c r="F298" i="3"/>
  <c r="F299" i="3"/>
  <c r="F300" i="3"/>
  <c r="F301" i="3"/>
  <c r="F302" i="3"/>
  <c r="F303" i="3"/>
  <c r="F304" i="3"/>
  <c r="F305" i="3"/>
  <c r="F306" i="3"/>
  <c r="F307" i="3"/>
  <c r="F308" i="3"/>
  <c r="F309" i="3"/>
  <c r="F310" i="3"/>
  <c r="F291" i="3"/>
  <c r="F21" i="3"/>
  <c r="F22" i="3"/>
  <c r="F23" i="3"/>
  <c r="F24" i="3"/>
  <c r="F25" i="3"/>
  <c r="F26" i="3"/>
  <c r="F27" i="3"/>
  <c r="F20" i="3"/>
  <c r="F119" i="3"/>
  <c r="F18" i="3"/>
  <c r="J3" i="17" l="1"/>
  <c r="K3" i="17"/>
  <c r="L3" i="17"/>
  <c r="M3" i="17"/>
  <c r="C3" i="17"/>
  <c r="B466" i="17" l="1"/>
  <c r="F123" i="3" s="1"/>
  <c r="B84" i="17"/>
  <c r="B471" i="17"/>
  <c r="B472" i="17"/>
  <c r="B3" i="4" s="1" a="1"/>
  <c r="B3" i="4" s="1"/>
  <c r="B117" i="17"/>
  <c r="B12" i="16" s="1"/>
  <c r="B53" i="17"/>
  <c r="D3" i="16" s="1"/>
  <c r="B71" i="17"/>
  <c r="B47" i="17"/>
  <c r="B36" i="4" s="1"/>
  <c r="B48" i="17"/>
  <c r="C36" i="4" s="1"/>
  <c r="B77" i="17"/>
  <c r="B75" i="17"/>
  <c r="B469" i="17"/>
  <c r="B470" i="17"/>
  <c r="A183" i="12" s="1"/>
  <c r="B450" i="17"/>
  <c r="B468" i="17"/>
  <c r="A518" i="3" s="1"/>
  <c r="B282" i="17"/>
  <c r="B56" i="17"/>
  <c r="D2" i="16" s="1"/>
  <c r="B21" i="17"/>
  <c r="B13" i="4" s="1"/>
  <c r="B467" i="17"/>
  <c r="A21" i="1" s="1"/>
  <c r="B309" i="17"/>
  <c r="C27" i="12" s="1"/>
  <c r="B19" i="17"/>
  <c r="B12" i="4" s="1"/>
  <c r="B462" i="17"/>
  <c r="M188" i="1" s="1"/>
  <c r="B390" i="17"/>
  <c r="B404" i="17"/>
  <c r="B417" i="17"/>
  <c r="B431" i="17"/>
  <c r="B445" i="17"/>
  <c r="B360" i="17"/>
  <c r="B373" i="17"/>
  <c r="B17" i="17"/>
  <c r="B33" i="17"/>
  <c r="B49" i="17"/>
  <c r="B82" i="17"/>
  <c r="T17" i="6" s="1"/>
  <c r="B89" i="17"/>
  <c r="B1" i="3" s="1"/>
  <c r="B101" i="17"/>
  <c r="B114" i="17"/>
  <c r="B128" i="17"/>
  <c r="B139" i="17"/>
  <c r="B152" i="17"/>
  <c r="B164" i="17"/>
  <c r="B175" i="17"/>
  <c r="B187" i="17"/>
  <c r="B201" i="17"/>
  <c r="B215" i="17"/>
  <c r="B227" i="17"/>
  <c r="B252" i="17"/>
  <c r="B263" i="17"/>
  <c r="B276" i="17"/>
  <c r="B288" i="17"/>
  <c r="B300" i="17"/>
  <c r="B312" i="17"/>
  <c r="B324" i="17"/>
  <c r="B348" i="17"/>
  <c r="B10" i="17"/>
  <c r="B460" i="17"/>
  <c r="M14" i="1" s="1"/>
  <c r="B395" i="17"/>
  <c r="J10" i="8" s="1"/>
  <c r="B409" i="17"/>
  <c r="B422" i="17"/>
  <c r="B436" i="17"/>
  <c r="B451" i="17"/>
  <c r="B365" i="17"/>
  <c r="B377" i="17"/>
  <c r="B24" i="17"/>
  <c r="B38" i="17"/>
  <c r="B54" i="17"/>
  <c r="B93" i="17"/>
  <c r="B106" i="17"/>
  <c r="B119" i="17"/>
  <c r="C123" i="3" s="1"/>
  <c r="B132" i="17"/>
  <c r="B157" i="17"/>
  <c r="B168" i="17"/>
  <c r="B179" i="17"/>
  <c r="B192" i="17"/>
  <c r="B206" i="17"/>
  <c r="B218" i="17"/>
  <c r="B231" i="17"/>
  <c r="B244" i="17"/>
  <c r="B256" i="17"/>
  <c r="B267" i="17"/>
  <c r="B280" i="17"/>
  <c r="C433" i="1" s="1"/>
  <c r="B293" i="17"/>
  <c r="B68" i="16" s="1"/>
  <c r="E171" i="3" s="1"/>
  <c r="B304" i="17"/>
  <c r="B316" i="17"/>
  <c r="B328" i="17"/>
  <c r="B44" i="16" s="1"/>
  <c r="E154" i="3" s="1"/>
  <c r="B340" i="17"/>
  <c r="B353" i="17"/>
  <c r="B4" i="17"/>
  <c r="B459" i="17"/>
  <c r="L404" i="3" s="1"/>
  <c r="B384" i="17"/>
  <c r="B398" i="17"/>
  <c r="B411" i="17"/>
  <c r="B425" i="17"/>
  <c r="B439" i="17"/>
  <c r="B368" i="17"/>
  <c r="B380" i="17"/>
  <c r="B27" i="17"/>
  <c r="B41" i="17"/>
  <c r="B58" i="17"/>
  <c r="B96" i="17"/>
  <c r="B109" i="17"/>
  <c r="B122" i="17"/>
  <c r="B134" i="17"/>
  <c r="B14" i="16" s="1"/>
  <c r="B146" i="17"/>
  <c r="B159" i="17"/>
  <c r="B17" i="16" s="1"/>
  <c r="B182" i="17"/>
  <c r="B195" i="17"/>
  <c r="B209" i="17"/>
  <c r="B221" i="17"/>
  <c r="B234" i="17"/>
  <c r="B247" i="17"/>
  <c r="B258" i="17"/>
  <c r="B30" i="16" s="1"/>
  <c r="B270" i="17"/>
  <c r="B283" i="17"/>
  <c r="B295" i="17"/>
  <c r="B319" i="17"/>
  <c r="B330" i="17"/>
  <c r="B343" i="17"/>
  <c r="B15" i="17"/>
  <c r="B385" i="17"/>
  <c r="B399" i="17"/>
  <c r="B412" i="17"/>
  <c r="B426" i="17"/>
  <c r="B440" i="17"/>
  <c r="B356" i="17"/>
  <c r="B381" i="17"/>
  <c r="B28" i="17"/>
  <c r="B42" i="17"/>
  <c r="B59" i="17"/>
  <c r="B97" i="17"/>
  <c r="B110" i="17"/>
  <c r="B123" i="17"/>
  <c r="B135" i="17"/>
  <c r="C394" i="3" s="1"/>
  <c r="B147" i="17"/>
  <c r="B160" i="17"/>
  <c r="B171" i="17"/>
  <c r="B183" i="17"/>
  <c r="B196" i="17"/>
  <c r="B210" i="17"/>
  <c r="B222" i="17"/>
  <c r="B235" i="17"/>
  <c r="B259" i="17"/>
  <c r="B271" i="17"/>
  <c r="B284" i="17"/>
  <c r="B307" i="17"/>
  <c r="B39" i="16" s="1"/>
  <c r="B320" i="17"/>
  <c r="B331" i="17"/>
  <c r="B344" i="17"/>
  <c r="B5" i="17"/>
  <c r="B386" i="17"/>
  <c r="B400" i="17"/>
  <c r="B413" i="17"/>
  <c r="B427" i="17"/>
  <c r="B441" i="17"/>
  <c r="B357" i="17"/>
  <c r="B369" i="17"/>
  <c r="B64" i="16" s="1"/>
  <c r="B29" i="17"/>
  <c r="B43" i="17"/>
  <c r="B60" i="17"/>
  <c r="B98" i="17"/>
  <c r="B111" i="17"/>
  <c r="B124" i="17"/>
  <c r="B136" i="17"/>
  <c r="B148" i="17"/>
  <c r="O508" i="3" s="1"/>
  <c r="B161" i="17"/>
  <c r="B172" i="17"/>
  <c r="B197" i="17"/>
  <c r="B211" i="17"/>
  <c r="B223" i="17"/>
  <c r="B236" i="17"/>
  <c r="B248" i="17"/>
  <c r="B27" i="16" s="1"/>
  <c r="B260" i="17"/>
  <c r="B272" i="17"/>
  <c r="B285" i="17"/>
  <c r="B296" i="17"/>
  <c r="B37" i="16" s="1"/>
  <c r="B308" i="17"/>
  <c r="B332" i="17"/>
  <c r="B345" i="17"/>
  <c r="B6" i="17"/>
  <c r="B391" i="17"/>
  <c r="B433" i="17"/>
  <c r="B358" i="17"/>
  <c r="B376" i="17"/>
  <c r="B31" i="17"/>
  <c r="B90" i="17"/>
  <c r="B108" i="17"/>
  <c r="B149" i="17"/>
  <c r="B185" i="17"/>
  <c r="B53" i="16" s="1"/>
  <c r="E159" i="3" s="1"/>
  <c r="B205" i="17"/>
  <c r="B226" i="17"/>
  <c r="B245" i="17"/>
  <c r="B264" i="17"/>
  <c r="B301" i="17"/>
  <c r="B38" i="16" s="1"/>
  <c r="B321" i="17"/>
  <c r="B43" i="16" s="1"/>
  <c r="B338" i="17"/>
  <c r="B8" i="17"/>
  <c r="B458" i="17"/>
  <c r="G180" i="3" s="1"/>
  <c r="B392" i="17"/>
  <c r="B414" i="17"/>
  <c r="B434" i="17"/>
  <c r="B32" i="17"/>
  <c r="B55" i="17"/>
  <c r="B91" i="17"/>
  <c r="B130" i="17"/>
  <c r="B13" i="16" s="1"/>
  <c r="B150" i="17"/>
  <c r="B167" i="17"/>
  <c r="B186" i="17"/>
  <c r="B207" i="17"/>
  <c r="B228" i="17"/>
  <c r="B246" i="17"/>
  <c r="B302" i="17"/>
  <c r="B322" i="17"/>
  <c r="B339" i="17"/>
  <c r="B9" i="17"/>
  <c r="B464" i="17"/>
  <c r="B456" i="17"/>
  <c r="B397" i="17"/>
  <c r="B419" i="17"/>
  <c r="B442" i="17"/>
  <c r="B363" i="17"/>
  <c r="B355" i="17"/>
  <c r="B37" i="17"/>
  <c r="B83" i="17"/>
  <c r="T18" i="6" s="1"/>
  <c r="B95" i="17"/>
  <c r="B155" i="17"/>
  <c r="B191" i="17"/>
  <c r="B214" i="17"/>
  <c r="B232" i="17"/>
  <c r="B253" i="17"/>
  <c r="B269" i="17"/>
  <c r="B290" i="17"/>
  <c r="B327" i="17"/>
  <c r="B14" i="17"/>
  <c r="B455" i="17"/>
  <c r="B403" i="17"/>
  <c r="B423" i="17"/>
  <c r="B446" i="17"/>
  <c r="B367" i="17"/>
  <c r="B20" i="17"/>
  <c r="C12" i="4" s="1"/>
  <c r="B44" i="17"/>
  <c r="B100" i="17"/>
  <c r="B120" i="17"/>
  <c r="B140" i="17"/>
  <c r="B176" i="17"/>
  <c r="B21" i="16" s="1"/>
  <c r="B198" i="17"/>
  <c r="B238" i="17"/>
  <c r="B255" i="17"/>
  <c r="B29" i="16" s="1"/>
  <c r="B275" i="17"/>
  <c r="B313" i="17"/>
  <c r="B350" i="17"/>
  <c r="B465" i="17"/>
  <c r="J141" i="12" s="1"/>
  <c r="B408" i="17"/>
  <c r="B438" i="17"/>
  <c r="B371" i="17"/>
  <c r="B34" i="17"/>
  <c r="B94" i="17"/>
  <c r="B125" i="17"/>
  <c r="B151" i="17"/>
  <c r="B203" i="17"/>
  <c r="B230" i="17"/>
  <c r="B286" i="17"/>
  <c r="B311" i="17"/>
  <c r="B336" i="17"/>
  <c r="B13" i="17"/>
  <c r="B389" i="17"/>
  <c r="B420" i="17"/>
  <c r="B449" i="17"/>
  <c r="B379" i="17"/>
  <c r="B45" i="17"/>
  <c r="T19" i="6"/>
  <c r="B104" i="17"/>
  <c r="B133" i="17"/>
  <c r="B162" i="17"/>
  <c r="B184" i="17"/>
  <c r="B22" i="16" s="1"/>
  <c r="B241" i="17"/>
  <c r="B266" i="17"/>
  <c r="B294" i="17"/>
  <c r="B318" i="17"/>
  <c r="B347" i="17"/>
  <c r="B396" i="17"/>
  <c r="B428" i="17"/>
  <c r="B359" i="17"/>
  <c r="B63" i="16" s="1"/>
  <c r="B18" i="17"/>
  <c r="B51" i="17"/>
  <c r="B87" i="17"/>
  <c r="B112" i="17"/>
  <c r="B138" i="17"/>
  <c r="B165" i="17"/>
  <c r="B190" i="17"/>
  <c r="B219" i="17"/>
  <c r="B249" i="17"/>
  <c r="B274" i="17"/>
  <c r="B299" i="17"/>
  <c r="B326" i="17"/>
  <c r="B352" i="17"/>
  <c r="B401" i="17"/>
  <c r="B429" i="17"/>
  <c r="B361" i="17"/>
  <c r="B22" i="17"/>
  <c r="C13" i="4" s="1"/>
  <c r="B52" i="17"/>
  <c r="B113" i="17"/>
  <c r="B141" i="17"/>
  <c r="B166" i="17"/>
  <c r="B193" i="17"/>
  <c r="B220" i="17"/>
  <c r="B250" i="17"/>
  <c r="B277" i="17"/>
  <c r="B393" i="17"/>
  <c r="B435" i="17"/>
  <c r="B375" i="17"/>
  <c r="B57" i="17"/>
  <c r="B3" i="16" s="1"/>
  <c r="B105" i="17"/>
  <c r="B144" i="17"/>
  <c r="B16" i="16" s="1"/>
  <c r="B180" i="17"/>
  <c r="B224" i="17"/>
  <c r="B261" i="17"/>
  <c r="B297" i="17"/>
  <c r="B334" i="17"/>
  <c r="B394" i="17"/>
  <c r="B437" i="17"/>
  <c r="B378" i="17"/>
  <c r="B61" i="17"/>
  <c r="B107" i="17"/>
  <c r="B145" i="17"/>
  <c r="B181" i="17"/>
  <c r="B225" i="17"/>
  <c r="B23" i="16" s="1"/>
  <c r="B298" i="17"/>
  <c r="B335" i="17"/>
  <c r="B461" i="17"/>
  <c r="M30" i="1" s="1"/>
  <c r="B407" i="17"/>
  <c r="B448" i="17"/>
  <c r="B25" i="17"/>
  <c r="B86" i="17"/>
  <c r="T21" i="6" s="1"/>
  <c r="B121" i="17"/>
  <c r="B158" i="17"/>
  <c r="B199" i="17"/>
  <c r="B237" i="17"/>
  <c r="B273" i="17"/>
  <c r="B310" i="17"/>
  <c r="B40" i="16" s="1"/>
  <c r="B346" i="17"/>
  <c r="B416" i="17"/>
  <c r="B362" i="17"/>
  <c r="B35" i="17"/>
  <c r="B92" i="17"/>
  <c r="B129" i="17"/>
  <c r="B169" i="17"/>
  <c r="B204" i="17"/>
  <c r="B242" i="17"/>
  <c r="B279" i="17"/>
  <c r="B34" i="16" s="1"/>
  <c r="E145" i="3" s="1"/>
  <c r="B315" i="17"/>
  <c r="B354" i="17"/>
  <c r="B69" i="16" s="1"/>
  <c r="E172" i="3" s="1"/>
  <c r="B463" i="17"/>
  <c r="N323" i="1" s="1"/>
  <c r="B415" i="17"/>
  <c r="B372" i="17"/>
  <c r="B99" i="17"/>
  <c r="B153" i="17"/>
  <c r="B202" i="17"/>
  <c r="B306" i="17"/>
  <c r="B11" i="17"/>
  <c r="B430" i="17"/>
  <c r="B23" i="17"/>
  <c r="B115" i="17"/>
  <c r="B163" i="17"/>
  <c r="B216" i="17"/>
  <c r="B54" i="16" s="1"/>
  <c r="E160" i="3" s="1"/>
  <c r="B268" i="17"/>
  <c r="B323" i="17"/>
  <c r="B383" i="17"/>
  <c r="B444" i="17"/>
  <c r="B36" i="17"/>
  <c r="B126" i="17"/>
  <c r="B174" i="17"/>
  <c r="B20" i="16" s="1"/>
  <c r="B281" i="17"/>
  <c r="B333" i="17"/>
  <c r="B387" i="17"/>
  <c r="B447" i="17"/>
  <c r="B39" i="17"/>
  <c r="B127" i="17"/>
  <c r="B177" i="17"/>
  <c r="B233" i="17"/>
  <c r="B287" i="17"/>
  <c r="B337" i="17"/>
  <c r="B388" i="17"/>
  <c r="B452" i="17"/>
  <c r="B40" i="17"/>
  <c r="B81" i="17"/>
  <c r="T16" i="6" s="1"/>
  <c r="B131" i="17"/>
  <c r="B178" i="17"/>
  <c r="B239" i="17"/>
  <c r="B289" i="17"/>
  <c r="B341" i="17"/>
  <c r="B370" i="17"/>
  <c r="B154" i="17"/>
  <c r="B240" i="17"/>
  <c r="B26" i="16" s="1"/>
  <c r="E137" i="3" s="1"/>
  <c r="B405" i="17"/>
  <c r="B16" i="17"/>
  <c r="B88" i="17"/>
  <c r="A1" i="3" s="1"/>
  <c r="B170" i="17"/>
  <c r="B254" i="17"/>
  <c r="B329" i="17"/>
  <c r="B406" i="17"/>
  <c r="B26" i="17"/>
  <c r="B173" i="17"/>
  <c r="B67" i="16" s="1"/>
  <c r="E170" i="3" s="1"/>
  <c r="B257" i="17"/>
  <c r="B342" i="17"/>
  <c r="B454" i="17"/>
  <c r="G4" i="3" s="1"/>
  <c r="B46" i="17"/>
  <c r="B118" i="17"/>
  <c r="B217" i="17"/>
  <c r="B55" i="16" s="1"/>
  <c r="E161" i="3" s="1"/>
  <c r="B325" i="17"/>
  <c r="B418" i="17"/>
  <c r="B142" i="17"/>
  <c r="B251" i="17"/>
  <c r="B7" i="17"/>
  <c r="B421" i="17"/>
  <c r="B143" i="17"/>
  <c r="B262" i="17"/>
  <c r="B32" i="16" s="1"/>
  <c r="E143" i="3" s="1"/>
  <c r="B12" i="17"/>
  <c r="B382" i="17"/>
  <c r="B70" i="16" s="1"/>
  <c r="E173" i="3" s="1"/>
  <c r="B137" i="17"/>
  <c r="B15" i="16" s="1"/>
  <c r="B402" i="17"/>
  <c r="B194" i="17"/>
  <c r="B314" i="17"/>
  <c r="B410" i="17"/>
  <c r="B200" i="17"/>
  <c r="B317" i="17"/>
  <c r="B432" i="17"/>
  <c r="B212" i="17"/>
  <c r="B351" i="17"/>
  <c r="B453" i="17"/>
  <c r="B443" i="17"/>
  <c r="B213" i="17"/>
  <c r="B102" i="17"/>
  <c r="B229" i="17"/>
  <c r="B116" i="17"/>
  <c r="B349" i="17"/>
  <c r="B457" i="17"/>
  <c r="B156" i="17"/>
  <c r="B364" i="17"/>
  <c r="B189" i="17"/>
  <c r="B366" i="17"/>
  <c r="B208" i="17"/>
  <c r="B30" i="17"/>
  <c r="B265" i="17"/>
  <c r="B33" i="16" s="1"/>
  <c r="E144" i="3" s="1"/>
  <c r="B50" i="17"/>
  <c r="B278" i="17"/>
  <c r="B424" i="17"/>
  <c r="B374" i="17"/>
  <c r="B62" i="17"/>
  <c r="B305" i="17"/>
  <c r="B85" i="17"/>
  <c r="T20" i="6" s="1"/>
  <c r="B103" i="17"/>
  <c r="B188" i="17"/>
  <c r="B303" i="17"/>
  <c r="B243" i="17"/>
  <c r="B291" i="17"/>
  <c r="B292" i="17"/>
  <c r="E138" i="3" l="1"/>
  <c r="E168" i="3"/>
  <c r="E134" i="3"/>
  <c r="E167" i="3"/>
  <c r="H529" i="3"/>
  <c r="L75" i="1" a="1"/>
  <c r="L75" i="1" s="1"/>
  <c r="L80" i="1"/>
  <c r="L78" i="1" a="1"/>
  <c r="L78" i="1" s="1"/>
  <c r="H521" i="3"/>
  <c r="M325" i="1"/>
  <c r="M326" i="1"/>
  <c r="M327" i="1"/>
  <c r="M328" i="1"/>
  <c r="M329" i="1"/>
  <c r="M324" i="1"/>
  <c r="I31" i="12"/>
  <c r="L541" i="1"/>
  <c r="L540" i="1"/>
  <c r="K436" i="1"/>
  <c r="L543" i="1"/>
  <c r="L542" i="1"/>
  <c r="H317" i="1"/>
  <c r="I533" i="3"/>
  <c r="C67" i="16" s="1"/>
  <c r="E67" i="16" s="1"/>
  <c r="I395" i="3"/>
  <c r="C14" i="16" s="1"/>
  <c r="E14" i="16" s="1"/>
  <c r="L59" i="1"/>
  <c r="E128" i="3"/>
  <c r="E127" i="3"/>
  <c r="E124" i="3"/>
  <c r="M323" i="1"/>
  <c r="M423" i="1" a="1"/>
  <c r="M423" i="1" s="1"/>
  <c r="H527" i="3"/>
  <c r="H526" i="3"/>
  <c r="H525" i="3"/>
  <c r="G293" i="1"/>
  <c r="F181" i="3"/>
  <c r="I134" i="12"/>
  <c r="I165" i="12"/>
  <c r="I149" i="12"/>
  <c r="I148" i="12"/>
  <c r="I174" i="12"/>
  <c r="I136" i="12"/>
  <c r="I180" i="12"/>
  <c r="I169" i="12"/>
  <c r="I31" i="7"/>
  <c r="I168" i="12"/>
  <c r="I7" i="7"/>
  <c r="I32" i="7"/>
  <c r="I166" i="12"/>
  <c r="I135" i="12"/>
  <c r="I6" i="7"/>
  <c r="E516" i="3"/>
  <c r="E515" i="3"/>
  <c r="F290" i="3"/>
  <c r="C13" i="16" s="1"/>
  <c r="E13" i="16" s="1"/>
  <c r="E310" i="1"/>
  <c r="C30" i="16" s="1"/>
  <c r="E30" i="16" s="1"/>
  <c r="L186" i="1"/>
  <c r="E514" i="3"/>
  <c r="C17" i="16" s="1" a="1"/>
  <c r="C17" i="16" s="1"/>
  <c r="P510" i="3"/>
  <c r="C16" i="16" s="1"/>
  <c r="E16" i="16" s="1"/>
  <c r="L52" i="1"/>
  <c r="C54" i="16" s="1"/>
  <c r="E54" i="16" s="1"/>
  <c r="L30" i="1" a="1"/>
  <c r="L30" i="1" s="1"/>
  <c r="L21" i="1"/>
  <c r="L81" i="1"/>
  <c r="H520" i="3"/>
  <c r="H519" i="3"/>
  <c r="B11" i="16"/>
  <c r="C63" i="16"/>
  <c r="E63" i="16" s="1"/>
  <c r="C70" i="16"/>
  <c r="E70" i="16" s="1"/>
  <c r="C69" i="16"/>
  <c r="E69" i="16" s="1"/>
  <c r="C68" i="16"/>
  <c r="E68" i="16" s="1"/>
  <c r="A55" i="1"/>
  <c r="C2" i="16"/>
  <c r="G9" i="8"/>
  <c r="K435" i="1"/>
  <c r="C34" i="16" s="1"/>
  <c r="E34" i="16" s="1"/>
  <c r="I193" i="12"/>
  <c r="I184" i="12"/>
  <c r="I181" i="12"/>
  <c r="I172" i="12"/>
  <c r="I140" i="12"/>
  <c r="I144" i="12"/>
  <c r="F122" i="3"/>
  <c r="C7" i="16"/>
  <c r="J29" i="12"/>
  <c r="I18" i="12"/>
  <c r="G6" i="3"/>
  <c r="G10" i="3"/>
  <c r="J190" i="12"/>
  <c r="J179" i="12"/>
  <c r="G178" i="3"/>
  <c r="G19" i="3"/>
  <c r="L437" i="1"/>
  <c r="N325" i="1"/>
  <c r="G290" i="3"/>
  <c r="M190" i="1"/>
  <c r="M82" i="1"/>
  <c r="L406" i="3"/>
  <c r="J31" i="12"/>
  <c r="E17" i="16" l="1"/>
  <c r="C56" i="16"/>
  <c r="E56" i="16" s="1" a="1"/>
  <c r="E56" i="16" s="1"/>
  <c r="C24" i="16"/>
  <c r="E24" i="16" s="1"/>
  <c r="C50" i="16"/>
  <c r="C33" i="16"/>
  <c r="E33" i="16" s="1"/>
  <c r="C58" i="16"/>
  <c r="E58" i="16" s="1"/>
  <c r="C53" i="16"/>
  <c r="E53" i="16" s="1"/>
  <c r="C46" i="16"/>
  <c r="E46" i="16" s="1"/>
  <c r="C65" i="16"/>
  <c r="E65" i="16" s="1"/>
  <c r="C40" i="16"/>
  <c r="E40" i="16" s="1"/>
  <c r="C60" i="16"/>
  <c r="E60" i="16" s="1"/>
  <c r="C11" i="16"/>
  <c r="C59" i="16"/>
  <c r="E59" i="16" s="1"/>
  <c r="C41" i="16"/>
  <c r="E41" i="16" s="1"/>
  <c r="C49" i="16"/>
  <c r="E49" i="16" s="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E303" i="1" l="1"/>
  <c r="E304" i="1"/>
  <c r="T12" i="8"/>
  <c r="E11" i="8" s="1"/>
  <c r="X11" i="8"/>
  <c r="W18" i="8"/>
  <c r="AJ11" i="8"/>
  <c r="X12" i="8"/>
  <c r="E12" i="8" s="1"/>
  <c r="AR11" i="8"/>
  <c r="T11" i="8"/>
  <c r="AB11" i="8"/>
  <c r="AZ11" i="8"/>
  <c r="AV11" i="8"/>
  <c r="AN11" i="8"/>
  <c r="AF11" i="8"/>
  <c r="D14" i="8" s="1"/>
  <c r="C29" i="16" l="1"/>
  <c r="E29" i="16" s="1"/>
  <c r="I151" i="12"/>
  <c r="I157" i="12"/>
  <c r="C44" i="16" s="1"/>
  <c r="E44" i="16" s="1"/>
  <c r="I147" i="12"/>
  <c r="D13" i="8"/>
  <c r="D11" i="8"/>
  <c r="D17" i="8"/>
  <c r="D16" i="8"/>
  <c r="D19" i="8"/>
  <c r="D15" i="8"/>
  <c r="D18" i="8"/>
  <c r="D12" i="8"/>
  <c r="P10" i="8"/>
  <c r="O18" i="8" s="1"/>
  <c r="P17" i="8"/>
  <c r="P18" i="8" s="1"/>
  <c r="C43" i="16" l="1"/>
  <c r="E43" i="16" s="1"/>
  <c r="P12" i="8"/>
  <c r="E10" i="8" s="1"/>
  <c r="P11" i="8"/>
  <c r="D10" i="8" s="1"/>
  <c r="C42" i="16" l="1"/>
  <c r="Q16" i="8"/>
  <c r="O19" i="8"/>
  <c r="O20" i="8" s="1"/>
  <c r="O21" i="8" s="1"/>
  <c r="D9" i="3"/>
  <c r="B2" i="11" s="1"/>
  <c r="D62" i="1"/>
  <c r="D13" i="3"/>
  <c r="B3" i="11" s="1"/>
  <c r="C524" i="3" l="1"/>
  <c r="C176" i="3"/>
  <c r="C121" i="3"/>
  <c r="C139" i="12"/>
  <c r="O23" i="8"/>
  <c r="A16" i="9"/>
  <c r="A1" i="9"/>
  <c r="G12" i="9"/>
  <c r="A4" i="9"/>
  <c r="G17" i="9"/>
  <c r="A8" i="9"/>
  <c r="A20" i="9"/>
  <c r="A12" i="9"/>
  <c r="G20" i="9"/>
  <c r="G4" i="9"/>
  <c r="G23" i="9"/>
  <c r="G5" i="9"/>
  <c r="G32" i="9"/>
  <c r="G6" i="9"/>
  <c r="G7" i="9"/>
  <c r="G8" i="9"/>
  <c r="G9" i="9"/>
  <c r="G10" i="9"/>
  <c r="G11"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8" i="12"/>
  <c r="B1" i="4"/>
  <c r="B34" i="4"/>
  <c r="B15" i="4"/>
  <c r="B29" i="4"/>
  <c r="B45" i="4"/>
  <c r="B18" i="4"/>
  <c r="C29" i="4"/>
  <c r="B19" i="4"/>
  <c r="B30" i="4"/>
  <c r="B20" i="4"/>
  <c r="C30" i="4"/>
  <c r="B11" i="4"/>
  <c r="B44" i="4"/>
  <c r="B21" i="4"/>
  <c r="B22" i="4"/>
  <c r="C32" i="4"/>
  <c r="B25" i="4"/>
  <c r="B10" i="4"/>
  <c r="C37" i="4"/>
  <c r="C38" i="4"/>
  <c r="B14" i="4"/>
  <c r="B23" i="4"/>
  <c r="C33" i="4"/>
  <c r="B24" i="4"/>
  <c r="C34" i="4"/>
  <c r="B2" i="4"/>
  <c r="C35" i="4"/>
  <c r="B27" i="4"/>
  <c r="B28" i="4"/>
  <c r="C28" i="4"/>
  <c r="B66" i="16"/>
  <c r="C6" i="3"/>
  <c r="C119" i="3"/>
  <c r="C178" i="3"/>
  <c r="C283" i="3"/>
  <c r="C4" i="16"/>
  <c r="E289" i="3"/>
  <c r="E50" i="16" s="1"/>
  <c r="D400" i="3"/>
  <c r="G509" i="3"/>
  <c r="B56" i="16"/>
  <c r="E162" i="3" s="1"/>
  <c r="C7" i="3"/>
  <c r="C13" i="3"/>
  <c r="C179" i="3"/>
  <c r="C284" i="3"/>
  <c r="E400" i="3"/>
  <c r="B6" i="16"/>
  <c r="F400" i="3"/>
  <c r="D508" i="3"/>
  <c r="H509" i="3"/>
  <c r="B7" i="16"/>
  <c r="B58" i="16"/>
  <c r="C8" i="3"/>
  <c r="C180" i="3"/>
  <c r="C285" i="3"/>
  <c r="B8" i="16"/>
  <c r="B59" i="16"/>
  <c r="G400" i="3"/>
  <c r="N508" i="3"/>
  <c r="I509" i="3"/>
  <c r="B60" i="16"/>
  <c r="E149" i="3" s="1"/>
  <c r="C3" i="3"/>
  <c r="C9" i="3"/>
  <c r="C16" i="3"/>
  <c r="C122" i="3"/>
  <c r="C280" i="3"/>
  <c r="C395" i="3"/>
  <c r="H400" i="3"/>
  <c r="J509" i="3"/>
  <c r="B62" i="16"/>
  <c r="E150" i="3" s="1"/>
  <c r="D289" i="3"/>
  <c r="F509" i="3"/>
  <c r="C4" i="3"/>
  <c r="C5" i="3"/>
  <c r="C177" i="3"/>
  <c r="C10" i="3"/>
  <c r="C281" i="3"/>
  <c r="B2" i="16"/>
  <c r="H401" i="3"/>
  <c r="C11" i="3"/>
  <c r="B65" i="16"/>
  <c r="C18" i="3"/>
  <c r="D509" i="3"/>
  <c r="C19" i="3"/>
  <c r="E509" i="3"/>
  <c r="C527" i="3"/>
  <c r="C161" i="12"/>
  <c r="B1" i="11"/>
  <c r="D59" i="1"/>
  <c r="D60" i="1"/>
  <c r="K509" i="3"/>
  <c r="C5" i="1"/>
  <c r="C21" i="1"/>
  <c r="L509" i="3"/>
  <c r="C22" i="1"/>
  <c r="C41" i="1"/>
  <c r="C75" i="1"/>
  <c r="C311" i="1"/>
  <c r="B9" i="8"/>
  <c r="D434" i="1"/>
  <c r="C11" i="12"/>
  <c r="C141" i="12"/>
  <c r="C184" i="12"/>
  <c r="C25" i="7"/>
  <c r="C519" i="3"/>
  <c r="C33" i="1"/>
  <c r="C42" i="1"/>
  <c r="C76" i="1"/>
  <c r="J322" i="1"/>
  <c r="C150" i="12"/>
  <c r="C167" i="12"/>
  <c r="C185" i="12"/>
  <c r="C193" i="12"/>
  <c r="C17" i="7"/>
  <c r="C26" i="7"/>
  <c r="B1" i="12"/>
  <c r="G19" i="1"/>
  <c r="C29" i="1"/>
  <c r="C66" i="1"/>
  <c r="G187" i="1"/>
  <c r="C310" i="1"/>
  <c r="J535" i="1"/>
  <c r="C10" i="12"/>
  <c r="C136" i="12"/>
  <c r="C166" i="12"/>
  <c r="C15" i="7"/>
  <c r="C514" i="3"/>
  <c r="C525" i="3"/>
  <c r="C10" i="1"/>
  <c r="D20" i="1"/>
  <c r="C30" i="1"/>
  <c r="C39" i="1"/>
  <c r="D79" i="1"/>
  <c r="J187" i="1"/>
  <c r="C297" i="1"/>
  <c r="L322" i="1"/>
  <c r="C536" i="1"/>
  <c r="C137" i="12"/>
  <c r="C5" i="7"/>
  <c r="C27" i="7"/>
  <c r="G20" i="1"/>
  <c r="C298" i="1"/>
  <c r="C316" i="1"/>
  <c r="C147" i="12"/>
  <c r="C168" i="12"/>
  <c r="C16" i="7"/>
  <c r="C515" i="3"/>
  <c r="C526" i="3"/>
  <c r="G11" i="1"/>
  <c r="C40" i="1"/>
  <c r="C68" i="1"/>
  <c r="D423" i="1"/>
  <c r="K11" i="1"/>
  <c r="C38" i="1"/>
  <c r="C57" i="1"/>
  <c r="C74" i="1"/>
  <c r="D187" i="1"/>
  <c r="D428" i="1"/>
  <c r="C539" i="1"/>
  <c r="C140" i="12"/>
  <c r="C181" i="12"/>
  <c r="C194" i="12"/>
  <c r="C12" i="1"/>
  <c r="C25" i="1"/>
  <c r="C77" i="1"/>
  <c r="K187" i="1"/>
  <c r="C304" i="1"/>
  <c r="C9" i="12"/>
  <c r="C18" i="7"/>
  <c r="C30" i="7"/>
  <c r="M509" i="3"/>
  <c r="C13" i="1"/>
  <c r="C43" i="1"/>
  <c r="C59" i="1"/>
  <c r="D322" i="1"/>
  <c r="C540" i="1"/>
  <c r="C28" i="12"/>
  <c r="C142" i="12"/>
  <c r="C169" i="12"/>
  <c r="C31" i="7"/>
  <c r="C31" i="1"/>
  <c r="G79" i="1"/>
  <c r="C423" i="1"/>
  <c r="C541" i="1"/>
  <c r="C144" i="12"/>
  <c r="C6" i="7"/>
  <c r="C516" i="3"/>
  <c r="C529" i="3"/>
  <c r="C32" i="1"/>
  <c r="C45" i="1"/>
  <c r="D61" i="1"/>
  <c r="C294" i="1"/>
  <c r="D424" i="1"/>
  <c r="G434" i="1"/>
  <c r="C542" i="1"/>
  <c r="C172" i="12"/>
  <c r="C21" i="7"/>
  <c r="C33" i="7"/>
  <c r="C34" i="1"/>
  <c r="C46" i="1"/>
  <c r="J79" i="1"/>
  <c r="D294" i="1"/>
  <c r="C309" i="1"/>
  <c r="C543" i="1"/>
  <c r="C173" i="12"/>
  <c r="J20" i="1"/>
  <c r="C35" i="1"/>
  <c r="K79" i="1"/>
  <c r="C295" i="1"/>
  <c r="D425" i="1"/>
  <c r="C134" i="12"/>
  <c r="C528" i="3"/>
  <c r="C14" i="1"/>
  <c r="C44" i="1"/>
  <c r="K322" i="1"/>
  <c r="C143" i="12"/>
  <c r="C32" i="7"/>
  <c r="K20" i="1"/>
  <c r="C317" i="1"/>
  <c r="C24" i="7"/>
  <c r="C2" i="12"/>
  <c r="C151" i="12"/>
  <c r="C191" i="12"/>
  <c r="C3" i="12"/>
  <c r="C152" i="12"/>
  <c r="C23" i="1"/>
  <c r="C192" i="12"/>
  <c r="C520" i="3"/>
  <c r="C184" i="1"/>
  <c r="C521" i="3"/>
  <c r="C36" i="1"/>
  <c r="D426" i="1"/>
  <c r="C10" i="7"/>
  <c r="D427" i="1"/>
  <c r="H11" i="7"/>
  <c r="C37" i="1"/>
  <c r="C187" i="1"/>
  <c r="C165" i="12"/>
  <c r="C12" i="7"/>
  <c r="C535" i="1"/>
  <c r="C13" i="7"/>
  <c r="C296" i="1"/>
  <c r="C135" i="12"/>
  <c r="J11" i="1"/>
  <c r="C180" i="12"/>
  <c r="C22" i="7"/>
  <c r="C303" i="1"/>
  <c r="C23" i="7"/>
  <c r="C14" i="7"/>
  <c r="C56" i="1"/>
  <c r="D21" i="1"/>
  <c r="E169" i="3" l="1"/>
  <c r="E153" i="3"/>
  <c r="E164" i="3"/>
  <c r="E148" i="3"/>
  <c r="E163" i="3"/>
  <c r="E147" i="3"/>
  <c r="E132" i="3"/>
  <c r="E165" i="3"/>
  <c r="E133" i="3"/>
  <c r="E166" i="3"/>
  <c r="F10" i="8"/>
  <c r="G10" i="8" s="1"/>
  <c r="F10" i="3"/>
  <c r="F6" i="3" s="1"/>
  <c r="F5" i="3"/>
  <c r="F4" i="3"/>
  <c r="F3" i="3"/>
  <c r="G295" i="1"/>
  <c r="C27" i="16" s="1"/>
  <c r="E27" i="16" s="1"/>
  <c r="C7" i="7"/>
  <c r="C14" i="12"/>
  <c r="C6" i="12"/>
  <c r="A17" i="9"/>
  <c r="A21" i="9"/>
  <c r="A13" i="9"/>
  <c r="A5" i="9"/>
  <c r="A9" i="9"/>
  <c r="C13" i="9"/>
  <c r="C5" i="9"/>
  <c r="C21" i="9"/>
  <c r="C9" i="9"/>
  <c r="C17" i="9"/>
  <c r="C29" i="7"/>
  <c r="C148" i="12"/>
  <c r="C2" i="7"/>
  <c r="C149" i="12"/>
  <c r="C131" i="12"/>
  <c r="C20" i="7"/>
  <c r="C36" i="7"/>
  <c r="C146" i="12"/>
  <c r="C31" i="4"/>
  <c r="B7" i="8"/>
  <c r="C2" i="1"/>
  <c r="C289" i="1"/>
  <c r="C531" i="3"/>
  <c r="C64" i="1"/>
  <c r="C164" i="12"/>
  <c r="C538" i="1"/>
  <c r="C319" i="1"/>
  <c r="C546" i="1"/>
  <c r="C391" i="3"/>
  <c r="C198" i="12"/>
  <c r="C181" i="1"/>
  <c r="C9" i="7"/>
  <c r="C518" i="3"/>
  <c r="C397" i="3"/>
  <c r="C183" i="12"/>
  <c r="C171" i="12"/>
  <c r="C313" i="1"/>
  <c r="C306" i="1"/>
  <c r="C154" i="12"/>
  <c r="C49" i="1"/>
  <c r="C24" i="12"/>
  <c r="C287" i="3"/>
  <c r="C7" i="1"/>
  <c r="C512" i="3"/>
  <c r="C505" i="3"/>
  <c r="C71" i="1"/>
  <c r="C300" i="1"/>
  <c r="C430" i="1"/>
  <c r="C55" i="1"/>
  <c r="B1" i="1"/>
  <c r="A1" i="1"/>
  <c r="A1" i="12"/>
  <c r="D156" i="12"/>
  <c r="C18" i="12"/>
  <c r="C157" i="12"/>
  <c r="C188" i="12"/>
  <c r="C176" i="12"/>
  <c r="C175" i="12"/>
  <c r="C187" i="12"/>
  <c r="C156" i="12"/>
  <c r="C17" i="12"/>
  <c r="C282" i="3"/>
  <c r="E28" i="12"/>
  <c r="D17" i="12"/>
  <c r="D9" i="12"/>
  <c r="C186" i="12"/>
  <c r="C174" i="12"/>
  <c r="C159" i="12"/>
  <c r="C20" i="12"/>
  <c r="C160" i="12"/>
  <c r="C21" i="12"/>
  <c r="C177" i="12"/>
  <c r="C189" i="12"/>
  <c r="C158" i="12"/>
  <c r="C19" i="12"/>
  <c r="C129" i="12"/>
  <c r="C22" i="12"/>
  <c r="C12" i="12"/>
  <c r="C190" i="12"/>
  <c r="C179" i="12"/>
  <c r="G16" i="1"/>
  <c r="B5" i="16"/>
  <c r="B48" i="16"/>
  <c r="B9" i="16"/>
  <c r="C544" i="1"/>
  <c r="C47" i="1"/>
  <c r="C24" i="1"/>
  <c r="C69" i="1"/>
  <c r="C26" i="1"/>
  <c r="C67" i="1"/>
  <c r="C58" i="1"/>
  <c r="C16" i="1"/>
  <c r="J434" i="1"/>
  <c r="G322" i="1"/>
  <c r="G427" i="1"/>
  <c r="J536" i="1"/>
  <c r="G426" i="1"/>
  <c r="G428" i="1"/>
  <c r="C434" i="1"/>
  <c r="C322" i="1"/>
  <c r="C79" i="1"/>
  <c r="C185" i="1"/>
  <c r="C292" i="1"/>
  <c r="C2" i="3"/>
  <c r="C400" i="3"/>
  <c r="C289" i="3"/>
  <c r="C508" i="3"/>
  <c r="K31" i="1"/>
  <c r="K32" i="1"/>
  <c r="K33" i="1"/>
  <c r="K34" i="1"/>
  <c r="K35" i="1"/>
  <c r="K36" i="1"/>
  <c r="K37" i="1"/>
  <c r="K38" i="1"/>
  <c r="K39" i="1"/>
  <c r="K40" i="1"/>
  <c r="K41" i="1"/>
  <c r="K42" i="1"/>
  <c r="K43" i="1"/>
  <c r="K44" i="1"/>
  <c r="K30" i="1"/>
  <c r="C6" i="16" l="1"/>
  <c r="G25" i="1"/>
  <c r="J25" i="1"/>
  <c r="C162" i="12"/>
  <c r="J407" i="3" l="1"/>
  <c r="J408" i="3"/>
  <c r="J409" i="3"/>
  <c r="J410" i="3"/>
  <c r="J411" i="3"/>
  <c r="J412" i="3"/>
  <c r="J413" i="3"/>
  <c r="J414" i="3"/>
  <c r="J415" i="3"/>
  <c r="J416" i="3"/>
  <c r="J417" i="3"/>
  <c r="J418" i="3"/>
  <c r="J419" i="3"/>
  <c r="J420" i="3"/>
  <c r="J421" i="3"/>
  <c r="J422" i="3"/>
  <c r="J423" i="3"/>
  <c r="J424" i="3"/>
  <c r="J425" i="3"/>
  <c r="J426" i="3"/>
  <c r="J502" i="3"/>
  <c r="J503"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6" i="16" l="1"/>
  <c r="W19" i="8"/>
  <c r="W20" i="8" s="1"/>
  <c r="W21" i="8" s="1"/>
  <c r="S20" i="8"/>
  <c r="S21" i="8" s="1"/>
  <c r="AY20" i="8"/>
  <c r="AY21" i="8" s="1"/>
  <c r="AM20" i="8"/>
  <c r="E26" i="16" l="1"/>
  <c r="C28" i="16"/>
  <c r="C25" i="16"/>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D137" i="12"/>
  <c r="E129" i="12"/>
  <c r="D22" i="12"/>
  <c r="D12" i="12"/>
  <c r="D11" i="12" s="1"/>
  <c r="F3" i="12"/>
  <c r="F2" i="12"/>
  <c r="K420" i="3"/>
  <c r="H408" i="3"/>
  <c r="I408" i="3" s="1"/>
  <c r="I30" i="12" l="1"/>
  <c r="I29" i="12"/>
  <c r="P22" i="8"/>
  <c r="H17" i="7"/>
  <c r="D6" i="9"/>
  <c r="C39" i="16" l="1"/>
  <c r="E39" i="16" s="1"/>
  <c r="K503" i="3"/>
  <c r="J45" i="1" l="1"/>
  <c r="J47" i="1" s="1"/>
  <c r="D45" i="1"/>
  <c r="D46" i="1" s="1"/>
  <c r="G68" i="1" s="1"/>
  <c r="K45" i="1" l="1"/>
  <c r="G46" i="1"/>
  <c r="J46" i="1"/>
  <c r="K405" i="3"/>
  <c r="D3" i="11" s="1"/>
  <c r="K406" i="3"/>
  <c r="K407" i="3"/>
  <c r="F5" i="11" s="1"/>
  <c r="K408" i="3"/>
  <c r="E6" i="11" s="1"/>
  <c r="K409" i="3"/>
  <c r="K410" i="3"/>
  <c r="K411" i="3"/>
  <c r="K412" i="3"/>
  <c r="K413" i="3"/>
  <c r="K414" i="3"/>
  <c r="K415" i="3"/>
  <c r="K416" i="3"/>
  <c r="F14" i="11" s="1"/>
  <c r="K417" i="3"/>
  <c r="K418" i="3"/>
  <c r="K419" i="3"/>
  <c r="E17" i="11" s="1"/>
  <c r="F18" i="11"/>
  <c r="K421" i="3"/>
  <c r="F19" i="11" s="1"/>
  <c r="K422" i="3"/>
  <c r="F20" i="11" s="1"/>
  <c r="K423" i="3"/>
  <c r="K424" i="3"/>
  <c r="K425" i="3"/>
  <c r="K426" i="3"/>
  <c r="K502" i="3"/>
  <c r="K404" i="3"/>
  <c r="D2" i="11" s="1"/>
  <c r="H413" i="3"/>
  <c r="I413" i="3" s="1"/>
  <c r="H414" i="3"/>
  <c r="I414" i="3" s="1"/>
  <c r="H415" i="3"/>
  <c r="I415" i="3" s="1"/>
  <c r="H416" i="3"/>
  <c r="I416" i="3" s="1"/>
  <c r="H417" i="3"/>
  <c r="I417" i="3" s="1"/>
  <c r="H418" i="3"/>
  <c r="I418" i="3" s="1"/>
  <c r="H419" i="3"/>
  <c r="I419" i="3" s="1"/>
  <c r="H420" i="3"/>
  <c r="I420" i="3" s="1"/>
  <c r="H421" i="3"/>
  <c r="I421" i="3" s="1"/>
  <c r="H423" i="3"/>
  <c r="I423" i="3" s="1"/>
  <c r="H424" i="3"/>
  <c r="I424" i="3" s="1"/>
  <c r="H425" i="3"/>
  <c r="I425" i="3" s="1"/>
  <c r="H426" i="3"/>
  <c r="I426"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Y16" i="8" l="1"/>
  <c r="W23" i="8" s="1"/>
  <c r="F12" i="8" s="1"/>
  <c r="G12" i="8" s="1"/>
  <c r="U16" i="8"/>
  <c r="S23" i="8" s="1"/>
  <c r="BA16" i="8"/>
  <c r="J404" i="3"/>
  <c r="J405" i="3"/>
  <c r="E4" i="11"/>
  <c r="AW16" i="8"/>
  <c r="AU20" i="8"/>
  <c r="AU21" i="8" s="1"/>
  <c r="AS16" i="8"/>
  <c r="AO16" i="8"/>
  <c r="AK16" i="8"/>
  <c r="AG16" i="8"/>
  <c r="AA20" i="8"/>
  <c r="AA21" i="8" s="1"/>
  <c r="AC16" i="8"/>
  <c r="G20" i="11"/>
  <c r="H422" i="3" s="1"/>
  <c r="I422" i="3" s="1"/>
  <c r="H407" i="3"/>
  <c r="I407" i="3" s="1"/>
  <c r="G13" i="11"/>
  <c r="G24" i="11"/>
  <c r="G11" i="11"/>
  <c r="G25" i="11"/>
  <c r="G10" i="11"/>
  <c r="H412" i="3" s="1"/>
  <c r="I412" i="3" s="1"/>
  <c r="G22" i="11"/>
  <c r="G12" i="11"/>
  <c r="G16" i="11"/>
  <c r="G21" i="11"/>
  <c r="G7" i="11"/>
  <c r="H409" i="3" s="1"/>
  <c r="I409" i="3" s="1"/>
  <c r="G23" i="11"/>
  <c r="G8" i="11"/>
  <c r="H410" i="3" s="1"/>
  <c r="I410" i="3" s="1"/>
  <c r="G15" i="11"/>
  <c r="G9" i="11"/>
  <c r="H411" i="3" s="1"/>
  <c r="I411" i="3" s="1"/>
  <c r="G26" i="11"/>
  <c r="G3" i="11"/>
  <c r="G2" i="11"/>
  <c r="H404" i="3" s="1"/>
  <c r="J26" i="1"/>
  <c r="G26" i="1"/>
  <c r="D26" i="1"/>
  <c r="G67" i="1" s="1"/>
  <c r="K25" i="1"/>
  <c r="D25" i="1"/>
  <c r="G66" i="1" s="1"/>
  <c r="F11" i="8" l="1"/>
  <c r="G11" i="8" s="1"/>
  <c r="AQ20" i="8"/>
  <c r="AQ21" i="8" s="1"/>
  <c r="AQ23" i="8" s="1"/>
  <c r="F17" i="8" s="1"/>
  <c r="G17" i="8" s="1"/>
  <c r="AE20" i="8"/>
  <c r="AE21" i="8" s="1"/>
  <c r="AM21" i="8"/>
  <c r="AM23" i="8" s="1"/>
  <c r="AI20" i="8"/>
  <c r="AA23" i="8"/>
  <c r="AY23" i="8"/>
  <c r="K26" i="1"/>
  <c r="G4" i="11"/>
  <c r="H406" i="3" s="1"/>
  <c r="I406" i="3" s="1"/>
  <c r="J406" i="3"/>
  <c r="AU23" i="8"/>
  <c r="X22" i="8"/>
  <c r="H405" i="3"/>
  <c r="I405" i="3" s="1"/>
  <c r="D56" i="1" l="1"/>
  <c r="L57" i="1" s="1"/>
  <c r="C55" i="16" s="1"/>
  <c r="E55" i="16" s="1"/>
  <c r="AR22" i="8"/>
  <c r="AB22" i="8"/>
  <c r="F13" i="8"/>
  <c r="G13" i="8" s="1"/>
  <c r="AV22" i="8"/>
  <c r="F18" i="8"/>
  <c r="G18" i="8" s="1"/>
  <c r="AZ22" i="8"/>
  <c r="F19" i="8"/>
  <c r="G19" i="8" s="1"/>
  <c r="AN22" i="8"/>
  <c r="F16" i="8"/>
  <c r="G16" i="8" s="1"/>
  <c r="AI21" i="8"/>
  <c r="AI23" i="8" s="1"/>
  <c r="AJ22" i="8" s="1"/>
  <c r="AE23" i="8"/>
  <c r="T22" i="8"/>
  <c r="C52" i="16" l="1"/>
  <c r="AF22" i="8"/>
  <c r="F14" i="8"/>
  <c r="F15" i="8"/>
  <c r="G15" i="8" s="1"/>
  <c r="G14" i="8" l="1"/>
  <c r="H9" i="8" s="1" a="1"/>
  <c r="H9" i="8" s="1"/>
  <c r="A32" i="8" l="1" a="1"/>
  <c r="A32" i="8" s="1"/>
  <c r="G14" i="1" s="1"/>
  <c r="B32" i="8" a="1"/>
  <c r="B32" i="8" s="1"/>
  <c r="J14" i="1" s="1"/>
  <c r="L324" i="1"/>
  <c r="L326" i="1"/>
  <c r="L327" i="1"/>
  <c r="L328" i="1"/>
  <c r="J427" i="1" s="1"/>
  <c r="L329" i="1"/>
  <c r="J426" i="1" s="1"/>
  <c r="L330" i="1"/>
  <c r="L331" i="1"/>
  <c r="L332" i="1"/>
  <c r="L333" i="1"/>
  <c r="L334" i="1"/>
  <c r="L335" i="1"/>
  <c r="L336" i="1"/>
  <c r="L422" i="1"/>
  <c r="L12" i="1" l="1" a="1"/>
  <c r="L12" i="1" s="1"/>
  <c r="C21" i="16" s="1"/>
  <c r="E21" i="16" s="1"/>
  <c r="K14" i="1"/>
  <c r="A29" i="8" a="1"/>
  <c r="A29" i="8" s="1"/>
  <c r="J428" i="1"/>
  <c r="J425" i="1" l="1"/>
  <c r="K12" i="1"/>
  <c r="D22" i="9" l="1"/>
  <c r="D18" i="9"/>
  <c r="I27" i="7"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69" i="17" l="1"/>
  <c r="B73" i="17"/>
  <c r="B65" i="17"/>
  <c r="B18" i="16" s="1"/>
  <c r="B74" i="17"/>
  <c r="B66" i="17"/>
  <c r="B61" i="16"/>
  <c r="B76" i="17"/>
  <c r="B47" i="16"/>
  <c r="B63" i="17"/>
  <c r="T2" i="6" s="1"/>
  <c r="B78" i="17"/>
  <c r="B35" i="16"/>
  <c r="B67" i="17"/>
  <c r="B72" i="17"/>
  <c r="B80" i="17"/>
  <c r="B68" i="17"/>
  <c r="B70" i="17"/>
  <c r="B79" i="17"/>
  <c r="B64" i="17"/>
  <c r="B46" i="16" l="1"/>
  <c r="T12" i="6"/>
  <c r="B19" i="16"/>
  <c r="T4" i="6"/>
  <c r="B42" i="16"/>
  <c r="E152" i="3" s="1"/>
  <c r="T11" i="6"/>
  <c r="B24" i="16"/>
  <c r="T5" i="6"/>
  <c r="T3" i="6"/>
  <c r="B41" i="16"/>
  <c r="E151" i="3" s="1"/>
  <c r="T10" i="6"/>
  <c r="B49" i="16"/>
  <c r="E140" i="3" s="1"/>
  <c r="T13" i="6"/>
  <c r="B50" i="16"/>
  <c r="T14" i="6"/>
  <c r="B31" i="16"/>
  <c r="T8" i="6"/>
  <c r="B25" i="16"/>
  <c r="E136" i="3" s="1"/>
  <c r="T6" i="6"/>
  <c r="B52" i="16"/>
  <c r="E158" i="3" s="1"/>
  <c r="T15" i="6"/>
  <c r="B36" i="16"/>
  <c r="E146" i="3" s="1"/>
  <c r="T9" i="6"/>
  <c r="B28" i="16"/>
  <c r="T7" i="6"/>
  <c r="B10" i="16"/>
  <c r="B57" i="16"/>
  <c r="B51" i="16"/>
  <c r="B45" i="16"/>
  <c r="E135" i="3" l="1"/>
  <c r="E142" i="3"/>
  <c r="E126" i="3"/>
  <c r="E130" i="3"/>
  <c r="E157" i="3"/>
  <c r="E141" i="3"/>
  <c r="E125" i="3"/>
  <c r="E139" i="3"/>
  <c r="E129" i="3"/>
  <c r="E156" i="3"/>
  <c r="E131" i="3"/>
  <c r="E155" i="3"/>
  <c r="E123" i="3"/>
  <c r="L23" i="1"/>
  <c r="L5" i="1"/>
  <c r="C20" i="16" s="1"/>
  <c r="E20" i="16" s="1"/>
  <c r="L22" i="1"/>
  <c r="C22" i="16" l="1"/>
  <c r="C23" i="16" s="1"/>
  <c r="E23" i="16" s="1"/>
  <c r="H18" i="12"/>
  <c r="C38" i="16" s="1"/>
  <c r="E38" i="16" s="1"/>
  <c r="H10" i="12"/>
  <c r="C37" i="16" s="1"/>
  <c r="E37" i="16" s="1"/>
  <c r="H316" i="1"/>
  <c r="C32" i="16" s="1"/>
  <c r="E22" i="16" l="1"/>
  <c r="C31" i="16"/>
  <c r="E32" i="16"/>
  <c r="C19" i="16"/>
  <c r="C36" i="16"/>
  <c r="I22" i="7"/>
  <c r="C64" i="16" s="1"/>
  <c r="E64" i="16" s="1"/>
  <c r="C62" i="16" l="1"/>
  <c r="F177" i="3"/>
  <c r="F281" i="3"/>
  <c r="F180" i="3"/>
  <c r="F280" i="3"/>
  <c r="F282" i="3"/>
  <c r="F284" i="3"/>
  <c r="F178" i="3"/>
  <c r="F285" i="3"/>
  <c r="F283" i="3"/>
  <c r="I404" i="3"/>
  <c r="C15" i="16" s="1"/>
  <c r="E15" i="16" s="1"/>
  <c r="C12" i="16" l="1"/>
  <c r="E12" i="16" s="1"/>
  <c r="C10" i="16" l="1"/>
  <c r="C3" i="16" s="1" a="1"/>
  <c r="C3"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<sst xmlns="http://schemas.openxmlformats.org/spreadsheetml/2006/main" count="9851" uniqueCount="8859">
  <si>
    <t>1.2.0</t>
  </si>
  <si>
    <t>https://xbrl.efrag.org/taxonomy/vsme/2026-02-01/vsme-all.xsd</t>
  </si>
  <si>
    <t>Validation OK</t>
  </si>
  <si>
    <t>[+]</t>
  </si>
  <si>
    <t>Company XYZ</t>
  </si>
  <si>
    <t>LEI</t>
  </si>
  <si>
    <t>TestCode1234</t>
  </si>
  <si>
    <t>EUR</t>
  </si>
  <si>
    <t>Ending day</t>
  </si>
  <si>
    <t>24(a)</t>
  </si>
  <si>
    <t>N/A</t>
  </si>
  <si>
    <t>Option B (Basic Module and Comprehensive Module)</t>
  </si>
  <si>
    <t>24(b)</t>
  </si>
  <si>
    <t>24(c)</t>
  </si>
  <si>
    <t>Sustainability report prepared on a consolidated basis</t>
  </si>
  <si>
    <t>24(e)(i)</t>
  </si>
  <si>
    <t>private limited liability undertaking</t>
  </si>
  <si>
    <t>24(e)(ii)</t>
  </si>
  <si>
    <t>5-6</t>
  </si>
  <si>
    <t>NACE G - 47.22 Retail sale of meat and meat products</t>
  </si>
  <si>
    <t>NACE G - 47.21 Retail sale of fruit and vegetables</t>
  </si>
  <si>
    <t>24(e)(iii)</t>
  </si>
  <si>
    <t>24(e)(iv)</t>
  </si>
  <si>
    <t>24(e)(v)</t>
  </si>
  <si>
    <t>7-8</t>
  </si>
  <si>
    <t>As an average across the reporting period</t>
  </si>
  <si>
    <t>Full-time equivalent (FTE)</t>
  </si>
  <si>
    <t>24(e)(vi)</t>
  </si>
  <si>
    <t>9-12</t>
  </si>
  <si>
    <t>Italy</t>
  </si>
  <si>
    <t>24(d)</t>
  </si>
  <si>
    <t>Company XYZ Subsidiary 1</t>
  </si>
  <si>
    <t>Street XYZ, Country</t>
  </si>
  <si>
    <t>Lorem ipsum dolor sit amet, consectetur adipiscing elit. Nulla at cursus arcu. Nam porttitor pulvinar vehicula. Aenean quis venenatis massa. Mauris sit amet ultricies tellus, et egestas lectus. Praesent vulputate tincidunt risus eget maximus. Sed vel enim ac mi maximus pellentesque porta quis metus. Cras bibendum odio eget maximus bibendum. Donec ut risus condimentum, placerat tortor nec, dictum risus. Donec sodales urna nec sem fringilla fermentum. Vivamus aliquet facilisis velit et suscipit.
Donec pretium magna ut quam placerat, ultricies faucibus ipsum rhoncus. Donec venenatis, mi ac pharetra egestas, orci metus commodo tellus, eget dignissim nisi odio eget nisl. Phasellus turpis tellus, tincidunt sed quam et, dignissim iaculis neque. Cras consequat ante et mi dictum, a pharetra lacus rutrum. Interdum et malesuada fames ac ante ipsum primis in faucibus. Nullam facilisis, enim tempus viverra hendrerit, enim metus rutrum tellus, in dictum ligula lectus et ex. Nullam condimentum purus ac arcu aliquet, sit amet rhoncus lectus lacinia. Quisque accumsan metus et quam suscipit, quis consequat lacus luctus. Nunc id nisl id libero vulputate viverra. Nulla facilisi. Proin non mauris ut nisl posuere placerat. Integer pharetra sapien at accumsan consequat. Fusce sollicitudin, eros ac finibus pulvinar, augue dolor venenatis diam, at molestie erat tortor ut ipsum.
Donec lorem risus, feugiat a semper vel, vestibulum ac purus. Vestibulum pulvinar suscipit diam, eget porttitor eros vestibulum quis. Cras eu nisi mauris. Suspendisse felis odio, tincidunt posuere placerat ac, dictum nec est. Maecenas euismod, dui sed viverra accumsan, nibh arcu rutrum velit, quis mollis nulla mauris id diam. Quisque vel quam et turpis viverra maximus at et eros. Aliquam scelerisque lorem massa, vitae bibendum nibh tincidunt at. Aenean quis gravida augue. Cras ultrices tincidunt lectus, non cursus purus interdum et.
Cras ac libero imperdiet, volutpat enim sed, consequat nulla. Pellentesque a egestas augue, ac ultricies nisl. Vestibulum a turpis ultrices, venenatis mi ultricies, tempus odio. Nullam eget dapibus turpis. Vestibulum faucibus ut quam non efficitur. Nam in dolor eu sem ultrices semper vitae a ligula. Curabitur sit amet nisi vitae nunc vestibulum aliquam. Aliquam posuere, purus a tincidunt congue, orci ipsum dictum nunc, eu tristique sem leo at quam. In a velit quis purus venenatis auctor. Donec faucibus odio vitae velit lacinia consequat. Aliquam felis neque, egestas vitae velit sit amet, porttitor placerat orci. In tempor dolor et odio porta, non sodales ex sodales. Phasellus ultrices augue a massa tempus commodo. Donec erat eros, tincidunt at facilisis ut, dictum a augue. Vivamus in neque nulla.
Curabitur vulputate ullamcorper nisi, vitae feugiat libero tincidunt sed. Etiam erat leo, rutrum id egestas in, tempus sit amet quam. Donec ex erat, volutpat vel mollis ut, cursus commodo turpis. Nulla facilisi. Cras non pulvinar leo. Sed elementum pretium nulla, sed mattis nisl porttitor eu. Aliquam at arcu ex. Etiam volutpat velit nibh, eu suscipit augue fermentum vel. Phasellus pellentesque ipsum odio, eget suscipit mi scelerisque a. Sed bibendum tincidunt suscipit. Quisque justo ligula, sodales a justo et, rutrum tempus turpis. Mauris sit amet posuere mi. Aenean blandit, nulla id luctus pellentesque, ipsum ante ultricies tellus, non posuere ipsum arcu in nisi. Donec quis leo vel nisi tristique viverra nec sit amet ante. Donec sed dapibus velit.</t>
  </si>
  <si>
    <t>24(e)(vii)</t>
  </si>
  <si>
    <t xml:space="preserve"> 9-12</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</si>
  <si>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</si>
  <si>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Duomo Square</t>
  </si>
  <si>
    <t>20122</t>
  </si>
  <si>
    <t>Milan</t>
  </si>
  <si>
    <t>26-28</t>
  </si>
  <si>
    <t>14-16</t>
  </si>
  <si>
    <t>47(a)</t>
  </si>
  <si>
    <t>47(b)</t>
  </si>
  <si>
    <t>47(c)</t>
  </si>
  <si>
    <t>47(d)</t>
  </si>
  <si>
    <t>18-25</t>
  </si>
  <si>
    <t>54(b)</t>
  </si>
  <si>
    <t>54(a)</t>
  </si>
  <si>
    <t xml:space="preserve">54(d) </t>
  </si>
  <si>
    <t>26-45</t>
  </si>
  <si>
    <t>152-158</t>
  </si>
  <si>
    <t>50-53</t>
  </si>
  <si>
    <t>150-151</t>
  </si>
  <si>
    <t>54(e)</t>
  </si>
  <si>
    <t>160-163</t>
  </si>
  <si>
    <t>Adoption of a transition plan is planned in the future</t>
  </si>
  <si>
    <t>46-69</t>
  </si>
  <si>
    <t>kilograms (kg)</t>
  </si>
  <si>
    <t>Alachlor</t>
  </si>
  <si>
    <t>Aldrin</t>
  </si>
  <si>
    <t>70-73</t>
  </si>
  <si>
    <t>squared meters (m2)</t>
  </si>
  <si>
    <t>74-76</t>
  </si>
  <si>
    <t>77-93</t>
  </si>
  <si>
    <t>77-90</t>
  </si>
  <si>
    <t>YES</t>
  </si>
  <si>
    <t>38(a) and 38(b)</t>
  </si>
  <si>
    <t>95-107</t>
  </si>
  <si>
    <t xml:space="preserve">    20 01 01 - Non-Hazardous - Paper and cardboard</t>
  </si>
  <si>
    <t>metric tonnes (t)</t>
  </si>
  <si>
    <t xml:space="preserve">    16 08 06 - Hazardous - Spent liquids used as catalysts</t>
  </si>
  <si>
    <t xml:space="preserve">    10 11 03 - Non-Hazardous - Waste glass-based fibrous materials</t>
  </si>
  <si>
    <t xml:space="preserve">    15 01 04 - Non-Hazardous - Metallic packaging</t>
  </si>
  <si>
    <t xml:space="preserve">    04 02 21 - Non-Hazardous - Wastes from unprocessed textile fibres</t>
  </si>
  <si>
    <t xml:space="preserve">    04 02 10 - Non-Hazardous - Organic matter from natural products (for example grease, wax)</t>
  </si>
  <si>
    <t>cubic meters (m3)</t>
  </si>
  <si>
    <t xml:space="preserve">    13 01 01 - Hazardous - Hydraulic oils, containing PCBs</t>
  </si>
  <si>
    <t>38(c)</t>
  </si>
  <si>
    <t>108-109</t>
  </si>
  <si>
    <t>Packaging</t>
  </si>
  <si>
    <t>Wrapping, trays, containers</t>
  </si>
  <si>
    <t>57(a)</t>
  </si>
  <si>
    <t>164-166</t>
  </si>
  <si>
    <t>57(b)</t>
  </si>
  <si>
    <t>57(c)</t>
  </si>
  <si>
    <t>57(d)</t>
  </si>
  <si>
    <t>NO</t>
  </si>
  <si>
    <t>39(a)</t>
  </si>
  <si>
    <t>110-117</t>
  </si>
  <si>
    <t>39(b)</t>
  </si>
  <si>
    <t>39(c)</t>
  </si>
  <si>
    <t>Belgium</t>
  </si>
  <si>
    <t>Albania</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</si>
  <si>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</si>
  <si>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</si>
  <si>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</si>
  <si>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</si>
  <si>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</si>
  <si>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</si>
  <si>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</si>
  <si>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</si>
  <si>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</si>
  <si>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</si>
  <si>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</si>
  <si>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</si>
  <si>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</si>
  <si>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</si>
  <si>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</si>
  <si>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</si>
  <si>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</si>
  <si>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</si>
  <si>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</si>
  <si>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</si>
  <si>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</si>
  <si>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</si>
  <si>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</si>
  <si>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</si>
  <si>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</si>
  <si>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</si>
  <si>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</si>
  <si>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</si>
  <si>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</si>
  <si>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</si>
  <si>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</si>
  <si>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</si>
  <si>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Biodiesel</t>
  </si>
  <si>
    <t>L - Liter</t>
  </si>
  <si>
    <t xml:space="preserve">What is your fuel? </t>
  </si>
  <si>
    <t>Gas/Diesel oil</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</si>
  <si>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</si>
  <si>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</si>
  <si>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</si>
  <si>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</si>
  <si>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</si>
  <si>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</si>
  <si>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</si>
  <si>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</si>
  <si>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</si>
  <si>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</si>
  <si>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</si>
  <si>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</si>
  <si>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</si>
  <si>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</si>
  <si>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</si>
  <si>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</si>
  <si>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</si>
  <si>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</si>
  <si>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</si>
  <si>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</si>
  <si>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</si>
  <si>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</si>
  <si>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</si>
  <si>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</si>
  <si>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</si>
  <si>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</si>
  <si>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</si>
  <si>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</si>
  <si>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</si>
  <si>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</si>
  <si>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</si>
  <si>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</si>
  <si>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</si>
  <si>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</si>
  <si>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</si>
  <si>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</si>
  <si>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</si>
  <si>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</si>
  <si>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</si>
  <si>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</si>
  <si>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</si>
  <si>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</si>
  <si>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</si>
  <si>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</si>
  <si>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</si>
  <si>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</si>
  <si>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</si>
  <si>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</si>
  <si>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</si>
  <si>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</si>
  <si>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</si>
  <si>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</si>
  <si>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</si>
  <si>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</si>
  <si>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</si>
  <si>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</si>
  <si>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</si>
  <si>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MWh - Megawatt hours</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</si>
  <si>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</si>
  <si>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</si>
  <si>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</si>
  <si>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</si>
  <si>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</si>
  <si>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</si>
  <si>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</si>
  <si>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</si>
  <si>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</si>
  <si>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</si>
  <si>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</si>
  <si>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</si>
  <si>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</si>
  <si>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</si>
  <si>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</si>
  <si>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</si>
  <si>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</si>
  <si>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</si>
  <si>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</si>
  <si>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</si>
  <si>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</si>
  <si>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</si>
  <si>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</si>
  <si>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</si>
  <si>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</si>
  <si>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</si>
  <si>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</si>
  <si>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</si>
  <si>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</si>
  <si>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</si>
  <si>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</si>
  <si>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</si>
  <si>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</si>
  <si>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</si>
  <si>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</si>
  <si>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</si>
  <si>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</si>
  <si>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</si>
  <si>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</si>
  <si>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</si>
  <si>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</si>
  <si>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</si>
  <si>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</si>
  <si>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</si>
  <si>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</si>
  <si>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</si>
  <si>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</si>
  <si>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</si>
  <si>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</si>
  <si>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</si>
  <si>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</si>
  <si>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</si>
  <si>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</si>
  <si>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</si>
  <si>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</si>
  <si>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</si>
  <si>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</si>
  <si>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</si>
  <si>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</si>
  <si>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</si>
  <si>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</si>
  <si>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</si>
  <si>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</si>
  <si>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</si>
  <si>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</si>
  <si>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</si>
  <si>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</si>
  <si>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</si>
  <si>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</si>
  <si>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</si>
  <si>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</si>
  <si>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</si>
  <si>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</si>
  <si>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</si>
  <si>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</si>
  <si>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</si>
  <si>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</si>
  <si>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</si>
  <si>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</si>
  <si>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</si>
  <si>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</si>
  <si>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</si>
  <si>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</si>
  <si>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</si>
  <si>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</si>
  <si>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</si>
  <si>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</si>
  <si>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</si>
  <si>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</si>
  <si>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</si>
  <si>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</si>
  <si>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</si>
  <si>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</si>
  <si>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</si>
  <si>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</si>
  <si>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</si>
  <si>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</si>
  <si>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</si>
  <si>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</si>
  <si>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</si>
  <si>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</si>
  <si>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</si>
  <si>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</si>
  <si>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</si>
  <si>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</si>
  <si>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</si>
  <si>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</si>
  <si>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</si>
  <si>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</si>
  <si>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</si>
  <si>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</si>
  <si>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</si>
  <si>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</si>
  <si>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</si>
  <si>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</si>
  <si>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</si>
  <si>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</si>
  <si>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</si>
  <si>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</si>
  <si>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</si>
  <si>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</si>
  <si>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</si>
  <si>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</si>
  <si>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</si>
  <si>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</si>
  <si>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</si>
  <si>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</si>
  <si>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</si>
  <si>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</si>
  <si>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</si>
  <si>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</si>
  <si>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</si>
  <si>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</si>
  <si>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</si>
  <si>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</si>
  <si>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</si>
  <si>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</si>
  <si>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</si>
  <si>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</si>
  <si>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</si>
  <si>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</si>
  <si>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</si>
  <si>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</si>
  <si>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</si>
  <si>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</si>
  <si>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</si>
  <si>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</si>
  <si>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</si>
  <si>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</si>
  <si>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</si>
  <si>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</si>
  <si>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</si>
  <si>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</si>
  <si>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</si>
  <si>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</si>
  <si>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</si>
  <si>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</si>
  <si>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</si>
  <si>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</si>
  <si>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</si>
  <si>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</si>
  <si>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</si>
  <si>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</si>
  <si>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</si>
  <si>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</si>
  <si>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</si>
  <si>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</si>
  <si>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</si>
  <si>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</si>
  <si>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</si>
  <si>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</si>
  <si>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</si>
  <si>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</si>
  <si>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</si>
  <si>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</si>
  <si>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</si>
  <si>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</si>
  <si>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</si>
  <si>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True or false</t>
  </si>
  <si>
    <t>NACE All Economic Activities (NACE) / NA [member]</t>
  </si>
  <si>
    <t>NACE A - 01 Crop and animal production, hunting and related service activities</t>
  </si>
  <si>
    <t>Andorra</t>
  </si>
  <si>
    <t>country:AD</t>
  </si>
  <si>
    <t>None</t>
  </si>
  <si>
    <t>Located in biodiversity sensitive areas</t>
  </si>
  <si>
    <t>01 - WASTES RESULTING FROM EXPLORATION, MINING, QUARRYING, AND PHYSICAL AND CHEMICAL TREATMENT OF MINERALS</t>
  </si>
  <si>
    <t>Water</t>
  </si>
  <si>
    <t>Climate change</t>
  </si>
  <si>
    <t>hectares (ha)</t>
  </si>
  <si>
    <t>Practice</t>
  </si>
  <si>
    <t>January</t>
  </si>
  <si>
    <t>01 WASTES RESULTING FROM EXPLORATION, MINING, DRESSING AND FURTHER TREATMENT OF MINERALS AND QUARRY</t>
  </si>
  <si>
    <t>AED</t>
  </si>
  <si>
    <t>At the end of the reporting period</t>
  </si>
  <si>
    <t>Option A (Basic Module only)</t>
  </si>
  <si>
    <t>NACE A - AGRICULTURE, FORESTRY AND FISHING</t>
  </si>
  <si>
    <t>NACE A - 01.1 Growing of non-perennial crops</t>
  </si>
  <si>
    <t>United Arab Emirates</t>
  </si>
  <si>
    <t>country:AE</t>
  </si>
  <si>
    <t>B1 – Basis for preparation</t>
  </si>
  <si>
    <t>Located near biodiversity sesnistive areas</t>
  </si>
  <si>
    <t xml:space="preserve">  01 01 - Wastes from mineral excavation</t>
  </si>
  <si>
    <t>sole proprietorship</t>
  </si>
  <si>
    <t>Air</t>
  </si>
  <si>
    <t>Pollution</t>
  </si>
  <si>
    <r>
      <t>squared meters (m2</t>
    </r>
    <r>
      <rPr>
        <sz val="11"/>
        <color theme="1"/>
        <rFont val="Aptos Narrow"/>
        <family val="2"/>
      </rPr>
      <t>)</t>
    </r>
  </si>
  <si>
    <t>Policy</t>
  </si>
  <si>
    <t>A transition plan has already been adopted</t>
  </si>
  <si>
    <t>February</t>
  </si>
  <si>
    <t xml:space="preserve">    0101 Wastes from mineral excavation</t>
  </si>
  <si>
    <t>AFN</t>
  </si>
  <si>
    <t>DUNS</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</si>
  <si>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</si>
  <si>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</si>
  <si>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</si>
  <si>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</si>
  <si>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</si>
  <si>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</si>
  <si>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</si>
  <si>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</si>
  <si>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</si>
  <si>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</si>
  <si>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</si>
  <si>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</si>
  <si>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</si>
  <si>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</si>
  <si>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</si>
  <si>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</si>
  <si>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</si>
  <si>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</si>
  <si>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</si>
  <si>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</si>
  <si>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</si>
  <si>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</si>
  <si>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</si>
  <si>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</si>
  <si>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</si>
  <si>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</si>
  <si>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</si>
  <si>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</si>
  <si>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</si>
  <si>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</si>
  <si>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</si>
  <si>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</si>
  <si>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</si>
  <si>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</si>
  <si>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</si>
  <si>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</si>
  <si>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</si>
  <si>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</si>
  <si>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</si>
  <si>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</si>
  <si>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</si>
  <si>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</si>
  <si>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</si>
  <si>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</si>
  <si>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</si>
  <si>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</si>
  <si>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</si>
  <si>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</si>
  <si>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</si>
  <si>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</si>
  <si>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</si>
  <si>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</si>
  <si>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</si>
  <si>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</si>
  <si>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</si>
  <si>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</si>
  <si>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</si>
  <si>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</si>
  <si>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</si>
  <si>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</si>
  <si>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</si>
  <si>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</si>
  <si>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</si>
  <si>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</si>
  <si>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</si>
  <si>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</si>
  <si>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</si>
  <si>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</si>
  <si>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</si>
  <si>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</si>
  <si>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</si>
  <si>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</si>
  <si>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</si>
  <si>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</si>
  <si>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</si>
  <si>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</si>
  <si>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</si>
  <si>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</si>
  <si>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</si>
  <si>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</si>
  <si>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</si>
  <si>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</si>
  <si>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</si>
  <si>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</si>
  <si>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</si>
  <si>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</si>
  <si>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</si>
  <si>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</si>
  <si>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</si>
  <si>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</si>
  <si>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</si>
  <si>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</si>
  <si>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</si>
  <si>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</si>
  <si>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</si>
  <si>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</si>
  <si>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</si>
  <si>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</si>
  <si>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</si>
  <si>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</si>
  <si>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</si>
  <si>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</si>
  <si>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</si>
  <si>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</si>
  <si>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</si>
  <si>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</si>
  <si>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</si>
  <si>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</si>
  <si>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</si>
  <si>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</si>
  <si>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</si>
  <si>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</si>
  <si>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</si>
  <si>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</si>
  <si>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</si>
  <si>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</si>
  <si>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</si>
  <si>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</si>
  <si>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</si>
  <si>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</si>
  <si>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</si>
  <si>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</si>
  <si>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</si>
  <si>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</si>
  <si>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</si>
  <si>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</si>
  <si>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</si>
  <si>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</si>
  <si>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</si>
  <si>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</si>
  <si>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</si>
  <si>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</si>
  <si>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</si>
  <si>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</si>
  <si>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</si>
  <si>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</si>
  <si>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</si>
  <si>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</si>
  <si>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</si>
  <si>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</si>
  <si>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</si>
  <si>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</si>
  <si>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</si>
  <si>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</si>
  <si>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</si>
  <si>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</si>
  <si>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</si>
  <si>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</si>
  <si>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</si>
  <si>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</si>
  <si>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</si>
  <si>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</si>
  <si>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</si>
  <si>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</si>
  <si>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</si>
  <si>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</si>
  <si>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</si>
  <si>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</si>
  <si>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</si>
  <si>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</si>
  <si>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</si>
  <si>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</si>
  <si>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</si>
  <si>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</si>
  <si>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</si>
  <si>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</si>
  <si>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</si>
  <si>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</si>
  <si>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</si>
  <si>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</si>
  <si>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</si>
  <si>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</si>
  <si>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</si>
  <si>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</si>
  <si>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</si>
  <si>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</si>
  <si>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</si>
  <si>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</si>
  <si>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</si>
  <si>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</si>
  <si>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</si>
  <si>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</si>
  <si>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</si>
  <si>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</si>
  <si>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</si>
  <si>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</si>
  <si>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</si>
  <si>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</si>
  <si>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</si>
  <si>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</si>
  <si>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</si>
  <si>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</si>
  <si>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</si>
  <si>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</si>
  <si>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</si>
  <si>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</si>
  <si>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</si>
  <si>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</si>
  <si>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</si>
  <si>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</si>
  <si>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</si>
  <si>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</si>
  <si>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</si>
  <si>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</si>
  <si>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</si>
  <si>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</si>
  <si>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</si>
  <si>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</si>
  <si>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</si>
  <si>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</si>
  <si>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</si>
  <si>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</si>
  <si>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</si>
  <si>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</si>
  <si>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</si>
  <si>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</si>
  <si>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</si>
  <si>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</si>
  <si>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</si>
  <si>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</si>
  <si>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</si>
  <si>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</si>
  <si>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</si>
  <si>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</si>
  <si>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</si>
  <si>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</si>
  <si>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</si>
  <si>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</si>
  <si>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</si>
  <si>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</si>
  <si>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</si>
  <si>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</si>
  <si>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</si>
  <si>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</si>
  <si>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</si>
  <si>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</si>
  <si>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</si>
  <si>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</si>
  <si>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</si>
  <si>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</si>
  <si>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</si>
  <si>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</si>
  <si>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</si>
  <si>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</si>
  <si>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</si>
  <si>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</si>
  <si>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</si>
  <si>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</si>
  <si>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</si>
  <si>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</si>
  <si>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</si>
  <si>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</si>
  <si>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</si>
  <si>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</si>
  <si>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</si>
  <si>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</si>
  <si>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</si>
  <si>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</si>
  <si>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</si>
  <si>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</si>
  <si>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</si>
  <si>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</si>
  <si>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</si>
  <si>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</si>
  <si>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</si>
  <si>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</si>
  <si>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</si>
  <si>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</si>
  <si>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</si>
  <si>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</si>
  <si>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</si>
  <si>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</si>
  <si>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</si>
  <si>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</si>
  <si>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</si>
  <si>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</si>
  <si>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</si>
  <si>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</si>
  <si>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</si>
  <si>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</si>
  <si>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</si>
  <si>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</si>
  <si>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</si>
  <si>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</si>
  <si>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</si>
  <si>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</si>
  <si>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</si>
  <si>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</si>
  <si>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</si>
  <si>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</si>
  <si>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</si>
  <si>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</si>
  <si>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</si>
  <si>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</si>
  <si>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</si>
  <si>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</si>
  <si>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</si>
  <si>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</si>
  <si>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</si>
  <si>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</si>
  <si>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</si>
  <si>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</si>
  <si>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</si>
  <si>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</si>
  <si>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</si>
  <si>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</si>
  <si>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</si>
  <si>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</si>
  <si>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</si>
  <si>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</si>
  <si>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</si>
  <si>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</si>
  <si>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</si>
  <si>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</si>
  <si>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</si>
  <si>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</si>
  <si>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</si>
  <si>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</si>
  <si>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</si>
  <si>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</si>
  <si>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</si>
  <si>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</si>
  <si>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</si>
  <si>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</si>
  <si>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</si>
  <si>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</si>
  <si>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</si>
  <si>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</si>
  <si>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</si>
  <si>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</si>
  <si>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</si>
  <si>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</si>
  <si>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</si>
  <si>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</si>
  <si>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</si>
  <si>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</si>
  <si>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</si>
  <si>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</si>
  <si>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</si>
  <si>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</si>
  <si>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</si>
  <si>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</si>
  <si>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</si>
  <si>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</si>
  <si>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</si>
  <si>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</si>
  <si>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</si>
  <si>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</si>
  <si>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</si>
  <si>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</si>
  <si>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</si>
  <si>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</si>
  <si>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</si>
  <si>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</si>
  <si>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</si>
  <si>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</si>
  <si>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</si>
  <si>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</si>
  <si>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</si>
  <si>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</si>
  <si>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</si>
  <si>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</si>
  <si>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</si>
  <si>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</si>
  <si>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</si>
  <si>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</si>
  <si>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</si>
  <si>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</si>
  <si>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</si>
  <si>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</si>
  <si>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</si>
  <si>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</si>
  <si>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</si>
  <si>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</si>
  <si>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</si>
  <si>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</si>
  <si>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</si>
  <si>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</si>
  <si>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</si>
  <si>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</si>
  <si>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</si>
  <si>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</si>
  <si>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</si>
  <si>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</si>
  <si>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</si>
  <si>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</si>
  <si>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</si>
  <si>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</si>
  <si>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</si>
  <si>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</si>
  <si>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</si>
  <si>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</si>
  <si>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</si>
  <si>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</si>
  <si>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</si>
  <si>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</si>
  <si>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</si>
  <si>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</si>
  <si>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</si>
  <si>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</si>
  <si>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</si>
  <si>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</si>
  <si>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</si>
  <si>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</si>
  <si>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</si>
  <si>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</si>
  <si>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</si>
  <si>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</si>
  <si>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</si>
  <si>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</si>
  <si>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</si>
  <si>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</si>
  <si>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</si>
  <si>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</si>
  <si>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</si>
  <si>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</si>
  <si>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</si>
  <si>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</si>
  <si>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</si>
  <si>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</si>
  <si>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</si>
  <si>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</si>
  <si>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</si>
  <si>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</si>
  <si>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</si>
  <si>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</si>
  <si>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</si>
  <si>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</si>
  <si>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</si>
  <si>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</si>
  <si>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</si>
  <si>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</si>
  <si>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</si>
  <si>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</si>
  <si>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</si>
  <si>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</si>
  <si>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</si>
  <si>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</si>
  <si>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</si>
  <si>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</si>
  <si>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</si>
  <si>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</si>
  <si>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</si>
  <si>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</si>
  <si>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</si>
  <si>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</si>
  <si>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</si>
  <si>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</si>
  <si>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</si>
  <si>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</si>
  <si>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</si>
  <si>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</si>
  <si>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</si>
  <si>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</si>
  <si>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</si>
  <si>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</si>
  <si>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</si>
  <si>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</si>
  <si>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</si>
  <si>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</si>
  <si>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</si>
  <si>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</si>
  <si>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</si>
  <si>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</si>
  <si>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</si>
  <si>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</si>
  <si>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</si>
  <si>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</si>
  <si>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</si>
  <si>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</si>
  <si>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</si>
  <si>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</si>
  <si>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</si>
  <si>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</si>
  <si>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</si>
  <si>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</si>
  <si>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</si>
  <si>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</si>
  <si>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</si>
  <si>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</si>
  <si>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- 15.20 Manufacture of footwear</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</si>
  <si>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</si>
  <si>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</si>
  <si>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</si>
  <si>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</si>
  <si>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</si>
  <si>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</si>
  <si>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 Manufacture of wood and of products of wood and cork, except furniture; manufacture of articles of straw and plaiting materials</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</si>
  <si>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</si>
  <si>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</si>
  <si>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</si>
  <si>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</si>
  <si>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</si>
  <si>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</si>
  <si>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</si>
  <si>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- 16.1 Sawmilling and planing of wood; processing and finishing of wood</t>
  </si>
  <si>
    <t>Denmark</t>
  </si>
  <si>
    <t>country:DK</t>
  </si>
  <si>
    <t>Octylphenols and Octylphenol ethoxylates</t>
  </si>
  <si>
    <t xml:space="preserve">    02 05 02 - Non-Hazardous - Sludges from on-site effluent treatment</t>
  </si>
  <si>
    <t xml:space="preserve">    1003 Wastes from aluminium thermal metallurgy</t>
  </si>
  <si>
    <t>HTG</t>
  </si>
  <si>
    <t>NACE C - 16.2 Manufacture of products of wood, cork, straw and plaiting materials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</si>
  <si>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</si>
  <si>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</si>
  <si>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</si>
  <si>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</si>
  <si>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</si>
  <si>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</si>
  <si>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</si>
  <si>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 Manufacture of paper and paper products</t>
  </si>
  <si>
    <t>Dominican Republic</t>
  </si>
  <si>
    <t>country:DO</t>
  </si>
  <si>
    <t>Particulate matter (PM)</t>
  </si>
  <si>
    <t xml:space="preserve">  02 06 - Wastes from the baking and confectionery industry</t>
  </si>
  <si>
    <t xml:space="preserve">    1005 Wastes from zinc thermal metallurgy</t>
  </si>
  <si>
    <t>IDR</t>
  </si>
  <si>
    <t>NACE C - 17.1 Manufacture of pulp,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</si>
  <si>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</si>
  <si>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</si>
  <si>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</si>
  <si>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</si>
  <si>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</si>
  <si>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</si>
  <si>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- 17.2 Manufacture of articles of paper and paperboard</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</si>
  <si>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</si>
  <si>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</si>
  <si>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</si>
  <si>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</si>
  <si>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</si>
  <si>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</si>
  <si>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</si>
  <si>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 Printing and reproduction of recorded media</t>
  </si>
  <si>
    <t>Estonia</t>
  </si>
  <si>
    <t>country:EE</t>
  </si>
  <si>
    <t>Pentachlorophenol (PCP)</t>
  </si>
  <si>
    <t xml:space="preserve">    02 06 03 - Non-Hazardous - Sludges from on-site effluent treatment</t>
  </si>
  <si>
    <t xml:space="preserve">    1008 Wastes from other non-ferrous thermal metallurgy</t>
  </si>
  <si>
    <t>IQD</t>
  </si>
  <si>
    <t>NACE C - 18.1 Printing and service activities related to printing</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</si>
  <si>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</si>
  <si>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</si>
  <si>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</si>
  <si>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</si>
  <si>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</si>
  <si>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</si>
  <si>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</si>
  <si>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- 18.2 Reproduction of recorded media</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</si>
  <si>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</si>
  <si>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</si>
  <si>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</si>
  <si>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</si>
  <si>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</si>
  <si>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</si>
  <si>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 Manufacture of coke and refined petroleum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</si>
  <si>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</si>
  <si>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</si>
  <si>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</si>
  <si>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</si>
  <si>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</si>
  <si>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</si>
  <si>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- 19.1 Manufacture of coke oven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</si>
  <si>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</si>
  <si>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</si>
  <si>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</si>
  <si>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</si>
  <si>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</si>
  <si>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</si>
  <si>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</si>
  <si>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- 19.2 Manufacture of refined petroleum products and fossil fuel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</si>
  <si>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</si>
  <si>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</si>
  <si>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</si>
  <si>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</si>
  <si>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</si>
  <si>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</si>
  <si>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 Manufacture of chemicals and chemical products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</si>
  <si>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</si>
  <si>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</si>
  <si>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</si>
  <si>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</si>
  <si>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</si>
  <si>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</si>
  <si>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</si>
  <si>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- 20.1 Manufacture of basic chemicals, fertilisers and nitrogen compounds, plastics and synthetic rubber in primary forms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</si>
  <si>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</si>
  <si>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</si>
  <si>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</si>
  <si>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</si>
  <si>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</si>
  <si>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</si>
  <si>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</si>
  <si>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- 20.2 Manufacture of pesticides, disinfectants and other agrochemical products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</si>
  <si>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</si>
  <si>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</si>
  <si>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</si>
  <si>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</si>
  <si>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</si>
  <si>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</si>
  <si>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- 20.3 Manufacture of paints, varnishes and similar coatings, printing ink and mastics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</si>
  <si>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</si>
  <si>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</si>
  <si>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</si>
  <si>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</si>
  <si>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</si>
  <si>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</si>
  <si>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- 20.4 Manufacture of washing, cleaning and polishing preparations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</si>
  <si>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</si>
  <si>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</si>
  <si>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</si>
  <si>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</si>
  <si>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</si>
  <si>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</si>
  <si>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</si>
  <si>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- 20.5 Manufacture of other chemical products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</si>
  <si>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</si>
  <si>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</si>
  <si>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</si>
  <si>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</si>
  <si>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</si>
  <si>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</si>
  <si>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</si>
  <si>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- 20.6 Manufacture of man-made fibres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</si>
  <si>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</si>
  <si>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</si>
  <si>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</si>
  <si>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</si>
  <si>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</si>
  <si>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</si>
  <si>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 Manufacture of basic pharmaceutical products and pharmaceutical preparations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</si>
  <si>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</si>
  <si>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</si>
  <si>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</si>
  <si>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</si>
  <si>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</si>
  <si>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</si>
  <si>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</si>
  <si>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- 21.1 Manufacture of basic pharmaceutical products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</si>
  <si>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</si>
  <si>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</si>
  <si>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</si>
  <si>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</si>
  <si>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</si>
  <si>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</si>
  <si>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</si>
  <si>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- 21.2 Manufacture of pharmaceutical preparations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</si>
  <si>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</si>
  <si>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</si>
  <si>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</si>
  <si>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</si>
  <si>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</si>
  <si>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</si>
  <si>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</si>
  <si>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 Manufacture of rubber and plastic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</si>
  <si>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</si>
  <si>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</si>
  <si>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</si>
  <si>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</si>
  <si>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</si>
  <si>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</si>
  <si>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</si>
  <si>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- 22.1 Manufacture of rubber products</t>
  </si>
  <si>
    <t>Guernsey</t>
  </si>
  <si>
    <t>country:GG</t>
  </si>
  <si>
    <t>Toxaphene</t>
  </si>
  <si>
    <t xml:space="preserve">    03 02 02 - Hazardous - Organochlorinated wood preservatives</t>
  </si>
  <si>
    <t xml:space="preserve">    1302 Waste engine, gear and lubricating oils</t>
  </si>
  <si>
    <t>LKR</t>
  </si>
  <si>
    <t>NACE C - 22.2 Manufacture of plastic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</si>
  <si>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</si>
  <si>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</si>
  <si>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</si>
  <si>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</si>
  <si>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</si>
  <si>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</si>
  <si>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 Manufacture of other non-metallic mineral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</si>
  <si>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</si>
  <si>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</si>
  <si>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</si>
  <si>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</si>
  <si>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</si>
  <si>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</si>
  <si>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</si>
  <si>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- 23.1 Manufacture of glass and glass products</t>
  </si>
  <si>
    <t>Greenland</t>
  </si>
  <si>
    <t>country:GL</t>
  </si>
  <si>
    <t>1,1,1-trichloroethane</t>
  </si>
  <si>
    <t xml:space="preserve">    03 02 05 - Hazardous - Other wood preservatives containing hazardous substances</t>
  </si>
  <si>
    <t xml:space="preserve">    1305 Oil/water separator contents</t>
  </si>
  <si>
    <t>LYD</t>
  </si>
  <si>
    <t>NACE C - 23.2 Manufacture of refractory products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</si>
  <si>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</si>
  <si>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</si>
  <si>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</si>
  <si>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</si>
  <si>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</si>
  <si>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</si>
  <si>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</si>
  <si>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- 23.3 Manufacture of clay building materials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</si>
  <si>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</si>
  <si>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</si>
  <si>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</si>
  <si>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</si>
  <si>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</si>
  <si>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</si>
  <si>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</si>
  <si>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- 23.4 Manufacture of other porcelain and ceramic products</t>
  </si>
  <si>
    <t>Guadeloupe</t>
  </si>
  <si>
    <t>country:GP</t>
  </si>
  <si>
    <t>Trifluralin</t>
  </si>
  <si>
    <t xml:space="preserve">    03 03 01 - Non-Hazardous - Waste bark and wood</t>
  </si>
  <si>
    <t xml:space="preserve">    1401 Wastes from metal degreasing and machinery maintenance</t>
  </si>
  <si>
    <t>MGA</t>
  </si>
  <si>
    <t>NACE C - 23.5 Manufacture of cement, lime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</si>
  <si>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</si>
  <si>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</si>
  <si>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</si>
  <si>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</si>
  <si>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</si>
  <si>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</si>
  <si>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- 23.6 Manufacture of articles of concrete, cement and plaster</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</si>
  <si>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</si>
  <si>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</si>
  <si>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</si>
  <si>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</si>
  <si>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</si>
  <si>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</si>
  <si>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</si>
  <si>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- 23.7 Cutting, shaping and finishing of stone</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</si>
  <si>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</si>
  <si>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</si>
  <si>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</si>
  <si>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</si>
  <si>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</si>
  <si>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</si>
  <si>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</si>
  <si>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- 23.9 Manufacture of abrasive products and non-metallic mineral products n.e.c.</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</si>
  <si>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</si>
  <si>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</si>
  <si>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</si>
  <si>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</si>
  <si>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</si>
  <si>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</si>
  <si>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</si>
  <si>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 Manufacture of basic metals</t>
  </si>
  <si>
    <t>Guam</t>
  </si>
  <si>
    <t>country:GU</t>
  </si>
  <si>
    <t xml:space="preserve">    03 03 09 - Non-Hazardous - Lime mud waste</t>
  </si>
  <si>
    <t>15 WASTE PACKAGING; ABSORBENTS, WIPING CLOTHS, FILTER MATERIALS AND PROTECTIVE CLOTHING NOT OTHERWISE SPECIFIED</t>
  </si>
  <si>
    <t>MRU</t>
  </si>
  <si>
    <t>NACE C - 24.1 Manufacture of basic iron and steel and of ferro-alloys</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</si>
  <si>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</si>
  <si>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</si>
  <si>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</si>
  <si>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</si>
  <si>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</si>
  <si>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</si>
  <si>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- 24.2 Manufacture of tubes, pipes, hollow profiles and related fittings,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</si>
  <si>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</si>
  <si>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</si>
  <si>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</si>
  <si>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</si>
  <si>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</si>
  <si>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- 24.3 Manufacture of other products of first processing of steel</t>
  </si>
  <si>
    <t>Hong Kong</t>
  </si>
  <si>
    <t>country:HK</t>
  </si>
  <si>
    <t xml:space="preserve">    03 03 99 - Non-Hazardous - Wastes not otherwise specified</t>
  </si>
  <si>
    <t>16 WASTES NOT OTHERWISE SPECIFIED IN THE LIST</t>
  </si>
  <si>
    <t>MWK</t>
  </si>
  <si>
    <t>NACE C - 10.31 Processing and preserving of potatoes</t>
  </si>
  <si>
    <t>NACE C - 24.4 Manufacture of basic precious and other non-ferrous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</si>
  <si>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</si>
  <si>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</si>
  <si>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</si>
  <si>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</si>
  <si>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</si>
  <si>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</si>
  <si>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- 24.5 Casting of metals</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</si>
  <si>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</si>
  <si>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</si>
  <si>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</si>
  <si>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</si>
  <si>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</si>
  <si>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</si>
  <si>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 Manufacture of fabricated metal products, except machinery and equipment</t>
  </si>
  <si>
    <t>Croatia</t>
  </si>
  <si>
    <t>country:HR</t>
  </si>
  <si>
    <t xml:space="preserve">    04 01 01 - Non-Hazardous - Fleshings and lime split wastes</t>
  </si>
  <si>
    <t xml:space="preserve">    1603 Off-specification batches</t>
  </si>
  <si>
    <t>MYR</t>
  </si>
  <si>
    <t>NACE C - 25.1 Manufacture of structural metal products</t>
  </si>
  <si>
    <t>Haiti</t>
  </si>
  <si>
    <t>country:HT</t>
  </si>
  <si>
    <t xml:space="preserve">    04 01 02 - Non-Hazardous - Liming waste</t>
  </si>
  <si>
    <t xml:space="preserve">    1604 Waste explosives</t>
  </si>
  <si>
    <t>MZN</t>
  </si>
  <si>
    <t>NACE C - 10.41 Manufacture of oils and fats</t>
  </si>
  <si>
    <t>NACE C - 25.2 Manufacture of tanks, reservoirs and containers of metal</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</si>
  <si>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</si>
  <si>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</si>
  <si>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</si>
  <si>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</si>
  <si>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</si>
  <si>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</si>
  <si>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- 25.3 Manufacture of weapons and ammunition</t>
  </si>
  <si>
    <t>Indonesia</t>
  </si>
  <si>
    <t>country:ID</t>
  </si>
  <si>
    <t xml:space="preserve">    04 01 04 - Non-Hazardous - Tanning liquor containing chromium</t>
  </si>
  <si>
    <t xml:space="preserve">    1606 Batteries and accumulators</t>
  </si>
  <si>
    <t>NGN</t>
  </si>
  <si>
    <t>NACE C - 25.4 Forging and shaping metal and powder metallurgy</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</si>
  <si>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</si>
  <si>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</si>
  <si>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</si>
  <si>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</si>
  <si>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</si>
  <si>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</si>
  <si>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- 25.5 Treatment and coating of metals; machining</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</si>
  <si>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</si>
  <si>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</si>
  <si>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</si>
  <si>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</si>
  <si>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</si>
  <si>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</si>
  <si>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- 25.6 Manufacture of cutlery, tools and general hardware</t>
  </si>
  <si>
    <t>Isle of Man</t>
  </si>
  <si>
    <t>country:IM</t>
  </si>
  <si>
    <t xml:space="preserve">    04 01 07 - Non-Hazardous - Sludges, in particular from on-site effluent treatment free of chromium</t>
  </si>
  <si>
    <t>17 CONSTRUCTION AND DEMOLITION WASTES (INCLUDING ROAD CONSTRUCTION)</t>
  </si>
  <si>
    <t>NPR</t>
  </si>
  <si>
    <t>NACE C - 25.9 Manufacture of other fabricated metal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</si>
  <si>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</si>
  <si>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</si>
  <si>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</si>
  <si>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</si>
  <si>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</si>
  <si>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</si>
  <si>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 Manufacture of computer, electronic and optical products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</si>
  <si>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</si>
  <si>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</si>
  <si>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</si>
  <si>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</si>
  <si>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</si>
  <si>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</si>
  <si>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- 26.1 Manufacture of electronic components and boards</t>
  </si>
  <si>
    <t>Iraq</t>
  </si>
  <si>
    <t>country:IQ</t>
  </si>
  <si>
    <t xml:space="preserve">    04 01 99 - Non-Hazardous - Wastes not otherwise specified</t>
  </si>
  <si>
    <t xml:space="preserve">    1703 Asphalt, tar and tarred products</t>
  </si>
  <si>
    <t>PAB</t>
  </si>
  <si>
    <t>NACE C - 26.2 Manufacture of computers and peripheral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</si>
  <si>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</si>
  <si>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</si>
  <si>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</si>
  <si>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</si>
  <si>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</si>
  <si>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</si>
  <si>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- 26.3 Manufacture of communication equipment</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</si>
  <si>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</si>
  <si>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</si>
  <si>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</si>
  <si>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</si>
  <si>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</si>
  <si>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</si>
  <si>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- 26.4 Manufacture of consumer electronics</t>
  </si>
  <si>
    <t>country:IT</t>
  </si>
  <si>
    <t xml:space="preserve">    1706 Insulation materials</t>
  </si>
  <si>
    <t>PHP</t>
  </si>
  <si>
    <t>NACE C - 10.73 Manufacture of farinaceous products</t>
  </si>
  <si>
    <t>NACE C - 26.5 Manufacture of measuring testing instruments, clocks and watches</t>
  </si>
  <si>
    <t>Jersey</t>
  </si>
  <si>
    <t>country:JE</t>
  </si>
  <si>
    <t xml:space="preserve">    04 02 14 - Hazardous - Wastes from finishing containing organic solvents</t>
  </si>
  <si>
    <t xml:space="preserve">    1707 Mixed construction and demolition waste</t>
  </si>
  <si>
    <t>PKR</t>
  </si>
  <si>
    <t>NACE C - 26.6 Manufacture of irradiation, electromedical and electrotherapeutic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</si>
  <si>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</si>
  <si>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</si>
  <si>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</si>
  <si>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</si>
  <si>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</si>
  <si>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</si>
  <si>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- 26.7 Manufacture of optical instruments, magnetic and optical media and photographic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</si>
  <si>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</si>
  <si>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</si>
  <si>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</si>
  <si>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</si>
  <si>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</si>
  <si>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</si>
  <si>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 Manufacture of electrical equipment</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</si>
  <si>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</si>
  <si>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</si>
  <si>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</si>
  <si>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</si>
  <si>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</si>
  <si>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</si>
  <si>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- 27.1 Manufacture of electric motors, generators, transformers and electricity distribution and control apparatus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</si>
  <si>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</si>
  <si>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</si>
  <si>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</si>
  <si>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</si>
  <si>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</si>
  <si>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</si>
  <si>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- 27.2 Manufacture of batteries and accumulators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</si>
  <si>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</si>
  <si>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</si>
  <si>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</si>
  <si>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</si>
  <si>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</si>
  <si>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</si>
  <si>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- 27.3 Manufacture of wiring and wiring devices</t>
  </si>
  <si>
    <t>Cambodia</t>
  </si>
  <si>
    <t>country:KH</t>
  </si>
  <si>
    <t xml:space="preserve">    1902 Wastes from specific physico/chemical treatments of industrial waste, (e.g. dechromatation, decyanidation, neutralisation)</t>
  </si>
  <si>
    <t>RUB</t>
  </si>
  <si>
    <t>NACE C - 10.86 Manufacture of homogenised food preparations and dietetic food</t>
  </si>
  <si>
    <t>NACE C - 27.4 Manufacture of lighting equipment</t>
  </si>
  <si>
    <t>Kiribati</t>
  </si>
  <si>
    <t>country:KI</t>
  </si>
  <si>
    <t xml:space="preserve">    04 02 22 - Non-Hazardous - Wastes from processed textile fibres</t>
  </si>
  <si>
    <t xml:space="preserve">    1903 Stabilised/solidified wastes</t>
  </si>
  <si>
    <t>RWF</t>
  </si>
  <si>
    <t>NACE C - 10.89 Manufacture of other food products n.e.c.</t>
  </si>
  <si>
    <t>NACE C - 27.5 Manufacture of domestic appliances</t>
  </si>
  <si>
    <t>Comoros</t>
  </si>
  <si>
    <t>country:KM</t>
  </si>
  <si>
    <t xml:space="preserve">    04 02 99 - Non-Hazardous - Wastes not otherwise specified</t>
  </si>
  <si>
    <t xml:space="preserve">    1904 Vitrified waste and wastes from vitrification</t>
  </si>
  <si>
    <t>SAR</t>
  </si>
  <si>
    <t>NACE C - 27.9 Manufacture of other electrical equipment</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</si>
  <si>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</si>
  <si>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</si>
  <si>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</si>
  <si>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</si>
  <si>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</si>
  <si>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</si>
  <si>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 Manufacture of machinery and equipment n.e.c.</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</si>
  <si>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</si>
  <si>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</si>
  <si>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</si>
  <si>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</si>
  <si>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</si>
  <si>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</si>
  <si>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- 28.1 Manufacture of general-purpose machinery</t>
  </si>
  <si>
    <t>Korea (the Republic of)</t>
  </si>
  <si>
    <t>country:KR</t>
  </si>
  <si>
    <t xml:space="preserve">    05 01 02 - Hazardous - Desalter sludges</t>
  </si>
  <si>
    <t xml:space="preserve">    1907 Landfill leachate</t>
  </si>
  <si>
    <t>SDG</t>
  </si>
  <si>
    <t>NACE C - 28.2 Manufacture of other general-purpose machinery</t>
  </si>
  <si>
    <t>Kuwait</t>
  </si>
  <si>
    <t>country:KW</t>
  </si>
  <si>
    <t xml:space="preserve">    05 01 03 - Hazardous - Tank bottom sludges</t>
  </si>
  <si>
    <t xml:space="preserve">    1908 Wastes from waste water treatment plants not otherwise specified</t>
  </si>
  <si>
    <t>SEK</t>
  </si>
  <si>
    <t>NACE C - 28.3 Manufacture of agricultural and forestry machinery</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</si>
  <si>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</si>
  <si>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</si>
  <si>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</si>
  <si>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</si>
  <si>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</si>
  <si>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</si>
  <si>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- 28.4 Manufacture of metal forming machinery and machine tools</t>
  </si>
  <si>
    <t>Kazakhstan</t>
  </si>
  <si>
    <t>country:KZ</t>
  </si>
  <si>
    <t xml:space="preserve">    05 01 05 - Hazardous - Oil spills</t>
  </si>
  <si>
    <t xml:space="preserve">    1910 Wastes from shredding of metal-containing waste</t>
  </si>
  <si>
    <t>SHP</t>
  </si>
  <si>
    <t>NACE C - 11.02 Manufacture of wine from grape</t>
  </si>
  <si>
    <t>NACE C - 28.9 Manufacture of other special-purpose machinery</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</si>
  <si>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</si>
  <si>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</si>
  <si>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</si>
  <si>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</si>
  <si>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</si>
  <si>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</si>
  <si>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 Manufacture of motor vehicles, trailers and semi-trailers</t>
  </si>
  <si>
    <t>Lebanon</t>
  </si>
  <si>
    <t>country:LB</t>
  </si>
  <si>
    <t xml:space="preserve">    05 01 07 - Hazardous - Acid tars</t>
  </si>
  <si>
    <t xml:space="preserve">    2001 Separately collected fractions</t>
  </si>
  <si>
    <t>SOS</t>
  </si>
  <si>
    <t>NACE C - 11.04 Manufacture of other non-distilled fermented beverages</t>
  </si>
  <si>
    <t>NACE C - 29.1 Manufacture of motor vehicles</t>
  </si>
  <si>
    <t>Saint Lucia</t>
  </si>
  <si>
    <t>country:LC</t>
  </si>
  <si>
    <t xml:space="preserve">    05 01 08 - Hazardous - Other tars</t>
  </si>
  <si>
    <t xml:space="preserve">    2002 Garden and park wastes (including cemetery waste)</t>
  </si>
  <si>
    <t>SRD</t>
  </si>
  <si>
    <t>NACE C - 11.05 Manufacture of beer</t>
  </si>
  <si>
    <t>NACE C - 29.2 Manufacture of bodies and coachwork for motor vehicles; manufacture of trailers and semi-trailers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</si>
  <si>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</si>
  <si>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</si>
  <si>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</si>
  <si>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</si>
  <si>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</si>
  <si>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</si>
  <si>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- 29.3 Manufacture of motor vehicle parts and accessories</t>
  </si>
  <si>
    <t>Sri Lanka</t>
  </si>
  <si>
    <t>country:LK</t>
  </si>
  <si>
    <t xml:space="preserve">    05 01 10 - Non-Hazardous - Sludges from on-site effluent treatment other than those mentioned in 05 01 09</t>
  </si>
  <si>
    <t>STD</t>
  </si>
  <si>
    <t>NACE C - 11.07 Manufacture of soft drinks and bottled waters</t>
  </si>
  <si>
    <t>NACE C - 30 Manufacture of other transport equipment</t>
  </si>
  <si>
    <t>Liberia</t>
  </si>
  <si>
    <t>country:LR</t>
  </si>
  <si>
    <t xml:space="preserve">    05 01 11 - Hazardous - Wastes from cleaning of fuels with bases</t>
  </si>
  <si>
    <t>SVC</t>
  </si>
  <si>
    <t>NACE C - 30.1 Building of ships and boats</t>
  </si>
  <si>
    <t>Lesotho</t>
  </si>
  <si>
    <t>country:LS</t>
  </si>
  <si>
    <t xml:space="preserve">    05 01 12 - Hazardous - Oil containing acids</t>
  </si>
  <si>
    <t>SYP</t>
  </si>
  <si>
    <t>NACE C - 30.2 Manufacture of railway locomotives and rolling stock</t>
  </si>
  <si>
    <t>Lithuania</t>
  </si>
  <si>
    <t>country:LT</t>
  </si>
  <si>
    <t xml:space="preserve">    05 01 13 - Non-Hazardous - Boiler feedwater sludges</t>
  </si>
  <si>
    <t>SZL</t>
  </si>
  <si>
    <t>NACE C - 12.00 Manufacture of tobacco products</t>
  </si>
  <si>
    <t>NACE C - 30.3 Manufacture of air and spacecraft and related machinery</t>
  </si>
  <si>
    <t>Luxembourg</t>
  </si>
  <si>
    <t>country:LU</t>
  </si>
  <si>
    <t xml:space="preserve">    05 01 14 - Non-Hazardous - Wastes from cooling columns</t>
  </si>
  <si>
    <t>THB</t>
  </si>
  <si>
    <t>NACE C - 30.4 Manufacture of military fighting vehicles</t>
  </si>
  <si>
    <t>Latvia</t>
  </si>
  <si>
    <t>country:LV</t>
  </si>
  <si>
    <t xml:space="preserve">    05 01 15 - Hazardous - Spent filter clays</t>
  </si>
  <si>
    <t>TJS</t>
  </si>
  <si>
    <t>NACE C - 30.9 Manufacture of transport equipment n.e.c.</t>
  </si>
  <si>
    <t>Libya</t>
  </si>
  <si>
    <t>country:LY</t>
  </si>
  <si>
    <t xml:space="preserve">    05 01 16 - Non-Hazardous - Sulphur-containing wastes from petroleum desulphurisation</t>
  </si>
  <si>
    <t>TMT</t>
  </si>
  <si>
    <t>NACE C - 13.10 Preparation and spinning of textile fibres</t>
  </si>
  <si>
    <t>NACE C - 31 Manufacture of furniture</t>
  </si>
  <si>
    <t>Morocco</t>
  </si>
  <si>
    <t>country:MA</t>
  </si>
  <si>
    <t xml:space="preserve">    05 01 17 - Non-Hazardous - Bitumen</t>
  </si>
  <si>
    <t>TND</t>
  </si>
  <si>
    <t>NACE C - 31.0 Manufacture of furniture</t>
  </si>
  <si>
    <t>Monaco</t>
  </si>
  <si>
    <t>country:MC</t>
  </si>
  <si>
    <t xml:space="preserve">    05 01 99 - Non-Hazardous - Wastes not otherwise specified</t>
  </si>
  <si>
    <t>TOP</t>
  </si>
  <si>
    <t>NACE C - 13.20 Weaving of textiles</t>
  </si>
  <si>
    <t>NACE C - 32 Other manufacturing</t>
  </si>
  <si>
    <t>Moldova (the Republic of)</t>
  </si>
  <si>
    <t>country:MD</t>
  </si>
  <si>
    <t xml:space="preserve">  05 06 - Wastes from the pyrolytic treatment of coal</t>
  </si>
  <si>
    <t>TRY</t>
  </si>
  <si>
    <t>NACE C - 32.1 Manufacture of jewellery, bijouterie and related articles</t>
  </si>
  <si>
    <t>Montenegro</t>
  </si>
  <si>
    <t>country:ME</t>
  </si>
  <si>
    <t xml:space="preserve">    05 06 01 - Hazardous - Acid tars</t>
  </si>
  <si>
    <t>TTD</t>
  </si>
  <si>
    <t>NACE C - 13.30 Finishing of textiles</t>
  </si>
  <si>
    <t>NACE C - 32.2 Manufacture of musical instruments</t>
  </si>
  <si>
    <t>Saint Martin (French part)</t>
  </si>
  <si>
    <t>country:MF</t>
  </si>
  <si>
    <t xml:space="preserve">    05 06 03 - Hazardous - Other tars</t>
  </si>
  <si>
    <t>TWD</t>
  </si>
  <si>
    <t>NACE C - 32.3 Manufacture of sports goods</t>
  </si>
  <si>
    <t>Madagascar</t>
  </si>
  <si>
    <t>country:MG</t>
  </si>
  <si>
    <t xml:space="preserve">    05 06 04 - Non-Hazardous - Waste from cooling columns</t>
  </si>
  <si>
    <t>TZS</t>
  </si>
  <si>
    <t>NACE C - 13.91 Manufacture of knitted and crocheted fabrics</t>
  </si>
  <si>
    <t>NACE C - 32.4 Manufacture of games and toys</t>
  </si>
  <si>
    <t>Marshall Islands</t>
  </si>
  <si>
    <t>country:MH</t>
  </si>
  <si>
    <t xml:space="preserve">    05 06 99 - Non-Hazardous - Wastes not otherwise specified</t>
  </si>
  <si>
    <t>UAH</t>
  </si>
  <si>
    <t>NACE C - 13.92 Manufacture of household textiles and made-up furnishing articles</t>
  </si>
  <si>
    <t>NACE C - 32.5 Manufacture of medical and dental instruments and supplies</t>
  </si>
  <si>
    <t>North Macedonia</t>
  </si>
  <si>
    <t>country:MK</t>
  </si>
  <si>
    <t xml:space="preserve">  05 07 - Wastes from natural gas purification and transportation</t>
  </si>
  <si>
    <t>UGX</t>
  </si>
  <si>
    <t>NACE C - 13.93 Manufacture of carpets and rugs</t>
  </si>
  <si>
    <t>NACE C - 32.9 Manufacturing n.e.c.</t>
  </si>
  <si>
    <t>Mali</t>
  </si>
  <si>
    <t>country:ML</t>
  </si>
  <si>
    <t xml:space="preserve">    05 07 01 - Hazardous - Wastes containing mercury</t>
  </si>
  <si>
    <t>USD</t>
  </si>
  <si>
    <t>NACE C - 13.94 Manufacture of cordage, rope, twine and netting</t>
  </si>
  <si>
    <t>NACE C - 33 Repair, maintenance and installation of machinery and equipment</t>
  </si>
  <si>
    <t>Myanmar</t>
  </si>
  <si>
    <t>country:MM</t>
  </si>
  <si>
    <t xml:space="preserve">    05 07 02 - Non-Hazardous - Wastes containing sulphur</t>
  </si>
  <si>
    <t>UYI</t>
  </si>
  <si>
    <t>NACE C - 13.95 Manufacture of non-wovens and non-woven articles</t>
  </si>
  <si>
    <t>NACE C - 33.1 Repair and maintenance of fabricated metal products, machinery and equipment</t>
  </si>
  <si>
    <t>Mongolia</t>
  </si>
  <si>
    <t>country:MN</t>
  </si>
  <si>
    <t xml:space="preserve">    05 07 99 - Non-Hazardous - Wastes not otherwise specified</t>
  </si>
  <si>
    <t>UYU</t>
  </si>
  <si>
    <t>NACE C - 13.96 Manufacture of other technical and industrial textiles</t>
  </si>
  <si>
    <t>NACE C - 33.2 Installation of industrial machinery and equipment</t>
  </si>
  <si>
    <t>Macao</t>
  </si>
  <si>
    <t>country:MO</t>
  </si>
  <si>
    <t>06 - WASTES FROM INORGANIC CHEMICAL PROCESSES</t>
  </si>
  <si>
    <t>UZS</t>
  </si>
  <si>
    <t>NACE C - 13.99 Manufacture of other textiles n.e.c.</t>
  </si>
  <si>
    <t>Northern Mariana Islands</t>
  </si>
  <si>
    <t>country:MP</t>
  </si>
  <si>
    <t xml:space="preserve">  06 01 - Wastes from the manufacture, formulation, supply and use (MFSU) of acids</t>
  </si>
  <si>
    <t>VES</t>
  </si>
  <si>
    <t>NACE D - 35 Electricity, gas, steam and air conditioning supply</t>
  </si>
  <si>
    <t>Martinique</t>
  </si>
  <si>
    <t>country:MQ</t>
  </si>
  <si>
    <t xml:space="preserve">    06 01 01 - Hazardous - Sulphuric acid and sulphurous acid</t>
  </si>
  <si>
    <t>VND</t>
  </si>
  <si>
    <t>NACE D - 35.1 Electric power generation, transmission and distribution</t>
  </si>
  <si>
    <t>Mauritania</t>
  </si>
  <si>
    <t>country:MR</t>
  </si>
  <si>
    <t xml:space="preserve">    06 01 02 - Hazardous - Hydrochloric acid</t>
  </si>
  <si>
    <t>VUV</t>
  </si>
  <si>
    <t>NACE C - 14.10 Manufacture of knitted and crocheted apparel</t>
  </si>
  <si>
    <t>NACE D - 35.2 Manufacture of gas, and distribution of gaseous fuels through mains</t>
  </si>
  <si>
    <t>Montserrat</t>
  </si>
  <si>
    <t>country:MS</t>
  </si>
  <si>
    <t xml:space="preserve">    06 01 03 - Hazardous - Hydrofluoric acid</t>
  </si>
  <si>
    <t>WST</t>
  </si>
  <si>
    <t>NACE D - 35.3 Steam and air conditioning supply</t>
  </si>
  <si>
    <t>Malta</t>
  </si>
  <si>
    <t>country:MT</t>
  </si>
  <si>
    <t xml:space="preserve">    06 01 04 - Hazardous - Phosphoric and phosphorous acid</t>
  </si>
  <si>
    <t>XAF</t>
  </si>
  <si>
    <t>NACE C - 14.21 Manufacture of outerwear</t>
  </si>
  <si>
    <t>NACE D - 35.4 Activities of brokers and agents for electric power and natural gas</t>
  </si>
  <si>
    <t>Mauritius</t>
  </si>
  <si>
    <t>country:MU</t>
  </si>
  <si>
    <t xml:space="preserve">    06 01 05 - Hazardous - Nitric acid and nitrous acid</t>
  </si>
  <si>
    <t>XAG</t>
  </si>
  <si>
    <t>NACE C - 14.22 Manufacture of underwear</t>
  </si>
  <si>
    <t>NACE D - ELECTRICITY, GAS, STEAM AND AIR CONDITIONING SUPPLY</t>
  </si>
  <si>
    <t>Maldives</t>
  </si>
  <si>
    <t>country:MV</t>
  </si>
  <si>
    <t xml:space="preserve">    06 01 06 - Hazardous - Other acids</t>
  </si>
  <si>
    <t>XAU</t>
  </si>
  <si>
    <t>NACE C - 14.23 Manufacture of workwear</t>
  </si>
  <si>
    <t>NACE E - 36 Water collection, treatment and supply</t>
  </si>
  <si>
    <t>Malawi</t>
  </si>
  <si>
    <t>country:MW</t>
  </si>
  <si>
    <t xml:space="preserve">    06 01 99 - Non-Hazardous - Wastes not otherwise specified</t>
  </si>
  <si>
    <t>XCD</t>
  </si>
  <si>
    <t>NACE C - 14.24 Manufacture of leather clothes and fur apparel</t>
  </si>
  <si>
    <t>NACE E - 36.0 Water collection, treatment and supply</t>
  </si>
  <si>
    <t>Mexico</t>
  </si>
  <si>
    <t>country:MX</t>
  </si>
  <si>
    <t xml:space="preserve">  06 02 - Wastes from the MFSU of bases</t>
  </si>
  <si>
    <t>XDR</t>
  </si>
  <si>
    <t>NACE C - 14.29 Manufacture of other wearing apparel and accessories n.e.c.</t>
  </si>
  <si>
    <t>NACE E - 37 Sewerage</t>
  </si>
  <si>
    <t>Malaysia</t>
  </si>
  <si>
    <t>country:MY</t>
  </si>
  <si>
    <t xml:space="preserve">    06 02 01 - Hazardous - Calcium hydroxide</t>
  </si>
  <si>
    <t>XOF</t>
  </si>
  <si>
    <t>NACE E - 37.0 Sewerage</t>
  </si>
  <si>
    <t>Mozambique</t>
  </si>
  <si>
    <t>country:MZ</t>
  </si>
  <si>
    <t xml:space="preserve">    06 02 03 - Hazardous - Ammonium hydroxide</t>
  </si>
  <si>
    <t>XPD</t>
  </si>
  <si>
    <t>NACE E - 38 Waste collection, recovery and disposal activities</t>
  </si>
  <si>
    <t>Namibia</t>
  </si>
  <si>
    <t>country:NA</t>
  </si>
  <si>
    <t xml:space="preserve">    06 02 04 - Hazardous - Sodium and potassium hydroxide</t>
  </si>
  <si>
    <t>XPF</t>
  </si>
  <si>
    <t>NACE C - 15.11 Tanning, dressing, dyeing of leather and fur</t>
  </si>
  <si>
    <t>NACE E - 38.1 Waste collection</t>
  </si>
  <si>
    <t>New Caledonia</t>
  </si>
  <si>
    <t>country:NC</t>
  </si>
  <si>
    <t xml:space="preserve">    06 02 05 - Hazardous - Other bases</t>
  </si>
  <si>
    <t>XPT</t>
  </si>
  <si>
    <t>NACE C - 15.12 Manufacture of luggage, handbags, saddlery and harness of any material</t>
  </si>
  <si>
    <t>NACE E - 38.2 Waste recovery</t>
  </si>
  <si>
    <t>Niger</t>
  </si>
  <si>
    <t>country:NE</t>
  </si>
  <si>
    <t xml:space="preserve">    06 02 99 - Non-Hazardous - Wastes not otherwise specified</t>
  </si>
  <si>
    <t>XSU</t>
  </si>
  <si>
    <t>NACE E - 38.3 Waste disposal without recovery</t>
  </si>
  <si>
    <t>Norfolk Island</t>
  </si>
  <si>
    <t>country:NF</t>
  </si>
  <si>
    <t xml:space="preserve">  06 03 - Wastes from the MFSU of salts and their solutions and metallic oxides</t>
  </si>
  <si>
    <t>XUA</t>
  </si>
  <si>
    <t>NACE E - 39 Remediation activities and other waste management service activities</t>
  </si>
  <si>
    <t>Nigeria</t>
  </si>
  <si>
    <t>country:NG</t>
  </si>
  <si>
    <t xml:space="preserve">    06 03 11 - Hazardous - Solid salts and solutions containing cyanides</t>
  </si>
  <si>
    <t>YER</t>
  </si>
  <si>
    <t>NACE E - 39.0 Remediation activities and other waste management service activities</t>
  </si>
  <si>
    <t>Nicaragua</t>
  </si>
  <si>
    <t>country:NI</t>
  </si>
  <si>
    <t xml:space="preserve">    06 03 13 - Hazardous - Solid salts and solutions containing heavy metals</t>
  </si>
  <si>
    <t>ZAR</t>
  </si>
  <si>
    <t>NACE E - WATER SUPPLY; SEWERAGE, WASTE MANAGEMENT AND REMEDIATION ACTIVITIES</t>
  </si>
  <si>
    <t>Netherlands (Kingdom of the)</t>
  </si>
  <si>
    <t>country:NL</t>
  </si>
  <si>
    <t xml:space="preserve">    06 03 14 - Non-Hazardous - Solid salts and solutions other than those mentioned in 06 03 11 and 06 03 13</t>
  </si>
  <si>
    <t>ZMW</t>
  </si>
  <si>
    <t>NACE C - 16.11 Sawmilling and planing of wood</t>
  </si>
  <si>
    <t>NACE F - 41 Construction of residential and non-residential buildings</t>
  </si>
  <si>
    <t>Norway</t>
  </si>
  <si>
    <t>country:NO</t>
  </si>
  <si>
    <t xml:space="preserve">    06 03 15 - Hazardous - Metallic oxides containing heavy metals</t>
  </si>
  <si>
    <t>NACE C - 16.12 Processing and finishing of wood</t>
  </si>
  <si>
    <t>NACE F - 41.0 Construction of residential and non-residential buildings</t>
  </si>
  <si>
    <t>Nepal</t>
  </si>
  <si>
    <t>country:NP</t>
  </si>
  <si>
    <t xml:space="preserve">    06 03 16 - Non-Hazardous - Metallic oxides other than those mentioned in 06 03 15</t>
  </si>
  <si>
    <t>NACE F - 42 Civil engineering</t>
  </si>
  <si>
    <t>Nauru</t>
  </si>
  <si>
    <t>country:NR</t>
  </si>
  <si>
    <t xml:space="preserve">    06 03 99 - Non-Hazardous - Wastes not otherwise specified</t>
  </si>
  <si>
    <t>NACE C - 16.21 Manufacture of veneer sheets and wood-based panels</t>
  </si>
  <si>
    <t>NACE F - 42.1 Construction of roads and railways</t>
  </si>
  <si>
    <t>Neutral Zone (before 1993-07-12)</t>
  </si>
  <si>
    <t>country:NT</t>
  </si>
  <si>
    <t xml:space="preserve">  06 04 - Metal-containing wastes other than those mentioned in 06 03</t>
  </si>
  <si>
    <t>NACE C - 16.22 Manufacture of assembled parquet floors</t>
  </si>
  <si>
    <t>NACE F - 42.2 Construction of utility projects</t>
  </si>
  <si>
    <t>Niue</t>
  </si>
  <si>
    <t>country:NU</t>
  </si>
  <si>
    <t xml:space="preserve">    06 04 03 - Hazardous - Wastes containing arsenic</t>
  </si>
  <si>
    <t>NACE C - 16.23 Manufacture of other builders’ carpentry and joinery</t>
  </si>
  <si>
    <t>NACE F - 42.9 Construction of other civil engineering projects</t>
  </si>
  <si>
    <t>New Zealand</t>
  </si>
  <si>
    <t>country:NZ</t>
  </si>
  <si>
    <t xml:space="preserve">    06 04 04 - Hazardous - Wastes containing mercury</t>
  </si>
  <si>
    <t>NACE C - 16.24 Manufacture of wooden containers</t>
  </si>
  <si>
    <t>NACE F - 43 Specialised construction activities</t>
  </si>
  <si>
    <t>Oman</t>
  </si>
  <si>
    <t>country:OM</t>
  </si>
  <si>
    <t xml:space="preserve">    06 04 05 - Hazardous - Wastes containing other heavy metals</t>
  </si>
  <si>
    <t>NACE C - 16.25 Manufacture of doors and windows of wood</t>
  </si>
  <si>
    <t>NACE F - 43.1 Demolition and site preparation</t>
  </si>
  <si>
    <t>Panama</t>
  </si>
  <si>
    <t>country:PA</t>
  </si>
  <si>
    <t xml:space="preserve">    06 04 99 - Non-Hazardous - Wastes not otherwise specified</t>
  </si>
  <si>
    <t>NACE C - 16.26 Manufacture of solid fuels from vegetable biomass</t>
  </si>
  <si>
    <t>NACE F - 43.2 Electrical, plumbing and other construction installation activities</t>
  </si>
  <si>
    <t>Peru</t>
  </si>
  <si>
    <t>country:PE</t>
  </si>
  <si>
    <t xml:space="preserve">  06 05 - Sludges from on-site effluent treatment</t>
  </si>
  <si>
    <t>NACE C - 16.27 Finishing of wooden products</t>
  </si>
  <si>
    <t>NACE F - 43.3 Building completion and finishing</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</si>
  <si>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</si>
  <si>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</si>
  <si>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</si>
  <si>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</si>
  <si>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- 43.4 Specialised construction activities in construction of buildings</t>
  </si>
  <si>
    <t>Papua New Guinea</t>
  </si>
  <si>
    <t>country:PG</t>
  </si>
  <si>
    <t xml:space="preserve">    06 05 03 - Non-Hazardous - Sludges from on-site effluent treatment other than those mentioned in 06 05 02</t>
  </si>
  <si>
    <t>NACE F - 43.5 Specialised construction activities in civil engineering</t>
  </si>
  <si>
    <t>Philippines</t>
  </si>
  <si>
    <t>country:PH</t>
  </si>
  <si>
    <t xml:space="preserve">  06 06 - Wastes from the MFSU of sulphur chemicals, sulphur chemical processes and desulphurisation processes</t>
  </si>
  <si>
    <t>NACE F - 43.6 Intermediation service activities for specialised construction services</t>
  </si>
  <si>
    <t>Pakistan</t>
  </si>
  <si>
    <t>country:PK</t>
  </si>
  <si>
    <t xml:space="preserve">    06 06 02 - Hazardous - Wastes containing hazardous sulphides</t>
  </si>
  <si>
    <t>NACE C - 17.11 Manufacture of pulp</t>
  </si>
  <si>
    <t>NACE F - 43.9 Other specialised construction activities</t>
  </si>
  <si>
    <t>Poland</t>
  </si>
  <si>
    <t>country:PL</t>
  </si>
  <si>
    <t xml:space="preserve">    06 06 03 - Non-Hazardous - Wastes containing sulphides other than those mentioned in 06 06 02</t>
  </si>
  <si>
    <t>NACE C - 17.12 Manufacture of paper and paperboard</t>
  </si>
  <si>
    <t>NACE F - CONSTRUCTION</t>
  </si>
  <si>
    <t>Saint Pierre and Miquelon</t>
  </si>
  <si>
    <t>country:PM</t>
  </si>
  <si>
    <t xml:space="preserve">    06 06 99 - Non-Hazardous - Wastes not otherwise specified</t>
  </si>
  <si>
    <t>NACE G - 46 Wholesale trade</t>
  </si>
  <si>
    <t>Pitcairn</t>
  </si>
  <si>
    <t>country:PN</t>
  </si>
  <si>
    <t xml:space="preserve">  06 07 - Wastes from the MFSU of halogens and halogen chemical processes</t>
  </si>
  <si>
    <t>NACE C - 17.21 Manufacture of corrugated paper, paperboard and containers of paper and paperboard</t>
  </si>
  <si>
    <t>NACE G - 46.1 Wholesale on a fee or contract basis</t>
  </si>
  <si>
    <t>Puerto Rico</t>
  </si>
  <si>
    <t>country:PR</t>
  </si>
  <si>
    <t xml:space="preserve">    06 07 01 - Hazardous - Wastes containing asbestos from electrolysis</t>
  </si>
  <si>
    <t>NACE C - 17.22 Manufacture of household and sanitary goods and of toilet requisites</t>
  </si>
  <si>
    <t>NACE G - 46.2 Wholesale of agricultural raw materials and live animals</t>
  </si>
  <si>
    <t>Palestine, State of</t>
  </si>
  <si>
    <t>country:PS</t>
  </si>
  <si>
    <t xml:space="preserve">    06 07 02 - Hazardous - Activated carbon from chlorine production</t>
  </si>
  <si>
    <t>NACE C - 17.23 Manufacture of paper stationery</t>
  </si>
  <si>
    <t>NACE G - 46.3 Wholesale of food, beverages and tobacco</t>
  </si>
  <si>
    <t>Portugal</t>
  </si>
  <si>
    <t>country:PT</t>
  </si>
  <si>
    <t xml:space="preserve">    06 07 03 - Hazardous - Barium sulphate sludge containing mercury</t>
  </si>
  <si>
    <t>NACE C - 17.24 Manufacture of wallpaper</t>
  </si>
  <si>
    <t>NACE G - 46.4 Wholesale of household goods</t>
  </si>
  <si>
    <t>Palau</t>
  </si>
  <si>
    <t>country:PW</t>
  </si>
  <si>
    <t xml:space="preserve">    06 07 04 - Hazardous - Solutions and acids, for example contact acid</t>
  </si>
  <si>
    <t>NACE C - 17.25 Manufacture of other articles of paper and paperboard</t>
  </si>
  <si>
    <t>NACE G - 46.5 Wholesale of information and communication equipment</t>
  </si>
  <si>
    <t>Paraguay</t>
  </si>
  <si>
    <t>country:PY</t>
  </si>
  <si>
    <t xml:space="preserve">    06 07 99 - Non-Hazardous - Wastes not otherwise specified</t>
  </si>
  <si>
    <t>NACE G - 46.6 Wholesale of other machinery, equipment and supplies</t>
  </si>
  <si>
    <t>Qatar</t>
  </si>
  <si>
    <t>country:QA</t>
  </si>
  <si>
    <t xml:space="preserve">  06 08 - Wastes from the MFSU of silicon and silicon derivatives</t>
  </si>
  <si>
    <t>NACE G - 46.7 Wholesale of motor vehicles, motorcycles and related parts and accessories</t>
  </si>
  <si>
    <t>Réunion</t>
  </si>
  <si>
    <t>country:RE</t>
  </si>
  <si>
    <t xml:space="preserve">    06 08 02 - Hazardous - Waste containing hazardous chlorosilanes</t>
  </si>
  <si>
    <t>NACE C - 18.11 Printing of newspapers</t>
  </si>
  <si>
    <t>NACE G - 46.8 Other specialised wholesale</t>
  </si>
  <si>
    <t>Romania</t>
  </si>
  <si>
    <t>country:RO</t>
  </si>
  <si>
    <t xml:space="preserve">    06 08 99 - Non-Hazardous - Wastes not otherwise specified</t>
  </si>
  <si>
    <t>NACE C - 18.12 Other printing</t>
  </si>
  <si>
    <t>NACE G - 46.9 Non-specialised wholesale trade</t>
  </si>
  <si>
    <t>Serbia</t>
  </si>
  <si>
    <t>country:RS</t>
  </si>
  <si>
    <t xml:space="preserve">  06 09 - Wastes from the MSFU of phosphorous chemicals and phosphorous chemical processes</t>
  </si>
  <si>
    <t>NACE C - 18.13 Pre-press and pre-media services</t>
  </si>
  <si>
    <t>NACE G - 47 Retail trade</t>
  </si>
  <si>
    <t>Russian Federation</t>
  </si>
  <si>
    <t>country:RU</t>
  </si>
  <si>
    <t xml:space="preserve">    06 09 02 - Non-Hazardous - Phosphorous slag</t>
  </si>
  <si>
    <t>NACE C - 18.14 Binding and related services</t>
  </si>
  <si>
    <t>NACE G - 47.1 Non-specialised retail sale</t>
  </si>
  <si>
    <t>Rwanda</t>
  </si>
  <si>
    <t>country:RW</t>
  </si>
  <si>
    <t xml:space="preserve">    06 09 03 - Hazardous - Calcium-based reaction wastes containing or contaminated with hazardous substances</t>
  </si>
  <si>
    <t>NACE G - 47.2 Retail sale of food, beverages and tobacco</t>
  </si>
  <si>
    <t>Saudi Arabia</t>
  </si>
  <si>
    <t>country:SA</t>
  </si>
  <si>
    <t xml:space="preserve">    06 09 04 - Non-Hazardous - Calcium-based reaction wastes other than those mentioned in 06 09 03</t>
  </si>
  <si>
    <t>NACE C - 18.20 Reproduction of recorded media</t>
  </si>
  <si>
    <t>NACE G - 47.3 Retail sale of automotive fuel</t>
  </si>
  <si>
    <t>Solomon Islands</t>
  </si>
  <si>
    <t>country:SB</t>
  </si>
  <si>
    <t xml:space="preserve">    06 09 99 - Non-Hazardous - Wastes not otherwise specified</t>
  </si>
  <si>
    <t>NACE G - 47.4 Retail sale of information and communication equipment</t>
  </si>
  <si>
    <t>Seychelles</t>
  </si>
  <si>
    <t>country:SC</t>
  </si>
  <si>
    <t xml:space="preserve">  06 10 - Wastes from the MFSU of nitrogen chemicals, nitrogen chemical processes and fertiliser manufacture</t>
  </si>
  <si>
    <t>NACE G - 47.5 Retail sale of other household equipment</t>
  </si>
  <si>
    <t>Sudan</t>
  </si>
  <si>
    <t>country:SD</t>
  </si>
  <si>
    <t xml:space="preserve">    06 10 02 - Hazardous - Wastes containing hazardous substances</t>
  </si>
  <si>
    <t>NACE C - 19.10 Manufacture of coke oven products</t>
  </si>
  <si>
    <t>NACE G - 47.6 Retail sale of cultural and recreation goods</t>
  </si>
  <si>
    <t>Sweden</t>
  </si>
  <si>
    <t>country:SE</t>
  </si>
  <si>
    <t xml:space="preserve">    06 10 99 - Non-Hazardous - Wastes not otherwise specified</t>
  </si>
  <si>
    <t>NACE G - 47.7 Retail sale of other goods, except motor vehicles and motorcycles</t>
  </si>
  <si>
    <t>Singapore</t>
  </si>
  <si>
    <t>country:SG</t>
  </si>
  <si>
    <t xml:space="preserve">  06 11 - Wastes from the manufacture of inorganic pigments and opacificiers</t>
  </si>
  <si>
    <t>NACE C - 19.20 Manufacture of refined petroleum products and fossil fuel products</t>
  </si>
  <si>
    <t>NACE G - 47.8 Retail sale of motor vehicles, motorcycles and related parts and accessories</t>
  </si>
  <si>
    <t>Saint Helena, Ascension and Tristan da Cunha</t>
  </si>
  <si>
    <t>country:SH</t>
  </si>
  <si>
    <t xml:space="preserve">    06 11 01 - Non-Hazardous - Calcium-based reaction wastes from titanium dioxide production</t>
  </si>
  <si>
    <t>NACE G - 47.9 Intermediation service activities for retail sale</t>
  </si>
  <si>
    <t>Slovenia</t>
  </si>
  <si>
    <t>country:SI</t>
  </si>
  <si>
    <t xml:space="preserve">    06 11 99 - Non-Hazardous - Wastes not otherwise specified</t>
  </si>
  <si>
    <t>NACE G - WHOLESALE AND RETAIL TRADE</t>
  </si>
  <si>
    <t>Svalbard and Jan Mayen</t>
  </si>
  <si>
    <t>country:SJ</t>
  </si>
  <si>
    <t xml:space="preserve">  06 13 - Wastes from inorganic chemical processes not otherwise specified</t>
  </si>
  <si>
    <t>NACE C - 20.11 Manufacture of industrial gases</t>
  </si>
  <si>
    <t>NACE H - 49 Land transport and transport via pipelines</t>
  </si>
  <si>
    <t>Slovakia</t>
  </si>
  <si>
    <t>country:SK</t>
  </si>
  <si>
    <t xml:space="preserve">    06 13 01 - Hazardous - Inorganic plant protection products, wood-preserving agents and other biocides.</t>
  </si>
  <si>
    <t>NACE C - 20.12 Manufacture of dyes and pigments</t>
  </si>
  <si>
    <t>NACE H - 49.1 Passenger rail transport</t>
  </si>
  <si>
    <t>Sierra Leone</t>
  </si>
  <si>
    <t>country:SL</t>
  </si>
  <si>
    <t xml:space="preserve">    06 13 02 - Hazardous - Spent activated carbon (except 06 07 02)</t>
  </si>
  <si>
    <t>NACE C - 20.13 Manufacture of other inorganic basic chemicals</t>
  </si>
  <si>
    <t>NACE H - 49.2 Freight rail transport</t>
  </si>
  <si>
    <t>San Marino</t>
  </si>
  <si>
    <t>country:SM</t>
  </si>
  <si>
    <t xml:space="preserve">    06 13 03 - Non-Hazardous - Carbon black</t>
  </si>
  <si>
    <t>NACE C - 20.14 Manufacture of other organic basic chemicals</t>
  </si>
  <si>
    <t>NACE H - 49.3 Other passenger land transport</t>
  </si>
  <si>
    <t>Senegal</t>
  </si>
  <si>
    <t>country:SN</t>
  </si>
  <si>
    <t xml:space="preserve">    06 13 04 - Hazardous - Wastes from asbestos processing</t>
  </si>
  <si>
    <t>NACE C - 20.15 Manufacture of fertilisers and nitrogen compounds</t>
  </si>
  <si>
    <t>NACE H - 49.4 Freight transport by road and removal services</t>
  </si>
  <si>
    <t>Somalia</t>
  </si>
  <si>
    <t>country:SO</t>
  </si>
  <si>
    <t xml:space="preserve">    06 13 05 - Hazardous - Soot</t>
  </si>
  <si>
    <t>NACE C - 20.16 Manufacture of plastics in primary forms</t>
  </si>
  <si>
    <t>NACE H - 49.5 Transport via pipeline</t>
  </si>
  <si>
    <t>Suriname</t>
  </si>
  <si>
    <t>country:SR</t>
  </si>
  <si>
    <t xml:space="preserve">    06 13 99 - Non-Hazardous - Wastes not otherwise specified</t>
  </si>
  <si>
    <t>NACE C - 20.17 Manufacture of synthetic rubber in primary forms</t>
  </si>
  <si>
    <t>NACE H - 50 Water transport</t>
  </si>
  <si>
    <t>South Sudan</t>
  </si>
  <si>
    <t>country:SS</t>
  </si>
  <si>
    <t>07 - WASTES FROM ORGANIC CHEMICAL PROCESSES</t>
  </si>
  <si>
    <t>NACE H - 50.1 Sea and coastal passenger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</si>
  <si>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</si>
  <si>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</si>
  <si>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</si>
  <si>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</si>
  <si>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- 50.2 Sea and coastal freight water transport</t>
  </si>
  <si>
    <t>El Salvador</t>
  </si>
  <si>
    <t>country:SV</t>
  </si>
  <si>
    <t xml:space="preserve">    07 01 01 - Hazardous - Aqueous washing liquids and mother liquors</t>
  </si>
  <si>
    <t>NACE H - 50.3 Inland passenger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</si>
  <si>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</si>
  <si>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</si>
  <si>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</si>
  <si>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</si>
  <si>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- 50.4 Inland freight water transport</t>
  </si>
  <si>
    <t>Syrian Arab Republic</t>
  </si>
  <si>
    <t>country:SY</t>
  </si>
  <si>
    <t xml:space="preserve">    07 01 04 - Hazardous - Other organic solvents, washing liquids and mother liquors</t>
  </si>
  <si>
    <t>NACE H - 51 Air transport</t>
  </si>
  <si>
    <t>Eswatini</t>
  </si>
  <si>
    <t>country:SZ</t>
  </si>
  <si>
    <t xml:space="preserve">    07 01 07 - Hazardous - Halogenated still bottoms and reaction residues</t>
  </si>
  <si>
    <t>NACE C - 20.41 Manufacture of soap and detergents, cleaning and polishing preparations</t>
  </si>
  <si>
    <t>NACE H - 51.1 Passenger air transport</t>
  </si>
  <si>
    <t>Turks and Caicos Islands</t>
  </si>
  <si>
    <t>country:TC</t>
  </si>
  <si>
    <t xml:space="preserve">    07 01 08 - Hazardous - Other still bottoms and reaction residues</t>
  </si>
  <si>
    <t>NACE C - 20.42 Manufacture of perfume and toilet preparations</t>
  </si>
  <si>
    <t>NACE H - 51.2 Freight air transport and space transport</t>
  </si>
  <si>
    <t>Chad</t>
  </si>
  <si>
    <t>country:TD</t>
  </si>
  <si>
    <t xml:space="preserve">    07 01 09 - Hazardous - Halogenated filter cakes and spent absorbents</t>
  </si>
  <si>
    <t>NACE H - 52 Warehousing, storage and support activities for transportation</t>
  </si>
  <si>
    <t>French Southern Territories</t>
  </si>
  <si>
    <t>country:TF</t>
  </si>
  <si>
    <t xml:space="preserve">    07 01 10 - Hazardous - Other filter cakes and spent absorbents</t>
  </si>
  <si>
    <t>NACE C - 20.51 Manufacture of liquid biofuels</t>
  </si>
  <si>
    <t>NACE H - 52.1 Warehousing and storage</t>
  </si>
  <si>
    <t>Togo</t>
  </si>
  <si>
    <t>country:TG</t>
  </si>
  <si>
    <t xml:space="preserve">    07 01 11 - Hazardous - Sludges from on-site effluent treatment containing hazardous substances</t>
  </si>
  <si>
    <t>NACE C - 20.59 Manufacture of other chemical products n.e.c.</t>
  </si>
  <si>
    <t>NACE H - 52.2 Support activities for transportation</t>
  </si>
  <si>
    <t>Thailand</t>
  </si>
  <si>
    <t>country:TH</t>
  </si>
  <si>
    <t xml:space="preserve">    07 01 12 - Non-Hazardous - Sludges from on-site effluent treatment other than those mentioned in 07 01 11</t>
  </si>
  <si>
    <t>NACE H - 52.3 Intermediation service activities for transportation</t>
  </si>
  <si>
    <t>Tajikistan</t>
  </si>
  <si>
    <t>country:TJ</t>
  </si>
  <si>
    <t xml:space="preserve">    07 01 99 - Non-Hazardous - Wastes not otherwise specified</t>
  </si>
  <si>
    <t>NACE C - 20.60 Manufacture of man-made fibres</t>
  </si>
  <si>
    <t>NACE H - 53 Postal and courier activities</t>
  </si>
  <si>
    <t>Tokelau</t>
  </si>
  <si>
    <t>country:TK</t>
  </si>
  <si>
    <t xml:space="preserve">  07 02 - Wastes from the MFSU of plastics, synthetic rubber and man-made fibres</t>
  </si>
  <si>
    <t>NACE H - 53.1 Postal activities under universal service obligation</t>
  </si>
  <si>
    <t>Timor-Leste</t>
  </si>
  <si>
    <t>country:TL</t>
  </si>
  <si>
    <t xml:space="preserve">    07 02 01 - Hazardous - Aqueous washing liquids and mother liquors</t>
  </si>
  <si>
    <t>NACE H - 53.2 Other postal and courier activities</t>
  </si>
  <si>
    <t>Turkmenistan</t>
  </si>
  <si>
    <t>country:TM</t>
  </si>
  <si>
    <t xml:space="preserve">    07 02 03 - Hazardous - Organic halogenated solvents, washing liquids and mother liquors</t>
  </si>
  <si>
    <t>NACE C - 21.10 Manufacture of basic pharmaceutical products</t>
  </si>
  <si>
    <t>NACE H - 53.3 Intermediation service activities for postal and courier activities</t>
  </si>
  <si>
    <t>Tunisia</t>
  </si>
  <si>
    <t>country:TN</t>
  </si>
  <si>
    <t xml:space="preserve">    07 02 04 - Hazardous - Other organic solvents, washing liquids and mother liquors</t>
  </si>
  <si>
    <t>NACE H - TRANSPORTATION AND STORAGE</t>
  </si>
  <si>
    <t>Tonga</t>
  </si>
  <si>
    <t>country:TO</t>
  </si>
  <si>
    <t xml:space="preserve">    07 02 07 - Hazardous - Halogenated still bottoms and reaction residues</t>
  </si>
  <si>
    <t>NACE C - 21.20 Manufacture of pharmaceutical preparations</t>
  </si>
  <si>
    <t>NACE I - 55 Accommodation</t>
  </si>
  <si>
    <t>East Timor (before 2002-05-20)</t>
  </si>
  <si>
    <t>country:TP</t>
  </si>
  <si>
    <t xml:space="preserve">    07 02 08 - Hazardous - Other still bottoms and reaction residues</t>
  </si>
  <si>
    <t>NACE I - 55.1 Hotels and similar accommodation</t>
  </si>
  <si>
    <t>Türkiye</t>
  </si>
  <si>
    <t>country:TR</t>
  </si>
  <si>
    <t xml:space="preserve">    07 02 09 - Hazardous - Halogenated filter cakes and spent absorbents</t>
  </si>
  <si>
    <t>NACE I - 55.2 Holiday and other short-stay accommodation</t>
  </si>
  <si>
    <t>Trinidad and Tobago</t>
  </si>
  <si>
    <t>country:TT</t>
  </si>
  <si>
    <t xml:space="preserve">    07 02 10 - Hazardous - Other filter cakes and spent absorbents</t>
  </si>
  <si>
    <t>NACE C - 22.11 Manufacture, retreading and rebuilding of rubber tyres and manufacture of tubes</t>
  </si>
  <si>
    <t>NACE I - 55.3 Camping grounds and recreational vehicle parks</t>
  </si>
  <si>
    <t>Tuvalu</t>
  </si>
  <si>
    <t>country:TV</t>
  </si>
  <si>
    <t xml:space="preserve">    07 02 11 - Hazardous - Sludges from on-site effluent treatment containing hazardous substances</t>
  </si>
  <si>
    <t>NACE C - 22.12 Manufacture of other rubber products</t>
  </si>
  <si>
    <t>NACE I - 55.4 Intermediation service activities for accommodation</t>
  </si>
  <si>
    <t>Taiwan (Province of China)</t>
  </si>
  <si>
    <t>country:TW</t>
  </si>
  <si>
    <t xml:space="preserve">    07 02 12 - Non-Hazardous - Sludges from on-site effluent treatment other than those mentioned in 07 02 11</t>
  </si>
  <si>
    <t>NACE I - 55.9 Other accommodation</t>
  </si>
  <si>
    <t>Tanzania, the United Republic of</t>
  </si>
  <si>
    <t>country:TZ</t>
  </si>
  <si>
    <t xml:space="preserve">    07 02 13 - Non-Hazardous - Waste plastic</t>
  </si>
  <si>
    <t>NACE C - 22.21 Manufacture of plastic plates, sheets, tubes and profiles</t>
  </si>
  <si>
    <t>NACE I - 56 Food and beverage service activities</t>
  </si>
  <si>
    <t>Ukraine</t>
  </si>
  <si>
    <t>country:UA</t>
  </si>
  <si>
    <t xml:space="preserve">    07 02 14 - Hazardous - Wastes from additives containing hazardous substances</t>
  </si>
  <si>
    <t>NACE C - 22.22 Manufacture of plastic packing goods</t>
  </si>
  <si>
    <t>NACE I - 56.1 Restaurants and mobile food service activities</t>
  </si>
  <si>
    <t>Uganda</t>
  </si>
  <si>
    <t>country:UG</t>
  </si>
  <si>
    <t xml:space="preserve">    07 02 15 - Non-Hazardous - Wastes from additives other than those mentioned in 07 02 14</t>
  </si>
  <si>
    <t>NACE C - 22.23 Manufacture of doors and windows of plastic</t>
  </si>
  <si>
    <t>NACE I - 56.2 Event catering, contract catering service activities and other food service activities</t>
  </si>
  <si>
    <t>United States Minor Outlying Islands</t>
  </si>
  <si>
    <t>country:UM</t>
  </si>
  <si>
    <t xml:space="preserve">    07 02 16 - Hazardous - Waste containing hazardous silicones</t>
  </si>
  <si>
    <t>NACE C - 22.24 Manufacture of builders’ ware of plastic</t>
  </si>
  <si>
    <t>NACE I - 56.21 Event catering activities</t>
  </si>
  <si>
    <t>United States of America</t>
  </si>
  <si>
    <t>country:US</t>
  </si>
  <si>
    <t xml:space="preserve">    07 02 17 - Non-Hazardous - Waste containing silicones other than those mentioned in 07 02 16</t>
  </si>
  <si>
    <t>NACE C - 22.25 Processing and finishing of plastic products</t>
  </si>
  <si>
    <t>NACE I - 56.3 Beverage serving activities</t>
  </si>
  <si>
    <t>Uruguay</t>
  </si>
  <si>
    <t>country:UY</t>
  </si>
  <si>
    <t xml:space="preserve">    07 02 99 - Non-Hazardous - Wastes not otherwise specified</t>
  </si>
  <si>
    <t>NACE C - 22.26 Manufacture of other plastic products</t>
  </si>
  <si>
    <t>NACE I - 56.4 Intermediation service activities for food and beverage services activities</t>
  </si>
  <si>
    <t>Uzbekistan</t>
  </si>
  <si>
    <t>country:UZ</t>
  </si>
  <si>
    <t xml:space="preserve">  07 03 - Wastes from the MFSU of organic dyes and pigments (except 06 11)</t>
  </si>
  <si>
    <t>NACE I - ACCOMMODATION AND FOOD SERVICE ACTIVITIES</t>
  </si>
  <si>
    <t>Holy See</t>
  </si>
  <si>
    <t>country:VA</t>
  </si>
  <si>
    <t xml:space="preserve">    07 03 01 - Hazardous - Aqueous washing liquids and mother liquors</t>
  </si>
  <si>
    <t>NACE J - 58 Publishing activities</t>
  </si>
  <si>
    <t>Saint Vincent and the Grenadines</t>
  </si>
  <si>
    <t>country:VC</t>
  </si>
  <si>
    <t xml:space="preserve">    07 03 03 - Hazardous - Organic halogenated solvents, washing liquids and mother liquors</t>
  </si>
  <si>
    <t>NACE C - 23.11 Manufacture of flat glass</t>
  </si>
  <si>
    <t>NACE J - 58.1 Publishing of books, newspapers and other publishing activities, except software publishing</t>
  </si>
  <si>
    <t>Venezuela (Bolivarian Republic of)</t>
  </si>
  <si>
    <t>country:VE</t>
  </si>
  <si>
    <t xml:space="preserve">    07 03 04 - Hazardous - Other organic solvents, washing liquids and mother liquors</t>
  </si>
  <si>
    <t>NACE C - 23.12 Shaping and processing of flat glass</t>
  </si>
  <si>
    <t>NACE J - 58.2 Software publishing</t>
  </si>
  <si>
    <t>Virgin Islands (British)</t>
  </si>
  <si>
    <t>country:VG</t>
  </si>
  <si>
    <t xml:space="preserve">    07 03 07 - Hazardous - Halogenated still bottoms and reaction residues</t>
  </si>
  <si>
    <t>NACE C - 23.13 Manufacture of hollow glass</t>
  </si>
  <si>
    <t>NACE J - 59 Motion picture, video and television programme production, sound recording and music publishing activities</t>
  </si>
  <si>
    <t>Virgin Islands (U.S.)</t>
  </si>
  <si>
    <t>country:VI</t>
  </si>
  <si>
    <t xml:space="preserve">    07 03 08 - Hazardous - Other still bottoms and reaction residues</t>
  </si>
  <si>
    <t>NACE C - 23.14 Manufacture of glass fibres</t>
  </si>
  <si>
    <t>NACE J - 59.1 Motion picture, video and television programme activities</t>
  </si>
  <si>
    <t>Viet Nam</t>
  </si>
  <si>
    <t>country:VN</t>
  </si>
  <si>
    <t xml:space="preserve">    07 03 09 - Hazardous - Halogenated filter cakes and spent absorbents</t>
  </si>
  <si>
    <t>NACE C - 23.15 Manufacture and processing of other glass, including technical glassware</t>
  </si>
  <si>
    <t>NACE J - 59.2 Sound recording and music publishing activities</t>
  </si>
  <si>
    <t>Vanuatu</t>
  </si>
  <si>
    <t>country:VU</t>
  </si>
  <si>
    <t xml:space="preserve">    07 03 10 - Hazardous - Other filter cakes and spent absorbents</t>
  </si>
  <si>
    <t>NACE J - 60 Programming, broadcasting, news agency and other content distribution activities</t>
  </si>
  <si>
    <t>Wallis and Futuna</t>
  </si>
  <si>
    <t>country:WF</t>
  </si>
  <si>
    <t xml:space="preserve">    07 03 11 - Hazardous - Sludges from on-site effluent treatment containing hazardous substances</t>
  </si>
  <si>
    <t>NACE C - 23.20 Manufacture of refractory products</t>
  </si>
  <si>
    <t>NACE J - 60.1 Radio broadcasting and audio distribution activities</t>
  </si>
  <si>
    <t>Samoa</t>
  </si>
  <si>
    <t>country:WS</t>
  </si>
  <si>
    <t xml:space="preserve">    07 03 12 - Non-Hazardous - Sludges from on-site effluent treatment other than those mentioned in 07 03 11</t>
  </si>
  <si>
    <t>NACE J - 60.2 Television programming, broadcasting and video distribution activities</t>
  </si>
  <si>
    <t>Yemen</t>
  </si>
  <si>
    <t>country:YE</t>
  </si>
  <si>
    <t xml:space="preserve">    07 03 99 - Non-Hazardous - Wastes not otherwise specified</t>
  </si>
  <si>
    <t>NACE C - 23.31 Manufacture of ceramic tiles and flags</t>
  </si>
  <si>
    <t>NACE J - 60.3 News agency and other content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</si>
  <si>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</si>
  <si>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</si>
  <si>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</si>
  <si>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</si>
  <si>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J - PUBLISHING, BROADCASTING, AND CONTENT PRODUCTION AND DISTRIBUTION ACTIVITIES</t>
  </si>
  <si>
    <t>Yugoslavia (before 2003-07-23)</t>
  </si>
  <si>
    <t>country:YU</t>
  </si>
  <si>
    <t xml:space="preserve">    07 04 01 - Hazardous - Aqueous washing liquids and mother liquors</t>
  </si>
  <si>
    <t>NACE K - 61 Telecommunication</t>
  </si>
  <si>
    <t>South Africa</t>
  </si>
  <si>
    <t>country:ZA</t>
  </si>
  <si>
    <t xml:space="preserve">    07 04 03 - Hazardous - Organic halogenated solvents, washing liquids and mother liquors</t>
  </si>
  <si>
    <t>NACE C - 23.41 Manufacture of ceramic household and ornamental articles</t>
  </si>
  <si>
    <t>NACE K - 61.1 Wired, wireless, and satellite telecommunication activities</t>
  </si>
  <si>
    <t>Zambia</t>
  </si>
  <si>
    <t>country:ZM</t>
  </si>
  <si>
    <t xml:space="preserve">    07 04 04 - Hazardous - Other organic solvents, washing liquids and mother liquors</t>
  </si>
  <si>
    <t>NACE C - 23.42 Manufacture of ceramic sanitary fixtures</t>
  </si>
  <si>
    <t>NACE K - 61.2 Telecommunication reselling activities and intermediation service activities for telecommunication</t>
  </si>
  <si>
    <t>Zaire (before 1997-07-14)</t>
  </si>
  <si>
    <t>country:ZR</t>
  </si>
  <si>
    <t xml:space="preserve">    07 04 07 - Hazardous - Halogenated still bottoms and reaction residues</t>
  </si>
  <si>
    <t>NACE C - 23.43 Manufacture of ceramic insulators and insulating fittings</t>
  </si>
  <si>
    <t>NACE K - 61.9 Other telecommunication activities</t>
  </si>
  <si>
    <t>Zimbabwe</t>
  </si>
  <si>
    <t>country:ZW</t>
  </si>
  <si>
    <t xml:space="preserve">    07 04 08 - Hazardous - Other still bottoms and reaction residues</t>
  </si>
  <si>
    <t>NACE C - 23.44 Manufacture of other technical ceramic products</t>
  </si>
  <si>
    <t>NACE K - 62 Computer programming, consultancy and related activities</t>
  </si>
  <si>
    <t xml:space="preserve">    07 04 09 - Hazardous - Halogenated filter cakes and spent absorbents</t>
  </si>
  <si>
    <t>NACE C - 23.45 Manufacture of other ceramic products</t>
  </si>
  <si>
    <t>NACE K - 62.1 Computer programming activities</t>
  </si>
  <si>
    <t xml:space="preserve">    07 04 10 - Hazardous - Other filter cakes and spent absorbents</t>
  </si>
  <si>
    <t>NACE K - 62.2 Computer consultancy and computer facilities management activities</t>
  </si>
  <si>
    <t xml:space="preserve">    07 04 11 - Hazardous - Sludges from on-site effluent treatment containing hazardous substances</t>
  </si>
  <si>
    <t>NACE C - 23.51 Manufacture of cement</t>
  </si>
  <si>
    <t>NACE K - 62.9 Other information technology and computer service activities</t>
  </si>
  <si>
    <t xml:space="preserve">    07 04 12 - Non-Hazardous - Sludges from on-site effluent treatment other than those mentioned in 07 04 11</t>
  </si>
  <si>
    <t>NACE C - 23.52 Manufacture of lime and plaster</t>
  </si>
  <si>
    <t>NACE K - 63 Computing infrastructure, data processing, hosting and other information service activities</t>
  </si>
  <si>
    <t xml:space="preserve">    07 04 13 - Hazardous - Solid wastes containing hazardous substances</t>
  </si>
  <si>
    <t>NACE K - 63.1 Computing infrastructure, data processing, hosting and related activities</t>
  </si>
  <si>
    <t xml:space="preserve">    07 04 99 - Non-Hazardous - Wastes not otherwise specified</t>
  </si>
  <si>
    <t>NACE C - 23.61 Manufacture of concrete products for construction purposes</t>
  </si>
  <si>
    <t>NACE K - 63.9 Web search portal activities and other information service activities</t>
  </si>
  <si>
    <t xml:space="preserve">  07 05 - Wastes from the MFSU of pharmaceuticals</t>
  </si>
  <si>
    <t>NACE C - 23.62 Manufacture of plaster products for construction purposes</t>
  </si>
  <si>
    <t>NACE K - TELECOMMUNICATION, COMPUTER PROGRAMMING, CONSULTING, COMPUTING INFRASTRUCTURE AND OTHER INFORMATION SERVICE ACTIVITIES</t>
  </si>
  <si>
    <t xml:space="preserve">    07 05 01 - Hazardous - Aqueous washing liquids and mother liquors</t>
  </si>
  <si>
    <t>NACE C - 23.63 Manufacture of ready-mixed concrete</t>
  </si>
  <si>
    <t>NACE L - 64 Financial service activities, except insurance and pension funding</t>
  </si>
  <si>
    <t xml:space="preserve">    07 05 03 - Hazardous - Organic halogenated solvents, washing liquids and mother liquors</t>
  </si>
  <si>
    <t>NACE C - 23.64 Manufacture of mortars</t>
  </si>
  <si>
    <t>NACE L - 64.1 Monetary intermediation</t>
  </si>
  <si>
    <t xml:space="preserve">    07 05 04 - Hazardous - Other organic solvents, washing liquids and mother liquors</t>
  </si>
  <si>
    <t>NACE C - 23.65 Manufacture of fibre cement</t>
  </si>
  <si>
    <t>NACE L - 64.2 Activities of holding companies and financing conduits</t>
  </si>
  <si>
    <t xml:space="preserve">    07 05 07 - Hazardous - Halogenated still bottoms and reaction residues</t>
  </si>
  <si>
    <t>NACE C - 23.66 Manufacture of other articles of concrete, cement and plaster</t>
  </si>
  <si>
    <t>NACE L - 64.3 Activities of trusts, funds and similar financial entities</t>
  </si>
  <si>
    <t xml:space="preserve">    07 05 08 - Hazardous - Other still bottoms and reaction residues</t>
  </si>
  <si>
    <t>NACE L - 64.9 Other financial service activities, except insurance and pension funding</t>
  </si>
  <si>
    <t xml:space="preserve">    07 05 09 - Hazardous - Halogenated filter cakes and spent absorbents</t>
  </si>
  <si>
    <t>NACE C - 23.70 Cutting, shaping and finishing of stone</t>
  </si>
  <si>
    <t>NACE L - 65 Insurance, reinsurance and pension funding, except compulsory social security</t>
  </si>
  <si>
    <t xml:space="preserve">    07 05 10 - Hazardous - Other filter cakes and spent absorbents</t>
  </si>
  <si>
    <t>NACE L - 65.1 Insurance</t>
  </si>
  <si>
    <t xml:space="preserve">    07 05 11 - Hazardous - Sludges from on-site effluent treatment containing hazardous substances</t>
  </si>
  <si>
    <t>NACE C - 23.91 Manufacture of abrasive products</t>
  </si>
  <si>
    <t>NACE L - 65.2 Reinsurance</t>
  </si>
  <si>
    <t xml:space="preserve">    07 05 12 - Non-Hazardous - Sludges from on-site effluent treatment other than those mentioned in 07 05 11</t>
  </si>
  <si>
    <t>NACE C - 23.99 Manufacture of other non-metallic mineral products n.e.c.</t>
  </si>
  <si>
    <t>NACE L - 65.3 Pension funding</t>
  </si>
  <si>
    <t xml:space="preserve">    07 05 13 - Hazardous - Solid wastes containing hazardous substances</t>
  </si>
  <si>
    <t>NACE L - 66 Activities auxiliary to financial services and insurance activities</t>
  </si>
  <si>
    <t xml:space="preserve">    07 05 14 - Non-Hazardous - Solid wastes other than those mentioned in 07 05 13</t>
  </si>
  <si>
    <t>NACE L - 66.1 Activities auxiliary to financial services, except insurance and pension funding</t>
  </si>
  <si>
    <t xml:space="preserve">    07 05 99 - Non-Hazardous - Wastes not otherwise specified</t>
  </si>
  <si>
    <t>NACE C - 24.10 Manufacture of basic iron and steel and of ferro-alloys</t>
  </si>
  <si>
    <t>NACE L - 66.2 Activities auxiliary to insurance and pension funding</t>
  </si>
  <si>
    <t xml:space="preserve">  07 06 - Wastes from the MFSU of fats, grease, soaps, detergents, disinfectants and cosmetics</t>
  </si>
  <si>
    <t>NACE L - 66.3 Fund management activities</t>
  </si>
  <si>
    <t xml:space="preserve">    07 06 01 - Hazardous - Aqueous washing liquids and mother liquors</t>
  </si>
  <si>
    <t>NACE C - 24.20 Manufacture of tubes, pipes, hollow profiles and related fittings, of steel</t>
  </si>
  <si>
    <t>NACE L - FINANCIAL AND INSURANCE ACTIVITIES</t>
  </si>
  <si>
    <t xml:space="preserve">    07 06 03 - Hazardous - Organic halogenated solvents, washing liquids and mother liquors</t>
  </si>
  <si>
    <t>NACE M - 68 Real estate activities</t>
  </si>
  <si>
    <t xml:space="preserve">    07 06 04 - Hazardous - Other organic solvents, washing liquids and mother liquors</t>
  </si>
  <si>
    <t>NACE C - 24.31 Cold drawing of bars</t>
  </si>
  <si>
    <t>NACE M - 68.1 Real estate activities with own property and development of building projects</t>
  </si>
  <si>
    <t xml:space="preserve">    07 06 07 - Hazardous - Halogenated still bottoms and reaction residues</t>
  </si>
  <si>
    <t>NACE C - 24.32 Cold rolling of narrow strip</t>
  </si>
  <si>
    <t>NACE M - 68.2 Rental and operating of own or leased real estate</t>
  </si>
  <si>
    <t xml:space="preserve">    07 06 08 - Hazardous - Other still bottoms and reaction residues</t>
  </si>
  <si>
    <t>NACE C - 24.33 Cold forming or folding</t>
  </si>
  <si>
    <t>NACE M - 68.3 Real estate activities on a fee or contract basis</t>
  </si>
  <si>
    <t xml:space="preserve">    07 06 09 - Hazardous - Halogenated filter cakes and spent absorbents</t>
  </si>
  <si>
    <t>NACE C - 24.34 Cold drawing of wire</t>
  </si>
  <si>
    <t>NACE M - REAL ESTATE ACTIVITIES</t>
  </si>
  <si>
    <t xml:space="preserve">    07 06 10 - Hazardous - Other filter cakes and spent absorbents</t>
  </si>
  <si>
    <t>NACE N - 69 Legal and accounting activities</t>
  </si>
  <si>
    <t xml:space="preserve">    07 06 11 - Hazardous - Sludges from on-site effluent treatment containing hazardous substances</t>
  </si>
  <si>
    <t>NACE C - 24.41 Precious metals production</t>
  </si>
  <si>
    <t>NACE N - 69.1 Legal activities</t>
  </si>
  <si>
    <t xml:space="preserve">    07 06 12 - Non-Hazardous - Sludges from on-site effluent treatment other than those mentioned in 07 06 11</t>
  </si>
  <si>
    <t>NACE C - 24.42 Aluminium production</t>
  </si>
  <si>
    <t>NACE N - 69.2 Accounting, bookkeeping and auditing activities; tax consultancy</t>
  </si>
  <si>
    <t xml:space="preserve">    07 06 99 - Non-Hazardous - Wastes not otherwise specified</t>
  </si>
  <si>
    <t>NACE C - 24.43 Lead, zinc and tin production</t>
  </si>
  <si>
    <t>NACE N - 70 Activities of head offices and management consultancy</t>
  </si>
  <si>
    <t xml:space="preserve">  07 07 - Wastes from the MFSU of fine chemicals and chemical products not otherwise specified</t>
  </si>
  <si>
    <t>NACE C - 24.44 Copper production</t>
  </si>
  <si>
    <t>NACE N - 70.1 Activities of head offices</t>
  </si>
  <si>
    <t xml:space="preserve">    07 07 01 - Hazardous - Aqueous washing liquids and mother liquors</t>
  </si>
  <si>
    <t>NACE C - 24.45 Other non-ferrous metal production</t>
  </si>
  <si>
    <t>NACE N - 70.2 Business and other management consultancy activities</t>
  </si>
  <si>
    <t xml:space="preserve">    07 07 03 - Hazardous - Organic halogenated solvents, washing liquids and mother liquors</t>
  </si>
  <si>
    <t>NACE C - 24.46 Processing of nuclear fuel</t>
  </si>
  <si>
    <t>NACE N - 71 Architectural and engineering activities; technical testing and analysis</t>
  </si>
  <si>
    <t xml:space="preserve">    07 07 04 - Hazardous - Other organic solvents, washing liquids and mother liquors</t>
  </si>
  <si>
    <t>NACE N - 71.1 Architectural and engineering activities and related technical consultancy</t>
  </si>
  <si>
    <t xml:space="preserve">    07 07 07 - Hazardous - Halogenated still bottoms and reaction residues</t>
  </si>
  <si>
    <t>NACE C - 24.51 Casting of iron</t>
  </si>
  <si>
    <t>NACE N - 71.2 Technical testing and analysis</t>
  </si>
  <si>
    <t xml:space="preserve">    07 07 08 - Hazardous - Other still bottoms and reaction residues</t>
  </si>
  <si>
    <t>NACE C - 24.52 Casting of steel</t>
  </si>
  <si>
    <t>NACE N - 72 Scientific research and development</t>
  </si>
  <si>
    <t xml:space="preserve">    07 07 09 - Hazardous - Halogenated filter cakes and spent absorbents</t>
  </si>
  <si>
    <t>NACE C - 24.53 Casting of light metals</t>
  </si>
  <si>
    <t>NACE N - 72.1 Research and experimental development on natural sciences and engineering</t>
  </si>
  <si>
    <t xml:space="preserve">    07 07 10 - Hazardous - Other filter cakes and spent absorbents</t>
  </si>
  <si>
    <t>NACE C - 24.54 Casting of other non-ferrous metals</t>
  </si>
  <si>
    <t>NACE N - 72.2 Research and experimental development on social sciences and humanities</t>
  </si>
  <si>
    <t xml:space="preserve">    07 07 11 - Hazardous - Sludges from on-site effluent treatment containing hazardous substances</t>
  </si>
  <si>
    <t>NACE N - 73 Activities of advertising, market research and public relations</t>
  </si>
  <si>
    <t xml:space="preserve">    07 07 12 - Non-Hazardous - Sludges from on-site effluent treatment other than those mentioned in 07 07 11</t>
  </si>
  <si>
    <t>NACE N - 73.1 Advertising</t>
  </si>
  <si>
    <t xml:space="preserve">    07 07 99 - Non-Hazardous - Wastes not otherwise specified</t>
  </si>
  <si>
    <t>NACE C - 25.11 Manufacture of metal structures and parts of structures</t>
  </si>
  <si>
    <t>NACE N - 73.2 Market research and public opinion polling</t>
  </si>
  <si>
    <t>08 - WASTES FROM THE MANUFACTURE, FORMULATION, SUPPLY AND USE (MFSU) OF COATINGS (PAINTS, VARNISHES AND VITREOUS ENAMELS), ADHESIVES, SEALANTS AND PRINTING INKS</t>
  </si>
  <si>
    <t>NACE C - 25.12 Manufacture of doors and windows of metal</t>
  </si>
  <si>
    <t>NACE N - 73.3 Public relations and communication activities</t>
  </si>
  <si>
    <t xml:space="preserve">  08 01 - Wastes from MFSU and removal of paint and varnish</t>
  </si>
  <si>
    <t>NACE N - 74 Other professional, scientific and technical activities</t>
  </si>
  <si>
    <t xml:space="preserve">    08 01 11 - Hazardous - Waste paint and varnish containing organic solvents or other hazardous substances</t>
  </si>
  <si>
    <t>NACE C - 25.21 Manufacture of central heating radiators, steam generators and boilers</t>
  </si>
  <si>
    <t>NACE N - 74.1 Specialised design activities</t>
  </si>
  <si>
    <t xml:space="preserve">    08 01 12 - Non-Hazardous - Waste paint and varnish other than those mentioned in 08 01 11</t>
  </si>
  <si>
    <t>NACE C - 25.22 Manufacture of other tanks, reservoirs and containers of metal</t>
  </si>
  <si>
    <t>NACE N - 74.2 Photographic activities</t>
  </si>
  <si>
    <t xml:space="preserve">    08 01 13 - Hazardous - Sludges from paint or varnish containing organic solvents or other hazardous substances</t>
  </si>
  <si>
    <t>NACE N - 74.3 Translation and interpretation activities</t>
  </si>
  <si>
    <t xml:space="preserve">    08 01 14 - Non-Hazardous - Sludges from paint or varnish other than those mentioned in 08 01 13</t>
  </si>
  <si>
    <t>NACE C - 25.30 Manufacture of weapons and ammunition</t>
  </si>
  <si>
    <t>NACE N - 74.9 Other professional, scientific and technical activities n.e.c.</t>
  </si>
  <si>
    <t xml:space="preserve">    08 01 15 - Hazardous - Aqueous sludges containing paint or varnish containing organic solvents or other hazardous substances</t>
  </si>
  <si>
    <t>NACE N - 75 Veterinary activities</t>
  </si>
  <si>
    <t xml:space="preserve">    08 01 16 - Non-Hazardous - Aqueous sludges containing paint or varnish other than those mentioned in 08 01 15</t>
  </si>
  <si>
    <t>NACE C - 25.40 Forging and shaping metal and powder metallurgy</t>
  </si>
  <si>
    <t>NACE N - 75.0 Veterinary activities</t>
  </si>
  <si>
    <t xml:space="preserve">    08 01 17 - Hazardous - Wastes from paint or varnish removal containing organic solvents or other hazardous substances</t>
  </si>
  <si>
    <t>NACE N - PROFESSIONAL, SCIENTIFIC AND TECHNICAL ACTIVITIES</t>
  </si>
  <si>
    <t xml:space="preserve">    08 01 18 - Non-Hazardous - Wastes from paint or varnish removal other than those mentioned in 08 01 17</t>
  </si>
  <si>
    <t>NACE C - 25.51 Coating of metals</t>
  </si>
  <si>
    <t>NACE O - 77 Rental and leasing activities</t>
  </si>
  <si>
    <t xml:space="preserve">    08 01 19 - Hazardous - Aqueous suspensions containing paint or varnish containing organic solvents or other hazardous substances</t>
  </si>
  <si>
    <t>NACE C - 25.52 Heat treatment of metals</t>
  </si>
  <si>
    <t>NACE O - 77.1 Rental and leasing of motor vehicles</t>
  </si>
  <si>
    <t xml:space="preserve">    08 01 20 - Non-Hazardous - Aqueous suspensions containing paint or varnish other than those mentioned in 08 01 19</t>
  </si>
  <si>
    <t>NACE C - 25.53 Machining of metals</t>
  </si>
  <si>
    <t>NACE O - 77.2 Rental and leasing of personal and household goods</t>
  </si>
  <si>
    <t xml:space="preserve">    08 01 21 - Hazardous - Waste paint or varnish remover</t>
  </si>
  <si>
    <t>NACE O - 77.3 Rental and leasing of other machinery, equipment and tangible goods</t>
  </si>
  <si>
    <t xml:space="preserve">    08 01 99 - Non-Hazardous - Wastes not otherwise specified</t>
  </si>
  <si>
    <t>NACE C - 25.61 Manufacture of cutlery</t>
  </si>
  <si>
    <t>NACE O - 77.4 Leasing of intellectual property and similar products, except copyrighted works</t>
  </si>
  <si>
    <t xml:space="preserve">  08 02 - Wastes from MFSU of other coatings (including ceramic materials)</t>
  </si>
  <si>
    <t>NACE C - 25.62 Manufacture of locks and hinges</t>
  </si>
  <si>
    <t>NACE O - 77.5 Intermediation service activities for rental and leasing of tangible goods and non-financial intangible assets</t>
  </si>
  <si>
    <t xml:space="preserve">    08 02 01 - Non-Hazardous - Waste coating powders</t>
  </si>
  <si>
    <t>NACE C - 25.63 Manufacture of tools</t>
  </si>
  <si>
    <t>NACE O - 78 Employment activities</t>
  </si>
  <si>
    <t xml:space="preserve">    08 02 02 - Non-Hazardous - Aqueous sludges containing ceramic materials</t>
  </si>
  <si>
    <t>NACE O - 78.1 Activities of employment placement agencies</t>
  </si>
  <si>
    <t xml:space="preserve">    08 02 03 - Non-Hazardous - Aqueous suspensions containing ceramic materials</t>
  </si>
  <si>
    <t>NACE C - 25.91 Manufacture of steel drums and similar containers</t>
  </si>
  <si>
    <t>NACE O - 78.2 Temporary employment agency activities and other human resource provisions</t>
  </si>
  <si>
    <t xml:space="preserve">    08 02 99 - Non-Hazardous - Wastes not otherwise specified</t>
  </si>
  <si>
    <t>NACE C - 25.92 Manufacture of light metal packaging</t>
  </si>
  <si>
    <t>NACE O - 79 Travel agency, tour operator and other reservation service and related activities</t>
  </si>
  <si>
    <t xml:space="preserve">  08 03 - Wastes from MFSU of printing inks</t>
  </si>
  <si>
    <t>NACE C - 25.93 Manufacture of wire products, chain and springs</t>
  </si>
  <si>
    <t>NACE O - 79.1 Travel agency and tour operator activities</t>
  </si>
  <si>
    <t xml:space="preserve">    08 03 07 - Non-Hazardous - Aqueous sludges containing ink</t>
  </si>
  <si>
    <t>NACE C - 25.94 Manufacture of fasteners and screw machine products</t>
  </si>
  <si>
    <t>NACE O - 79.9 Other reservation service and related activities</t>
  </si>
  <si>
    <t xml:space="preserve">    08 03 08 - Non-Hazardous - Aqueous liquid waste containing ink</t>
  </si>
  <si>
    <t>NACE C - 25.99 Manufacture of other fabricated metal products n.e.c.</t>
  </si>
  <si>
    <t>NACE O - 80 Investigation and security activities</t>
  </si>
  <si>
    <t xml:space="preserve">    08 03 12 - Hazardous - Waste ink containing hazardous substances</t>
  </si>
  <si>
    <t>NACE O - 80.0 Investigation and security activities</t>
  </si>
  <si>
    <t xml:space="preserve">    08 03 13 - Non-Hazardous - Waste ink other than those mentioned in 08 03 12</t>
  </si>
  <si>
    <t>NACE O - 81 Services to buildings and landscape activities</t>
  </si>
  <si>
    <t xml:space="preserve">    08 03 14 - Hazardous - Ink sludges containing hazardous substances</t>
  </si>
  <si>
    <t>NACE C - 26.11 Manufacture of electronic components</t>
  </si>
  <si>
    <t>NACE O - 81.1 Combined facilities support activities</t>
  </si>
  <si>
    <t xml:space="preserve">    08 03 15 - Non-Hazardous - Ink sludges other than those mentioned in 08 03 14</t>
  </si>
  <si>
    <t>NACE C - 26.12 Manufacture of loaded electronic boards</t>
  </si>
  <si>
    <t>NACE O - 81.2 Cleaning activities</t>
  </si>
  <si>
    <t xml:space="preserve">    08 03 16 - Hazardous - Waste etching solutions</t>
  </si>
  <si>
    <t>NACE O - 81.3 Landscape service activities</t>
  </si>
  <si>
    <t xml:space="preserve">    08 03 17 - Hazardous - Waste printing toner containing hazardous substances</t>
  </si>
  <si>
    <t>NACE C - 26.20 Manufacture of computers and peripheral equipment</t>
  </si>
  <si>
    <t>NACE O - 82 Office administrative, office support and other business support activities</t>
  </si>
  <si>
    <t xml:space="preserve">    08 03 18 - Non-Hazardous - Waste printing toner other than those mentioned in 08 03 17</t>
  </si>
  <si>
    <t>NACE O - 82.1 Office administrative and support activities</t>
  </si>
  <si>
    <t xml:space="preserve">    08 03 19 - Hazardous - Disperse oil</t>
  </si>
  <si>
    <t>NACE C - 26.30 Manufacture of communication equipment</t>
  </si>
  <si>
    <t>NACE O - 82.2 Activities of call centres</t>
  </si>
  <si>
    <t xml:space="preserve">    08 03 99 - Non-Hazardous - Wastes not otherwise specified</t>
  </si>
  <si>
    <t>NACE O - 82.3 Organisation of conventions and trade shows</t>
  </si>
  <si>
    <t xml:space="preserve">  08 04 - Wastes from MFSU of adhesives and sealants (including waterproofing products)</t>
  </si>
  <si>
    <t>NACE C - 26.40 Manufacture of consumer electronics</t>
  </si>
  <si>
    <t>NACE O - 82.4 Intermediation service activities for business support service activities n.e.c.</t>
  </si>
  <si>
    <t xml:space="preserve">    08 04 09 - Hazardous - Waste adhesives and sealants containing organic solvents or other hazardous substances</t>
  </si>
  <si>
    <t>NACE O - 82.9 Business support service activities n.e.c.</t>
  </si>
  <si>
    <t xml:space="preserve">    08 04 10 - Non-Hazardous - Waste adhesives and sealants other than those mentioned in 08 04 09</t>
  </si>
  <si>
    <t>NACE C - 26.51 Manufacture of instruments and appliances for measuring, testing and navigation</t>
  </si>
  <si>
    <t>NACE O - ADMINISTRATIVE AND SUPPORT SERVICE ACTIVITIES</t>
  </si>
  <si>
    <t xml:space="preserve">    08 04 11 - Hazardous - Adhesive and sealant sludges containing organic solvents or other hazardous substances</t>
  </si>
  <si>
    <t>NACE C - 26.52 Manufacture of watches and clocks</t>
  </si>
  <si>
    <t>NACE P - 84 Public administration and defence; compulsory social security</t>
  </si>
  <si>
    <t xml:space="preserve">    08 04 12 - Non-Hazardous - Adhesive and sealant sludges other than those mentioned in 08 04 11</t>
  </si>
  <si>
    <t>NACE P - 84.1 Administration of the State and the economic, social and environmental policies of the community</t>
  </si>
  <si>
    <t xml:space="preserve">    08 04 13 - Hazardous - Aqueous sludges containing adhesives or sealants containing organic solvents or other hazardous substances</t>
  </si>
  <si>
    <t>NACE C - 26.60 Manufacture of irradiation, electromedical and electrotherapeutic equipment</t>
  </si>
  <si>
    <t>NACE P - 84.2 Provision of services to the community as a whole</t>
  </si>
  <si>
    <t xml:space="preserve">    08 04 14 - Non-Hazardous - Aqueous sludges containing adhesives or sealants other than those mentioned in 08 04 13</t>
  </si>
  <si>
    <t>NACE P - 84.3 Compulsory social security activities</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</si>
  <si>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</si>
  <si>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</si>
  <si>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P - PUBLIC ADMINISTRATION AND DEFENCE; COMPULSORY SOCIAL SECURITY</t>
  </si>
  <si>
    <t xml:space="preserve">    08 04 16 - Non-Hazardous - Aqueous liquid waste containing adhesives or sealants other than those mentioned in 08 04 15</t>
  </si>
  <si>
    <t>NACE Q - 85 Education</t>
  </si>
  <si>
    <t xml:space="preserve">    08 04 17 - Hazardous - Rosin oil</t>
  </si>
  <si>
    <t>NACE Q - 85.1 Pre-primary education</t>
  </si>
  <si>
    <t xml:space="preserve">    08 04 99 - Non-Hazardous - Wastes not otherwise specified</t>
  </si>
  <si>
    <t>NACE C - 27.11 Manufacture of electric motors, generators and transformers</t>
  </si>
  <si>
    <t>NACE Q - 85.2 Primary education</t>
  </si>
  <si>
    <t xml:space="preserve">  08 05 - Wastes not otherwise specified in 08</t>
  </si>
  <si>
    <t>NACE C - 27.12 Manufacture of electricity distribution and control apparatus</t>
  </si>
  <si>
    <t>NACE Q - 85.3 Secondary and post-secondary non-tertiary education</t>
  </si>
  <si>
    <t xml:space="preserve">    08 05 01 - Hazardous - Waste isocyanates</t>
  </si>
  <si>
    <t>NACE Q - 85.4 Tertiary education</t>
  </si>
  <si>
    <t>09 - WASTES FROM THE PHOTOGRAPHIC INDUSTRY</t>
  </si>
  <si>
    <t>NACE C - 27.20 Manufacture of batteries and accumulators</t>
  </si>
  <si>
    <t>NACE Q - 85.5 Other education</t>
  </si>
  <si>
    <t xml:space="preserve">  09 01 - Wastes from the photographic industry</t>
  </si>
  <si>
    <t>NACE Q - 85.6 Educational support activities</t>
  </si>
  <si>
    <t xml:space="preserve">    09 01 01 - Hazardous - Water-based developer and activator solutions</t>
  </si>
  <si>
    <t>NACE C - 27.31 Manufacture of fibre optic cables</t>
  </si>
  <si>
    <t>NACE Q - EDUCATION</t>
  </si>
  <si>
    <t xml:space="preserve">    09 01 02 - Hazardous - Water-based offset plate developer solutions</t>
  </si>
  <si>
    <t>NACE C - 27.32 Manufacture of other electronic and electric wires and cables</t>
  </si>
  <si>
    <t>NACE R - 86 Human health activities</t>
  </si>
  <si>
    <t xml:space="preserve">    09 01 03 - Hazardous - Solvent-based developer solutions</t>
  </si>
  <si>
    <t>NACE C - 27.33 Manufacture of wiring devices</t>
  </si>
  <si>
    <t>NACE R - 86.1 Hospital activities</t>
  </si>
  <si>
    <t xml:space="preserve">    09 01 04 - Hazardous - Fixer solutions</t>
  </si>
  <si>
    <t>NACE R - 86.2 Medical and dental practice activities</t>
  </si>
  <si>
    <t xml:space="preserve">    09 01 05 - Hazardous - Bleach solutions and bleach fixer solutions</t>
  </si>
  <si>
    <t>NACE C - 27.40 Manufacture of lighting equipment</t>
  </si>
  <si>
    <t>NACE R - 86.9 Other human health activities</t>
  </si>
  <si>
    <t xml:space="preserve">    09 01 06 - Hazardous - Wastes containing silver from on-site treatment of photographic wastes</t>
  </si>
  <si>
    <t>NACE R - 87 Residential care activities</t>
  </si>
  <si>
    <t xml:space="preserve">    09 01 07 - Non-Hazardous - Photographic film and paper containing silver or silver compounds</t>
  </si>
  <si>
    <t>NACE C - 27.51 Manufacture of electric domestic appliances</t>
  </si>
  <si>
    <t>NACE R - 87.1 Residential nursing care activities</t>
  </si>
  <si>
    <t xml:space="preserve">    09 01 08 - Non-Hazardous - Photographic film and paper free of silver or silver compounds</t>
  </si>
  <si>
    <t>NACE C - 27.52 Manufacture of non-electric domestic appliances</t>
  </si>
  <si>
    <t>NACE R - 87.2 Residential care activities for persons living with or having a diagnosis of a mental illness or substance abuse</t>
  </si>
  <si>
    <t xml:space="preserve">    09 01 10 - Non-Hazardous - Single-use cameras without batteries</t>
  </si>
  <si>
    <t>NACE R - 87.3 Residential care activities for older persons or persons with physical disabilities</t>
  </si>
  <si>
    <t xml:space="preserve">    09 01 11 - Hazardous - Single-use cameras containing batteries included in 16 06 01, 16 06 02 or 16 06 03</t>
  </si>
  <si>
    <t>NACE C - 27.90 Manufacture of other electrical equipment</t>
  </si>
  <si>
    <t>NACE R - 87.9 Other residential care activities</t>
  </si>
  <si>
    <t xml:space="preserve">    09 01 12 - Non-Hazardous - Single-use cameras containing batteries other than those mentioned in 09 01 11</t>
  </si>
  <si>
    <t>NACE R - 88 Social work activities without accommodation</t>
  </si>
  <si>
    <t xml:space="preserve">    09 01 13 - Hazardous - Aqueous liquid waste from on-site reclamation of silver other than those mentioned in 09 01 06</t>
  </si>
  <si>
    <t>NACE R - 88.1 Social work activities without accommodation for older persons or persons with disabilities</t>
  </si>
  <si>
    <t xml:space="preserve">    09 01 99 - Non-Hazardous - Wastes not otherwise specified</t>
  </si>
  <si>
    <t>NACE C - 28.11 Manufacture of engines and turbines, except aircraft, vehicle and cycle engines</t>
  </si>
  <si>
    <t>NACE R - 88.9 Other social work activities without accommodation</t>
  </si>
  <si>
    <t>10 - WASTES FROM THERMAL PROCESSES</t>
  </si>
  <si>
    <t>NACE C - 28.12 Manufacture of fluid power equipment</t>
  </si>
  <si>
    <t>NACE R - HUMAN HEALTH AND SOCIAL WORK ACTIVITIES</t>
  </si>
  <si>
    <t xml:space="preserve">  10 01 - Wastes from power stations and other combustion plants (except 19)</t>
  </si>
  <si>
    <t>NACE C - 28.13 Manufacture of other pumps and compressors</t>
  </si>
  <si>
    <t>NACE S - 90 Arts creation and performing arts activities</t>
  </si>
  <si>
    <t xml:space="preserve">    10 01 01 - Non-Hazardous - Bottom ash, slag and boiler dust (excluding boiler dust mentioned in 10 01 04)</t>
  </si>
  <si>
    <t>NACE C - 28.14 Manufacture of other taps and valves</t>
  </si>
  <si>
    <t>NACE S - 90.1 Arts creation activities</t>
  </si>
  <si>
    <t xml:space="preserve">    10 01 02 - Non-Hazardous - Coal fly ash</t>
  </si>
  <si>
    <t>NACE C - 28.15 Manufacture of bearings, gears, gearing and driving elements</t>
  </si>
  <si>
    <t>NACE S - 90.2 Activities of performing arts</t>
  </si>
  <si>
    <t xml:space="preserve">    10 01 03 - Non-Hazardous - Fly ash from peat and untreated wood</t>
  </si>
  <si>
    <t>NACE S - 90.3 Support activities to arts creation and performing arts</t>
  </si>
  <si>
    <t xml:space="preserve">    10 01 04 - Hazardous - Oil fly ash and boiler dust</t>
  </si>
  <si>
    <t>NACE C - 28.21 Manufacture of ovens, furnaces and permanent household heating equipment</t>
  </si>
  <si>
    <t>NACE S - 91 Libraries, archives, museums and other cultural activities</t>
  </si>
  <si>
    <t xml:space="preserve">    10 01 05 - Non-Hazardous - Calcium-based reaction wastes from flue-gas desulphurisation in solid form</t>
  </si>
  <si>
    <t>NACE C - 28.22 Manufacture of lifting and handling equipment</t>
  </si>
  <si>
    <t>NACE S - 91.1 Library and archive activities</t>
  </si>
  <si>
    <t xml:space="preserve">    10 01 07 - Non-Hazardous - Calcium-based reaction wastes from flue-gas desulphurisation in sludge form</t>
  </si>
  <si>
    <t>NACE C - 28.23 Manufacture of office machinery and equipment, except computers and peripheral equipment</t>
  </si>
  <si>
    <t>NACE S - 91.2 Museum, collection, historical site and monument activities</t>
  </si>
  <si>
    <t xml:space="preserve">    10 01 09 - Hazardous - Sulphuric acid</t>
  </si>
  <si>
    <t>NACE C - 28.24 Manufacture of power-driven hand tools</t>
  </si>
  <si>
    <t>NACE S - 91.3 Conservation, restoration and other support activities for cultural heritage</t>
  </si>
  <si>
    <t xml:space="preserve">    10 01 13 - Hazardous - Fly ash from emulsified hydrocarbons used as fuel</t>
  </si>
  <si>
    <t>NACE C - 28.25 Manufacture of non-domestic air conditioning equipment</t>
  </si>
  <si>
    <t>NACE S - 91.4 Botanical and zoological garden and nature reserve activities</t>
  </si>
  <si>
    <t xml:space="preserve">    10 01 14 - Hazardous - Bottom ash, slag and boiler dust from co-incineration containing hazardous substances</t>
  </si>
  <si>
    <t>NACE C - 28.29 Manufacture of other general-purpose machinery n.e.c.</t>
  </si>
  <si>
    <t>NACE S - 92 Gambling and betting activities</t>
  </si>
  <si>
    <t xml:space="preserve">    10 01 15 - Non-Hazardous - Bottom ash, slag and boiler dust from co-incineration other than those mentioned in 10 01 14</t>
  </si>
  <si>
    <t>NACE S - 92.0 Gambling and betting activities</t>
  </si>
  <si>
    <t xml:space="preserve">    10 01 16 - Hazardous - Fly ash from co-incineration containing hazardous substances</t>
  </si>
  <si>
    <t>NACE C - 28.30 Manufacture of agricultural and forestry machinery</t>
  </si>
  <si>
    <t>NACE S - 93 Sports activities and amusement and recreation activities</t>
  </si>
  <si>
    <t xml:space="preserve">    10 01 17 - Non-Hazardous - Fly ash from co-incineration other than those mentioned in 10 01 16</t>
  </si>
  <si>
    <t>NACE S - 93.1 Sports activities</t>
  </si>
  <si>
    <t xml:space="preserve">    10 01 18 - Hazardous - Wastes from gas cleaning containing hazardous substances</t>
  </si>
  <si>
    <t>NACE C - 28.41 Manufacture of metal forming machinery and machine tools for metal work</t>
  </si>
  <si>
    <t>NACE S - 93.2 Amusement and recreation activities</t>
  </si>
  <si>
    <t xml:space="preserve">    10 01 19 - Non-Hazardous - Wastes from gas cleaning other than those mentioned in 10 01 05, 10 01 07 and 10 01 18</t>
  </si>
  <si>
    <t>NACE C - 28.42 Manufacture of other machine tools</t>
  </si>
  <si>
    <t>NACE S - ARTS, SPORTS AND RECREATION</t>
  </si>
  <si>
    <t xml:space="preserve">    10 01 20 - Hazardous - Sludges from on-site effluent treatment containing hazardous substances</t>
  </si>
  <si>
    <t>NACE T - 94 Activities of membership organisations</t>
  </si>
  <si>
    <t xml:space="preserve">    10 01 21 - Non-Hazardous - Sludges from on-site effluent treatment other than those mentioned in 10 01 20</t>
  </si>
  <si>
    <t>NACE C - 28.91 Manufacture of machinery for metallurgy</t>
  </si>
  <si>
    <t>NACE T - 94.1 Activities of business, employers and professional membership organisations</t>
  </si>
  <si>
    <t xml:space="preserve">    10 01 22 - Hazardous - Aqueous sludges from boiler cleansing containing hazardous substances</t>
  </si>
  <si>
    <t>NACE C - 28.92 Manufacture of machinery for mining, quarrying and construction</t>
  </si>
  <si>
    <t>NACE T - 94.2 Activities of trade unions</t>
  </si>
  <si>
    <t xml:space="preserve">    10 01 23 - Non-Hazardous - Aqueous sludges from boiler cleansing other than those mentioned in 10 01 22</t>
  </si>
  <si>
    <t>NACE C - 28.93 Manufacture of machinery for food, beverage and tobacco processing</t>
  </si>
  <si>
    <t>NACE T - 94.9 Activities of other membership organisations</t>
  </si>
  <si>
    <t xml:space="preserve">    10 01 24 - Non-Hazardous - Sands from fluidised beds</t>
  </si>
  <si>
    <t>NACE C - 28.94 Manufacture of machinery for textile, apparel and leather production</t>
  </si>
  <si>
    <t>NACE T - 95 Repair and maintenance of computers, personal and household goods, and motor vehicles and motorcycles</t>
  </si>
  <si>
    <t xml:space="preserve">    10 01 25 - Non-Hazardous - Wastes from fuel storage and preparation of coal-fired power plants</t>
  </si>
  <si>
    <t>NACE C - 28.95 Manufacture of machinery for paper and paperboard production</t>
  </si>
  <si>
    <t>NACE T - 95.1 Repair and maintenance of computers and communication equipment</t>
  </si>
  <si>
    <t xml:space="preserve">    10 01 26 - Non-Hazardous - Wastes from cooling-water treatment</t>
  </si>
  <si>
    <t>NACE C - 28.96 Manufacture of plastics and rubber machinery</t>
  </si>
  <si>
    <t>NACE T - 95.2 Repair and maintenance of personal and household goods</t>
  </si>
  <si>
    <t xml:space="preserve">    10 01 99 - Non-Hazardous - Wastes not otherwise specified</t>
  </si>
  <si>
    <t>NACE C - 28.97 Manufacture of additive manufacturing machinery</t>
  </si>
  <si>
    <t>NACE T - 95.3 Repair and maintenance of motor vehicles and motorcycles</t>
  </si>
  <si>
    <t xml:space="preserve">  10 02 - Wastes from the iron and steel industry</t>
  </si>
  <si>
    <t>NACE C - 28.99 Manufacture of other special-purpose machinery n.e.c.</t>
  </si>
  <si>
    <t>NACE T - 95.4 Intermediation service activities for repair and maintenance of computers, personal and household goods, and motor vehicles and motorcycles</t>
  </si>
  <si>
    <t xml:space="preserve">    10 02 01 - Non-Hazardous - Wastes from the processing of slag</t>
  </si>
  <si>
    <t>NACE T - 96 Personal service activities</t>
  </si>
  <si>
    <t xml:space="preserve">    10 02 02 - Non-Hazardous - Unprocessed slag</t>
  </si>
  <si>
    <t>NACE T - 96.1 Washing and cleaning of textile and fur products</t>
  </si>
  <si>
    <t xml:space="preserve">    10 02 07 - Hazardous - Solid wastes from gas treatment containing hazardous substances</t>
  </si>
  <si>
    <t>NACE C - 29.10 Manufacture of motor vehicles</t>
  </si>
  <si>
    <t>NACE T - 96.2 Hairdressing, beauty treatment, day spa and similar activities</t>
  </si>
  <si>
    <t xml:space="preserve">    10 02 08 - Non-Hazardous - Solid wastes from gas treatment other than those mentioned in 10 02 07</t>
  </si>
  <si>
    <t>NACE T - 96.3 Funeral and related activities</t>
  </si>
  <si>
    <t xml:space="preserve">    10 02 10 - Non-Hazardous - Mill scales</t>
  </si>
  <si>
    <t>NACE C - 29.20 Manufacture of bodies and coachwork for motor vehicles; manufacture of trailers and semi-trailers</t>
  </si>
  <si>
    <t>NACE T - 96.4 Intermediation service activities for personal services</t>
  </si>
  <si>
    <t xml:space="preserve">    10 02 11 - Hazardous - Wastes from cooling-water treatment containing oil</t>
  </si>
  <si>
    <t>NACE T - 96.9 Other personal service activities</t>
  </si>
  <si>
    <t xml:space="preserve">    10 02 12 - Non-Hazardous - Wastes from cooling-water treatment other than those mentioned in 10 02 11</t>
  </si>
  <si>
    <t>NACE C - 29.31 Manufacture of electrical and electronic equipment for motor vehicles</t>
  </si>
  <si>
    <t>NACE T - OTHER SERVICE ACTIVITIES</t>
  </si>
  <si>
    <t xml:space="preserve">    10 02 13 - Hazardous - Sludges and filter cakes from gas treatment containing hazardous substances</t>
  </si>
  <si>
    <t>NACE C - 29.32 Manufacture of other parts and accessories for motor vehicles</t>
  </si>
  <si>
    <t>NACE U - 97 Activities of households as employers of domestic personnel</t>
  </si>
  <si>
    <t xml:space="preserve">    10 02 14 - Non-Hazardous - Sludges and filter cakes from gas treatment other than those mentioned in 10 02 13</t>
  </si>
  <si>
    <t>NACE U - 97.0 Activities of households as employers of domestic personnel</t>
  </si>
  <si>
    <t xml:space="preserve">    10 02 15 - Non-Hazardous - Other sludges and filter cakes</t>
  </si>
  <si>
    <t>NACE U - 98 Undifferentiated goods- and service-producing activities of private households for own use</t>
  </si>
  <si>
    <t xml:space="preserve">    10 02 99 - Non-Hazardous - Wastes not otherwise specified</t>
  </si>
  <si>
    <t>NACE C - 30.11 Building of civilian ships and floating structures</t>
  </si>
  <si>
    <t>NACE U - 98.1 Undifferentiated goods-producing activities of private households for own use</t>
  </si>
  <si>
    <t xml:space="preserve">  10 03 - Wastes from aluminium thermal metallurgy</t>
  </si>
  <si>
    <t>NACE C - 30.12 Building of pleasure and sporting boats</t>
  </si>
  <si>
    <t>NACE U - 98.2 Undifferentiated service-producing activities of private households for own use</t>
  </si>
  <si>
    <t xml:space="preserve">    10 03 02 - Non-Hazardous - Anode scraps</t>
  </si>
  <si>
    <t>NACE C - 30.13 Building of military ships and vessels</t>
  </si>
  <si>
    <t>NACE U - ACTIVITIES OF HOUSEHOLDS AS EMPLOYERS AND UNDIFFERENTIATED GOODS – AND SERVICE-PRODUCING ACTIVITIES OF HOUSEHOLDS FOR OWN USE</t>
  </si>
  <si>
    <t xml:space="preserve">    10 03 04 - Hazardous - Primary production slags</t>
  </si>
  <si>
    <t>NACE V - 99 Activities of extraterritorial organisations and bodies</t>
  </si>
  <si>
    <t xml:space="preserve">    10 03 05 - Non-Hazardous - Waste alumina</t>
  </si>
  <si>
    <t>NACE C - 30.20 Manufacture of railway locomotives and rolling stock</t>
  </si>
  <si>
    <t>NACE V - 99.0 Activities of extraterritorial organisations and bodies</t>
  </si>
  <si>
    <t xml:space="preserve">    10 03 08 - Hazardous - Salt slags from secondary production</t>
  </si>
  <si>
    <t>NACE V - ACTIVITIES OF EXTRATERRITORIAL ORGANISATIONS AND BODIES</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</si>
  <si>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</si>
  <si>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</si>
  <si>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</si>
  <si>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</si>
  <si>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</si>
  <si>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</si>
  <si>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</si>
  <si>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</si>
  <si>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</si>
  <si>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</si>
  <si>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</si>
  <si>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</si>
  <si>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</si>
  <si>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</si>
  <si>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</si>
  <si>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</si>
  <si>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</si>
  <si>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</si>
  <si>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</si>
  <si>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</si>
  <si>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</si>
  <si>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</si>
  <si>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</si>
  <si>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</si>
  <si>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</si>
  <si>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</si>
  <si>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</si>
  <si>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</si>
  <si>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</si>
  <si>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</si>
  <si>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</si>
  <si>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</si>
  <si>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</si>
  <si>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</si>
  <si>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</si>
  <si>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</si>
  <si>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</si>
  <si>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</si>
  <si>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</si>
  <si>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</si>
  <si>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</si>
  <si>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</si>
  <si>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</si>
  <si>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</si>
  <si>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</si>
  <si>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</si>
  <si>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</si>
  <si>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</si>
  <si>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</si>
  <si>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</si>
  <si>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</si>
  <si>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</si>
  <si>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</si>
  <si>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</si>
  <si>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</si>
  <si>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</si>
  <si>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</si>
  <si>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</si>
  <si>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</si>
  <si>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</si>
  <si>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</si>
  <si>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</si>
  <si>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</si>
  <si>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</si>
  <si>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</si>
  <si>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</si>
  <si>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</si>
  <si>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</si>
  <si>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</si>
  <si>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</si>
  <si>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</si>
  <si>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</si>
  <si>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</si>
  <si>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</si>
  <si>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</si>
  <si>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</si>
  <si>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</si>
  <si>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</si>
  <si>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</si>
  <si>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</si>
  <si>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</si>
  <si>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</si>
  <si>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</si>
  <si>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</si>
  <si>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</si>
  <si>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</si>
  <si>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</si>
  <si>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</si>
  <si>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</si>
  <si>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</si>
  <si>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</si>
  <si>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</si>
  <si>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</si>
  <si>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</si>
  <si>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</si>
  <si>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</si>
  <si>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</si>
  <si>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</si>
  <si>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</si>
  <si>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</si>
  <si>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</si>
  <si>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</si>
  <si>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</si>
  <si>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</si>
  <si>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</si>
  <si>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</si>
  <si>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</si>
  <si>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</si>
  <si>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</si>
  <si>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</si>
  <si>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</si>
  <si>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</si>
  <si>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</si>
  <si>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</si>
  <si>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</si>
  <si>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</si>
  <si>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</si>
  <si>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</si>
  <si>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</si>
  <si>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</si>
  <si>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</si>
  <si>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</si>
  <si>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</si>
  <si>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</si>
  <si>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</si>
  <si>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</si>
  <si>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</si>
  <si>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</si>
  <si>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</si>
  <si>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</si>
  <si>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</si>
  <si>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</si>
  <si>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</si>
  <si>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</si>
  <si>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</si>
  <si>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</si>
  <si>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</si>
  <si>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</si>
  <si>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</si>
  <si>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</si>
  <si>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</si>
  <si>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</si>
  <si>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</si>
  <si>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</si>
  <si>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</si>
  <si>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</si>
  <si>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</si>
  <si>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</si>
  <si>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</si>
  <si>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</si>
  <si>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</si>
  <si>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</si>
  <si>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</si>
  <si>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</si>
  <si>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</si>
  <si>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</si>
  <si>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</si>
  <si>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</si>
  <si>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</si>
  <si>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</si>
  <si>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</si>
  <si>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</si>
  <si>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</si>
  <si>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</si>
  <si>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</si>
  <si>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</si>
  <si>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</si>
  <si>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</si>
  <si>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</si>
  <si>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</si>
  <si>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</si>
  <si>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</si>
  <si>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</si>
  <si>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</si>
  <si>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</si>
  <si>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</si>
  <si>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</si>
  <si>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</si>
  <si>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</si>
  <si>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</si>
  <si>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</si>
  <si>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</si>
  <si>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</si>
  <si>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</si>
  <si>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</si>
  <si>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</si>
  <si>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</si>
  <si>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</si>
  <si>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</si>
  <si>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</si>
  <si>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</si>
  <si>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</si>
  <si>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</si>
  <si>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</si>
  <si>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</si>
  <si>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</si>
  <si>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</si>
  <si>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</si>
  <si>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</si>
  <si>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</si>
  <si>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</si>
  <si>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</si>
  <si>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</si>
  <si>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</si>
  <si>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</si>
  <si>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</si>
  <si>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</si>
  <si>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</si>
  <si>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</si>
  <si>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</si>
  <si>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</si>
  <si>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</si>
  <si>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</si>
  <si>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</si>
  <si>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</si>
  <si>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</si>
  <si>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</si>
  <si>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</si>
  <si>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</si>
  <si>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</si>
  <si>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</si>
  <si>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</si>
  <si>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</si>
  <si>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</si>
  <si>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</si>
  <si>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</si>
  <si>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</si>
  <si>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</si>
  <si>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</si>
  <si>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</si>
  <si>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</si>
  <si>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</si>
  <si>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</si>
  <si>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</si>
  <si>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</si>
  <si>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</si>
  <si>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</si>
  <si>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</si>
  <si>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</si>
  <si>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</si>
  <si>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</si>
  <si>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</si>
  <si>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</si>
  <si>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</si>
  <si>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</si>
  <si>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</si>
  <si>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</si>
  <si>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</si>
  <si>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</si>
  <si>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</si>
  <si>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</si>
  <si>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</si>
  <si>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</si>
  <si>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</si>
  <si>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</si>
  <si>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</si>
  <si>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</si>
  <si>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</si>
  <si>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</si>
  <si>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</si>
  <si>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</si>
  <si>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</si>
  <si>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</si>
  <si>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</si>
  <si>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</si>
  <si>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</si>
  <si>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</si>
  <si>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</si>
  <si>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</si>
  <si>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</si>
  <si>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</si>
  <si>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</si>
  <si>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</si>
  <si>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</si>
  <si>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</si>
  <si>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</si>
  <si>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</si>
  <si>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</si>
  <si>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</si>
  <si>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</si>
  <si>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</si>
  <si>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</si>
  <si>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</si>
  <si>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</si>
  <si>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</si>
  <si>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</si>
  <si>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</si>
  <si>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</si>
  <si>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</si>
  <si>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</si>
  <si>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</si>
  <si>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</si>
  <si>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</si>
  <si>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</si>
  <si>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</si>
  <si>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</si>
  <si>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</si>
  <si>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</si>
  <si>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</si>
  <si>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</si>
  <si>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</si>
  <si>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</si>
  <si>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</si>
  <si>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</si>
  <si>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</si>
  <si>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</si>
  <si>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</si>
  <si>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</si>
  <si>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</si>
  <si>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</si>
  <si>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</si>
  <si>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</si>
  <si>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</si>
  <si>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</si>
  <si>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</si>
  <si>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</si>
  <si>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</si>
  <si>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</si>
  <si>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</si>
  <si>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</si>
  <si>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</si>
  <si>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</si>
  <si>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</si>
  <si>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</si>
  <si>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</si>
  <si>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</si>
  <si>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</si>
  <si>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</si>
  <si>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</si>
  <si>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</si>
  <si>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</si>
  <si>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</si>
  <si>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</si>
  <si>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</si>
  <si>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</si>
  <si>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</si>
  <si>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</si>
  <si>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</si>
  <si>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</si>
  <si>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</si>
  <si>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</si>
  <si>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</si>
  <si>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</si>
  <si>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</si>
  <si>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</si>
  <si>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</si>
  <si>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</si>
  <si>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</si>
  <si>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</si>
  <si>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</si>
  <si>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</si>
  <si>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</si>
  <si>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</si>
  <si>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</si>
  <si>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</si>
  <si>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</si>
  <si>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</si>
  <si>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</si>
  <si>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</si>
  <si>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</si>
  <si>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</si>
  <si>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</si>
  <si>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</si>
  <si>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</si>
  <si>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</si>
  <si>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</si>
  <si>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</si>
  <si>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</si>
  <si>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</si>
  <si>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</si>
  <si>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</si>
  <si>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</si>
  <si>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</si>
  <si>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</si>
  <si>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</si>
  <si>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</si>
  <si>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</si>
  <si>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</si>
  <si>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</si>
  <si>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</si>
  <si>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</si>
  <si>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</si>
  <si>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</si>
  <si>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</si>
  <si>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</si>
  <si>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</si>
  <si>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</si>
  <si>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</si>
  <si>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</si>
  <si>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</si>
  <si>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</si>
  <si>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</si>
  <si>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</si>
  <si>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</si>
  <si>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</si>
  <si>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</si>
  <si>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</si>
  <si>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</si>
  <si>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</si>
  <si>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</si>
  <si>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</si>
  <si>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</si>
  <si>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</si>
  <si>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</si>
  <si>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</si>
  <si>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</si>
  <si>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</si>
  <si>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</si>
  <si>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</si>
  <si>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</si>
  <si>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</si>
  <si>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</si>
  <si>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</si>
  <si>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</si>
  <si>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</si>
  <si>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</si>
  <si>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</si>
  <si>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</si>
  <si>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</si>
  <si>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</si>
  <si>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</si>
  <si>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</si>
  <si>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</si>
  <si>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</si>
  <si>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</si>
  <si>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</si>
  <si>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</si>
  <si>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</si>
  <si>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</si>
  <si>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</si>
  <si>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</si>
  <si>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</si>
  <si>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</si>
  <si>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</si>
  <si>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</si>
  <si>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</si>
  <si>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</si>
  <si>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</si>
  <si>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</si>
  <si>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</si>
  <si>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</si>
  <si>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</si>
  <si>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</si>
  <si>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</si>
  <si>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</si>
  <si>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</si>
  <si>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</si>
  <si>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</si>
  <si>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</si>
  <si>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</si>
  <si>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</si>
  <si>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</si>
  <si>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</si>
  <si>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</si>
  <si>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</si>
  <si>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</si>
  <si>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</si>
  <si>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</si>
  <si>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</si>
  <si>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</si>
  <si>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</si>
  <si>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</si>
  <si>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</si>
  <si>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</si>
  <si>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</si>
  <si>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</si>
  <si>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</si>
  <si>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</si>
  <si>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</si>
  <si>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</si>
  <si>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</si>
  <si>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</si>
  <si>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</si>
  <si>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</si>
  <si>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</si>
  <si>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</si>
  <si>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</si>
  <si>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</si>
  <si>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</si>
  <si>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</si>
  <si>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</si>
  <si>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</si>
  <si>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</si>
  <si>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</si>
  <si>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</si>
  <si>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</si>
  <si>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</si>
  <si>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</si>
  <si>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</si>
  <si>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</si>
  <si>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</si>
  <si>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</si>
  <si>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</si>
  <si>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</si>
  <si>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</si>
  <si>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</si>
  <si>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</si>
  <si>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</si>
  <si>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</si>
  <si>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</si>
  <si>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</si>
  <si>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</si>
  <si>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</si>
  <si>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</si>
  <si>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</si>
  <si>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</si>
  <si>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</si>
  <si>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</si>
  <si>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</si>
  <si>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</si>
  <si>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</si>
  <si>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</si>
  <si>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</si>
  <si>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</si>
  <si>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</si>
  <si>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</si>
  <si>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</si>
  <si>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</si>
  <si>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</si>
  <si>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</si>
  <si>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</si>
  <si>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</si>
  <si>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</si>
  <si>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</si>
  <si>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</si>
  <si>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</si>
  <si>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</si>
  <si>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</si>
  <si>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</si>
  <si>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</si>
  <si>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</si>
  <si>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</si>
  <si>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</si>
  <si>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</si>
  <si>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</si>
  <si>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</si>
  <si>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</si>
  <si>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</si>
  <si>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</si>
  <si>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</si>
  <si>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</si>
  <si>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</si>
  <si>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</si>
  <si>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</si>
  <si>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</si>
  <si>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</si>
  <si>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</si>
  <si>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</si>
  <si>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</si>
  <si>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</si>
  <si>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</si>
  <si>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</si>
  <si>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</si>
  <si>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</si>
  <si>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</si>
  <si>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</si>
  <si>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</si>
  <si>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</si>
  <si>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</si>
  <si>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</si>
  <si>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</si>
  <si>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</si>
  <si>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</si>
  <si>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</si>
  <si>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</si>
  <si>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</si>
  <si>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</si>
  <si>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</si>
  <si>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</si>
  <si>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</si>
  <si>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</si>
  <si>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</si>
  <si>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</si>
  <si>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</si>
  <si>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</si>
  <si>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</si>
  <si>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</si>
  <si>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</si>
  <si>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</si>
  <si>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</si>
  <si>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</si>
  <si>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</si>
  <si>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</si>
  <si>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</si>
  <si>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</si>
  <si>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</si>
  <si>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</si>
  <si>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</si>
  <si>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</si>
  <si>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</si>
  <si>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</si>
  <si>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</si>
  <si>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</si>
  <si>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</si>
  <si>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</si>
  <si>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</si>
  <si>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</si>
  <si>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</si>
  <si>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</si>
  <si>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</si>
  <si>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</si>
  <si>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</si>
  <si>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</si>
  <si>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</si>
  <si>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</si>
  <si>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</si>
  <si>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</si>
  <si>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</si>
  <si>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</si>
  <si>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</si>
  <si>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</si>
  <si>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</si>
  <si>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</si>
  <si>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</si>
  <si>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</si>
  <si>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</si>
  <si>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</si>
  <si>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</si>
  <si>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</si>
  <si>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</si>
  <si>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</si>
  <si>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</si>
  <si>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</si>
  <si>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</si>
  <si>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</si>
  <si>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</si>
  <si>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</si>
  <si>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</si>
  <si>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</si>
  <si>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</si>
  <si>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</si>
  <si>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</si>
  <si>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</si>
  <si>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</si>
  <si>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</si>
  <si>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</si>
  <si>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</si>
  <si>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</si>
  <si>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</si>
  <si>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</si>
  <si>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</si>
  <si>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</si>
  <si>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</si>
  <si>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</si>
  <si>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</si>
  <si>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</si>
  <si>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</si>
  <si>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</si>
  <si>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</si>
  <si>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</si>
  <si>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</si>
  <si>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</si>
  <si>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</si>
  <si>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</si>
  <si>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</si>
  <si>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</si>
  <si>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</si>
  <si>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</si>
  <si>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</si>
  <si>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</si>
  <si>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</si>
  <si>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</si>
  <si>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</si>
  <si>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</si>
  <si>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</si>
  <si>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</si>
  <si>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</si>
  <si>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</si>
  <si>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</si>
  <si>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</si>
  <si>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</si>
  <si>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</si>
  <si>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</si>
  <si>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</si>
  <si>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</si>
  <si>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</si>
  <si>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</si>
  <si>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</si>
  <si>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</si>
  <si>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</si>
  <si>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</si>
  <si>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</si>
  <si>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</si>
  <si>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</si>
  <si>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</si>
  <si>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</si>
  <si>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</si>
  <si>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</si>
  <si>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</si>
  <si>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</si>
  <si>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</si>
  <si>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</si>
  <si>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</si>
  <si>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</si>
  <si>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</si>
  <si>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</si>
  <si>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</si>
  <si>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</si>
  <si>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</si>
  <si>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</si>
  <si>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</si>
  <si>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</si>
  <si>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</si>
  <si>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</si>
  <si>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</si>
  <si>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</si>
  <si>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</si>
  <si>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</si>
  <si>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</si>
  <si>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</si>
  <si>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</si>
  <si>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</si>
  <si>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</si>
  <si>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</si>
  <si>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</si>
  <si>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</si>
  <si>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</si>
  <si>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</si>
  <si>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</si>
  <si>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</si>
  <si>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</si>
  <si>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</si>
  <si>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</si>
  <si>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</si>
  <si>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</si>
  <si>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</si>
  <si>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</si>
  <si>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</si>
  <si>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</si>
  <si>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</si>
  <si>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</si>
  <si>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</si>
  <si>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</si>
  <si>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</si>
  <si>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</si>
  <si>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</si>
  <si>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</si>
  <si>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</si>
  <si>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</si>
  <si>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</si>
  <si>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</si>
  <si>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</si>
  <si>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</si>
  <si>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</si>
  <si>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</si>
  <si>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</si>
  <si>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</si>
  <si>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</si>
  <si>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</si>
  <si>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</si>
  <si>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</si>
  <si>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</si>
  <si>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</si>
  <si>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</si>
  <si>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</si>
  <si>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</si>
  <si>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</si>
  <si>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</si>
  <si>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</si>
  <si>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</si>
  <si>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</si>
  <si>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</si>
  <si>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</si>
  <si>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</si>
  <si>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</si>
  <si>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</si>
  <si>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</si>
  <si>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</si>
  <si>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</si>
  <si>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</si>
  <si>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</si>
  <si>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</si>
  <si>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</si>
  <si>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</si>
  <si>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</si>
  <si>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</si>
  <si>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</si>
  <si>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</si>
  <si>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</si>
  <si>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</si>
  <si>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</si>
  <si>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</si>
  <si>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</si>
  <si>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</si>
  <si>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</si>
  <si>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</si>
  <si>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</si>
  <si>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</si>
  <si>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</si>
  <si>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</si>
  <si>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</si>
  <si>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</si>
  <si>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</si>
  <si>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</si>
  <si>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</si>
  <si>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</si>
  <si>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</si>
  <si>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</si>
  <si>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</si>
  <si>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</si>
  <si>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</si>
  <si>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</si>
  <si>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</si>
  <si>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</si>
  <si>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</si>
  <si>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</si>
  <si>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</si>
  <si>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</si>
  <si>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</si>
  <si>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</si>
  <si>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</si>
  <si>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</si>
  <si>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</si>
  <si>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</si>
  <si>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</si>
  <si>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</si>
  <si>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</si>
  <si>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</si>
  <si>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</si>
  <si>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</si>
  <si>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</si>
  <si>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</si>
  <si>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</si>
  <si>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</si>
  <si>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</si>
  <si>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</si>
  <si>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</si>
  <si>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</si>
  <si>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</si>
  <si>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</si>
  <si>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</si>
  <si>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</si>
  <si>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</si>
  <si>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</si>
  <si>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</si>
  <si>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</si>
  <si>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</si>
  <si>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</si>
  <si>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</si>
  <si>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</si>
  <si>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</si>
  <si>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</si>
  <si>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</si>
  <si>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</si>
  <si>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</si>
  <si>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</si>
  <si>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</si>
  <si>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</si>
  <si>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</si>
  <si>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</si>
  <si>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</si>
  <si>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</si>
  <si>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</si>
  <si>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</si>
  <si>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</si>
  <si>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</si>
  <si>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</si>
  <si>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</si>
  <si>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</si>
  <si>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</si>
  <si>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</si>
  <si>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</si>
  <si>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</si>
  <si>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</si>
  <si>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</si>
  <si>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</si>
  <si>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</si>
  <si>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</si>
  <si>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</si>
  <si>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</si>
  <si>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</si>
  <si>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</si>
  <si>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</si>
  <si>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</si>
  <si>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</si>
  <si>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</si>
  <si>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</si>
  <si>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</si>
  <si>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</si>
  <si>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</si>
  <si>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</si>
  <si>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</si>
  <si>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</si>
  <si>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</si>
  <si>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</si>
  <si>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</si>
  <si>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</si>
  <si>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</si>
  <si>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</si>
  <si>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</si>
  <si>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</si>
  <si>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</si>
  <si>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</si>
  <si>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</si>
  <si>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</si>
  <si>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</si>
  <si>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</si>
  <si>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</si>
  <si>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</si>
  <si>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</si>
  <si>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</si>
  <si>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</si>
  <si>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</si>
  <si>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</si>
  <si>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</si>
  <si>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</si>
  <si>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</si>
  <si>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</si>
  <si>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</si>
  <si>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</si>
  <si>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</si>
  <si>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</si>
  <si>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</si>
  <si>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</si>
  <si>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</si>
  <si>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</si>
  <si>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</si>
  <si>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</si>
  <si>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</si>
  <si>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</si>
  <si>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</si>
  <si>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</si>
  <si>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</si>
  <si>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</si>
  <si>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</si>
  <si>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</si>
  <si>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</si>
  <si>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</si>
  <si>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</si>
  <si>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</si>
  <si>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</si>
  <si>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</si>
  <si>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</si>
  <si>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</si>
  <si>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</si>
  <si>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</si>
  <si>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</si>
  <si>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</si>
  <si>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</si>
  <si>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</si>
  <si>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</si>
  <si>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</si>
  <si>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</si>
  <si>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</si>
  <si>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</si>
  <si>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</si>
  <si>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</si>
  <si>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</si>
  <si>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</si>
  <si>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</si>
  <si>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</si>
  <si>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</si>
  <si>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</si>
  <si>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</si>
  <si>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</si>
  <si>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</si>
  <si>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</si>
  <si>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</si>
  <si>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</si>
  <si>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</si>
  <si>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</si>
  <si>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</si>
  <si>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</si>
  <si>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</si>
  <si>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</si>
  <si>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</si>
  <si>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</si>
  <si>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</si>
  <si>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</si>
  <si>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</si>
  <si>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</si>
  <si>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Spanish - Reviewed translation by Spanish Standard Setter</t>
  </si>
  <si>
    <t>en</t>
  </si>
  <si>
    <t>da</t>
  </si>
  <si>
    <t>nl</t>
  </si>
  <si>
    <t>fr</t>
  </si>
  <si>
    <t>de</t>
  </si>
  <si>
    <t>ga</t>
  </si>
  <si>
    <t>it</t>
  </si>
  <si>
    <t>lt</t>
  </si>
  <si>
    <t>pl</t>
  </si>
  <si>
    <t>pt</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</si>
  <si>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</si>
  <si>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</si>
  <si>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</si>
  <si>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</si>
  <si>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</si>
  <si>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</si>
  <si>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</si>
  <si>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</si>
  <si>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</si>
  <si>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</si>
  <si>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</si>
  <si>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</si>
  <si>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</si>
  <si>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</si>
  <si>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</si>
  <si>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</si>
  <si>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</si>
  <si>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</si>
  <si>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</si>
  <si>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</si>
  <si>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</si>
  <si>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</si>
  <si>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</si>
  <si>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</si>
  <si>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</si>
  <si>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</si>
  <si>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</si>
  <si>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</si>
  <si>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</si>
  <si>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</si>
  <si>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</si>
  <si>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</si>
  <si>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</si>
  <si>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</si>
  <si>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</si>
  <si>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</si>
  <si>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</si>
  <si>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</si>
  <si>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</si>
  <si>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</si>
  <si>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</si>
  <si>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</si>
  <si>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</si>
  <si>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</si>
  <si>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</si>
  <si>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</si>
  <si>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</si>
  <si>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</si>
  <si>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</si>
  <si>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</si>
  <si>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</si>
  <si>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</si>
  <si>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</si>
  <si>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</si>
  <si>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</si>
  <si>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</si>
  <si>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</si>
  <si>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</si>
  <si>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</si>
  <si>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</si>
  <si>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</si>
  <si>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</si>
  <si>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</si>
  <si>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</si>
  <si>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</si>
  <si>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</si>
  <si>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</si>
  <si>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</si>
  <si>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</si>
  <si>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</si>
  <si>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</si>
  <si>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</si>
  <si>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</si>
  <si>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</si>
  <si>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</si>
  <si>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</si>
  <si>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</si>
  <si>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</si>
  <si>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</si>
  <si>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</si>
  <si>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</si>
  <si>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</si>
  <si>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</si>
  <si>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</si>
  <si>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</si>
  <si>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</si>
  <si>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</si>
  <si>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</si>
  <si>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</si>
  <si>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</si>
  <si>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</si>
  <si>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</si>
  <si>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</si>
  <si>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</si>
  <si>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</si>
  <si>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</si>
  <si>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</si>
  <si>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</si>
  <si>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</si>
  <si>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</si>
  <si>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</si>
  <si>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</si>
  <si>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</si>
  <si>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</si>
  <si>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</si>
  <si>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</si>
  <si>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</si>
  <si>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</si>
  <si>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</si>
  <si>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</si>
  <si>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</si>
  <si>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</si>
  <si>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</si>
  <si>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</si>
  <si>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</si>
  <si>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</si>
  <si>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</si>
  <si>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</si>
  <si>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</si>
  <si>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</si>
  <si>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</si>
  <si>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</si>
  <si>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</si>
  <si>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</si>
  <si>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</si>
  <si>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</si>
  <si>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</si>
  <si>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Este informe contiene {{ ns.fact_count }} elementos XBRL ({{ facts | count }} elementos únicos).</t>
  </si>
  <si>
    <t>template_label_version</t>
  </si>
  <si>
    <t>Version:</t>
  </si>
  <si>
    <t>Versie:</t>
  </si>
  <si>
    <t>Version :</t>
  </si>
  <si>
    <t>Leagan:</t>
  </si>
  <si>
    <t>Versione:</t>
  </si>
  <si>
    <t>Versija:</t>
  </si>
  <si>
    <t xml:space="preserve">Wersja: </t>
  </si>
  <si>
    <t>Versão:</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</si>
  <si>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</si>
  <si>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</si>
  <si>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</si>
  <si>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</si>
  <si>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</si>
  <si>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</si>
  <si>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</si>
  <si>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</si>
  <si>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</si>
  <si>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</si>
  <si>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</si>
  <si>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</si>
  <si>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</si>
  <si>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</si>
  <si>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</si>
  <si>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</si>
  <si>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</si>
  <si>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</si>
  <si>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</si>
  <si>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</si>
  <si>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</si>
  <si>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</si>
  <si>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</si>
  <si>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</si>
  <si>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Punto de entrada a la taxonomía:</t>
  </si>
  <si>
    <t>template_label_select_template_display_language</t>
  </si>
  <si>
    <t>Select Template Display Language:</t>
  </si>
  <si>
    <t>Vælg sprog for skabelonvisning:</t>
  </si>
  <si>
    <t>Selecteer de weergavetaal van de template:</t>
  </si>
  <si>
    <t>Sélectionnez la langue d'affichage :</t>
  </si>
  <si>
    <t>Sprachauswahl:</t>
  </si>
  <si>
    <t>Roghnaigh Teanga Taispeána Teimpléad:</t>
  </si>
  <si>
    <t>Seleziona la lingua di visualizzazione del modello:</t>
  </si>
  <si>
    <t>Pasirinkite šablono rodymo kalbą:</t>
  </si>
  <si>
    <t>Wybierz język wyświetlania szablonu:</t>
  </si>
  <si>
    <t>Selecionar idioma de exibição do modelo:</t>
  </si>
  <si>
    <t>Seleccionar el idioma de visualización de la plantilla:</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</si>
  <si>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</si>
  <si>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</si>
  <si>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</si>
  <si>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</si>
  <si>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</si>
  <si>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</si>
  <si>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</si>
  <si>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</si>
  <si>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</si>
  <si>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</si>
  <si>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</si>
  <si>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</si>
  <si>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</si>
  <si>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</si>
  <si>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</si>
  <si>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</si>
  <si>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</si>
  <si>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</si>
  <si>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</si>
  <si>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</si>
  <si>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</si>
  <si>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</si>
  <si>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</si>
  <si>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</si>
  <si>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</si>
  <si>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</si>
  <si>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</si>
  <si>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</si>
  <si>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</si>
  <si>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</si>
  <si>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</si>
  <si>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</si>
  <si>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</si>
  <si>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</si>
  <si>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</si>
  <si>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</si>
  <si>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</si>
  <si>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</si>
  <si>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</si>
  <si>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</si>
  <si>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</si>
  <si>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</si>
  <si>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</si>
  <si>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</si>
  <si>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</si>
  <si>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</si>
  <si>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</si>
  <si>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</si>
  <si>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</si>
  <si>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</si>
  <si>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</si>
  <si>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</si>
  <si>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</si>
  <si>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</si>
  <si>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</si>
  <si>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</si>
  <si>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</si>
  <si>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</si>
  <si>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</si>
  <si>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</si>
  <si>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</si>
  <si>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</si>
  <si>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</si>
  <si>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</si>
  <si>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</si>
  <si>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</si>
  <si>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</si>
  <si>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</si>
  <si>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</si>
  <si>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</si>
  <si>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</si>
  <si>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</si>
  <si>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</si>
  <si>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</si>
  <si>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</si>
  <si>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</si>
  <si>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</si>
  <si>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</si>
  <si>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</si>
  <si>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</si>
  <si>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</si>
  <si>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</si>
  <si>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</si>
  <si>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</si>
  <si>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</si>
  <si>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</si>
  <si>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</si>
  <si>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</si>
  <si>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</si>
  <si>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</si>
  <si>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</si>
  <si>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</si>
  <si>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</si>
  <si>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</si>
  <si>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</si>
  <si>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</si>
  <si>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</si>
  <si>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</si>
  <si>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</si>
  <si>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</si>
  <si>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</si>
  <si>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</si>
  <si>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</si>
  <si>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</si>
  <si>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</si>
  <si>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</si>
  <si>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</si>
  <si>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</si>
  <si>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</si>
  <si>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</si>
  <si>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</si>
  <si>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</si>
  <si>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</si>
  <si>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</si>
  <si>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</si>
  <si>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</si>
  <si>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</si>
  <si>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</si>
  <si>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</si>
  <si>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</si>
  <si>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</si>
  <si>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</si>
  <si>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</si>
  <si>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</si>
  <si>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</si>
  <si>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</si>
  <si>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</si>
  <si>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</si>
  <si>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</si>
  <si>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</si>
  <si>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</si>
  <si>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</si>
  <si>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</si>
  <si>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</si>
  <si>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</si>
  <si>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</si>
  <si>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</si>
  <si>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</si>
  <si>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</si>
  <si>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</si>
  <si>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</si>
  <si>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</si>
  <si>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</si>
  <si>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</si>
  <si>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</si>
  <si>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</si>
  <si>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</si>
  <si>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</si>
  <si>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</si>
  <si>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</si>
  <si>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</si>
  <si>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</si>
  <si>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</si>
  <si>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</si>
  <si>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</si>
  <si>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</si>
  <si>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</si>
  <si>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</si>
  <si>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</si>
  <si>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</si>
  <si>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</si>
  <si>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</si>
  <si>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</si>
  <si>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</si>
  <si>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</si>
  <si>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</si>
  <si>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</si>
  <si>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</si>
  <si>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</si>
  <si>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</si>
  <si>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</si>
  <si>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</si>
  <si>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</si>
  <si>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</si>
  <si>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</si>
  <si>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</si>
  <si>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</si>
  <si>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</si>
  <si>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</si>
  <si>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</si>
  <si>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</si>
  <si>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</si>
  <si>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</si>
  <si>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</si>
  <si>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</si>
  <si>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</si>
  <si>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</si>
  <si>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</si>
  <si>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</si>
  <si>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</si>
  <si>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</si>
  <si>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</si>
  <si>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</si>
  <si>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</si>
  <si>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</si>
  <si>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</si>
  <si>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</si>
  <si>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</si>
  <si>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</si>
  <si>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</si>
  <si>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</si>
  <si>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</si>
  <si>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</si>
  <si>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</si>
  <si>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</si>
  <si>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</si>
  <si>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</si>
  <si>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</si>
  <si>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</si>
  <si>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</si>
  <si>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</si>
  <si>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</si>
  <si>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</si>
  <si>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</si>
  <si>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</si>
  <si>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</si>
  <si>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</si>
  <si>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</si>
  <si>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</si>
  <si>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</si>
  <si>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</si>
  <si>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</si>
  <si>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</si>
  <si>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</si>
  <si>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</si>
  <si>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</si>
  <si>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</si>
  <si>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</si>
  <si>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</si>
  <si>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</si>
  <si>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</si>
  <si>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</si>
  <si>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</si>
  <si>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</si>
  <si>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</si>
  <si>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</si>
  <si>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</si>
  <si>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</si>
  <si>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</si>
  <si>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</si>
  <si>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</si>
  <si>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</si>
  <si>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</si>
  <si>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</si>
  <si>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</si>
  <si>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</si>
  <si>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</si>
  <si>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</si>
  <si>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</si>
  <si>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</si>
  <si>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</si>
  <si>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</si>
  <si>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</si>
  <si>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</si>
  <si>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</si>
  <si>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</si>
  <si>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</si>
  <si>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</si>
  <si>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</si>
  <si>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</si>
  <si>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</si>
  <si>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</si>
  <si>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</si>
  <si>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</si>
  <si>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</si>
  <si>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</si>
  <si>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</si>
  <si>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</si>
  <si>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</si>
  <si>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</si>
  <si>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</si>
  <si>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</si>
  <si>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</si>
  <si>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</si>
  <si>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</si>
  <si>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</si>
  <si>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</si>
  <si>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</si>
  <si>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</si>
  <si>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</si>
  <si>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</si>
  <si>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</si>
  <si>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</si>
  <si>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</si>
  <si>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</si>
  <si>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</si>
  <si>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</si>
  <si>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</si>
  <si>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</si>
  <si>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</si>
  <si>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</si>
  <si>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</si>
  <si>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</si>
  <si>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</si>
  <si>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</si>
  <si>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</si>
  <si>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</si>
  <si>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</si>
  <si>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</si>
  <si>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</si>
  <si>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</si>
  <si>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</si>
  <si>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</si>
  <si>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</si>
  <si>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</si>
  <si>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</si>
  <si>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</si>
  <si>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</si>
  <si>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</si>
  <si>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</si>
  <si>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</si>
  <si>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</si>
  <si>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</si>
  <si>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</si>
  <si>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</si>
  <si>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</si>
  <si>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</si>
  <si>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</si>
  <si>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</si>
  <si>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</si>
  <si>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</si>
  <si>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</si>
  <si>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</si>
  <si>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</si>
  <si>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</si>
  <si>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</si>
  <si>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</si>
  <si>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</si>
  <si>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</si>
  <si>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</si>
  <si>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</si>
  <si>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</si>
  <si>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</si>
  <si>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</si>
  <si>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</si>
  <si>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</si>
  <si>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</si>
  <si>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</si>
  <si>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</si>
  <si>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</si>
  <si>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</si>
  <si>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</si>
  <si>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</si>
  <si>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</si>
  <si>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</si>
  <si>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</si>
  <si>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</si>
  <si>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</si>
  <si>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</si>
  <si>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</si>
  <si>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</si>
  <si>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</si>
  <si>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</si>
  <si>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</si>
  <si>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</si>
  <si>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</si>
  <si>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</si>
  <si>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</si>
  <si>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</si>
  <si>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</si>
  <si>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</si>
  <si>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</si>
  <si>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</si>
  <si>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</si>
  <si>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</si>
  <si>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</si>
  <si>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</si>
  <si>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</si>
  <si>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</si>
  <si>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</si>
  <si>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</si>
  <si>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</si>
  <si>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</si>
  <si>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</si>
  <si>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</si>
  <si>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</si>
  <si>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</si>
  <si>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</si>
  <si>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</si>
  <si>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</si>
  <si>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</si>
  <si>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</si>
  <si>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</si>
  <si>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</si>
  <si>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</si>
  <si>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</si>
  <si>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</si>
  <si>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</si>
  <si>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</si>
  <si>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</si>
  <si>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</si>
  <si>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</si>
  <si>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</si>
  <si>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</si>
  <si>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</si>
  <si>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</si>
  <si>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</si>
  <si>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</si>
  <si>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</si>
  <si>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</si>
  <si>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</si>
  <si>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</si>
  <si>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</si>
  <si>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</si>
  <si>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</si>
  <si>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</si>
  <si>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</si>
  <si>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</si>
  <si>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</si>
  <si>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</si>
  <si>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</si>
  <si>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</si>
  <si>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</si>
  <si>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</si>
  <si>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</si>
  <si>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</si>
  <si>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</si>
  <si>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</si>
  <si>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</si>
  <si>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</si>
  <si>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</si>
  <si>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</si>
  <si>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</si>
  <si>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</si>
  <si>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</si>
  <si>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</si>
  <si>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</si>
  <si>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</si>
  <si>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</si>
  <si>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</si>
  <si>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</si>
  <si>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</si>
  <si>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</si>
  <si>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</si>
  <si>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</si>
  <si>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</si>
  <si>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</si>
  <si>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</si>
  <si>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</si>
  <si>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</si>
  <si>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</si>
  <si>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</si>
  <si>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</si>
  <si>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</si>
  <si>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</si>
  <si>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</si>
  <si>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</si>
  <si>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</si>
  <si>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</si>
  <si>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</si>
  <si>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</si>
  <si>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</si>
  <si>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</si>
  <si>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</si>
  <si>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</si>
  <si>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</si>
  <si>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</si>
  <si>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</si>
  <si>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</si>
  <si>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</si>
  <si>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</si>
  <si>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</si>
  <si>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</si>
  <si>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</si>
  <si>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</si>
  <si>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</si>
  <si>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</si>
  <si>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</si>
  <si>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</si>
  <si>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</si>
  <si>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</si>
  <si>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</si>
  <si>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</si>
  <si>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</si>
  <si>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</si>
  <si>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</si>
  <si>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</si>
  <si>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</si>
  <si>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</si>
  <si>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</si>
  <si>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</si>
  <si>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</si>
  <si>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</si>
  <si>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</si>
  <si>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</si>
  <si>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</si>
  <si>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</si>
  <si>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</si>
  <si>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</si>
  <si>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</si>
  <si>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</si>
  <si>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</si>
  <si>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</si>
  <si>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</si>
  <si>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</si>
  <si>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</si>
  <si>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</si>
  <si>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</si>
  <si>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</si>
  <si>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</si>
  <si>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</si>
  <si>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</si>
  <si>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</si>
  <si>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</si>
  <si>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</si>
  <si>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</si>
  <si>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</si>
  <si>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</si>
  <si>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</si>
  <si>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</si>
  <si>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</si>
  <si>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</si>
  <si>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</si>
  <si>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</si>
  <si>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</si>
  <si>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</si>
  <si>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Base para la elaboración</t>
  </si>
  <si>
    <t>template_label_b2_practices_policies_and_future_initiatives_for_transitioning_towards_a_more_sustainable_economy_validation</t>
  </si>
  <si>
    <t>B2 - Practices, policies and future initiatives for transitioning towards a more sustainable economy</t>
  </si>
  <si>
    <t>B2 — Praktijken, beleid en toekomstige initiatieven voor de transitie naar een duurzamere economie</t>
  </si>
  <si>
    <t>B2 – Pratiques, politiques et initiatives futures en vue de la transition vers une économie plus durable</t>
  </si>
  <si>
    <t>B2 – Praktyki, polityki i przyszłe inicjatywy na rzecz przejścia na bardziej zrównoważoną gospodarkę</t>
  </si>
  <si>
    <t>B2 — Práticas, políticas e iniciativas futuras para a transição para uma economia mais sustentável</t>
  </si>
  <si>
    <t>B2 – Prácticas, políticas e iniciativas futuras para la transición hacia una economía más sostenible</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</si>
  <si>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</si>
  <si>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</si>
  <si>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</si>
  <si>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</si>
  <si>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</si>
  <si>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</si>
  <si>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</si>
  <si>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</si>
  <si>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</si>
  <si>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</si>
  <si>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</si>
  <si>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</si>
  <si>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</si>
  <si>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</si>
  <si>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</si>
  <si>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</si>
  <si>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</si>
  <si>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</si>
  <si>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</si>
  <si>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</si>
  <si>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</si>
  <si>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</si>
  <si>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</si>
  <si>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</si>
  <si>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</si>
  <si>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</si>
  <si>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</si>
  <si>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</si>
  <si>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</si>
  <si>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</si>
  <si>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</si>
  <si>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</si>
  <si>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</si>
  <si>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</si>
  <si>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</si>
  <si>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</si>
  <si>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</si>
  <si>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</si>
  <si>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</si>
  <si>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</si>
  <si>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</si>
  <si>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</si>
  <si>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</si>
  <si>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</si>
  <si>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</si>
  <si>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</si>
  <si>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</si>
  <si>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Biodiversidad</t>
  </si>
  <si>
    <t>template_label_b6_water_validation</t>
  </si>
  <si>
    <t>B6 - Water</t>
  </si>
  <si>
    <t>B6 – Vand</t>
  </si>
  <si>
    <t>B6 — Water</t>
  </si>
  <si>
    <t>B6 – Eau</t>
  </si>
  <si>
    <t>B6 - Wasser</t>
  </si>
  <si>
    <t>B6 - Uisce</t>
  </si>
  <si>
    <t>B6 –   Acque</t>
  </si>
  <si>
    <t>B6 – Vanduo</t>
  </si>
  <si>
    <t>B6 – Woda</t>
  </si>
  <si>
    <t>B6 – Água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</si>
  <si>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</si>
  <si>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</si>
  <si>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</si>
  <si>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</si>
  <si>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</si>
  <si>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</si>
  <si>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</si>
  <si>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</si>
  <si>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</si>
  <si>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</si>
  <si>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</si>
  <si>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</si>
  <si>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</si>
  <si>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</si>
  <si>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</si>
  <si>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</si>
  <si>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</si>
  <si>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</si>
  <si>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</si>
  <si>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</si>
  <si>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</si>
  <si>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</si>
  <si>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</si>
  <si>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</si>
  <si>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</si>
  <si>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</si>
  <si>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</si>
  <si>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</si>
  <si>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</si>
  <si>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</si>
  <si>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</si>
  <si>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</si>
  <si>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</si>
  <si>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</si>
  <si>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</si>
  <si>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</si>
  <si>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</si>
  <si>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</si>
  <si>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</si>
  <si>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</si>
  <si>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</si>
  <si>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</si>
  <si>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</si>
  <si>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</si>
  <si>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</si>
  <si>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</si>
  <si>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</si>
  <si>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</si>
  <si>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</si>
  <si>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</si>
  <si>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</si>
  <si>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</si>
  <si>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</si>
  <si>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</si>
  <si>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</si>
  <si>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</si>
  <si>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</si>
  <si>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</si>
  <si>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</si>
  <si>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</si>
  <si>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</si>
  <si>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</si>
  <si>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</si>
  <si>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</si>
  <si>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</si>
  <si>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</si>
  <si>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</si>
  <si>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</si>
  <si>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</si>
  <si>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</si>
  <si>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</si>
  <si>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</si>
  <si>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</si>
  <si>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</si>
  <si>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</si>
  <si>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</si>
  <si>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</si>
  <si>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</si>
  <si>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</si>
  <si>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</si>
  <si>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</si>
  <si>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</si>
  <si>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</si>
  <si>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</si>
  <si>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</si>
  <si>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</si>
  <si>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</si>
  <si>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</si>
  <si>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</si>
  <si>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</si>
  <si>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</si>
  <si>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</si>
  <si>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</si>
  <si>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</si>
  <si>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</si>
  <si>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</si>
  <si>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</si>
  <si>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</si>
  <si>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</si>
  <si>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</si>
  <si>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</si>
  <si>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</si>
  <si>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</si>
  <si>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</si>
  <si>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</si>
  <si>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</si>
  <si>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</si>
  <si>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</si>
  <si>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</si>
  <si>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</si>
  <si>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</si>
  <si>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</si>
  <si>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</si>
  <si>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</si>
  <si>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</si>
  <si>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</si>
  <si>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</si>
  <si>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</si>
  <si>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</si>
  <si>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</si>
  <si>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</si>
  <si>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</si>
  <si>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</si>
  <si>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</si>
  <si>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</si>
  <si>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</si>
  <si>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</si>
  <si>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</si>
  <si>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</si>
  <si>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</si>
  <si>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</si>
  <si>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</si>
  <si>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</si>
  <si>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</si>
  <si>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</si>
  <si>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</si>
  <si>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</si>
  <si>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</si>
  <si>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</si>
  <si>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</si>
  <si>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</si>
  <si>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</si>
  <si>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</si>
  <si>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</si>
  <si>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</si>
  <si>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</si>
  <si>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</si>
  <si>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</si>
  <si>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</si>
  <si>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</si>
  <si>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</si>
  <si>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</si>
  <si>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</si>
  <si>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</si>
  <si>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</si>
  <si>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</si>
  <si>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</si>
  <si>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</si>
  <si>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</si>
  <si>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</si>
  <si>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</si>
  <si>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</si>
  <si>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</si>
  <si>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</si>
  <si>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</si>
  <si>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</si>
  <si>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</si>
  <si>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</si>
  <si>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</si>
  <si>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</si>
  <si>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</si>
  <si>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</si>
  <si>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</si>
  <si>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</si>
  <si>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</si>
  <si>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</si>
  <si>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</si>
  <si>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</si>
  <si>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</si>
  <si>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</si>
  <si>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</si>
  <si>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</si>
  <si>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</si>
  <si>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</si>
  <si>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</si>
  <si>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</si>
  <si>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</si>
  <si>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</si>
  <si>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</si>
  <si>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</si>
  <si>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</si>
  <si>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</si>
  <si>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</si>
  <si>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</si>
  <si>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</si>
  <si>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</si>
  <si>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</si>
  <si>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</si>
  <si>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</si>
  <si>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</si>
  <si>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</si>
  <si>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</si>
  <si>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</si>
  <si>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</si>
  <si>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</si>
  <si>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</si>
  <si>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</si>
  <si>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</si>
  <si>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</si>
  <si>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</si>
  <si>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</si>
  <si>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</si>
  <si>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</si>
  <si>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</si>
  <si>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</si>
  <si>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</si>
  <si>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</si>
  <si>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</si>
  <si>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</si>
  <si>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</si>
  <si>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</si>
  <si>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</si>
  <si>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</si>
  <si>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</si>
  <si>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</si>
  <si>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</si>
  <si>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</si>
  <si>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</si>
  <si>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</si>
  <si>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</si>
  <si>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</si>
  <si>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Referencia al párrafo de la Guía</t>
  </si>
  <si>
    <t>template_label_from</t>
  </si>
  <si>
    <t>from</t>
  </si>
  <si>
    <t>fra</t>
  </si>
  <si>
    <t>van</t>
  </si>
  <si>
    <t>du</t>
  </si>
  <si>
    <t>vom</t>
  </si>
  <si>
    <t>ó</t>
  </si>
  <si>
    <t>iš</t>
  </si>
  <si>
    <t>z</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</si>
  <si>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</si>
  <si>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</si>
  <si>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</si>
  <si>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</si>
  <si>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</si>
  <si>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</si>
  <si>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</si>
  <si>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</si>
  <si>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</si>
  <si>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</si>
  <si>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</si>
  <si>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</si>
  <si>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</si>
  <si>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</si>
  <si>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</si>
  <si>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</si>
  <si>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</si>
  <si>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</si>
  <si>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</si>
  <si>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</si>
  <si>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</si>
  <si>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</si>
  <si>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</si>
  <si>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</si>
  <si>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</si>
  <si>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</si>
  <si>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</si>
  <si>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</si>
  <si>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</si>
  <si>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</si>
  <si>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</si>
  <si>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</si>
  <si>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</si>
  <si>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</si>
  <si>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</si>
  <si>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</si>
  <si>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</si>
  <si>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</si>
  <si>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</si>
  <si>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</si>
  <si>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</si>
  <si>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</si>
  <si>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</si>
  <si>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</si>
  <si>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</si>
  <si>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</si>
  <si>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</si>
  <si>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</si>
  <si>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</si>
  <si>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</si>
  <si>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</si>
  <si>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</si>
  <si>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</si>
  <si>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</si>
  <si>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</si>
  <si>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</si>
  <si>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</si>
  <si>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</si>
  <si>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</si>
  <si>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</si>
  <si>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</si>
  <si>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</si>
  <si>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</si>
  <si>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</si>
  <si>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</si>
  <si>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</si>
  <si>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</si>
  <si>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</si>
  <si>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</si>
  <si>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</si>
  <si>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</si>
  <si>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</si>
  <si>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</si>
  <si>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</si>
  <si>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</si>
  <si>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</si>
  <si>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</si>
  <si>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</si>
  <si>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</si>
  <si>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</si>
  <si>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</si>
  <si>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</si>
  <si>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</si>
  <si>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</si>
  <si>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</si>
  <si>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</si>
  <si>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</si>
  <si>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</si>
  <si>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</si>
  <si>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</si>
  <si>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</si>
  <si>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</si>
  <si>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</si>
  <si>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</si>
  <si>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</si>
  <si>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</si>
  <si>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</si>
  <si>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</si>
  <si>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</si>
  <si>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</si>
  <si>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</si>
  <si>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</si>
  <si>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</si>
  <si>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</si>
  <si>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</si>
  <si>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</si>
  <si>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</si>
  <si>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</si>
  <si>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</si>
  <si>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</si>
  <si>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</si>
  <si>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</si>
  <si>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</si>
  <si>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</si>
  <si>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</si>
  <si>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</si>
  <si>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</si>
  <si>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</si>
  <si>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</si>
  <si>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</si>
  <si>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</si>
  <si>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</si>
  <si>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</si>
  <si>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</si>
  <si>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</si>
  <si>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</si>
  <si>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</si>
  <si>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</si>
  <si>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</si>
  <si>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</si>
  <si>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</si>
  <si>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</si>
  <si>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</si>
  <si>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</si>
  <si>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</si>
  <si>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</si>
  <si>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</si>
  <si>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</si>
  <si>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</si>
  <si>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</si>
  <si>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</si>
  <si>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</si>
  <si>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</si>
  <si>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</si>
  <si>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</si>
  <si>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</si>
  <si>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</si>
  <si>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</si>
  <si>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</si>
  <si>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</si>
  <si>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</si>
  <si>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</si>
  <si>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</si>
  <si>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</si>
  <si>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</si>
  <si>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</si>
  <si>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</si>
  <si>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</si>
  <si>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</si>
  <si>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</si>
  <si>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</si>
  <si>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</si>
  <si>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</si>
  <si>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</si>
  <si>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</si>
  <si>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</si>
  <si>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</si>
  <si>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</si>
  <si>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</si>
  <si>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</si>
  <si>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</si>
  <si>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</si>
  <si>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</si>
  <si>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</si>
  <si>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</si>
  <si>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</si>
  <si>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</si>
  <si>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</si>
  <si>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</si>
  <si>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</si>
  <si>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</si>
  <si>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</si>
  <si>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</si>
  <si>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</si>
  <si>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</si>
  <si>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</si>
  <si>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</si>
  <si>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</si>
  <si>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</si>
  <si>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</si>
  <si>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</si>
  <si>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</si>
  <si>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</si>
  <si>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</si>
  <si>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</si>
  <si>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</si>
  <si>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</si>
  <si>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</si>
  <si>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</si>
  <si>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</si>
  <si>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</si>
  <si>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</si>
  <si>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</si>
  <si>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</si>
  <si>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</si>
  <si>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</si>
  <si>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</si>
  <si>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</si>
  <si>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</si>
  <si>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</si>
  <si>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</si>
  <si>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</si>
  <si>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</si>
  <si>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</si>
  <si>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</si>
  <si>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</si>
  <si>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</si>
  <si>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</si>
  <si>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</si>
  <si>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</si>
  <si>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</si>
  <si>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</si>
  <si>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</si>
  <si>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</si>
  <si>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</si>
  <si>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</si>
  <si>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</si>
  <si>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</si>
  <si>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</si>
  <si>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</si>
  <si>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</si>
  <si>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</si>
  <si>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</si>
  <si>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</si>
  <si>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</si>
  <si>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</si>
  <si>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</si>
  <si>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</si>
  <si>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</si>
  <si>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</si>
  <si>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</si>
  <si>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</si>
  <si>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</si>
  <si>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</si>
  <si>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</si>
  <si>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</si>
  <si>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</si>
  <si>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</si>
  <si>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</si>
  <si>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</si>
  <si>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</si>
  <si>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</si>
  <si>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</si>
  <si>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</si>
  <si>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</si>
  <si>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</si>
  <si>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</si>
  <si>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</si>
  <si>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</si>
  <si>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</si>
  <si>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</si>
  <si>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</si>
  <si>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</si>
  <si>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</si>
  <si>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</si>
  <si>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</si>
  <si>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</si>
  <si>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</si>
  <si>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</si>
  <si>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</si>
  <si>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</si>
  <si>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</si>
  <si>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</si>
  <si>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</si>
  <si>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</si>
  <si>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</si>
  <si>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</si>
  <si>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</si>
  <si>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</si>
  <si>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</si>
  <si>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</si>
  <si>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</si>
  <si>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</si>
  <si>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</si>
  <si>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</si>
  <si>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</si>
  <si>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</si>
  <si>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</si>
  <si>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</si>
  <si>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</si>
  <si>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</si>
  <si>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</si>
  <si>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</si>
  <si>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</si>
  <si>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</si>
  <si>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</si>
  <si>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</si>
  <si>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</si>
  <si>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</si>
  <si>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</si>
  <si>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</si>
  <si>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</si>
  <si>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</si>
  <si>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</si>
  <si>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</si>
  <si>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</si>
  <si>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</si>
  <si>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</si>
  <si>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</si>
  <si>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</si>
  <si>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</si>
  <si>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</si>
  <si>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</si>
  <si>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</si>
  <si>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</si>
  <si>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</si>
  <si>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</si>
  <si>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</si>
  <si>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</si>
  <si>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</si>
  <si>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</si>
  <si>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</si>
  <si>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</si>
  <si>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</si>
  <si>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</si>
  <si>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</si>
  <si>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</si>
  <si>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</si>
  <si>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</si>
  <si>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</si>
  <si>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</si>
  <si>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</si>
  <si>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</si>
  <si>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</si>
  <si>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</si>
  <si>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</si>
  <si>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</si>
  <si>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</si>
  <si>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</si>
  <si>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</si>
  <si>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</si>
  <si>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</si>
  <si>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</si>
  <si>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</si>
  <si>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</si>
  <si>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</si>
  <si>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</si>
  <si>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</si>
  <si>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</si>
  <si>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</si>
  <si>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</si>
  <si>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</si>
  <si>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</si>
  <si>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</si>
  <si>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</si>
  <si>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</si>
  <si>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</si>
  <si>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</si>
  <si>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</si>
  <si>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</si>
  <si>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</si>
  <si>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</si>
  <si>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</si>
  <si>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</si>
  <si>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</si>
  <si>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</si>
  <si>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</si>
  <si>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</si>
  <si>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</si>
  <si>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</si>
  <si>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</si>
  <si>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</si>
  <si>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</si>
  <si>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</si>
  <si>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</si>
  <si>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</si>
  <si>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</si>
  <si>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</si>
  <si>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</si>
  <si>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</si>
  <si>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</si>
  <si>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</si>
  <si>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</si>
  <si>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</si>
  <si>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</si>
  <si>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</si>
  <si>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</si>
  <si>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</si>
  <si>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</si>
  <si>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</si>
  <si>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</si>
  <si>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</si>
  <si>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</si>
  <si>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</si>
  <si>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</si>
  <si>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</si>
  <si>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</si>
  <si>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</si>
  <si>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</si>
  <si>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</si>
  <si>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</si>
  <si>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</si>
  <si>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</si>
  <si>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</si>
  <si>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</si>
  <si>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</si>
  <si>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</si>
  <si>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</si>
  <si>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</si>
  <si>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</si>
  <si>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</si>
  <si>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</si>
  <si>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</si>
  <si>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</si>
  <si>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</si>
  <si>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</si>
  <si>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</si>
  <si>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</si>
  <si>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</si>
  <si>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</si>
  <si>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</si>
  <si>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</si>
  <si>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</si>
  <si>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</si>
  <si>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</si>
  <si>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</si>
  <si>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</si>
  <si>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</si>
  <si>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</si>
  <si>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</si>
  <si>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</si>
  <si>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</si>
  <si>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</si>
  <si>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</si>
  <si>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</si>
  <si>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</si>
  <si>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</si>
  <si>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</si>
  <si>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</si>
  <si>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</si>
  <si>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</si>
  <si>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</si>
  <si>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</si>
  <si>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</si>
  <si>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</si>
  <si>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</si>
  <si>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</si>
  <si>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</si>
  <si>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</si>
  <si>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</si>
  <si>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</si>
  <si>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</si>
  <si>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</si>
  <si>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</si>
  <si>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</si>
  <si>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</si>
  <si>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</si>
  <si>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Lista de filiales</t>
  </si>
  <si>
    <t>template_label_id</t>
  </si>
  <si>
    <t>ID</t>
  </si>
  <si>
    <t>Nr.</t>
  </si>
  <si>
    <t>Aitheantas</t>
  </si>
  <si>
    <t>template_label_name</t>
  </si>
  <si>
    <t>Name</t>
  </si>
  <si>
    <t>Navn</t>
  </si>
  <si>
    <t>Naam</t>
  </si>
  <si>
    <t>Nom</t>
  </si>
  <si>
    <t>Ainm</t>
  </si>
  <si>
    <t>Nome</t>
  </si>
  <si>
    <t>Pavadinimas</t>
  </si>
  <si>
    <t>Nazwa</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</si>
  <si>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</si>
  <si>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</si>
  <si>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</si>
  <si>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</si>
  <si>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</si>
  <si>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</si>
  <si>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</si>
  <si>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</si>
  <si>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</si>
  <si>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</si>
  <si>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</si>
  <si>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</si>
  <si>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</si>
  <si>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</si>
  <si>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</si>
  <si>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</si>
  <si>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</si>
  <si>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</si>
  <si>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</si>
  <si>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</si>
  <si>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</si>
  <si>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</si>
  <si>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</si>
  <si>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</si>
  <si>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</si>
  <si>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</si>
  <si>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</si>
  <si>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</si>
  <si>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</si>
  <si>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</si>
  <si>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</si>
  <si>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</si>
  <si>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</si>
  <si>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</si>
  <si>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</si>
  <si>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</si>
  <si>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</si>
  <si>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</si>
  <si>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</si>
  <si>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</si>
  <si>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</si>
  <si>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</si>
  <si>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</si>
  <si>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</si>
  <si>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</si>
  <si>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</si>
  <si>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</si>
  <si>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</si>
  <si>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</si>
  <si>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</si>
  <si>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</si>
  <si>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</si>
  <si>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</si>
  <si>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</si>
  <si>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</si>
  <si>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</si>
  <si>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</si>
  <si>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</si>
  <si>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</si>
  <si>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</si>
  <si>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Listado de emplazamiento(s)</t>
  </si>
  <si>
    <t>template_label_address</t>
  </si>
  <si>
    <t>Address</t>
  </si>
  <si>
    <t>Adresse</t>
  </si>
  <si>
    <t>Adres</t>
  </si>
  <si>
    <t>Seoladh</t>
  </si>
  <si>
    <t>Indirizzo</t>
  </si>
  <si>
    <t>Adresas</t>
  </si>
  <si>
    <t>Morada</t>
  </si>
  <si>
    <t>Dirección</t>
  </si>
  <si>
    <t>template_label_postal_code</t>
  </si>
  <si>
    <t>Postal code</t>
  </si>
  <si>
    <t>Postnummer</t>
  </si>
  <si>
    <t>Postcode</t>
  </si>
  <si>
    <t>Code postal</t>
  </si>
  <si>
    <t>Postleitzahl</t>
  </si>
  <si>
    <t>Cód poist / Éirchód</t>
  </si>
  <si>
    <t>Codice postale</t>
  </si>
  <si>
    <t>Pašto kodas</t>
  </si>
  <si>
    <t>Kod pocztowy</t>
  </si>
  <si>
    <t>Código postal</t>
  </si>
  <si>
    <t>template_label_city</t>
  </si>
  <si>
    <t>City</t>
  </si>
  <si>
    <t>By</t>
  </si>
  <si>
    <t>Stad</t>
  </si>
  <si>
    <t>Ville</t>
  </si>
  <si>
    <t xml:space="preserve">Stadt
</t>
  </si>
  <si>
    <t>Cathair</t>
  </si>
  <si>
    <t>Città</t>
  </si>
  <si>
    <t xml:space="preserve">Miestas
</t>
  </si>
  <si>
    <t>Miasto</t>
  </si>
  <si>
    <t>Cidade</t>
  </si>
  <si>
    <t>Ciudad</t>
  </si>
  <si>
    <t>template_label_country</t>
  </si>
  <si>
    <t>Country</t>
  </si>
  <si>
    <t>Land</t>
  </si>
  <si>
    <t>Pays</t>
  </si>
  <si>
    <t>Tír</t>
  </si>
  <si>
    <t>Paese</t>
  </si>
  <si>
    <t>Šalis</t>
  </si>
  <si>
    <t>Kraj</t>
  </si>
  <si>
    <t>País</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</si>
  <si>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</si>
  <si>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</si>
  <si>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</si>
  <si>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</si>
  <si>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</si>
  <si>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</si>
  <si>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</si>
  <si>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</si>
  <si>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</si>
  <si>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</si>
  <si>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</si>
  <si>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</si>
  <si>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</si>
  <si>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</si>
  <si>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</si>
  <si>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</si>
  <si>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</si>
  <si>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</si>
  <si>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</si>
  <si>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</si>
  <si>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</si>
  <si>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</si>
  <si>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</si>
  <si>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</si>
  <si>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</si>
  <si>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</si>
  <si>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</si>
  <si>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</si>
  <si>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</si>
  <si>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</si>
  <si>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</si>
  <si>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</si>
  <si>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</si>
  <si>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</si>
  <si>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</si>
  <si>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</si>
  <si>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</si>
  <si>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</si>
  <si>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</si>
  <si>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</si>
  <si>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</si>
  <si>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</si>
  <si>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</si>
  <si>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</si>
  <si>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</si>
  <si>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</si>
  <si>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</si>
  <si>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</si>
  <si>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</si>
  <si>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</si>
  <si>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</si>
  <si>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</si>
  <si>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</si>
  <si>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</si>
  <si>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</si>
  <si>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</si>
  <si>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</si>
  <si>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</si>
  <si>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</si>
  <si>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</si>
  <si>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</si>
  <si>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</si>
  <si>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</si>
  <si>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</si>
  <si>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</si>
  <si>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</si>
  <si>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</si>
  <si>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</si>
  <si>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</si>
  <si>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</si>
  <si>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</si>
  <si>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</si>
  <si>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</si>
  <si>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</si>
  <si>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</si>
  <si>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</si>
  <si>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</si>
  <si>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</si>
  <si>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</si>
  <si>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</si>
  <si>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</si>
  <si>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</si>
  <si>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</si>
  <si>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</si>
  <si>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</si>
  <si>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</si>
  <si>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</si>
  <si>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</si>
  <si>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Cambio climático</t>
  </si>
  <si>
    <t>template_label_pollution</t>
  </si>
  <si>
    <t xml:space="preserve">Forurening </t>
  </si>
  <si>
    <t>Verontreiniging</t>
  </si>
  <si>
    <t>Umweltverschmutzung</t>
  </si>
  <si>
    <t>Truailliú</t>
  </si>
  <si>
    <t>Inquinamento</t>
  </si>
  <si>
    <t>Tarša</t>
  </si>
  <si>
    <t>Zanieczyszczenie</t>
  </si>
  <si>
    <t>Poluição</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</si>
  <si>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</si>
  <si>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</si>
  <si>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</si>
  <si>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</si>
  <si>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</si>
  <si>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</si>
  <si>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</si>
  <si>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</si>
  <si>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</si>
  <si>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</si>
  <si>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</si>
  <si>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</si>
  <si>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</si>
  <si>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</si>
  <si>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</si>
  <si>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</si>
  <si>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</si>
  <si>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</si>
  <si>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</si>
  <si>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</si>
  <si>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</si>
  <si>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</si>
  <si>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</si>
  <si>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</si>
  <si>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</si>
  <si>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</si>
  <si>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</si>
  <si>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</si>
  <si>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</si>
  <si>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</si>
  <si>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</si>
  <si>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</si>
  <si>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</si>
  <si>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</si>
  <si>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</si>
  <si>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</si>
  <si>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</si>
  <si>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</si>
  <si>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</si>
  <si>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</si>
  <si>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</si>
  <si>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</si>
  <si>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</si>
  <si>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</si>
  <si>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</si>
  <si>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</si>
  <si>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</si>
  <si>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</si>
  <si>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</si>
  <si>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</si>
  <si>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</si>
  <si>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</si>
  <si>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</si>
  <si>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</si>
  <si>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</si>
  <si>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</si>
  <si>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</si>
  <si>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</si>
  <si>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</si>
  <si>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</si>
  <si>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</si>
  <si>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</si>
  <si>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</si>
  <si>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</si>
  <si>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</si>
  <si>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</si>
  <si>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</si>
  <si>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</si>
  <si>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</si>
  <si>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</si>
  <si>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</si>
  <si>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</si>
  <si>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</si>
  <si>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</si>
  <si>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</si>
  <si>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</si>
  <si>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</si>
  <si>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</si>
  <si>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</si>
  <si>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</si>
  <si>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</si>
  <si>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</si>
  <si>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</si>
  <si>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</si>
  <si>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</si>
  <si>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</si>
  <si>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</si>
  <si>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</si>
  <si>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</si>
  <si>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</si>
  <si>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</si>
  <si>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</si>
  <si>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</si>
  <si>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</si>
  <si>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</si>
  <si>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</si>
  <si>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</si>
  <si>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</si>
  <si>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</si>
  <si>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</si>
  <si>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</si>
  <si>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</si>
  <si>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</si>
  <si>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</si>
  <si>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</si>
  <si>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</si>
  <si>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</si>
  <si>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</si>
  <si>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</si>
  <si>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</si>
  <si>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</si>
  <si>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</si>
  <si>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</si>
  <si>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</si>
  <si>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</si>
  <si>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</si>
  <si>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</si>
  <si>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</si>
  <si>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</si>
  <si>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</si>
  <si>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</si>
  <si>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</si>
  <si>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</si>
  <si>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</si>
  <si>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</si>
  <si>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</si>
  <si>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</si>
  <si>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</si>
  <si>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</si>
  <si>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</si>
  <si>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</si>
  <si>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</si>
  <si>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</si>
  <si>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</si>
  <si>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</si>
  <si>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</si>
  <si>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</si>
  <si>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</si>
  <si>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</si>
  <si>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</si>
  <si>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</si>
  <si>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</si>
  <si>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</si>
  <si>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</si>
  <si>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</si>
  <si>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</si>
  <si>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</si>
  <si>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</si>
  <si>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</si>
  <si>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</si>
  <si>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</si>
  <si>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</si>
  <si>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</si>
  <si>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</si>
  <si>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</si>
  <si>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</si>
  <si>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</si>
  <si>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</si>
  <si>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</si>
  <si>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</si>
  <si>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</si>
  <si>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</si>
  <si>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</si>
  <si>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</si>
  <si>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</si>
  <si>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</si>
  <si>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</si>
  <si>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</si>
  <si>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</si>
  <si>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</si>
  <si>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</si>
  <si>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</si>
  <si>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</si>
  <si>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</si>
  <si>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</si>
  <si>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</si>
  <si>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</si>
  <si>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</si>
  <si>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</si>
  <si>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</si>
  <si>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</si>
  <si>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</si>
  <si>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</si>
  <si>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</si>
  <si>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</si>
  <si>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</si>
  <si>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</si>
  <si>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</si>
  <si>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</si>
  <si>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</si>
  <si>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</si>
  <si>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</si>
  <si>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</si>
  <si>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</si>
  <si>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</si>
  <si>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</si>
  <si>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</si>
  <si>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</si>
  <si>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</si>
  <si>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</si>
  <si>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</si>
  <si>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</si>
  <si>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</si>
  <si>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</si>
  <si>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</si>
  <si>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</si>
  <si>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</si>
  <si>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</si>
  <si>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</si>
  <si>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</si>
  <si>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</si>
  <si>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</si>
  <si>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</si>
  <si>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</si>
  <si>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</si>
  <si>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</si>
  <si>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</si>
  <si>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</si>
  <si>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</si>
  <si>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</si>
  <si>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</si>
  <si>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</si>
  <si>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</si>
  <si>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</si>
  <si>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</si>
  <si>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</si>
  <si>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</si>
  <si>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</si>
  <si>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</si>
  <si>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</si>
  <si>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</si>
  <si>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</si>
  <si>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</si>
  <si>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</si>
  <si>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</si>
  <si>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</si>
  <si>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</si>
  <si>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</si>
  <si>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</si>
  <si>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</si>
  <si>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</si>
  <si>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</si>
  <si>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</si>
  <si>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</si>
  <si>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</si>
  <si>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</si>
  <si>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</si>
  <si>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</si>
  <si>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</si>
  <si>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Descripción de aquellos elementos clave en la estrategia que se relacionan o afecten a cuestiones de sostenibilidad</t>
  </si>
  <si>
    <t>template_label_disclosure_of_any_other_general_and_or_entity_specific_information_on_the_reporting_period</t>
  </si>
  <si>
    <t>Disclosure of any other general and/or entity specific information on the reporting period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</si>
  <si>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</si>
  <si>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</si>
  <si>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</si>
  <si>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</si>
  <si>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</si>
  <si>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</si>
  <si>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</si>
  <si>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</si>
  <si>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</si>
  <si>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</si>
  <si>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</si>
  <si>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</si>
  <si>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</si>
  <si>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</si>
  <si>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</si>
  <si>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</si>
  <si>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</si>
  <si>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</si>
  <si>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</si>
  <si>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</si>
  <si>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</si>
  <si>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</si>
  <si>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</si>
  <si>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</si>
  <si>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</si>
  <si>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</si>
  <si>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</si>
  <si>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</si>
  <si>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</si>
  <si>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</si>
  <si>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</si>
  <si>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</si>
  <si>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</si>
  <si>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</si>
  <si>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</si>
  <si>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</si>
  <si>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</si>
  <si>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</si>
  <si>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</si>
  <si>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</si>
  <si>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</si>
  <si>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</si>
  <si>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</si>
  <si>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</si>
  <si>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</si>
  <si>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</si>
  <si>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</si>
  <si>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</si>
  <si>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</si>
  <si>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</si>
  <si>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</si>
  <si>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</si>
  <si>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</si>
  <si>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</si>
  <si>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</si>
  <si>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</si>
  <si>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</si>
  <si>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</si>
  <si>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</si>
  <si>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</si>
  <si>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</si>
  <si>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</si>
  <si>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</si>
  <si>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</si>
  <si>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</si>
  <si>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</si>
  <si>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</si>
  <si>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</si>
  <si>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</si>
  <si>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</si>
  <si>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</si>
  <si>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</si>
  <si>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</si>
  <si>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</si>
  <si>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</si>
  <si>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</si>
  <si>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</si>
  <si>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</si>
  <si>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</si>
  <si>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</si>
  <si>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</si>
  <si>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</si>
  <si>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</si>
  <si>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</si>
  <si>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</si>
  <si>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</si>
  <si>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</si>
  <si>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</si>
  <si>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</si>
  <si>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</si>
  <si>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</si>
  <si>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</si>
  <si>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</si>
  <si>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</si>
  <si>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</si>
  <si>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</si>
  <si>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</si>
  <si>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</si>
  <si>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</si>
  <si>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</si>
  <si>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</si>
  <si>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</si>
  <si>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</si>
  <si>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</si>
  <si>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</si>
  <si>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</si>
  <si>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</si>
  <si>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</si>
  <si>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</si>
  <si>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</si>
  <si>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</si>
  <si>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</si>
  <si>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</si>
  <si>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</si>
  <si>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</si>
  <si>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</si>
  <si>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</si>
  <si>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</si>
  <si>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</si>
  <si>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</si>
  <si>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</si>
  <si>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</si>
  <si>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</si>
  <si>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</si>
  <si>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</si>
  <si>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</si>
  <si>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</si>
  <si>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</si>
  <si>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</si>
  <si>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</si>
  <si>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</si>
  <si>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</si>
  <si>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</si>
  <si>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</si>
  <si>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</si>
  <si>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</si>
  <si>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</si>
  <si>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</si>
  <si>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</si>
  <si>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</si>
  <si>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</si>
  <si>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</si>
  <si>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</si>
  <si>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</si>
  <si>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</si>
  <si>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</si>
  <si>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</si>
  <si>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</si>
  <si>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</si>
  <si>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</si>
  <si>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</si>
  <si>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</si>
  <si>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</si>
  <si>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</si>
  <si>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</si>
  <si>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</si>
  <si>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</si>
  <si>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</si>
  <si>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</si>
  <si>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</si>
  <si>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</si>
  <si>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</si>
  <si>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</si>
  <si>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</si>
  <si>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</si>
  <si>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</si>
  <si>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</si>
  <si>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</si>
  <si>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</si>
  <si>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</si>
  <si>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</si>
  <si>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</si>
  <si>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</si>
  <si>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</si>
  <si>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</si>
  <si>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</si>
  <si>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</si>
  <si>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Año de referencia</t>
  </si>
  <si>
    <t>template_label_target_year</t>
  </si>
  <si>
    <t>Target Year</t>
  </si>
  <si>
    <t>Målår</t>
  </si>
  <si>
    <t>Doeljaar</t>
  </si>
  <si>
    <t>Année cible</t>
  </si>
  <si>
    <t>Zieljahr</t>
  </si>
  <si>
    <t>Spriocbhliain</t>
  </si>
  <si>
    <t>Anno-obiettivo</t>
  </si>
  <si>
    <t>Tiksliniai metai</t>
  </si>
  <si>
    <t>Rok docelowy</t>
  </si>
  <si>
    <t>Ano-alvo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</si>
  <si>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</si>
  <si>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</si>
  <si>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</si>
  <si>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</si>
  <si>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</si>
  <si>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</si>
  <si>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</si>
  <si>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</si>
  <si>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</si>
  <si>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</si>
  <si>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</si>
  <si>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</si>
  <si>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Reducción porcentual respecto al año base</t>
  </si>
  <si>
    <t>template_label_year_date</t>
  </si>
  <si>
    <t>Year (date)</t>
  </si>
  <si>
    <t>År (dato)</t>
  </si>
  <si>
    <t>Jaar (datum)</t>
  </si>
  <si>
    <t>Année (date)</t>
  </si>
  <si>
    <t>Jahr (Datum)</t>
  </si>
  <si>
    <t>Bliain (dáta)</t>
  </si>
  <si>
    <t>Anno (data)</t>
  </si>
  <si>
    <t>Metai (data)</t>
  </si>
  <si>
    <t>Rok (data)</t>
  </si>
  <si>
    <t>Ano (data)</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</si>
  <si>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</si>
  <si>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</si>
  <si>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</si>
  <si>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</si>
  <si>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</si>
  <si>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</si>
  <si>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</si>
  <si>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</si>
  <si>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</si>
  <si>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</si>
  <si>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</si>
  <si>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</si>
  <si>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</si>
  <si>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</si>
  <si>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</si>
  <si>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</si>
  <si>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</si>
  <si>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</si>
  <si>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</si>
  <si>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</si>
  <si>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</si>
  <si>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</si>
  <si>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</si>
  <si>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</si>
  <si>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</si>
  <si>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</si>
  <si>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</si>
  <si>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</si>
  <si>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</si>
  <si>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</si>
  <si>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</si>
  <si>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</si>
  <si>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</si>
  <si>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</si>
  <si>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</si>
  <si>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</si>
  <si>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</si>
  <si>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</si>
  <si>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</si>
  <si>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</si>
  <si>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</si>
  <si>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</si>
  <si>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</si>
  <si>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</si>
  <si>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</si>
  <si>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</si>
  <si>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</si>
  <si>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</si>
  <si>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</si>
  <si>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</si>
  <si>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</si>
  <si>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</si>
  <si>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</si>
  <si>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</si>
  <si>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</si>
  <si>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</si>
  <si>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</si>
  <si>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</si>
  <si>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</si>
  <si>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</si>
  <si>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</si>
  <si>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</si>
  <si>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</si>
  <si>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</si>
  <si>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</si>
  <si>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</si>
  <si>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</si>
  <si>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</si>
  <si>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</si>
  <si>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</si>
  <si>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</si>
  <si>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</si>
  <si>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</si>
  <si>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</si>
  <si>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</si>
  <si>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</si>
  <si>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</si>
  <si>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</si>
  <si>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</si>
  <si>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</si>
  <si>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</si>
  <si>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</si>
  <si>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</si>
  <si>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</si>
  <si>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</si>
  <si>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</si>
  <si>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</si>
  <si>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</si>
  <si>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</si>
  <si>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</si>
  <si>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</si>
  <si>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</si>
  <si>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</si>
  <si>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</si>
  <si>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</si>
  <si>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</si>
  <si>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</si>
  <si>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</si>
  <si>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</si>
  <si>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</si>
  <si>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</si>
  <si>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</si>
  <si>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</si>
  <si>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</si>
  <si>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</si>
  <si>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</si>
  <si>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</si>
  <si>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</si>
  <si>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</si>
  <si>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</si>
  <si>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</si>
  <si>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</si>
  <si>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</si>
  <si>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</si>
  <si>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</si>
  <si>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</si>
  <si>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</si>
  <si>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</si>
  <si>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</si>
  <si>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</si>
  <si>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</si>
  <si>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</si>
  <si>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</si>
  <si>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</si>
  <si>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</si>
  <si>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</si>
  <si>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</si>
  <si>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</si>
  <si>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</si>
  <si>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</si>
  <si>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</si>
  <si>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</si>
  <si>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</si>
  <si>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</si>
  <si>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</si>
  <si>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</si>
  <si>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</si>
  <si>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</si>
  <si>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</si>
  <si>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</si>
  <si>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</si>
  <si>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</si>
  <si>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</si>
  <si>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</si>
  <si>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</si>
  <si>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</si>
  <si>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</si>
  <si>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</si>
  <si>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</si>
  <si>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</si>
  <si>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</si>
  <si>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</si>
  <si>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</si>
  <si>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</si>
  <si>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</si>
  <si>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</si>
  <si>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</si>
  <si>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</si>
  <si>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</si>
  <si>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</si>
  <si>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</si>
  <si>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</si>
  <si>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</si>
  <si>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</si>
  <si>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</si>
  <si>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</si>
  <si>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</si>
  <si>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</si>
  <si>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</si>
  <si>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</si>
  <si>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</si>
  <si>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</si>
  <si>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</si>
  <si>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</si>
  <si>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</si>
  <si>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</si>
  <si>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</si>
  <si>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</si>
  <si>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</si>
  <si>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</si>
  <si>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</si>
  <si>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</si>
  <si>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</si>
  <si>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</si>
  <si>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</si>
  <si>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</si>
  <si>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</si>
  <si>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</si>
  <si>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</si>
  <si>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</si>
  <si>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</si>
  <si>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</si>
  <si>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</si>
  <si>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</si>
  <si>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</si>
  <si>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</si>
  <si>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</si>
  <si>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</si>
  <si>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</si>
  <si>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</si>
  <si>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</si>
  <si>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</si>
  <si>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</si>
  <si>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</si>
  <si>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</si>
  <si>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</si>
  <si>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</si>
  <si>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</si>
  <si>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</si>
  <si>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</si>
  <si>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</si>
  <si>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</si>
  <si>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</si>
  <si>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</si>
  <si>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</si>
  <si>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</si>
  <si>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</si>
  <si>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</si>
  <si>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</si>
  <si>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</si>
  <si>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</si>
  <si>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</si>
  <si>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</si>
  <si>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</si>
  <si>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</si>
  <si>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</si>
  <si>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</si>
  <si>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Activos arrendados aguas abajo</t>
  </si>
  <si>
    <t>template_label_14_franchises</t>
  </si>
  <si>
    <t>14. Franchises</t>
  </si>
  <si>
    <t>14. Franchiseaftaler</t>
  </si>
  <si>
    <t>14. Saincheadúnais</t>
  </si>
  <si>
    <t>14. Franchising</t>
  </si>
  <si>
    <t>14. Franšizės</t>
  </si>
  <si>
    <t>14. Franczyzy</t>
  </si>
  <si>
    <t>14. Franquias</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</si>
  <si>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</si>
  <si>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</si>
  <si>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</si>
  <si>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</si>
  <si>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</si>
  <si>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</si>
  <si>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</si>
  <si>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</si>
  <si>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</si>
  <si>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</si>
  <si>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</si>
  <si>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</si>
  <si>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</si>
  <si>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</si>
  <si>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</si>
  <si>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</si>
  <si>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</si>
  <si>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</si>
  <si>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</si>
  <si>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</si>
  <si>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</si>
  <si>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</si>
  <si>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</si>
  <si>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</si>
  <si>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</si>
  <si>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</si>
  <si>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</si>
  <si>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</si>
  <si>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</si>
  <si>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</si>
  <si>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</si>
  <si>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</si>
  <si>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</si>
  <si>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</si>
  <si>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</si>
  <si>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</si>
  <si>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</si>
  <si>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</si>
  <si>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</si>
  <si>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</si>
  <si>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</si>
  <si>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</si>
  <si>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</si>
  <si>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</si>
  <si>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</si>
  <si>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</si>
  <si>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</si>
  <si>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</si>
  <si>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</si>
  <si>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</si>
  <si>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</si>
  <si>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</si>
  <si>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</si>
  <si>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</si>
  <si>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</si>
  <si>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</si>
  <si>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</si>
  <si>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</si>
  <si>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</si>
  <si>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</si>
  <si>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</si>
  <si>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</si>
  <si>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</si>
  <si>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</si>
  <si>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</si>
  <si>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</si>
  <si>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</si>
  <si>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</si>
  <si>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</si>
  <si>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</si>
  <si>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</si>
  <si>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</si>
  <si>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</si>
  <si>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</si>
  <si>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</si>
  <si>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</si>
  <si>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</si>
  <si>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</si>
  <si>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</si>
  <si>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</si>
  <si>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</si>
  <si>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</si>
  <si>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</si>
  <si>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</si>
  <si>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</si>
  <si>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</si>
  <si>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</si>
  <si>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</si>
  <si>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</si>
  <si>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</si>
  <si>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</si>
  <si>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</si>
  <si>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</si>
  <si>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</si>
  <si>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</si>
  <si>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</si>
  <si>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</si>
  <si>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</si>
  <si>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</si>
  <si>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</si>
  <si>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</si>
  <si>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</si>
  <si>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</si>
  <si>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</si>
  <si>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</si>
  <si>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</si>
  <si>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</si>
  <si>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</si>
  <si>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</si>
  <si>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</si>
  <si>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</si>
  <si>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</si>
  <si>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</si>
  <si>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</si>
  <si>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</si>
  <si>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</si>
  <si>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</si>
  <si>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</si>
  <si>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</si>
  <si>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</si>
  <si>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</si>
  <si>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</si>
  <si>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</si>
  <si>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</si>
  <si>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</si>
  <si>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</si>
  <si>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</si>
  <si>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</si>
  <si>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</si>
  <si>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</si>
  <si>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</si>
  <si>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Año</t>
  </si>
  <si>
    <t>template_label_month</t>
  </si>
  <si>
    <t>Måned</t>
  </si>
  <si>
    <t>Maand</t>
  </si>
  <si>
    <t>Mois</t>
  </si>
  <si>
    <t>Monat</t>
  </si>
  <si>
    <t>Mí</t>
  </si>
  <si>
    <t>Mese</t>
  </si>
  <si>
    <t>Mėnuo</t>
  </si>
  <si>
    <t>Miesiąc</t>
  </si>
  <si>
    <t>Mês</t>
  </si>
  <si>
    <t>Mes</t>
  </si>
  <si>
    <t>template_label_day</t>
  </si>
  <si>
    <t>Day</t>
  </si>
  <si>
    <t>Dag</t>
  </si>
  <si>
    <t>Jour</t>
  </si>
  <si>
    <t>Tag</t>
  </si>
  <si>
    <t>Lá</t>
  </si>
  <si>
    <t>Giorno</t>
  </si>
  <si>
    <t>Diena</t>
  </si>
  <si>
    <t>Dzień</t>
  </si>
  <si>
    <t>Dia</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</si>
  <si>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</si>
  <si>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</si>
  <si>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</si>
  <si>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</si>
  <si>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</si>
  <si>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</si>
  <si>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</si>
  <si>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</si>
  <si>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</si>
  <si>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</si>
  <si>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</si>
  <si>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</si>
  <si>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</si>
  <si>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</si>
  <si>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</si>
  <si>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</si>
  <si>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</si>
  <si>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</si>
  <si>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</si>
  <si>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</si>
  <si>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</si>
  <si>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</si>
  <si>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</si>
  <si>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</si>
  <si>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</si>
  <si>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</si>
  <si>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</si>
  <si>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</si>
  <si>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</si>
  <si>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</si>
  <si>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</si>
  <si>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</si>
  <si>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</si>
  <si>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</si>
  <si>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</si>
  <si>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</si>
  <si>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</si>
  <si>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</si>
  <si>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</si>
  <si>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</si>
  <si>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</si>
  <si>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</si>
  <si>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</si>
  <si>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</si>
  <si>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</si>
  <si>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</si>
  <si>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</si>
  <si>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</si>
  <si>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</si>
  <si>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</si>
  <si>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</si>
  <si>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</si>
  <si>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</si>
  <si>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</si>
  <si>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</si>
  <si>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</si>
  <si>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</si>
  <si>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</si>
  <si>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</si>
  <si>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</si>
  <si>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</si>
  <si>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</si>
  <si>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</si>
  <si>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</si>
  <si>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</si>
  <si>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</si>
  <si>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</si>
  <si>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</si>
  <si>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</si>
  <si>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</si>
  <si>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</si>
  <si>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</si>
  <si>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</si>
  <si>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</si>
  <si>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</si>
  <si>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</si>
  <si>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</si>
  <si>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</si>
  <si>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</si>
  <si>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</si>
  <si>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</si>
  <si>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</si>
  <si>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</si>
  <si>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</si>
  <si>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</si>
  <si>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</si>
  <si>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</si>
  <si>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</si>
  <si>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</si>
  <si>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</si>
  <si>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</si>
  <si>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</si>
  <si>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</si>
  <si>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</si>
  <si>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</si>
  <si>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</si>
  <si>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</si>
  <si>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</si>
  <si>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</si>
  <si>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</si>
  <si>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</si>
  <si>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</si>
  <si>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</si>
  <si>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</si>
  <si>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</si>
  <si>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</si>
  <si>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</si>
  <si>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</si>
  <si>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</si>
  <si>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</si>
  <si>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</si>
  <si>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</si>
  <si>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</si>
  <si>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</si>
  <si>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</si>
  <si>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</si>
  <si>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</si>
  <si>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</si>
  <si>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</si>
  <si>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</si>
  <si>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</si>
  <si>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</si>
  <si>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</si>
  <si>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</si>
  <si>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</si>
  <si>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</si>
  <si>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</si>
  <si>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</si>
  <si>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</si>
  <si>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</si>
  <si>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</si>
  <si>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</si>
  <si>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</si>
  <si>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</si>
  <si>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</si>
  <si>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</si>
  <si>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</si>
  <si>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</si>
  <si>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</si>
  <si>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</si>
  <si>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</si>
  <si>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</si>
  <si>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</si>
  <si>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</si>
  <si>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</si>
  <si>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</si>
  <si>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</si>
  <si>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</si>
  <si>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</si>
  <si>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</si>
  <si>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</si>
  <si>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</si>
  <si>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</si>
  <si>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</si>
  <si>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</si>
  <si>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</si>
  <si>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</si>
  <si>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</si>
  <si>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</si>
  <si>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</si>
  <si>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</si>
  <si>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</si>
  <si>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</si>
  <si>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</si>
  <si>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</si>
  <si>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</si>
  <si>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</si>
  <si>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</si>
  <si>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</si>
  <si>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</si>
  <si>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</si>
  <si>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</si>
  <si>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</si>
  <si>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</si>
  <si>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</si>
  <si>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</si>
  <si>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</si>
  <si>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</si>
  <si>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</si>
  <si>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</si>
  <si>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</si>
  <si>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</si>
  <si>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</si>
  <si>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</si>
  <si>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</si>
  <si>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</si>
  <si>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</si>
  <si>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</si>
  <si>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</si>
  <si>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</si>
  <si>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</si>
  <si>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</si>
  <si>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</si>
  <si>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</si>
  <si>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</si>
  <si>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</si>
  <si>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</si>
  <si>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</si>
  <si>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</si>
  <si>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</si>
  <si>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</si>
  <si>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</si>
  <si>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</si>
  <si>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</si>
  <si>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</si>
  <si>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</si>
  <si>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</si>
  <si>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</si>
  <si>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</si>
  <si>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</si>
  <si>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</si>
  <si>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</si>
  <si>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</si>
  <si>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</si>
  <si>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</si>
  <si>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</si>
  <si>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</si>
  <si>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</si>
  <si>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</si>
  <si>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</si>
  <si>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</si>
  <si>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</si>
  <si>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</si>
  <si>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</si>
  <si>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</si>
  <si>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</si>
  <si>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</si>
  <si>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</si>
  <si>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</si>
  <si>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</si>
  <si>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</si>
  <si>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</si>
  <si>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</si>
  <si>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</si>
  <si>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</si>
  <si>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</si>
  <si>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</si>
  <si>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</si>
  <si>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</si>
  <si>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</si>
  <si>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</si>
  <si>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</si>
  <si>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</si>
  <si>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</si>
  <si>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</si>
  <si>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</si>
  <si>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</si>
  <si>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</si>
  <si>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</si>
  <si>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</si>
  <si>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</si>
  <si>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</si>
  <si>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</si>
  <si>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</si>
  <si>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</si>
  <si>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</si>
  <si>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</si>
  <si>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</si>
  <si>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</si>
  <si>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</si>
  <si>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</si>
  <si>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</si>
  <si>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</si>
  <si>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</si>
  <si>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</si>
  <si>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</si>
  <si>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</si>
  <si>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</si>
  <si>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</si>
  <si>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</si>
  <si>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</si>
  <si>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</si>
  <si>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</si>
  <si>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</si>
  <si>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</si>
  <si>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</si>
  <si>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</si>
  <si>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</si>
  <si>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</si>
  <si>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</si>
  <si>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</si>
  <si>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</si>
  <si>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</si>
  <si>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</si>
  <si>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</si>
  <si>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</si>
  <si>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</si>
  <si>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</si>
  <si>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</si>
  <si>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</si>
  <si>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</si>
  <si>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</si>
  <si>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</si>
  <si>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xml:space="preserve"> </t>
  </si>
  <si>
    <t>Tipo de uso do solo</t>
  </si>
  <si>
    <t>Tipo de uso de la tierra</t>
  </si>
  <si>
    <t>template_label_area</t>
  </si>
  <si>
    <t>Area</t>
  </si>
  <si>
    <t>Areal</t>
  </si>
  <si>
    <t>Gebied</t>
  </si>
  <si>
    <t>Zone</t>
  </si>
  <si>
    <t>Fläche</t>
  </si>
  <si>
    <t>Achar</t>
  </si>
  <si>
    <t>Superficie</t>
  </si>
  <si>
    <t>Plotas</t>
  </si>
  <si>
    <t>Powierzchnia</t>
  </si>
  <si>
    <t>Área</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</si>
  <si>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</si>
  <si>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</si>
  <si>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</si>
  <si>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</si>
  <si>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</si>
  <si>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</si>
  <si>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</si>
  <si>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</si>
  <si>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</si>
  <si>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</si>
  <si>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</si>
  <si>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</si>
  <si>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</si>
  <si>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</si>
  <si>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</si>
  <si>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</si>
  <si>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</si>
  <si>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</si>
  <si>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</si>
  <si>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</si>
  <si>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</si>
  <si>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</si>
  <si>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</si>
  <si>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</si>
  <si>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</si>
  <si>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</si>
  <si>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</si>
  <si>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</si>
  <si>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</si>
  <si>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</si>
  <si>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</si>
  <si>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</si>
  <si>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</si>
  <si>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</si>
  <si>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</si>
  <si>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</si>
  <si>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</si>
  <si>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</si>
  <si>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</si>
  <si>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</si>
  <si>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</si>
  <si>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</si>
  <si>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</si>
  <si>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</si>
  <si>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</si>
  <si>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</si>
  <si>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</si>
  <si>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Uso total de la tierra</t>
  </si>
  <si>
    <t>template_label_b6_water_withdrawal</t>
  </si>
  <si>
    <t>B6 - Water Withdrawal</t>
  </si>
  <si>
    <t>B6 —  Wateronttrekking</t>
  </si>
  <si>
    <t>B6 – Prélèvements d'eau</t>
  </si>
  <si>
    <t>B6 – Wasserentnahme</t>
  </si>
  <si>
    <t>B6 - Aistarraingt Uisce</t>
  </si>
  <si>
    <t>B6 - Prelievo Idrico</t>
  </si>
  <si>
    <t>B6 – Vandens išgavimas</t>
  </si>
  <si>
    <t>B6 – Pobór wody</t>
  </si>
  <si>
    <t>B6 — Captação de água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</si>
  <si>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</si>
  <si>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</si>
  <si>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</si>
  <si>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</si>
  <si>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</si>
  <si>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</si>
  <si>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</si>
  <si>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</si>
  <si>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</si>
  <si>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</si>
  <si>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</si>
  <si>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</si>
  <si>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</si>
  <si>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</si>
  <si>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</si>
  <si>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</si>
  <si>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</si>
  <si>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</si>
  <si>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</si>
  <si>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</si>
  <si>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</si>
  <si>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</si>
  <si>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</si>
  <si>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Cantidad de agua extraída en emplazamientos situados en zonas con un alto estrés hídrico (metros cúbicos m³)</t>
  </si>
  <si>
    <t>template_label_b6_water_consumption</t>
  </si>
  <si>
    <t>B6 - Water Consumption</t>
  </si>
  <si>
    <t>B6 — Waterverbruik</t>
  </si>
  <si>
    <t>B6 - Consommation d'eau</t>
  </si>
  <si>
    <t>B6 – Wasserverbrauch</t>
  </si>
  <si>
    <t>B6 - Tomhaltas Uisce</t>
  </si>
  <si>
    <t>B6 – Acque</t>
  </si>
  <si>
    <t>B6 – Vandens suvartojimas</t>
  </si>
  <si>
    <t>B6 - Zużycie wody</t>
  </si>
  <si>
    <t>B6 - Consumo de água</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</si>
  <si>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</si>
  <si>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</si>
  <si>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</si>
  <si>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</si>
  <si>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</si>
  <si>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</si>
  <si>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</si>
  <si>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</si>
  <si>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</si>
  <si>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</si>
  <si>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</si>
  <si>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</si>
  <si>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</si>
  <si>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</si>
  <si>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</si>
  <si>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</si>
  <si>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</si>
  <si>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</si>
  <si>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</si>
  <si>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</si>
  <si>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</si>
  <si>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</si>
  <si>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</si>
  <si>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</si>
  <si>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</si>
  <si>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</si>
  <si>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</si>
  <si>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</si>
  <si>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</si>
  <si>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</si>
  <si>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</si>
  <si>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</si>
  <si>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</si>
  <si>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</si>
  <si>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</si>
  <si>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</si>
  <si>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</si>
  <si>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</si>
  <si>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</si>
  <si>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</si>
  <si>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</si>
  <si>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</si>
  <si>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</si>
  <si>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</si>
  <si>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</si>
  <si>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</si>
  <si>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</si>
  <si>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</si>
  <si>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</si>
  <si>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</si>
  <si>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</si>
  <si>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</si>
  <si>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</si>
  <si>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</si>
  <si>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</si>
  <si>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</si>
  <si>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</si>
  <si>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</si>
  <si>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</si>
  <si>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</si>
  <si>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</si>
  <si>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</si>
  <si>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</si>
  <si>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</si>
  <si>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</si>
  <si>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</si>
  <si>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</si>
  <si>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</si>
  <si>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</si>
  <si>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</si>
  <si>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</si>
  <si>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</si>
  <si>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</si>
  <si>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</si>
  <si>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</si>
  <si>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</si>
  <si>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</si>
  <si>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</si>
  <si>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</si>
  <si>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</si>
  <si>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Išmetamųjų atliekų kiekis</t>
  </si>
  <si>
    <t>B7 - Wytworzone odpady</t>
  </si>
  <si>
    <t>B7 - Resíduos gerados</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</si>
  <si>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</si>
  <si>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</si>
  <si>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</si>
  <si>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</si>
  <si>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</si>
  <si>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</si>
  <si>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</si>
  <si>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</si>
  <si>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</si>
  <si>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</si>
  <si>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</si>
  <si>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</si>
  <si>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</si>
  <si>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</si>
  <si>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</si>
  <si>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</si>
  <si>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</si>
  <si>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</si>
  <si>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</si>
  <si>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</si>
  <si>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</si>
  <si>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</si>
  <si>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</si>
  <si>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</si>
  <si>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</si>
  <si>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</si>
  <si>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</si>
  <si>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</si>
  <si>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</si>
  <si>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</si>
  <si>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</si>
  <si>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</si>
  <si>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</si>
  <si>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</si>
  <si>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</si>
  <si>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</si>
  <si>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</si>
  <si>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</si>
  <si>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</si>
  <si>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</si>
  <si>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</si>
  <si>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</si>
  <si>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</si>
  <si>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</si>
  <si>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</si>
  <si>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</si>
  <si>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</si>
  <si>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</si>
  <si>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</si>
  <si>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</si>
  <si>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</si>
  <si>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</si>
  <si>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</si>
  <si>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</si>
  <si>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</si>
  <si>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</si>
  <si>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</si>
  <si>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</si>
  <si>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</si>
  <si>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</si>
  <si>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</si>
  <si>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</si>
  <si>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</si>
  <si>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</si>
  <si>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</si>
  <si>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</si>
  <si>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</si>
  <si>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</si>
  <si>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</si>
  <si>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</si>
  <si>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</si>
  <si>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</si>
  <si>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</si>
  <si>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</si>
  <si>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</si>
  <si>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</si>
  <si>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</si>
  <si>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</si>
  <si>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</si>
  <si>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</si>
  <si>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</si>
  <si>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</si>
  <si>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</si>
  <si>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</si>
  <si>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</si>
  <si>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</si>
  <si>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</si>
  <si>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</si>
  <si>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</si>
  <si>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</si>
  <si>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</si>
  <si>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</si>
  <si>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</si>
  <si>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</si>
  <si>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</si>
  <si>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</si>
  <si>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</si>
  <si>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</si>
  <si>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</si>
  <si>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</si>
  <si>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</si>
  <si>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</si>
  <si>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</si>
  <si>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</si>
  <si>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</si>
  <si>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</si>
  <si>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</si>
  <si>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</si>
  <si>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</si>
  <si>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</si>
  <si>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</si>
  <si>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</si>
  <si>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</si>
  <si>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</si>
  <si>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</si>
  <si>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</si>
  <si>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</si>
  <si>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</si>
  <si>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</si>
  <si>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</si>
  <si>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</si>
  <si>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</si>
  <si>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</si>
  <si>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</si>
  <si>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</si>
  <si>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</si>
  <si>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</si>
  <si>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</si>
  <si>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</si>
  <si>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</si>
  <si>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</si>
  <si>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</si>
  <si>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</si>
  <si>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</si>
  <si>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</si>
  <si>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</si>
  <si>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</si>
  <si>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</si>
  <si>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</si>
  <si>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</si>
  <si>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</si>
  <si>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</si>
  <si>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</si>
  <si>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</si>
  <si>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</si>
  <si>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</si>
  <si>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</si>
  <si>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</si>
  <si>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</si>
  <si>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</si>
  <si>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</si>
  <si>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</si>
  <si>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</si>
  <si>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</si>
  <si>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</si>
  <si>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</si>
  <si>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</si>
  <si>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</si>
  <si>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</si>
  <si>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</si>
  <si>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</si>
  <si>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</si>
  <si>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</si>
  <si>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</si>
  <si>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</si>
  <si>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</si>
  <si>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</si>
  <si>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</si>
  <si>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</si>
  <si>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</si>
  <si>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</si>
  <si>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</si>
  <si>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</si>
  <si>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</si>
  <si>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</si>
  <si>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</si>
  <si>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</si>
  <si>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</si>
  <si>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</si>
  <si>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</si>
  <si>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</si>
  <si>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</si>
  <si>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</si>
  <si>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</si>
  <si>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</si>
  <si>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</si>
  <si>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</si>
  <si>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</si>
  <si>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</si>
  <si>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</si>
  <si>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</si>
  <si>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</si>
  <si>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</si>
  <si>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</si>
  <si>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</si>
  <si>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</si>
  <si>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</si>
  <si>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</si>
  <si>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</si>
  <si>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</si>
  <si>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</si>
  <si>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</si>
  <si>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</si>
  <si>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</si>
  <si>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</si>
  <si>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</si>
  <si>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</si>
  <si>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</si>
  <si>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</si>
  <si>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</si>
  <si>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</si>
  <si>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</si>
  <si>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</si>
  <si>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</si>
  <si>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</si>
  <si>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</si>
  <si>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</si>
  <si>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</si>
  <si>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</si>
  <si>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</si>
  <si>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</si>
  <si>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</si>
  <si>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</si>
  <si>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</si>
  <si>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</si>
  <si>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</si>
  <si>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</si>
  <si>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</si>
  <si>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</si>
  <si>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</si>
  <si>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</si>
  <si>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</si>
  <si>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</si>
  <si>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</si>
  <si>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</si>
  <si>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</si>
  <si>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</si>
  <si>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</si>
  <si>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</si>
  <si>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</si>
  <si>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</si>
  <si>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</si>
  <si>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</si>
  <si>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</si>
  <si>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</si>
  <si>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</si>
  <si>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</si>
  <si>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</si>
  <si>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</si>
  <si>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</si>
  <si>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</si>
  <si>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</si>
  <si>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</si>
  <si>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</si>
  <si>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</si>
  <si>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</si>
  <si>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</si>
  <si>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</si>
  <si>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</si>
  <si>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</si>
  <si>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</si>
  <si>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</si>
  <si>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</si>
  <si>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</si>
  <si>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</si>
  <si>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</si>
  <si>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</si>
  <si>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</si>
  <si>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</si>
  <si>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</si>
  <si>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</si>
  <si>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</si>
  <si>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</si>
  <si>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</si>
  <si>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</si>
  <si>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</si>
  <si>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</si>
  <si>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</si>
  <si>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</si>
  <si>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</si>
  <si>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</si>
  <si>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</si>
  <si>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</si>
  <si>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</si>
  <si>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</si>
  <si>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</si>
  <si>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</si>
  <si>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</si>
  <si>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</si>
  <si>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</si>
  <si>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</si>
  <si>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</si>
  <si>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</si>
  <si>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</si>
  <si>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</si>
  <si>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</si>
  <si>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</si>
  <si>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</si>
  <si>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</si>
  <si>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</si>
  <si>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</si>
  <si>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</si>
  <si>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</si>
  <si>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</si>
  <si>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</si>
  <si>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</si>
  <si>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</si>
  <si>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</si>
  <si>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</si>
  <si>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</si>
  <si>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</si>
  <si>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</si>
  <si>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</si>
  <si>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</si>
  <si>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</si>
  <si>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</si>
  <si>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</si>
  <si>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</si>
  <si>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</si>
  <si>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and/or entity specific environmental disclosures</t>
  </si>
  <si>
    <t>Nochtadh aon nochtadh comhshaoil eile a bhaineann go sonrach leis an gcomhshaol agus/nó a bhaineann go sonrach le comhshaol</t>
  </si>
  <si>
    <t>Comunicazione di qualsiasi altra informativa ambientale e/o specifica per soggetto</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</si>
  <si>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</si>
  <si>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</si>
  <si>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</si>
  <si>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</si>
  <si>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</si>
  <si>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</si>
  <si>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</si>
  <si>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</si>
  <si>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</si>
  <si>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</si>
  <si>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</si>
  <si>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</si>
  <si>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</si>
  <si>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</si>
  <si>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</si>
  <si>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</si>
  <si>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</si>
  <si>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</si>
  <si>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</si>
  <si>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</si>
  <si>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</si>
  <si>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</si>
  <si>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</si>
  <si>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</si>
  <si>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</si>
  <si>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</si>
  <si>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</si>
  <si>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</si>
  <si>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</si>
  <si>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</si>
  <si>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</si>
  <si>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</si>
  <si>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</si>
  <si>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</si>
  <si>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</si>
  <si>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</si>
  <si>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</si>
  <si>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</si>
  <si>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</si>
  <si>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</si>
  <si>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</si>
  <si>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</si>
  <si>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</si>
  <si>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</si>
  <si>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</si>
  <si>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</si>
  <si>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</si>
  <si>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template_label_permanent_contract</t>
  </si>
  <si>
    <t>Permanent contract</t>
  </si>
  <si>
    <t>Tidsubegrænset kontrakt</t>
  </si>
  <si>
    <t>Vast contract</t>
  </si>
  <si>
    <t>Contrat de travail à durée indéterminée</t>
  </si>
  <si>
    <t>Unbefristeter Vertrag</t>
  </si>
  <si>
    <t>Conradh buan</t>
  </si>
  <si>
    <t xml:space="preserve">Contratto permanente
</t>
  </si>
  <si>
    <t>Neterminuota sutartis</t>
  </si>
  <si>
    <t>Umowa na czas nieokreślony</t>
  </si>
  <si>
    <t>Contrato sem termo</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</si>
  <si>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</si>
  <si>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</si>
  <si>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</si>
  <si>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</si>
  <si>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</si>
  <si>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</si>
  <si>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</si>
  <si>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</si>
  <si>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</si>
  <si>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</si>
  <si>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</si>
  <si>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</si>
  <si>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</si>
  <si>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</si>
  <si>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</si>
  <si>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</si>
  <si>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</si>
  <si>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</si>
  <si>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</si>
  <si>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</si>
  <si>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</si>
  <si>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</si>
  <si>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</si>
  <si>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</si>
  <si>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</si>
  <si>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</si>
  <si>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</si>
  <si>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</si>
  <si>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</si>
  <si>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</si>
  <si>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</si>
  <si>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</si>
  <si>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</si>
  <si>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</si>
  <si>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</si>
  <si>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</si>
  <si>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Trabajadores – Características generales – Género</t>
  </si>
  <si>
    <t>template_label_gender</t>
  </si>
  <si>
    <t>Gender</t>
  </si>
  <si>
    <t>Køn</t>
  </si>
  <si>
    <t>Genre</t>
  </si>
  <si>
    <t>Geschlecht</t>
  </si>
  <si>
    <t>Inscne</t>
  </si>
  <si>
    <t>Genere</t>
  </si>
  <si>
    <t>Lytis</t>
  </si>
  <si>
    <t>Płeć</t>
  </si>
  <si>
    <t>Género</t>
  </si>
  <si>
    <t>template_label_male</t>
  </si>
  <si>
    <t>Male</t>
  </si>
  <si>
    <t>Mand</t>
  </si>
  <si>
    <t>Man</t>
  </si>
  <si>
    <t>Homme</t>
  </si>
  <si>
    <t>Männlich</t>
  </si>
  <si>
    <t>Fireann</t>
  </si>
  <si>
    <t>Uomini</t>
  </si>
  <si>
    <t>Vyrai</t>
  </si>
  <si>
    <t>Mężczyzna</t>
  </si>
  <si>
    <t>Masculino</t>
  </si>
  <si>
    <t>template_label_female</t>
  </si>
  <si>
    <t>Female</t>
  </si>
  <si>
    <t>Kvinde</t>
  </si>
  <si>
    <t>Vrouw</t>
  </si>
  <si>
    <t>Femme</t>
  </si>
  <si>
    <t>Weiblich</t>
  </si>
  <si>
    <t>Baineann</t>
  </si>
  <si>
    <t>Donne</t>
  </si>
  <si>
    <t>Moterys</t>
  </si>
  <si>
    <t>Kobieta</t>
  </si>
  <si>
    <t>Feminino</t>
  </si>
  <si>
    <t>Femenino</t>
  </si>
  <si>
    <t>template_label_other</t>
  </si>
  <si>
    <t>Andet</t>
  </si>
  <si>
    <t>Overig</t>
  </si>
  <si>
    <t>Autre</t>
  </si>
  <si>
    <t>Andere</t>
  </si>
  <si>
    <t>Eile</t>
  </si>
  <si>
    <t>Altro</t>
  </si>
  <si>
    <t>Kita</t>
  </si>
  <si>
    <t>Inna</t>
  </si>
  <si>
    <t>Outro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</si>
  <si>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</si>
  <si>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</si>
  <si>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</si>
  <si>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</si>
  <si>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</si>
  <si>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</si>
  <si>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</si>
  <si>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</si>
  <si>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</si>
  <si>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</si>
  <si>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</si>
  <si>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</si>
  <si>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</si>
  <si>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</si>
  <si>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</si>
  <si>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</si>
  <si>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</si>
  <si>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</si>
  <si>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</si>
  <si>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</si>
  <si>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</si>
  <si>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</si>
  <si>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</si>
  <si>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</si>
  <si>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</si>
  <si>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</si>
  <si>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</si>
  <si>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</si>
  <si>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</si>
  <si>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</si>
  <si>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</si>
  <si>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</si>
  <si>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</si>
  <si>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</si>
  <si>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</si>
  <si>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</si>
  <si>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</si>
  <si>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</si>
  <si>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</si>
  <si>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</si>
  <si>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</si>
  <si>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</si>
  <si>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</si>
  <si>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</si>
  <si>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</si>
  <si>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</si>
  <si>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</si>
  <si>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</si>
  <si>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</si>
  <si>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</si>
  <si>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</si>
  <si>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</si>
  <si>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</si>
  <si>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</si>
  <si>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</si>
  <si>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</si>
  <si>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</si>
  <si>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</si>
  <si>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</si>
  <si>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</si>
  <si>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</si>
  <si>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</si>
  <si>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</si>
  <si>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</si>
  <si>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</si>
  <si>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</si>
  <si>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</si>
  <si>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</si>
  <si>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</si>
  <si>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</si>
  <si>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</si>
  <si>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</si>
  <si>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</si>
  <si>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</si>
  <si>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</si>
  <si>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</si>
  <si>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</si>
  <si>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</si>
  <si>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</si>
  <si>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</si>
  <si>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</si>
  <si>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</si>
  <si>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</si>
  <si>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</si>
  <si>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</si>
  <si>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</si>
  <si>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</si>
  <si>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</si>
  <si>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</si>
  <si>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</si>
  <si>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</si>
  <si>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</si>
  <si>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</si>
  <si>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</si>
  <si>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</si>
  <si>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</si>
  <si>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</si>
  <si>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</si>
  <si>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</si>
  <si>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</si>
  <si>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</si>
  <si>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</si>
  <si>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</si>
  <si>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</si>
  <si>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</si>
  <si>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</si>
  <si>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</si>
  <si>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</si>
  <si>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</si>
  <si>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</si>
  <si>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</si>
  <si>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</si>
  <si>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</si>
  <si>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</si>
  <si>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</si>
  <si>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</si>
  <si>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</si>
  <si>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</si>
  <si>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</si>
  <si>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</si>
  <si>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</si>
  <si>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</si>
  <si>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</si>
  <si>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</si>
  <si>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</si>
  <si>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</si>
  <si>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</si>
  <si>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</si>
  <si>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</si>
  <si>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</si>
  <si>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</si>
  <si>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</si>
  <si>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</si>
  <si>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</si>
  <si>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</si>
  <si>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</si>
  <si>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</si>
  <si>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</si>
  <si>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</si>
  <si>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</si>
  <si>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</si>
  <si>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</si>
  <si>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</si>
  <si>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</si>
  <si>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</si>
  <si>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</si>
  <si>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</si>
  <si>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</si>
  <si>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</si>
  <si>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</si>
  <si>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</si>
  <si>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</si>
  <si>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</si>
  <si>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</si>
  <si>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</si>
  <si>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</si>
  <si>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</si>
  <si>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</si>
  <si>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</si>
  <si>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</si>
  <si>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</si>
  <si>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</si>
  <si>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</si>
  <si>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</si>
  <si>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</si>
  <si>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</si>
  <si>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</si>
  <si>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</si>
  <si>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</si>
  <si>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</si>
  <si>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</si>
  <si>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</si>
  <si>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</si>
  <si>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</si>
  <si>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</si>
  <si>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</si>
  <si>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</si>
  <si>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</si>
  <si>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</si>
  <si>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</si>
  <si>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</si>
  <si>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</si>
  <si>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</si>
  <si>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</si>
  <si>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</si>
  <si>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</si>
  <si>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</si>
  <si>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</si>
  <si>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</si>
  <si>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</si>
  <si>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</si>
  <si>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</si>
  <si>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</si>
  <si>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</si>
  <si>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</si>
  <si>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</si>
  <si>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</si>
  <si>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</si>
  <si>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</si>
  <si>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</si>
  <si>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</si>
  <si>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</si>
  <si>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</si>
  <si>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</si>
  <si>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</si>
  <si>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</si>
  <si>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</si>
  <si>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</si>
  <si>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</si>
  <si>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</si>
  <si>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</si>
  <si>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</si>
  <si>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</si>
  <si>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</si>
  <si>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</si>
  <si>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</si>
  <si>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</si>
  <si>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</si>
  <si>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</si>
  <si>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</si>
  <si>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</si>
  <si>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</si>
  <si>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</si>
  <si>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</si>
  <si>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</si>
  <si>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</si>
  <si>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</si>
  <si>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</si>
  <si>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</si>
  <si>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</si>
  <si>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</si>
  <si>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</si>
  <si>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</si>
  <si>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</si>
  <si>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</si>
  <si>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</si>
  <si>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</si>
  <si>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</si>
  <si>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</si>
  <si>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</si>
  <si>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</si>
  <si>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</si>
  <si>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</si>
  <si>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</si>
  <si>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</si>
  <si>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</si>
  <si>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</si>
  <si>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</si>
  <si>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</si>
  <si>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</si>
  <si>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</si>
  <si>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</si>
  <si>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</si>
  <si>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</si>
  <si>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</si>
  <si>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</si>
  <si>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</si>
  <si>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</si>
  <si>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</si>
  <si>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</si>
  <si>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</si>
  <si>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</si>
  <si>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</si>
  <si>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</si>
  <si>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</si>
  <si>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</si>
  <si>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</si>
  <si>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</si>
  <si>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</si>
  <si>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</si>
  <si>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</si>
  <si>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</si>
  <si>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</si>
  <si>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</si>
  <si>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</si>
  <si>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</si>
  <si>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</si>
  <si>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</si>
  <si>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</si>
  <si>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</si>
  <si>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</si>
  <si>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</si>
  <si>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</si>
  <si>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</si>
  <si>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</si>
  <si>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</si>
  <si>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</si>
  <si>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</si>
  <si>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</si>
  <si>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</si>
  <si>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</si>
  <si>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</si>
  <si>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</si>
  <si>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</si>
  <si>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</si>
  <si>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</si>
  <si>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</si>
  <si>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</si>
  <si>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</si>
  <si>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</si>
  <si>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</si>
  <si>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</si>
  <si>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</si>
  <si>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</si>
  <si>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</si>
  <si>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</si>
  <si>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</si>
  <si>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</si>
  <si>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</si>
  <si>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</si>
  <si>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</si>
  <si>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</si>
  <si>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</si>
  <si>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</si>
  <si>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</si>
  <si>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</si>
  <si>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</si>
  <si>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</si>
  <si>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</si>
  <si>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</si>
  <si>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</si>
  <si>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</si>
  <si>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</si>
  <si>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</si>
  <si>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</si>
  <si>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</si>
  <si>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</si>
  <si>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</si>
  <si>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</si>
  <si>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</si>
  <si>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</si>
  <si>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</si>
  <si>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</si>
  <si>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</si>
  <si>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</si>
  <si>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</si>
  <si>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</si>
  <si>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</si>
  <si>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</si>
  <si>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</si>
  <si>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</si>
  <si>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</si>
  <si>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</si>
  <si>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</si>
  <si>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</si>
  <si>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</si>
  <si>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</si>
  <si>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</si>
  <si>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</si>
  <si>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</si>
  <si>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</si>
  <si>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</si>
  <si>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</si>
  <si>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</si>
  <si>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</si>
  <si>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</si>
  <si>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</si>
  <si>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</si>
  <si>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</si>
  <si>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</si>
  <si>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</si>
  <si>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</si>
  <si>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</si>
  <si>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</si>
  <si>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</si>
  <si>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</si>
  <si>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</si>
  <si>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</si>
  <si>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</si>
  <si>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</si>
  <si>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</si>
  <si>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</si>
  <si>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</si>
  <si>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</si>
  <si>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</si>
  <si>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</si>
  <si>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</si>
  <si>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</si>
  <si>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</si>
  <si>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</si>
  <si>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</si>
  <si>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</si>
  <si>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</si>
  <si>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</si>
  <si>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</si>
  <si>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</si>
  <si>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</si>
  <si>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</si>
  <si>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</si>
  <si>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</si>
  <si>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</si>
  <si>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</si>
  <si>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</si>
  <si>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</si>
  <si>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</si>
  <si>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</si>
  <si>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</si>
  <si>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</si>
  <si>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</si>
  <si>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</si>
  <si>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</si>
  <si>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</si>
  <si>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</si>
  <si>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</si>
  <si>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</si>
  <si>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</si>
  <si>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</si>
  <si>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</si>
  <si>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</si>
  <si>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</si>
  <si>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</si>
  <si>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</si>
  <si>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</si>
  <si>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</si>
  <si>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</si>
  <si>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</si>
  <si>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</si>
  <si>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</si>
  <si>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</si>
  <si>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</si>
  <si>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</si>
  <si>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</si>
  <si>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</si>
  <si>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</si>
  <si>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</si>
  <si>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</si>
  <si>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</si>
  <si>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</si>
  <si>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</si>
  <si>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</si>
  <si>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</si>
  <si>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</si>
  <si>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</si>
  <si>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</si>
  <si>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</si>
  <si>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</si>
  <si>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</si>
  <si>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</si>
  <si>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</si>
  <si>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</si>
  <si>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</si>
  <si>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</si>
  <si>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</si>
  <si>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</si>
  <si>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</si>
  <si>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</si>
  <si>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</si>
  <si>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</si>
  <si>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</si>
  <si>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</si>
  <si>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</si>
  <si>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</si>
  <si>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</si>
  <si>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</si>
  <si>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</si>
  <si>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</si>
  <si>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</si>
  <si>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</si>
  <si>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</si>
  <si>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</si>
  <si>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</si>
  <si>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</si>
  <si>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</si>
  <si>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</si>
  <si>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</si>
  <si>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</si>
  <si>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</si>
  <si>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</si>
  <si>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</si>
  <si>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</si>
  <si>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</si>
  <si>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</si>
  <si>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</si>
  <si>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</si>
  <si>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</si>
  <si>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</si>
  <si>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</si>
  <si>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</si>
  <si>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</si>
  <si>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</si>
  <si>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</si>
  <si>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</si>
  <si>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</si>
  <si>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</si>
  <si>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</si>
  <si>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</si>
  <si>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</si>
  <si>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</si>
  <si>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</si>
  <si>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</si>
  <si>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</si>
  <si>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</si>
  <si>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</si>
  <si>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</si>
  <si>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</si>
  <si>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</si>
  <si>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</si>
  <si>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</si>
  <si>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</si>
  <si>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</si>
  <si>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</si>
  <si>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</si>
  <si>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</si>
  <si>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</si>
  <si>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</si>
  <si>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</si>
  <si>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</si>
  <si>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</si>
  <si>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</si>
  <si>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</si>
  <si>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</si>
  <si>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</si>
  <si>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</si>
  <si>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</si>
  <si>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</si>
  <si>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</si>
  <si>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</si>
  <si>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</si>
  <si>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</si>
  <si>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</si>
  <si>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</si>
  <si>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</si>
  <si>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</si>
  <si>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</si>
  <si>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</si>
  <si>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</si>
  <si>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</si>
  <si>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</si>
  <si>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</si>
  <si>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</si>
  <si>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</si>
  <si>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</si>
  <si>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</si>
  <si>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</si>
  <si>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</si>
  <si>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</si>
  <si>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</si>
  <si>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</si>
  <si>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</si>
  <si>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</si>
  <si>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</si>
  <si>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</si>
  <si>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</si>
  <si>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</si>
  <si>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</si>
  <si>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</si>
  <si>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</si>
  <si>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</si>
  <si>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</si>
  <si>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</si>
  <si>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</si>
  <si>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</si>
  <si>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</si>
  <si>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</si>
  <si>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</si>
  <si>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</si>
  <si>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</si>
  <si>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</si>
  <si>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</si>
  <si>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and/or entity specific social disclosures</t>
  </si>
  <si>
    <t>Comunicazione di qualsiasi altra informativa sociale e/o specifica per soggetto</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</si>
  <si>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</si>
  <si>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</si>
  <si>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</si>
  <si>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</si>
  <si>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</si>
  <si>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</si>
  <si>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</si>
  <si>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</si>
  <si>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</si>
  <si>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</si>
  <si>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</si>
  <si>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</si>
  <si>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</si>
  <si>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</si>
  <si>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</si>
  <si>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</si>
  <si>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</si>
  <si>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</si>
  <si>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</si>
  <si>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</si>
  <si>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</si>
  <si>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</si>
  <si>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</si>
  <si>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</si>
  <si>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</si>
  <si>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</si>
  <si>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</si>
  <si>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</si>
  <si>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</si>
  <si>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</si>
  <si>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</si>
  <si>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</si>
  <si>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</si>
  <si>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</si>
  <si>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</si>
  <si>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</si>
  <si>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</si>
  <si>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</si>
  <si>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</si>
  <si>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</si>
  <si>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</si>
  <si>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</si>
  <si>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</si>
  <si>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</si>
  <si>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</si>
  <si>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</si>
  <si>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</si>
  <si>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</si>
  <si>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</si>
  <si>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</si>
  <si>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</si>
  <si>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</si>
  <si>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</si>
  <si>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</si>
  <si>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</si>
  <si>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</si>
  <si>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</si>
  <si>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</si>
  <si>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</si>
  <si>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</si>
  <si>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</si>
  <si>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</si>
  <si>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</si>
  <si>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</si>
  <si>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</si>
  <si>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</si>
  <si>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</si>
  <si>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</si>
  <si>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</si>
  <si>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</si>
  <si>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</si>
  <si>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</si>
  <si>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</si>
  <si>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</si>
  <si>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</si>
  <si>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</si>
  <si>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</si>
  <si>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</si>
  <si>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</si>
  <si>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</si>
  <si>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</si>
  <si>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</si>
  <si>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</si>
  <si>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</si>
  <si>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</si>
  <si>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</si>
  <si>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</si>
  <si>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</si>
  <si>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</si>
  <si>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</si>
  <si>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</si>
  <si>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</si>
  <si>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</si>
  <si>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</si>
  <si>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</si>
  <si>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</si>
  <si>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</si>
  <si>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</si>
  <si>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</si>
  <si>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</si>
  <si>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</si>
  <si>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</si>
  <si>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</si>
  <si>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</si>
  <si>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</si>
  <si>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</si>
  <si>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</si>
  <si>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</si>
  <si>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</si>
  <si>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</si>
  <si>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</si>
  <si>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</si>
  <si>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</si>
  <si>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</si>
  <si>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</si>
  <si>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</si>
  <si>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</si>
  <si>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</si>
  <si>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</si>
  <si>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</si>
  <si>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</si>
  <si>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</si>
  <si>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</si>
  <si>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</si>
  <si>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</si>
  <si>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</si>
  <si>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</si>
  <si>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</si>
  <si>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</si>
  <si>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</si>
  <si>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</si>
  <si>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</si>
  <si>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</si>
  <si>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</si>
  <si>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</si>
  <si>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</si>
  <si>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</si>
  <si>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</si>
  <si>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</si>
  <si>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</si>
  <si>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</si>
  <si>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</si>
  <si>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</si>
  <si>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</si>
  <si>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</si>
  <si>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</si>
  <si>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</si>
  <si>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</si>
  <si>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</si>
  <si>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</si>
  <si>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</si>
  <si>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</si>
  <si>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</si>
  <si>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</si>
  <si>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</si>
  <si>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</si>
  <si>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</si>
  <si>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</si>
  <si>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</si>
  <si>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</si>
  <si>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</si>
  <si>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</si>
  <si>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</si>
  <si>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</si>
  <si>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</si>
  <si>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</si>
  <si>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</si>
  <si>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</si>
  <si>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</si>
  <si>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</si>
  <si>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</si>
  <si>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</si>
  <si>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</si>
  <si>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</si>
  <si>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</si>
  <si>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</si>
  <si>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</si>
  <si>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</si>
  <si>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</si>
  <si>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</si>
  <si>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</si>
  <si>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</si>
  <si>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</si>
  <si>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</si>
  <si>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</si>
  <si>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</si>
  <si>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</si>
  <si>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</si>
  <si>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</si>
  <si>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</si>
  <si>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</si>
  <si>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</si>
  <si>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</si>
  <si>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</si>
  <si>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</si>
  <si>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</si>
  <si>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</si>
  <si>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</si>
  <si>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</si>
  <si>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</si>
  <si>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</si>
  <si>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</si>
  <si>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</si>
  <si>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</si>
  <si>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</si>
  <si>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</si>
  <si>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</si>
  <si>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</si>
  <si>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</si>
  <si>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</si>
  <si>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</si>
  <si>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</si>
  <si>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</si>
  <si>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</si>
  <si>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</si>
  <si>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</si>
  <si>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</si>
  <si>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</si>
  <si>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</si>
  <si>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</si>
  <si>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</si>
  <si>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</si>
  <si>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</si>
  <si>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</si>
  <si>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</si>
  <si>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</si>
  <si>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</si>
  <si>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</si>
  <si>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</si>
  <si>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</si>
  <si>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</si>
  <si>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</si>
  <si>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</si>
  <si>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</si>
  <si>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</si>
  <si>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</si>
  <si>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</si>
  <si>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</si>
  <si>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</si>
  <si>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</si>
  <si>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</si>
  <si>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</si>
  <si>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</si>
  <si>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</si>
  <si>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</si>
  <si>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</si>
  <si>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</si>
  <si>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</si>
  <si>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</si>
  <si>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</si>
  <si>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</si>
  <si>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</si>
  <si>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</si>
  <si>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</si>
  <si>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</si>
  <si>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</si>
  <si>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</si>
  <si>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</si>
  <si>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</si>
  <si>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</si>
  <si>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</si>
  <si>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</si>
  <si>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</si>
  <si>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</si>
  <si>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</si>
  <si>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</si>
  <si>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</si>
  <si>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</si>
  <si>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</si>
  <si>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</si>
  <si>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</si>
  <si>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</si>
  <si>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</si>
  <si>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</si>
  <si>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</si>
  <si>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</si>
  <si>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</si>
  <si>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</si>
  <si>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</si>
  <si>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</si>
  <si>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</si>
  <si>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</si>
  <si>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</si>
  <si>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</si>
  <si>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</si>
  <si>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</si>
  <si>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</si>
  <si>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</si>
  <si>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</si>
  <si>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</si>
  <si>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</si>
  <si>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</si>
  <si>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</si>
  <si>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</si>
  <si>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</si>
  <si>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</si>
  <si>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</si>
  <si>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</si>
  <si>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</si>
  <si>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</si>
  <si>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</si>
  <si>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</si>
  <si>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</si>
  <si>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</si>
  <si>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</si>
  <si>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</si>
  <si>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</si>
  <si>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</si>
  <si>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</si>
  <si>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</si>
  <si>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</si>
  <si>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</si>
  <si>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</si>
  <si>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Ratio de diversidad de género en el órgano de gobierno</t>
  </si>
  <si>
    <t>template_label_disclosure_of_any_other_governance_and_or_entity_specific_governance_disclosures</t>
  </si>
  <si>
    <t>Disclosure of any other governance and/or entity specific governance disclosures</t>
  </si>
  <si>
    <t>Oplysning af øvrige ledelses- og/eller virksomheds-specifikke ledelsesoplysninger</t>
  </si>
  <si>
    <t>Angabe weiterer Governance- und/oder unternehmensspezifischer Governance-Angaben</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</si>
  <si>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</si>
  <si>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</si>
  <si>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</si>
  <si>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</si>
  <si>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</si>
  <si>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</si>
  <si>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</si>
  <si>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</si>
  <si>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</si>
  <si>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</si>
  <si>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</si>
  <si>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</si>
  <si>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</si>
  <si>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</si>
  <si>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</si>
  <si>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</si>
  <si>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</si>
  <si>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</si>
  <si>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</si>
  <si>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</si>
  <si>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</si>
  <si>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</si>
  <si>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</si>
  <si>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</si>
  <si>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</si>
  <si>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</si>
  <si>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</si>
  <si>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</si>
  <si>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</si>
  <si>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</si>
  <si>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</si>
  <si>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</si>
  <si>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</si>
  <si>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</si>
  <si>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</si>
  <si>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</si>
  <si>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</si>
  <si>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</si>
  <si>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</si>
  <si>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</si>
  <si>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</si>
  <si>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</si>
  <si>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</si>
  <si>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</si>
  <si>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</si>
  <si>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</si>
  <si>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</si>
  <si>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</si>
  <si>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</si>
  <si>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</si>
  <si>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</si>
  <si>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</si>
  <si>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</si>
  <si>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</si>
  <si>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</si>
  <si>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</si>
  <si>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</si>
  <si>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</si>
  <si>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</si>
  <si>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</si>
  <si>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</si>
  <si>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</si>
  <si>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</si>
  <si>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</si>
  <si>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</si>
  <si>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</si>
  <si>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</si>
  <si>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</si>
  <si>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</si>
  <si>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</si>
  <si>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</si>
  <si>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</si>
  <si>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</si>
  <si>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</si>
  <si>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</si>
  <si>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</si>
  <si>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</si>
  <si>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</si>
  <si>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</si>
  <si>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</si>
  <si>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</si>
  <si>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</si>
  <si>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</si>
  <si>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Tipo de combustible</t>
  </si>
  <si>
    <t>template_label_amount</t>
  </si>
  <si>
    <t>Beløb</t>
  </si>
  <si>
    <t>Hoeveelheid</t>
  </si>
  <si>
    <t>Montant</t>
  </si>
  <si>
    <t>Betrag</t>
  </si>
  <si>
    <t>Méid</t>
  </si>
  <si>
    <t>Importo</t>
  </si>
  <si>
    <t>Kiekis</t>
  </si>
  <si>
    <t>Ilość</t>
  </si>
  <si>
    <t>Quantidade</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</si>
  <si>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</si>
  <si>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</si>
  <si>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</si>
  <si>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</si>
  <si>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</si>
  <si>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</si>
  <si>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</si>
  <si>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</si>
  <si>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</si>
  <si>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</si>
  <si>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</si>
  <si>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</si>
  <si>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</si>
  <si>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</si>
  <si>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</si>
  <si>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</si>
  <si>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</si>
  <si>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</si>
  <si>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</si>
  <si>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</si>
  <si>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</si>
  <si>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</si>
  <si>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</si>
  <si>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</si>
  <si>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</si>
  <si>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</si>
  <si>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</si>
  <si>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</si>
  <si>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</si>
  <si>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</si>
  <si>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</si>
  <si>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</si>
  <si>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</si>
  <si>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</si>
  <si>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</si>
  <si>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</si>
  <si>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</si>
  <si>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</si>
  <si>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</si>
  <si>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</si>
  <si>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</si>
  <si>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</si>
  <si>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</si>
  <si>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</si>
  <si>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</si>
  <si>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</si>
  <si>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</si>
  <si>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</si>
  <si>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</si>
  <si>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</si>
  <si>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</si>
  <si>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</si>
  <si>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</si>
  <si>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</si>
  <si>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</si>
  <si>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</si>
  <si>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</si>
  <si>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</si>
  <si>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</si>
  <si>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</si>
  <si>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</si>
  <si>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</si>
  <si>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</si>
  <si>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</si>
  <si>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</si>
  <si>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</si>
  <si>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</si>
  <si>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</si>
  <si>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</si>
  <si>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</si>
  <si>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</si>
  <si>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</si>
  <si>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</si>
  <si>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</si>
  <si>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</si>
  <si>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</si>
  <si>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</si>
  <si>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</si>
  <si>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</si>
  <si>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</si>
  <si>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</si>
  <si>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</si>
  <si>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</si>
  <si>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</si>
  <si>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</si>
  <si>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</si>
  <si>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</si>
  <si>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</si>
  <si>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</si>
  <si>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</si>
  <si>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</si>
  <si>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</si>
  <si>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</si>
  <si>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</si>
  <si>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</si>
  <si>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</si>
  <si>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</si>
  <si>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</si>
  <si>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</si>
  <si>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</si>
  <si>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</si>
  <si>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</si>
  <si>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</si>
  <si>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</si>
  <si>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</si>
  <si>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</si>
  <si>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</si>
  <si>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</si>
  <si>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</si>
  <si>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</si>
  <si>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</si>
  <si>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</si>
  <si>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</si>
  <si>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</si>
  <si>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</si>
  <si>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</si>
  <si>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</si>
  <si>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</si>
  <si>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</si>
  <si>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</si>
  <si>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</si>
  <si>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</si>
  <si>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</si>
  <si>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</si>
  <si>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</si>
  <si>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</si>
  <si>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</si>
  <si>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</si>
  <si>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</si>
  <si>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</si>
  <si>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</si>
  <si>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</si>
  <si>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</si>
  <si>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</si>
  <si>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</si>
  <si>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</si>
  <si>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</si>
  <si>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</si>
  <si>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</si>
  <si>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</si>
  <si>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</si>
  <si>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</si>
  <si>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</si>
  <si>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</si>
  <si>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</si>
  <si>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</si>
  <si>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</si>
  <si>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</si>
  <si>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</si>
  <si>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</si>
  <si>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</si>
  <si>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</si>
  <si>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</si>
  <si>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</si>
  <si>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</si>
  <si>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</si>
  <si>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</si>
  <si>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</si>
  <si>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</si>
  <si>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</si>
  <si>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</si>
  <si>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</si>
  <si>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</si>
  <si>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</si>
  <si>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</si>
  <si>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</si>
  <si>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</si>
  <si>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</si>
  <si>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</si>
  <si>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</si>
  <si>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</si>
  <si>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</si>
  <si>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</si>
  <si>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</si>
  <si>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</si>
  <si>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</si>
  <si>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</si>
  <si>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</si>
  <si>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</si>
  <si>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</si>
  <si>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</si>
  <si>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</si>
  <si>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</si>
  <si>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</si>
  <si>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</si>
  <si>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</si>
  <si>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</si>
  <si>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</si>
  <si>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</si>
  <si>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</si>
  <si>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</si>
  <si>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</si>
  <si>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</si>
  <si>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</si>
  <si>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</si>
  <si>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</si>
  <si>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</si>
  <si>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</si>
  <si>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</si>
  <si>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</si>
  <si>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</si>
  <si>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</si>
  <si>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</si>
  <si>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</si>
  <si>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</si>
  <si>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</si>
  <si>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</si>
  <si>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</si>
  <si>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</si>
  <si>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</si>
  <si>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</si>
  <si>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</si>
  <si>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</si>
  <si>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</si>
  <si>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</si>
  <si>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</si>
  <si>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</si>
  <si>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</si>
  <si>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</si>
  <si>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</si>
  <si>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</si>
  <si>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</si>
  <si>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</si>
  <si>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</si>
  <si>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</si>
  <si>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</si>
  <si>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</si>
  <si>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</si>
  <si>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</si>
  <si>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</si>
  <si>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</si>
  <si>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</si>
  <si>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</si>
  <si>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</si>
  <si>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</si>
  <si>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</si>
  <si>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</si>
  <si>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</si>
  <si>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</si>
  <si>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</si>
  <si>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</si>
  <si>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</si>
  <si>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</si>
  <si>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</si>
  <si>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</si>
  <si>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</si>
  <si>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</si>
  <si>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</si>
  <si>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</si>
  <si>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</si>
  <si>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</si>
  <si>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</si>
  <si>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</si>
  <si>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</si>
  <si>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</si>
  <si>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</si>
  <si>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</si>
  <si>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</si>
  <si>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</si>
  <si>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</si>
  <si>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</si>
  <si>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</si>
  <si>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</si>
  <si>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</si>
  <si>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</si>
  <si>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</si>
  <si>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</si>
  <si>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</si>
  <si>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</si>
  <si>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</si>
  <si>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</si>
  <si>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</si>
  <si>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</si>
  <si>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</si>
  <si>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</si>
  <si>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</si>
  <si>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</si>
  <si>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</si>
  <si>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</si>
  <si>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</si>
  <si>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</si>
  <si>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</si>
  <si>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</si>
  <si>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</si>
  <si>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</si>
  <si>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</si>
  <si>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</si>
  <si>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</si>
  <si>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</si>
  <si>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</si>
  <si>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</si>
  <si>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</si>
  <si>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</si>
  <si>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</si>
  <si>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</si>
  <si>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</si>
  <si>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</si>
  <si>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</si>
  <si>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</si>
  <si>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</si>
  <si>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</si>
  <si>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</si>
  <si>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</si>
  <si>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</si>
  <si>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</si>
  <si>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</si>
  <si>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</si>
  <si>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</si>
  <si>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</si>
  <si>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</si>
  <si>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</si>
  <si>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</si>
  <si>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</si>
  <si>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</si>
  <si>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</si>
  <si>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</si>
  <si>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</si>
  <si>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</si>
  <si>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</si>
  <si>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</si>
  <si>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</si>
  <si>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</si>
  <si>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</si>
  <si>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</si>
  <si>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</si>
  <si>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</si>
  <si>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</si>
  <si>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</si>
  <si>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</si>
  <si>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</si>
  <si>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</si>
  <si>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</si>
  <si>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</si>
  <si>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</si>
  <si>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</si>
  <si>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</si>
  <si>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</si>
  <si>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</si>
  <si>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</si>
  <si>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</si>
  <si>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</si>
  <si>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</si>
  <si>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</si>
  <si>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</si>
  <si>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</si>
  <si>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</si>
  <si>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</si>
  <si>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</si>
  <si>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</si>
  <si>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</si>
  <si>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</si>
  <si>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</si>
  <si>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</si>
  <si>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</si>
  <si>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</si>
  <si>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</si>
  <si>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</si>
  <si>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</si>
  <si>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</si>
  <si>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</si>
  <si>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</si>
  <si>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</si>
  <si>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</si>
  <si>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</si>
  <si>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</si>
  <si>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</si>
  <si>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</si>
  <si>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</si>
  <si>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</si>
  <si>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</si>
  <si>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</si>
  <si>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</si>
  <si>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</si>
  <si>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</si>
  <si>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</si>
  <si>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</si>
  <si>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</si>
  <si>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</si>
  <si>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</si>
  <si>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</si>
  <si>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</si>
  <si>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</si>
  <si>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</si>
  <si>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</si>
  <si>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</si>
  <si>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</si>
  <si>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</si>
  <si>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</si>
  <si>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</si>
  <si>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</si>
  <si>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</si>
  <si>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</si>
  <si>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</si>
  <si>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</si>
  <si>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</si>
  <si>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</si>
  <si>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Unidad de medida del convertidor NCV</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</si>
  <si>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</si>
  <si>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</si>
  <si>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</si>
  <si>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</si>
  <si>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</si>
  <si>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</si>
  <si>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</si>
  <si>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</si>
  <si>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</si>
  <si>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</si>
  <si>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</si>
  <si>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</si>
  <si>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</si>
  <si>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</si>
  <si>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</si>
  <si>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</si>
  <si>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</si>
  <si>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</si>
  <si>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</si>
  <si>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</si>
  <si>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</si>
  <si>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</si>
  <si>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</si>
  <si>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</si>
  <si>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</si>
  <si>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</si>
  <si>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</si>
  <si>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</si>
  <si>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</si>
  <si>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</si>
  <si>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</si>
  <si>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</si>
  <si>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</si>
  <si>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</si>
  <si>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</si>
  <si>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</si>
  <si>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</si>
  <si>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</si>
  <si>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</si>
  <si>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</si>
  <si>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</si>
  <si>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</si>
  <si>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</si>
  <si>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</si>
  <si>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</si>
  <si>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</si>
  <si>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</si>
  <si>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</si>
  <si>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</si>
  <si>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</si>
  <si>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</si>
  <si>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</si>
  <si>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</si>
  <si>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</si>
  <si>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</si>
  <si>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</si>
  <si>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</si>
  <si>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</si>
  <si>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</si>
  <si>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</si>
  <si>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</si>
  <si>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</si>
  <si>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</si>
  <si>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</si>
  <si>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</si>
  <si>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</si>
  <si>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</si>
  <si>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</si>
  <si>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</si>
  <si>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</si>
  <si>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</si>
  <si>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</si>
  <si>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</si>
  <si>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</si>
  <si>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</si>
  <si>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</si>
  <si>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</si>
  <si>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</si>
  <si>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</si>
  <si>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</si>
  <si>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</si>
  <si>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</si>
  <si>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</si>
  <si>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</si>
  <si>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</si>
  <si>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</si>
  <si>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</si>
  <si>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</si>
  <si>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</si>
  <si>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</si>
  <si>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</si>
  <si>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</si>
  <si>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</si>
  <si>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</si>
  <si>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</si>
  <si>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</si>
  <si>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</si>
  <si>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</si>
  <si>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</si>
  <si>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</si>
  <si>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</si>
  <si>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</si>
  <si>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</si>
  <si>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</si>
  <si>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</si>
  <si>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</si>
  <si>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</si>
  <si>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</si>
  <si>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</si>
  <si>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</si>
  <si>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</si>
  <si>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</si>
  <si>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</si>
  <si>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</si>
  <si>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</si>
  <si>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</si>
  <si>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</si>
  <si>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</si>
  <si>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</si>
  <si>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</si>
  <si>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</si>
  <si>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</si>
  <si>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</si>
  <si>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</si>
  <si>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</si>
  <si>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</si>
  <si>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</si>
  <si>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</si>
  <si>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</si>
  <si>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</si>
  <si>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</si>
  <si>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</si>
  <si>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</si>
  <si>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</si>
  <si>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</si>
  <si>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</si>
  <si>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</si>
  <si>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</si>
  <si>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</si>
  <si>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</si>
  <si>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</si>
  <si>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</si>
  <si>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</si>
  <si>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</si>
  <si>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</si>
  <si>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</si>
  <si>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</si>
  <si>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</si>
  <si>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</si>
  <si>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</si>
  <si>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</si>
  <si>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</si>
  <si>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</si>
  <si>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</si>
  <si>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</si>
  <si>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</si>
  <si>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</si>
  <si>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</si>
  <si>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</si>
  <si>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</si>
  <si>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</si>
  <si>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</si>
  <si>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</si>
  <si>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Unidad de medida del convertidor NCV:</t>
  </si>
  <si>
    <t>template_label_incomplete</t>
  </si>
  <si>
    <t>INCOMPLETE</t>
  </si>
  <si>
    <t xml:space="preserve">UFÆRDIG </t>
  </si>
  <si>
    <t>ONVOLLEDIG</t>
  </si>
  <si>
    <t>INCOMPLET</t>
  </si>
  <si>
    <t>UNVOLLSTÄNDIG</t>
  </si>
  <si>
    <t>NEAMHIOMLÁN</t>
  </si>
  <si>
    <t>INCOMPLETO</t>
  </si>
  <si>
    <t>NEBAIGTA</t>
  </si>
  <si>
    <t>NIEKOMPLETNY</t>
  </si>
  <si>
    <t>template_label_complete</t>
  </si>
  <si>
    <t>COMPLETE</t>
  </si>
  <si>
    <t xml:space="preserve">FÆRDIG </t>
  </si>
  <si>
    <t>COMPLEET</t>
  </si>
  <si>
    <t>COMPLET</t>
  </si>
  <si>
    <t xml:space="preserve">VOLLSTÄNDIG
</t>
  </si>
  <si>
    <t>CRÍOCHNAITHE</t>
  </si>
  <si>
    <t>COMPLETO</t>
  </si>
  <si>
    <t>Baigta</t>
  </si>
  <si>
    <t>KOMPLETNY</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</si>
  <si>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</si>
  <si>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</si>
  <si>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</si>
  <si>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</si>
  <si>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</si>
  <si>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</si>
  <si>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</si>
  <si>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</si>
  <si>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</si>
  <si>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</si>
  <si>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</si>
  <si>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 xml:space="preserve">VALOR NO INFORMADO </t>
  </si>
  <si>
    <t>template_label_error</t>
  </si>
  <si>
    <t>ERROR</t>
  </si>
  <si>
    <t>FEJL</t>
  </si>
  <si>
    <t>FOUT</t>
  </si>
  <si>
    <t>ERREUR</t>
  </si>
  <si>
    <t>FEHLER</t>
  </si>
  <si>
    <t>EARRÁID</t>
  </si>
  <si>
    <t>ERRORE</t>
  </si>
  <si>
    <t>KLAIDA</t>
  </si>
  <si>
    <t>BŁĄD</t>
  </si>
  <si>
    <t>ERRO</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</si>
  <si>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</si>
  <si>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</si>
  <si>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</si>
  <si>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</si>
  <si>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</si>
  <si>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</si>
  <si>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</si>
  <si>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</si>
  <si>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</si>
  <si>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</si>
  <si>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</si>
  <si>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</si>
  <si>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</si>
  <si>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</si>
  <si>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</si>
  <si>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</si>
  <si>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</si>
  <si>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</si>
  <si>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</si>
  <si>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</si>
  <si>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</si>
  <si>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</si>
  <si>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</si>
  <si>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</si>
  <si>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</si>
  <si>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</si>
  <si>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</si>
  <si>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</si>
  <si>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</si>
  <si>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</si>
  <si>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</si>
  <si>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</si>
  <si>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</si>
  <si>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</si>
  <si>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</si>
  <si>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</si>
  <si>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</si>
  <si>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</si>
  <si>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</si>
  <si>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</si>
  <si>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</si>
  <si>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</si>
  <si>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</si>
  <si>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</si>
  <si>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</si>
  <si>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</si>
  <si>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</si>
  <si>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</si>
  <si>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</si>
  <si>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</si>
  <si>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</si>
  <si>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</si>
  <si>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</si>
  <si>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</si>
  <si>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</si>
  <si>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</si>
  <si>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</si>
  <si>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</si>
  <si>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</si>
  <si>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</si>
  <si>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</si>
  <si>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</si>
  <si>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</si>
  <si>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</si>
  <si>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</si>
  <si>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</si>
  <si>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</si>
  <si>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</si>
  <si>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</si>
  <si>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</si>
  <si>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</si>
  <si>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URL NO VÁLIDA</t>
  </si>
  <si>
    <t>template_label_ok</t>
  </si>
  <si>
    <t>OK</t>
  </si>
  <si>
    <t>CEART GO LEOR</t>
  </si>
  <si>
    <t>TINKAMA</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</si>
  <si>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</si>
  <si>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</si>
  <si>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</si>
  <si>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</si>
  <si>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</si>
  <si>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</si>
  <si>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</si>
  <si>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</si>
  <si>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</si>
  <si>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</si>
  <si>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</si>
  <si>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</si>
  <si>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</si>
  <si>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</si>
  <si>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</si>
  <si>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</si>
  <si>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</si>
  <si>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</si>
  <si>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</si>
  <si>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</si>
  <si>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</si>
  <si>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</si>
  <si>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</si>
  <si>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</si>
  <si>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</si>
  <si>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</si>
  <si>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</si>
  <si>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</si>
  <si>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</si>
  <si>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</si>
  <si>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</si>
  <si>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</si>
  <si>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</si>
  <si>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</si>
  <si>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</si>
  <si>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</si>
  <si>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</si>
  <si>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</si>
  <si>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</si>
  <si>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</si>
  <si>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</si>
  <si>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</si>
  <si>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</si>
  <si>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</si>
  <si>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</si>
  <si>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</si>
  <si>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</si>
  <si>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</si>
  <si>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</si>
  <si>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</si>
  <si>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</si>
  <si>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</si>
  <si>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</si>
  <si>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</si>
  <si>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</si>
  <si>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</si>
  <si>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</si>
  <si>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</si>
  <si>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</si>
  <si>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</si>
  <si>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</si>
  <si>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</si>
  <si>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</si>
  <si>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</si>
  <si>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</si>
  <si>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</si>
  <si>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</si>
  <si>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</si>
  <si>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</si>
  <si>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</si>
  <si>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</si>
  <si>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</si>
  <si>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</si>
  <si>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</si>
  <si>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</si>
  <si>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</si>
  <si>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</si>
  <si>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</si>
  <si>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</si>
  <si>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</si>
  <si>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</si>
  <si>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</si>
  <si>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</si>
  <si>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</si>
  <si>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</si>
  <si>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</si>
  <si>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</si>
  <si>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</si>
  <si>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</si>
  <si>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</si>
  <si>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</si>
  <si>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</si>
  <si>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</si>
  <si>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</si>
  <si>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</si>
  <si>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</si>
  <si>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</si>
  <si>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</si>
  <si>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</si>
  <si>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</si>
  <si>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</si>
  <si>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</si>
  <si>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</si>
  <si>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</si>
  <si>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</si>
  <si>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</si>
  <si>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</si>
  <si>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</si>
  <si>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</si>
  <si>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</si>
  <si>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</si>
  <si>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</si>
  <si>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</si>
  <si>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</si>
  <si>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</si>
  <si>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</si>
  <si>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</si>
  <si>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</si>
  <si>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</si>
  <si>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</si>
  <si>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</si>
  <si>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</si>
  <si>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</si>
  <si>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</si>
  <si>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</si>
  <si>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</si>
  <si>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</si>
  <si>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</si>
  <si>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</si>
  <si>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</si>
  <si>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</si>
  <si>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</si>
  <si>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</si>
  <si>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</si>
  <si>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</si>
  <si>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</si>
  <si>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</si>
  <si>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</si>
  <si>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</si>
  <si>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</si>
  <si>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</si>
  <si>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</si>
  <si>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</si>
  <si>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</si>
  <si>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</si>
  <si>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</si>
  <si>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</si>
  <si>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</si>
  <si>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</si>
  <si>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</si>
  <si>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</si>
  <si>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</si>
  <si>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</si>
  <si>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</si>
  <si>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</si>
  <si>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</si>
  <si>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</si>
  <si>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</si>
  <si>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</si>
  <si>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</si>
  <si>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</si>
  <si>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</si>
  <si>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</si>
  <si>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</si>
  <si>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</si>
  <si>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</si>
  <si>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</si>
  <si>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</si>
  <si>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</si>
  <si>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</si>
  <si>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</si>
  <si>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</si>
  <si>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</si>
  <si>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</si>
  <si>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</si>
  <si>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</si>
  <si>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</si>
  <si>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</si>
  <si>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</si>
  <si>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</si>
  <si>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</si>
  <si>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</si>
  <si>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</si>
  <si>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</si>
  <si>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</si>
  <si>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</si>
  <si>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</si>
  <si>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</si>
  <si>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</si>
  <si>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</si>
  <si>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</si>
  <si>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</si>
  <si>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</si>
  <si>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</si>
  <si>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</si>
  <si>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</si>
  <si>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</si>
  <si>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</si>
  <si>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</si>
  <si>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</si>
  <si>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</si>
  <si>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</si>
  <si>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</si>
  <si>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</si>
  <si>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</si>
  <si>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</si>
  <si>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</si>
  <si>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</si>
  <si>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</si>
  <si>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</si>
  <si>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</si>
  <si>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</si>
  <si>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</si>
  <si>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</si>
  <si>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</si>
  <si>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</si>
  <si>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</si>
  <si>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</si>
  <si>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</si>
  <si>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</si>
  <si>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</si>
  <si>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</si>
  <si>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</si>
  <si>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</si>
  <si>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</si>
  <si>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</si>
  <si>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</si>
  <si>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</si>
  <si>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</si>
  <si>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</si>
  <si>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</si>
  <si>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</si>
  <si>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</si>
  <si>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</si>
  <si>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</si>
  <si>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</si>
  <si>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</si>
  <si>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</si>
  <si>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</si>
  <si>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</si>
  <si>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</si>
  <si>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</si>
  <si>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</si>
  <si>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</si>
  <si>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</si>
  <si>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</si>
  <si>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</si>
  <si>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</si>
  <si>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</si>
  <si>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</si>
  <si>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</si>
  <si>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</si>
  <si>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</si>
  <si>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</si>
  <si>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VSME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</si>
  <si>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</si>
  <si>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</si>
  <si>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</si>
  <si>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</si>
  <si>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</si>
  <si>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</si>
  <si>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</si>
  <si>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</si>
  <si>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</si>
  <si>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</si>
  <si>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</si>
  <si>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</si>
  <si>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</si>
  <si>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</si>
  <si>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</si>
  <si>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</si>
  <si>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</si>
  <si>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</si>
  <si>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</si>
  <si>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</si>
  <si>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</si>
  <si>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ADVERTENCIA: La plantilla digital fue desarrollada y probada usando Microsoft Excel 365. La funcionalidad puede ser limitada o incorrecta al utilizar otras aplicaciones de hojas de cálculo o versiones anteriores de Excel.</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</si>
  <si>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</si>
  <si>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</si>
  <si>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</si>
  <si>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</si>
  <si>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</si>
  <si>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</si>
  <si>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</si>
  <si>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</si>
  <si>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</si>
  <si>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</si>
  <si>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</si>
  <si>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</si>
  <si>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</si>
  <si>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</si>
  <si>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</si>
  <si>
    <t>Disclosure of any other general and or entity specific information on the reporting period</t>
  </si>
  <si>
    <t>Disclosure of any other environmental and or entity specific environmental disclosures</t>
  </si>
  <si>
    <t>Disclosure of any other social and or entity specific social disclosures</t>
  </si>
  <si>
    <t>Disclosure of any other governance and or entity specific governance disclosures</t>
  </si>
  <si>
    <t>B6 - Samlede Vandudtag</t>
  </si>
  <si>
    <t>B7 - Rifiuti generati</t>
  </si>
  <si>
    <t>B6 - Vandforbrug</t>
  </si>
  <si>
    <t>B6 - Extracción de agua</t>
  </si>
  <si>
    <t>Liosta de nochtaí fágtha ar lár a mheastar a bheith faoi rún nó ina bhfaisnéis íogair</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</si>
  <si>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</si>
  <si>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</si>
  <si>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</si>
  <si>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</si>
  <si>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</si>
  <si>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</si>
  <si>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</si>
  <si>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Divulgación de cualquier otra divulgación ambiental y/o ambiental específica de la entidad</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</si>
  <si>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</si>
  <si>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</si>
  <si>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</si>
  <si>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</si>
  <si>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</si>
  <si>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</si>
  <si>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</si>
  <si>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</si>
  <si>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</si>
  <si>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Divulgación de cualquier otra información general y/o específica de la entidad</t>
  </si>
  <si>
    <t>Rapportage van alle andere governance en/of entiteitsspecifieke governance rapportages</t>
  </si>
  <si>
    <t>Publication de toute autre information de gouvernance et/ ou spécifique à l'entité</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</si>
  <si>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</si>
  <si>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</si>
  <si>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</si>
  <si>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</si>
  <si>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</si>
  <si>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Divulgación de cualquier otra información de gobernanza y/o específica de la entidad</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</si>
  <si>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</si>
  <si>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</si>
  <si>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</si>
  <si>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</si>
  <si>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</si>
  <si>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</si>
  <si>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</si>
  <si>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</si>
  <si>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Divulgación de cualquier otra información social y/o divulgaciones sociales específicas de la entidad</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</si>
  <si>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</si>
  <si>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</si>
  <si>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</si>
  <si>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</si>
  <si>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</si>
  <si>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</si>
  <si>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</si>
  <si>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Praktyki, polityki i przyszłe inicjatywy na rzecz przejścia na bardziej zrównoważoną gospodarkę </t>
  </si>
  <si>
    <t xml:space="preserve">B2 — Práticas, políticas e iniciativas futuras para a transição para uma economia mais sustentável </t>
  </si>
  <si>
    <t xml:space="preserve">B2 – Prácticas, políticas e iniciativas futuras para la transición hacia una economía más sostenible </t>
  </si>
  <si>
    <t xml:space="preserve">B2 - Praktikos, politikos ir būsimos iniciatyvos pereinant prie tvaresnės ekonomikos </t>
  </si>
  <si>
    <t>B2 - Praktikos, politikos ir būsimos iniciatyvos pereinant prie tvaresnės ekonomikos</t>
  </si>
  <si>
    <t>English - Official [en]</t>
  </si>
  <si>
    <t>VSME Digital Template Sample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</si>
  <si>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</si>
  <si>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template_vsme_digital_template_sample</t>
  </si>
  <si>
    <t>template_disclaimer_cover_page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</si>
  <si>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</si>
  <si>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</si>
  <si>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</si>
  <si>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</si>
  <si>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</si>
  <si>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</si>
  <si>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</si>
  <si>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</si>
  <si>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</si>
  <si>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Ejemplo de plantilla digital VSME</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</si>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</sst>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i/>
      <sz val="80"/>
      <color theme="1"/>
      <name val="Aptos Narrow"/>
      <family val="2"/>
      <scheme val="minor"/>
    </font>
    <font>
      <sz val="24"/>
      <color theme="1"/>
      <name val="Aptos Narrow"/>
      <family val="2"/>
      <scheme val="minor"/>
    </font>
  </fonts>
  <fills count="25">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52">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7" borderId="67" xfId="0" applyFill="1" applyBorder="1"/>
    <xf numFmtId="0" fontId="0" fillId="7" borderId="87"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6"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6" fillId="21" borderId="2" xfId="0" applyFont="1" applyFill="1" applyBorder="1" applyAlignment="1">
      <alignment horizontal="left" vertical="center"/>
    </xf>
    <xf numFmtId="0" fontId="14" fillId="0" borderId="0" xfId="0" applyFont="1" applyAlignment="1">
      <alignment horizontal="center" vertical="center"/>
    </xf>
    <xf numFmtId="0" fontId="26" fillId="12"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3" borderId="2" xfId="0" applyFont="1" applyFill="1" applyBorder="1" applyAlignment="1">
      <alignment horizontal="left" vertical="center" wrapText="1"/>
    </xf>
    <xf numFmtId="0" fontId="18" fillId="0" borderId="0" xfId="0" applyFont="1" applyAlignment="1">
      <alignment vertical="center" wrapText="1"/>
    </xf>
    <xf numFmtId="0" fontId="27" fillId="19"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10" borderId="2" xfId="0" applyFont="1" applyFill="1" applyBorder="1" applyAlignment="1">
      <alignment horizontal="left" vertical="center" wrapText="1"/>
    </xf>
    <xf numFmtId="0" fontId="26"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9"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6" fillId="7" borderId="75" xfId="0" applyFont="1" applyFill="1" applyBorder="1"/>
    <xf numFmtId="0" fontId="2" fillId="7" borderId="0" xfId="0" applyFont="1" applyFill="1"/>
    <xf numFmtId="0" fontId="28"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166" fontId="0" fillId="13" borderId="56" xfId="0" applyNumberFormat="1" applyFill="1" applyBorder="1" applyAlignment="1">
      <alignment horizontal="center"/>
    </xf>
    <xf numFmtId="166" fontId="0" fillId="13" borderId="89" xfId="0" applyNumberFormat="1" applyFill="1" applyBorder="1" applyAlignment="1">
      <alignment horizontal="center"/>
    </xf>
    <xf numFmtId="166" fontId="0" fillId="13" borderId="49" xfId="0" applyNumberForma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88"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6" fillId="0" borderId="0" xfId="3" applyProtection="1">
      <protection locked="0"/>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88" xfId="0" applyFill="1" applyBorder="1" applyAlignment="1" applyProtection="1">
      <alignment horizontal="center"/>
      <protection locked="0"/>
    </xf>
    <xf numFmtId="0" fontId="0" fillId="16" borderId="36" xfId="0" applyFill="1" applyBorder="1" applyAlignment="1" applyProtection="1">
      <alignment horizontal="center"/>
      <protection locked="0"/>
    </xf>
    <xf numFmtId="166"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3" borderId="1" xfId="2" applyFont="1" applyFill="1" applyAlignment="1">
      <alignment horizontal="right" vertical="center"/>
    </xf>
    <xf numFmtId="0" fontId="10" fillId="0" borderId="18" xfId="0" applyFont="1" applyBorder="1" applyAlignment="1">
      <alignment horizontal="center" vertical="center" wrapText="1"/>
    </xf>
    <xf numFmtId="2" fontId="0" fillId="13" borderId="48" xfId="2" applyFont="1" applyFill="1" applyBorder="1" applyAlignment="1">
      <alignment horizontal="right" vertical="center"/>
    </xf>
    <xf numFmtId="9" fontId="1" fillId="13" borderId="51" xfId="1" applyFill="1" applyBorder="1" applyAlignment="1" applyProtection="1">
      <alignment horizontal="right"/>
    </xf>
    <xf numFmtId="9" fontId="0" fillId="7" borderId="66"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5"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4" fillId="19" borderId="30" xfId="0" applyFont="1" applyFill="1" applyBorder="1" applyAlignment="1">
      <alignment horizontal="left" vertical="center"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2" fillId="0" borderId="71" xfId="0" applyFont="1" applyBorder="1" applyAlignment="1">
      <alignment horizontal="center" vertical="center"/>
    </xf>
    <xf numFmtId="0" fontId="2" fillId="7" borderId="35" xfId="0" applyFont="1" applyFill="1" applyBorder="1" applyAlignment="1">
      <alignment horizontal="center" vertical="center"/>
    </xf>
    <xf numFmtId="0" fontId="2" fillId="7" borderId="71"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54" xfId="0" applyFont="1" applyFill="1" applyBorder="1" applyAlignment="1">
      <alignment horizontal="center" vertical="center"/>
    </xf>
    <xf numFmtId="0" fontId="33" fillId="6" borderId="62" xfId="0" applyFont="1" applyFill="1" applyBorder="1" applyAlignment="1">
      <alignment wrapText="1"/>
    </xf>
    <xf numFmtId="0" fontId="33" fillId="6" borderId="87" xfId="0" applyFont="1" applyFill="1" applyBorder="1" applyAlignment="1">
      <alignment wrapText="1"/>
    </xf>
    <xf numFmtId="0" fontId="2" fillId="6" borderId="67" xfId="0" applyFont="1" applyFill="1" applyBorder="1" applyAlignment="1">
      <alignment horizontal="center" vertical="center"/>
    </xf>
    <xf numFmtId="0" fontId="2" fillId="6" borderId="62" xfId="0" applyFont="1" applyFill="1" applyBorder="1" applyAlignment="1">
      <alignment horizontal="center" vertical="center"/>
    </xf>
    <xf numFmtId="0" fontId="0" fillId="6" borderId="62" xfId="0" applyFill="1" applyBorder="1"/>
    <xf numFmtId="0" fontId="0" fillId="6" borderId="59" xfId="0" applyFill="1" applyBorder="1"/>
    <xf numFmtId="0" fontId="0" fillId="0" borderId="50" xfId="0" applyBorder="1"/>
    <xf numFmtId="0" fontId="2" fillId="22" borderId="50"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26" fillId="22"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4" xfId="0" applyFont="1" applyFill="1" applyBorder="1" applyAlignment="1">
      <alignment horizontal="center" vertical="center"/>
    </xf>
    <xf numFmtId="0" fontId="33" fillId="0" borderId="87" xfId="0" applyFont="1" applyBorder="1" applyAlignment="1">
      <alignment horizontal="center" vertical="center"/>
    </xf>
    <xf numFmtId="0" fontId="2" fillId="7" borderId="87"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7" xfId="0" applyFont="1" applyBorder="1" applyAlignment="1">
      <alignment horizontal="center" vertical="center"/>
    </xf>
    <xf numFmtId="0" fontId="2" fillId="7" borderId="89" xfId="0" applyFont="1" applyFill="1" applyBorder="1" applyAlignment="1">
      <alignment horizontal="center" vertical="center"/>
    </xf>
    <xf numFmtId="0" fontId="2" fillId="6" borderId="87" xfId="0" applyFont="1" applyFill="1" applyBorder="1" applyAlignment="1">
      <alignment horizontal="center" vertical="center"/>
    </xf>
    <xf numFmtId="0" fontId="0" fillId="13" borderId="87" xfId="0" applyFill="1" applyBorder="1">
      <extLst>
        <ext xmlns:xfpb="http://schemas.microsoft.com/office/spreadsheetml/2022/featurepropertybag" uri="{C7286773-470A-42A8-94C5-96B5CB345126}">
          <xfpb:xfComplement i="0"/>
        </ext>
      </extLst>
    </xf>
    <xf numFmtId="0" fontId="0" fillId="7" borderId="87" xfId="0" applyFill="1" applyBorder="1" applyProtection="1">
      <protection locked="0"/>
      <extLst>
        <ext xmlns:xfpb="http://schemas.microsoft.com/office/spreadsheetml/2022/featurepropertybag" uri="{C7286773-470A-42A8-94C5-96B5CB345126}">
          <xfpb:xfComplement i="0"/>
        </ext>
      </extLst>
    </xf>
    <xf numFmtId="0" fontId="0" fillId="6" borderId="67" xfId="0" applyFill="1" applyBorder="1" applyProtection="1">
      <protection locked="0"/>
    </xf>
    <xf numFmtId="0" fontId="0" fillId="7" borderId="74" xfId="0" applyFill="1" applyBorder="1" applyProtection="1">
      <protection locked="0"/>
      <extLst>
        <ext xmlns:xfpb="http://schemas.microsoft.com/office/spreadsheetml/2022/featurepropertybag" uri="{C7286773-470A-42A8-94C5-96B5CB345126}">
          <xfpb:xfComplement i="0"/>
        </ext>
      </extLst>
    </xf>
    <xf numFmtId="0" fontId="2" fillId="0" borderId="0" xfId="0" applyFont="1" applyAlignment="1">
      <alignment horizontal="left" vertical="center" wrapText="1"/>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3" borderId="62" xfId="0" applyFont="1" applyFill="1" applyBorder="1" applyAlignment="1">
      <alignment horizontal="center" vertical="center"/>
    </xf>
    <xf numFmtId="0" fontId="2" fillId="23" borderId="87" xfId="0" applyFont="1" applyFill="1" applyBorder="1" applyAlignment="1">
      <alignment horizontal="center" vertical="center"/>
    </xf>
    <xf numFmtId="0" fontId="2" fillId="23" borderId="59" xfId="0" applyFont="1" applyFill="1" applyBorder="1" applyAlignment="1">
      <alignment horizontal="center" vertical="center"/>
    </xf>
    <xf numFmtId="0" fontId="2" fillId="23" borderId="74" xfId="0" applyFont="1" applyFill="1" applyBorder="1" applyAlignment="1">
      <alignment horizontal="center" vertical="center"/>
    </xf>
    <xf numFmtId="0" fontId="2" fillId="23" borderId="89" xfId="0" applyFont="1" applyFill="1" applyBorder="1" applyAlignment="1">
      <alignment horizontal="center" vertical="center"/>
    </xf>
    <xf numFmtId="0" fontId="2" fillId="23" borderId="67" xfId="0" applyFont="1" applyFill="1" applyBorder="1" applyAlignment="1">
      <alignment horizontal="center" vertical="center"/>
    </xf>
    <xf numFmtId="0" fontId="0" fillId="7" borderId="87" xfId="0" applyFill="1" applyBorder="1" applyAlignment="1">
      <alignment wrapText="1"/>
      <extLst>
        <ext xmlns:xfpb="http://schemas.microsoft.com/office/spreadsheetml/2022/featurepropertybag" uri="{C7286773-470A-42A8-94C5-96B5CB345126}">
          <xfpb:xfComplement i="0"/>
        </ext>
      </extLst>
    </xf>
    <xf numFmtId="0" fontId="0" fillId="7" borderId="87" xfId="0" applyFill="1" applyBorder="1">
      <extLst>
        <ext xmlns:xfpb="http://schemas.microsoft.com/office/spreadsheetml/2022/featurepropertybag" uri="{C7286773-470A-42A8-94C5-96B5CB345126}">
          <xfpb:xfComplement i="0"/>
        </ext>
      </extLst>
    </xf>
    <xf numFmtId="0" fontId="2" fillId="7" borderId="62" xfId="0" applyFont="1" applyFill="1" applyBorder="1" applyAlignment="1">
      <alignment horizontal="center" vertical="center"/>
    </xf>
    <xf numFmtId="0" fontId="0" fillId="7" borderId="62" xfId="0" applyFill="1" applyBorder="1"/>
    <xf numFmtId="0" fontId="0" fillId="7" borderId="59" xfId="0" applyFill="1" applyBorder="1"/>
    <xf numFmtId="0" fontId="0" fillId="7" borderId="67" xfId="0" applyFill="1" applyBorder="1" applyProtection="1">
      <protection locked="0"/>
    </xf>
    <xf numFmtId="0" fontId="0" fillId="13" borderId="51" xfId="0" applyFill="1" applyBorder="1" applyAlignment="1">
      <alignment horizontal="right" vertical="center" wrapText="1"/>
    </xf>
    <xf numFmtId="0" fontId="0" fillId="6" borderId="14" xfId="0" applyFill="1" applyBorder="1" applyAlignment="1" applyProtection="1">
      <alignment horizontal="left" vertical="top"/>
      <protection locked="0"/>
    </xf>
    <xf numFmtId="0" fontId="6" fillId="0" borderId="48" xfId="3" applyFill="1" applyBorder="1" applyAlignment="1">
      <alignment horizontal="center" vertical="center"/>
    </xf>
    <xf numFmtId="0" fontId="6" fillId="0" borderId="0" xfId="3" applyFill="1" applyProtection="1"/>
    <xf numFmtId="0" fontId="0" fillId="13" borderId="58" xfId="0" applyFill="1" applyBorder="1" applyAlignment="1">
      <alignment horizontal="right" vertical="center" wrapText="1"/>
    </xf>
    <xf numFmtId="0" fontId="10" fillId="0" borderId="46" xfId="0" applyFont="1" applyBorder="1" applyAlignment="1">
      <alignment horizontal="center"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34" fillId="7" borderId="49" xfId="0" applyFont="1" applyFill="1" applyBorder="1" applyAlignment="1">
      <alignment horizontal="center"/>
    </xf>
    <xf numFmtId="0" fontId="34" fillId="7" borderId="89" xfId="0" applyFont="1" applyFill="1" applyBorder="1" applyAlignment="1">
      <alignment horizontal="center"/>
    </xf>
    <xf numFmtId="0" fontId="34" fillId="0" borderId="89" xfId="0" quotePrefix="1" applyFont="1" applyBorder="1" applyAlignment="1">
      <alignment horizontal="center" wrapText="1"/>
    </xf>
    <xf numFmtId="0" fontId="0" fillId="0" borderId="57" xfId="0" applyBorder="1"/>
    <xf numFmtId="0" fontId="0" fillId="6" borderId="20" xfId="0"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0" fontId="40" fillId="0" borderId="87" xfId="0" applyFont="1" applyBorder="1" applyAlignment="1">
      <alignment horizontal="center" vertical="center"/>
    </xf>
    <xf numFmtId="0" fontId="41" fillId="7" borderId="15" xfId="0" applyFont="1" applyFill="1" applyBorder="1" applyAlignment="1">
      <alignment horizontal="center" vertical="center"/>
    </xf>
    <xf numFmtId="0" fontId="41" fillId="7" borderId="59" xfId="0" applyFont="1" applyFill="1" applyBorder="1" applyAlignment="1">
      <alignment horizontal="center" vertical="center"/>
    </xf>
    <xf numFmtId="0" fontId="41" fillId="0" borderId="59" xfId="0" quotePrefix="1" applyFont="1" applyBorder="1" applyAlignment="1">
      <alignment horizontal="center" vertical="center" wrapText="1"/>
    </xf>
    <xf numFmtId="0" fontId="2" fillId="7" borderId="25" xfId="0" applyFont="1" applyFill="1" applyBorder="1" applyAlignment="1">
      <alignment vertical="center" wrapText="1"/>
    </xf>
    <xf numFmtId="0" fontId="32" fillId="7" borderId="25" xfId="3" applyFont="1" applyFill="1" applyBorder="1" applyAlignment="1" applyProtection="1">
      <alignment horizontal="left" wrapText="1" indent="1"/>
    </xf>
    <xf numFmtId="0" fontId="0" fillId="6" borderId="87" xfId="0" applyFill="1" applyBorder="1" applyAlignment="1">
      <alignment horizontal="left" vertical="center"/>
    </xf>
    <xf numFmtId="0" fontId="32" fillId="7" borderId="25" xfId="3" quotePrefix="1" applyFont="1" applyFill="1" applyBorder="1" applyAlignment="1" applyProtection="1">
      <alignment horizontal="left" vertical="center" wrapText="1"/>
    </xf>
    <xf numFmtId="0" fontId="0" fillId="0" borderId="87"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7" borderId="8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2" fillId="7" borderId="25" xfId="3" quotePrefix="1" applyFont="1" applyFill="1" applyBorder="1" applyAlignment="1">
      <alignment horizontal="left" vertical="center" wrapText="1" indent="1"/>
    </xf>
    <xf numFmtId="0" fontId="32" fillId="7" borderId="25" xfId="3" applyFont="1" applyFill="1" applyBorder="1" applyAlignment="1" applyProtection="1">
      <alignment horizontal="left" vertical="center" wrapText="1" indent="1"/>
    </xf>
    <xf numFmtId="0" fontId="32" fillId="7" borderId="25" xfId="3" quotePrefix="1" applyFont="1" applyFill="1" applyBorder="1" applyAlignment="1" applyProtection="1">
      <alignment horizontal="left" vertical="center" wrapText="1" indent="1"/>
    </xf>
    <xf numFmtId="0" fontId="6" fillId="7" borderId="25" xfId="3" applyFill="1" applyBorder="1" applyAlignment="1" applyProtection="1">
      <alignment vertical="center" wrapText="1"/>
    </xf>
    <xf numFmtId="0" fontId="0" fillId="13" borderId="87" xfId="0" applyFill="1" applyBorder="1" applyAlignment="1">
      <alignment vertical="center"/>
      <extLst>
        <ext xmlns:xfpb="http://schemas.microsoft.com/office/spreadsheetml/2022/featurepropertybag" uri="{C7286773-470A-42A8-94C5-96B5CB345126}">
          <xfpb:xfComplement i="0"/>
        </ext>
      </extLst>
    </xf>
    <xf numFmtId="0" fontId="0" fillId="7" borderId="0" xfId="0" applyFill="1" applyAlignment="1">
      <alignment vertical="center"/>
    </xf>
    <xf numFmtId="0" fontId="0" fillId="13" borderId="87" xfId="0" applyFill="1" applyBorder="1" applyAlignment="1">
      <alignment vertical="center" wrapText="1"/>
      <extLst>
        <ext xmlns:xfpb="http://schemas.microsoft.com/office/spreadsheetml/2022/featurepropertybag" uri="{C7286773-470A-42A8-94C5-96B5CB345126}">
          <xfpb:xfComplement i="0"/>
        </ext>
      </extLst>
    </xf>
    <xf numFmtId="0" fontId="0" fillId="7" borderId="87"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25" xfId="0" applyFont="1" applyBorder="1" applyAlignment="1">
      <alignment vertical="center"/>
    </xf>
    <xf numFmtId="0" fontId="2" fillId="7" borderId="25" xfId="0" applyFont="1" applyFill="1" applyBorder="1" applyAlignment="1">
      <alignment vertical="center"/>
    </xf>
    <xf numFmtId="0" fontId="0" fillId="7" borderId="86" xfId="0" applyFill="1" applyBorder="1" applyAlignment="1">
      <alignment vertical="center" wrapText="1"/>
    </xf>
    <xf numFmtId="0" fontId="32" fillId="7" borderId="25" xfId="3" quotePrefix="1" applyFont="1" applyFill="1" applyBorder="1" applyAlignment="1">
      <alignment horizontal="left" wrapText="1"/>
    </xf>
    <xf numFmtId="0" fontId="6" fillId="7" borderId="25" xfId="3" quotePrefix="1" applyFill="1" applyBorder="1" applyAlignment="1" applyProtection="1">
      <alignment horizontal="left" vertical="center" wrapText="1"/>
    </xf>
    <xf numFmtId="0" fontId="6"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9"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9" fillId="0" borderId="22" xfId="0" applyFont="1" applyBorder="1" applyAlignment="1">
      <alignment horizontal="left" vertical="top" wrapText="1"/>
    </xf>
    <xf numFmtId="0" fontId="0" fillId="0" borderId="22" xfId="0" applyBorder="1" applyAlignment="1">
      <alignment wrapText="1"/>
    </xf>
    <xf numFmtId="0" fontId="38" fillId="0" borderId="0" xfId="0" applyFont="1" applyAlignment="1">
      <alignment wrapText="1"/>
    </xf>
    <xf numFmtId="0" fontId="38" fillId="0" borderId="0" xfId="0" applyFont="1" applyAlignment="1">
      <alignment vertical="center" wrapText="1"/>
    </xf>
    <xf numFmtId="0" fontId="0" fillId="0" borderId="18" xfId="0" applyBorder="1" applyAlignment="1">
      <alignment vertical="center" wrapText="1"/>
    </xf>
    <xf numFmtId="0" fontId="38" fillId="0" borderId="22" xfId="0" applyFont="1" applyBorder="1" applyAlignment="1">
      <alignment wrapText="1"/>
    </xf>
    <xf numFmtId="0" fontId="0" fillId="0" borderId="34" xfId="0" applyBorder="1" applyAlignment="1">
      <alignment wrapText="1"/>
    </xf>
    <xf numFmtId="0" fontId="0" fillId="0" borderId="34" xfId="0" quotePrefix="1" applyBorder="1" applyAlignment="1">
      <alignment horizontal="left" vertical="center" wrapText="1"/>
    </xf>
    <xf numFmtId="0" fontId="0" fillId="24" borderId="0" xfId="0" applyFill="1"/>
    <xf numFmtId="0" fontId="0" fillId="0" borderId="22" xfId="0" applyBorder="1" applyAlignment="1">
      <alignment vertical="center" wrapText="1"/>
    </xf>
    <xf numFmtId="0" fontId="42" fillId="7" borderId="28" xfId="0" applyFont="1" applyFill="1" applyBorder="1" applyAlignment="1">
      <alignment horizontal="center" vertical="center"/>
    </xf>
    <xf numFmtId="0" fontId="42" fillId="7" borderId="29" xfId="0" applyFont="1" applyFill="1" applyBorder="1" applyAlignment="1">
      <alignment horizontal="center" vertical="center"/>
    </xf>
    <xf numFmtId="0" fontId="42" fillId="7" borderId="31" xfId="0" applyFont="1" applyFill="1" applyBorder="1" applyAlignment="1">
      <alignment horizontal="center" vertical="center"/>
    </xf>
    <xf numFmtId="0" fontId="42" fillId="7" borderId="25" xfId="0" applyFont="1" applyFill="1" applyBorder="1" applyAlignment="1">
      <alignment horizontal="center" vertical="center"/>
    </xf>
    <xf numFmtId="0" fontId="42" fillId="7" borderId="0" xfId="0" applyFont="1" applyFill="1" applyAlignment="1">
      <alignment horizontal="center" vertical="center"/>
    </xf>
    <xf numFmtId="0" fontId="42" fillId="7" borderId="26" xfId="0" applyFont="1" applyFill="1" applyBorder="1" applyAlignment="1">
      <alignment horizontal="center" vertical="center"/>
    </xf>
    <xf numFmtId="0" fontId="42" fillId="7" borderId="45" xfId="0" applyFont="1" applyFill="1" applyBorder="1" applyAlignment="1">
      <alignment horizontal="center" vertical="center"/>
    </xf>
    <xf numFmtId="0" fontId="42" fillId="7" borderId="22" xfId="0" applyFont="1" applyFill="1" applyBorder="1" applyAlignment="1">
      <alignment horizontal="center" vertical="center"/>
    </xf>
    <xf numFmtId="0" fontId="42" fillId="7" borderId="23" xfId="0" applyFont="1" applyFill="1" applyBorder="1" applyAlignment="1">
      <alignment horizontal="center" vertical="center"/>
    </xf>
    <xf numFmtId="0" fontId="43" fillId="7" borderId="28" xfId="0" applyFont="1" applyFill="1" applyBorder="1" applyAlignment="1">
      <alignment horizontal="left" vertical="top" wrapText="1"/>
    </xf>
    <xf numFmtId="0" fontId="43" fillId="7" borderId="29" xfId="0" applyFont="1" applyFill="1" applyBorder="1" applyAlignment="1">
      <alignment horizontal="left" vertical="top" wrapText="1"/>
    </xf>
    <xf numFmtId="0" fontId="43" fillId="7" borderId="31" xfId="0" applyFont="1" applyFill="1" applyBorder="1" applyAlignment="1">
      <alignment horizontal="left" vertical="top" wrapText="1"/>
    </xf>
    <xf numFmtId="0" fontId="43" fillId="7" borderId="25" xfId="0" applyFont="1" applyFill="1" applyBorder="1" applyAlignment="1">
      <alignment horizontal="left" vertical="top" wrapText="1"/>
    </xf>
    <xf numFmtId="0" fontId="43" fillId="7" borderId="0" xfId="0" applyFont="1" applyFill="1" applyAlignment="1">
      <alignment horizontal="left" vertical="top" wrapText="1"/>
    </xf>
    <xf numFmtId="0" fontId="43" fillId="7" borderId="26" xfId="0" applyFont="1" applyFill="1" applyBorder="1" applyAlignment="1">
      <alignment horizontal="left" vertical="top" wrapText="1"/>
    </xf>
    <xf numFmtId="0" fontId="43" fillId="7" borderId="45" xfId="0" applyFont="1" applyFill="1" applyBorder="1" applyAlignment="1">
      <alignment horizontal="left" vertical="top" wrapText="1"/>
    </xf>
    <xf numFmtId="0" fontId="43" fillId="7" borderId="22" xfId="0" applyFont="1" applyFill="1" applyBorder="1" applyAlignment="1">
      <alignment horizontal="left" vertical="top" wrapText="1"/>
    </xf>
    <xf numFmtId="0" fontId="43" fillId="7" borderId="23" xfId="0" applyFont="1" applyFill="1" applyBorder="1" applyAlignment="1">
      <alignment horizontal="left" vertical="top" wrapText="1"/>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0" fontId="0" fillId="0" borderId="87" xfId="0" applyBorder="1" applyAlignment="1">
      <alignment horizontal="center" vertical="center" wrapText="1"/>
    </xf>
    <xf numFmtId="0" fontId="0" fillId="0" borderId="89" xfId="0" quotePrefix="1" applyBorder="1" applyAlignment="1">
      <alignment horizontal="center" vertical="center" wrapText="1"/>
    </xf>
    <xf numFmtId="0" fontId="0" fillId="7" borderId="87" xfId="0" applyFill="1" applyBorder="1" applyAlignment="1">
      <alignment horizontal="center" vertical="center"/>
    </xf>
    <xf numFmtId="0" fontId="0" fillId="7" borderId="89" xfId="0" applyFill="1" applyBorder="1" applyAlignment="1">
      <alignment horizontal="center" vertical="center"/>
    </xf>
    <xf numFmtId="0" fontId="6" fillId="0" borderId="1" xfId="3" applyFill="1" applyBorder="1" applyAlignment="1">
      <alignment horizontal="center" vertical="center"/>
    </xf>
    <xf numFmtId="0" fontId="0" fillId="0" borderId="0" xfId="0" applyAlignment="1">
      <alignment horizontal="left" vertical="center"/>
    </xf>
    <xf numFmtId="0" fontId="6" fillId="0" borderId="30" xfId="3" applyFill="1" applyBorder="1" applyAlignment="1">
      <alignment horizontal="center" vertical="center"/>
    </xf>
    <xf numFmtId="0" fontId="6" fillId="0" borderId="89" xfId="3"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6" borderId="37" xfId="0" applyFill="1" applyBorder="1" applyAlignment="1" applyProtection="1">
      <alignment horizontal="left" vertical="top" wrapText="1"/>
      <protection locked="0"/>
    </xf>
    <xf numFmtId="0" fontId="2" fillId="3" borderId="72" xfId="0" applyFont="1" applyFill="1" applyBorder="1" applyAlignment="1">
      <alignment horizontal="center" vertical="center"/>
    </xf>
    <xf numFmtId="0" fontId="2" fillId="3" borderId="71" xfId="0" applyFont="1" applyFill="1" applyBorder="1" applyAlignment="1">
      <alignment horizontal="center" vertical="center"/>
    </xf>
    <xf numFmtId="0" fontId="6" fillId="0" borderId="2" xfId="3"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19" xfId="0" applyFill="1" applyBorder="1" applyAlignment="1">
      <alignment horizontal="left"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 fillId="14" borderId="72"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2" fillId="12" borderId="72" xfId="0" applyFont="1" applyFill="1" applyBorder="1" applyAlignment="1">
      <alignment horizontal="center" vertical="center"/>
    </xf>
    <xf numFmtId="0" fontId="2" fillId="12" borderId="71" xfId="0" applyFont="1" applyFill="1" applyBorder="1" applyAlignment="1">
      <alignment horizontal="center" vertical="center"/>
    </xf>
    <xf numFmtId="0" fontId="6" fillId="0" borderId="18" xfId="3" applyFill="1" applyBorder="1" applyAlignment="1">
      <alignment horizontal="center" vertical="center"/>
    </xf>
    <xf numFmtId="0" fontId="2" fillId="3" borderId="72" xfId="0" applyFont="1" applyFill="1" applyBorder="1" applyAlignment="1">
      <alignment horizontal="center"/>
    </xf>
    <xf numFmtId="0" fontId="0" fillId="0" borderId="52" xfId="0" applyBorder="1" applyAlignment="1">
      <alignment horizontal="left" vertical="center"/>
    </xf>
    <xf numFmtId="0" fontId="0" fillId="6" borderId="18" xfId="0" applyFill="1" applyBorder="1" applyAlignment="1">
      <alignment vertical="center"/>
    </xf>
    <xf numFmtId="14" fontId="1" fillId="13" borderId="20"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1" fontId="1" fillId="0" borderId="1" xfId="2" applyNumberFormat="1" applyFill="1" applyAlignment="1" applyProtection="1">
      <alignment horizontal="center"/>
      <protection locked="0"/>
    </xf>
    <xf numFmtId="0" fontId="2" fillId="3" borderId="33" xfId="0" applyFont="1" applyFill="1" applyBorder="1" applyAlignment="1">
      <alignment horizontal="center"/>
    </xf>
    <xf numFmtId="0" fontId="2" fillId="3" borderId="71" xfId="0" applyFont="1" applyFill="1" applyBorder="1" applyAlignment="1">
      <alignment horizontal="center"/>
    </xf>
    <xf numFmtId="0" fontId="0" fillId="6" borderId="52" xfId="0" applyFill="1" applyBorder="1" applyAlignment="1">
      <alignment horizontal="left" vertical="center" wrapText="1"/>
    </xf>
    <xf numFmtId="0" fontId="2" fillId="0" borderId="0" xfId="0" applyFont="1" applyAlignment="1">
      <alignment horizontal="center" vertical="center" wrapText="1"/>
    </xf>
    <xf numFmtId="0" fontId="0" fillId="0" borderId="52"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22" xfId="0" applyBorder="1" applyAlignment="1">
      <alignment horizontal="center" vertical="center" wrapText="1"/>
    </xf>
    <xf numFmtId="0" fontId="2" fillId="15" borderId="72" xfId="0" applyFont="1" applyFill="1" applyBorder="1" applyAlignment="1">
      <alignment horizontal="center"/>
    </xf>
    <xf numFmtId="0" fontId="0" fillId="0" borderId="32" xfId="0" applyBorder="1" applyAlignment="1">
      <alignment horizontal="left" vertical="top" wrapText="1"/>
    </xf>
    <xf numFmtId="0" fontId="2" fillId="21" borderId="33" xfId="0" applyFont="1" applyFill="1" applyBorder="1" applyAlignment="1">
      <alignment horizontal="center"/>
    </xf>
    <xf numFmtId="0" fontId="2" fillId="21" borderId="71"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6" fillId="0" borderId="25" xfId="3" applyFill="1" applyBorder="1" applyAlignment="1">
      <alignment horizontal="center" vertical="center"/>
    </xf>
    <xf numFmtId="0" fontId="6" fillId="0" borderId="87" xfId="3" applyFill="1" applyBorder="1" applyAlignment="1">
      <alignment horizontal="center" vertical="center"/>
    </xf>
    <xf numFmtId="0" fontId="0" fillId="0" borderId="6" xfId="0" applyBorder="1" applyAlignment="1" applyProtection="1">
      <alignment horizontal="center"/>
      <protection locked="0"/>
    </xf>
    <xf numFmtId="2" fontId="0" fillId="7" borderId="20"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1" fontId="0" fillId="0" borderId="1" xfId="2" applyNumberFormat="1" applyFont="1" applyFill="1" applyAlignment="1" applyProtection="1">
      <alignment horizontal="center"/>
      <protection locked="0"/>
    </xf>
    <xf numFmtId="0" fontId="0" fillId="0" borderId="11" xfId="0" applyBorder="1" applyAlignment="1">
      <alignment horizontal="center" vertical="center" wrapText="1"/>
    </xf>
    <xf numFmtId="0" fontId="0" fillId="0" borderId="18" xfId="0" applyBorder="1" applyAlignment="1">
      <alignment horizontal="center" vertical="center"/>
    </xf>
    <xf numFmtId="0" fontId="6" fillId="0" borderId="41" xfId="3" applyBorder="1" applyAlignment="1">
      <alignment horizontal="center" wrapText="1"/>
    </xf>
    <xf numFmtId="0" fontId="2" fillId="4" borderId="33"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4" fillId="19" borderId="18" xfId="0" applyFont="1" applyFill="1" applyBorder="1" applyAlignment="1">
      <alignment horizontal="left" vertical="center" wrapText="1"/>
    </xf>
    <xf numFmtId="0" fontId="6" fillId="0" borderId="25" xfId="3" applyFill="1" applyBorder="1" applyAlignment="1">
      <alignment horizontal="center"/>
    </xf>
    <xf numFmtId="0" fontId="6" fillId="0" borderId="0" xfId="3" applyFill="1" applyBorder="1" applyAlignment="1">
      <alignment horizontal="center"/>
    </xf>
    <xf numFmtId="0" fontId="6" fillId="0" borderId="26" xfId="3" applyFill="1" applyBorder="1" applyAlignment="1">
      <alignment horizontal="center"/>
    </xf>
    <xf numFmtId="0" fontId="6" fillId="0" borderId="46" xfId="3" applyBorder="1" applyAlignment="1">
      <alignment horizontal="center" vertical="center"/>
    </xf>
    <xf numFmtId="0" fontId="6" fillId="0" borderId="55" xfId="3" applyBorder="1" applyAlignment="1">
      <alignment horizontal="center" vertical="center"/>
    </xf>
    <xf numFmtId="0" fontId="6" fillId="0" borderId="43" xfId="3" applyBorder="1" applyAlignment="1">
      <alignment horizontal="center" vertical="center"/>
    </xf>
    <xf numFmtId="0" fontId="10" fillId="0" borderId="46"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43" xfId="0" applyFont="1" applyBorder="1" applyAlignment="1">
      <alignment horizontal="center" vertical="center" wrapText="1"/>
    </xf>
    <xf numFmtId="0" fontId="2" fillId="3" borderId="34" xfId="0" applyFont="1" applyFill="1" applyBorder="1" applyAlignment="1">
      <alignment horizontal="center"/>
    </xf>
    <xf numFmtId="0" fontId="2" fillId="3" borderId="35" xfId="0" applyFont="1" applyFill="1" applyBorder="1" applyAlignment="1">
      <alignment horizontal="center"/>
    </xf>
    <xf numFmtId="0" fontId="4" fillId="19" borderId="30" xfId="0" applyFont="1" applyFill="1" applyBorder="1" applyAlignment="1">
      <alignment horizontal="left" vertical="center"/>
    </xf>
    <xf numFmtId="0" fontId="4" fillId="19" borderId="6" xfId="0" applyFont="1" applyFill="1" applyBorder="1" applyAlignment="1">
      <alignment horizontal="left" vertical="center"/>
    </xf>
    <xf numFmtId="0" fontId="0" fillId="19"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0" fontId="4" fillId="19" borderId="10"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1" xfId="3" applyFill="1" applyBorder="1" applyAlignment="1">
      <alignment horizontal="center" vertical="center"/>
    </xf>
    <xf numFmtId="0" fontId="0" fillId="6" borderId="1" xfId="0" applyFill="1" applyBorder="1" applyAlignment="1" applyProtection="1">
      <alignment horizontal="center"/>
      <protection locked="0"/>
    </xf>
    <xf numFmtId="0" fontId="39" fillId="0" borderId="0" xfId="0" applyFont="1" applyAlignment="1">
      <alignment horizontal="center"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6"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4"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3" xfId="0" applyNumberFormat="1" applyFill="1" applyBorder="1" applyAlignment="1">
      <alignment horizontal="right"/>
    </xf>
    <xf numFmtId="2" fontId="0" fillId="13" borderId="20" xfId="0" applyNumberFormat="1" applyFill="1" applyBorder="1" applyAlignment="1">
      <alignment horizontal="right"/>
    </xf>
    <xf numFmtId="2" fontId="0" fillId="6" borderId="1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14" xfId="0" applyNumberFormat="1" applyFill="1" applyBorder="1" applyAlignment="1">
      <alignment horizontal="right"/>
    </xf>
    <xf numFmtId="2" fontId="0" fillId="13" borderId="1" xfId="2" applyFont="1" applyFill="1" applyAlignment="1">
      <alignment horizontal="right" vertical="center"/>
    </xf>
    <xf numFmtId="2" fontId="0" fillId="13" borderId="11" xfId="2" applyFont="1" applyFill="1" applyBorder="1" applyAlignment="1">
      <alignment horizontal="right" vertical="center"/>
    </xf>
    <xf numFmtId="2" fontId="0" fillId="13" borderId="48" xfId="2" applyFont="1" applyFill="1" applyBorder="1" applyAlignment="1">
      <alignment horizontal="right" vertical="center"/>
    </xf>
    <xf numFmtId="2" fontId="0" fillId="13" borderId="51" xfId="2" applyFont="1" applyFill="1" applyBorder="1" applyAlignment="1">
      <alignment horizontal="right" vertical="center"/>
    </xf>
    <xf numFmtId="0" fontId="25" fillId="19" borderId="4" xfId="0" applyFont="1" applyFill="1" applyBorder="1" applyAlignment="1">
      <alignment horizontal="center" wrapText="1"/>
    </xf>
    <xf numFmtId="0" fontId="25" fillId="19" borderId="1"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0"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20" xfId="0" applyFill="1" applyBorder="1" applyAlignment="1" applyProtection="1">
      <alignment horizontal="center"/>
      <protection locked="0"/>
    </xf>
    <xf numFmtId="0" fontId="2" fillId="3" borderId="61" xfId="0" applyFont="1" applyFill="1" applyBorder="1" applyAlignment="1">
      <alignment horizontal="center"/>
    </xf>
    <xf numFmtId="0" fontId="2" fillId="3" borderId="63" xfId="0"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2" fillId="4" borderId="72" xfId="0" applyFont="1" applyFill="1" applyBorder="1" applyAlignment="1">
      <alignment horizontal="center" vertical="center"/>
    </xf>
    <xf numFmtId="0" fontId="2" fillId="4" borderId="71" xfId="0" applyFont="1" applyFill="1" applyBorder="1" applyAlignment="1">
      <alignment horizontal="center" vertical="center"/>
    </xf>
    <xf numFmtId="0" fontId="2" fillId="3" borderId="61" xfId="0" applyFont="1" applyFill="1" applyBorder="1" applyAlignment="1">
      <alignment horizontal="center" vertical="center"/>
    </xf>
    <xf numFmtId="0" fontId="2" fillId="3" borderId="63" xfId="0" applyFont="1" applyFill="1" applyBorder="1" applyAlignment="1">
      <alignment horizontal="center" vertical="center"/>
    </xf>
    <xf numFmtId="0" fontId="2" fillId="4" borderId="90" xfId="0" applyFont="1" applyFill="1" applyBorder="1" applyAlignment="1">
      <alignment horizontal="center" vertical="center"/>
    </xf>
    <xf numFmtId="0" fontId="2" fillId="4" borderId="61" xfId="0" applyFont="1" applyFill="1" applyBorder="1" applyAlignment="1">
      <alignment horizontal="center" vertical="center"/>
    </xf>
    <xf numFmtId="0" fontId="2" fillId="4" borderId="63" xfId="0" applyFont="1" applyFill="1" applyBorder="1" applyAlignment="1">
      <alignment horizontal="center" vertical="center"/>
    </xf>
    <xf numFmtId="0" fontId="0" fillId="0" borderId="19" xfId="0" applyBorder="1" applyAlignment="1">
      <alignment horizontal="left"/>
    </xf>
    <xf numFmtId="0" fontId="0" fillId="0" borderId="20"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6" fillId="0" borderId="4" xfId="3" applyFill="1" applyBorder="1" applyAlignment="1">
      <alignment horizontal="center" vertical="center"/>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6" fillId="0" borderId="8" xfId="3" applyFill="1" applyBorder="1" applyAlignment="1">
      <alignment horizontal="center" vertical="center"/>
    </xf>
    <xf numFmtId="0" fontId="0" fillId="19"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80" xfId="0" applyFont="1" applyFill="1" applyBorder="1" applyAlignment="1">
      <alignment horizontal="center"/>
    </xf>
    <xf numFmtId="0" fontId="4" fillId="7" borderId="84" xfId="0" applyFont="1" applyFill="1" applyBorder="1" applyAlignment="1">
      <alignment horizontal="center"/>
    </xf>
    <xf numFmtId="0" fontId="4" fillId="7" borderId="66" xfId="0" applyFont="1" applyFill="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4" fillId="19" borderId="11" xfId="0" applyFont="1" applyFill="1" applyBorder="1" applyAlignment="1">
      <alignment horizontal="left" vertical="center"/>
    </xf>
    <xf numFmtId="0" fontId="2" fillId="0" borderId="11" xfId="0" applyFont="1" applyBorder="1" applyAlignment="1">
      <alignment horizontal="center" vertical="center"/>
    </xf>
    <xf numFmtId="0" fontId="2" fillId="13" borderId="1" xfId="2" applyNumberFormat="1" applyFont="1" applyFill="1" applyAlignment="1">
      <alignment horizontal="center"/>
    </xf>
    <xf numFmtId="0" fontId="2" fillId="13" borderId="11" xfId="2" applyNumberFormat="1" applyFont="1" applyFill="1" applyBorder="1" applyAlignment="1">
      <alignment horizontal="center"/>
    </xf>
    <xf numFmtId="0" fontId="0" fillId="0" borderId="1"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72"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3"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9" borderId="30"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0" fontId="0" fillId="6" borderId="18"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xf>
    <xf numFmtId="0" fontId="13" fillId="6" borderId="11" xfId="0" applyFont="1" applyFill="1" applyBorder="1" applyAlignment="1" applyProtection="1">
      <alignment horizontal="center" vertical="center"/>
      <protection locked="0"/>
    </xf>
    <xf numFmtId="0" fontId="0" fillId="6" borderId="6"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170" fontId="0" fillId="13" borderId="1" xfId="2" applyNumberFormat="1" applyFont="1" applyFill="1" applyAlignment="1">
      <alignment horizontal="right"/>
    </xf>
    <xf numFmtId="170" fontId="0" fillId="13" borderId="1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20" xfId="2" applyNumberFormat="1" applyFont="1" applyFill="1" applyBorder="1" applyAlignment="1">
      <alignment horizontal="right"/>
    </xf>
    <xf numFmtId="170" fontId="0" fillId="13" borderId="14" xfId="2" applyNumberFormat="1" applyFont="1" applyFill="1" applyBorder="1" applyAlignment="1">
      <alignment horizontal="right"/>
    </xf>
    <xf numFmtId="0" fontId="6" fillId="6" borderId="1" xfId="3" applyFill="1" applyBorder="1" applyAlignment="1" applyProtection="1">
      <alignment horizontal="center"/>
      <protection locked="0"/>
    </xf>
    <xf numFmtId="0" fontId="4" fillId="19" borderId="1" xfId="0" applyFont="1" applyFill="1" applyBorder="1" applyAlignment="1">
      <alignment horizontal="left" vertical="center" wrapText="1"/>
    </xf>
    <xf numFmtId="0" fontId="6" fillId="0" borderId="7" xfId="3" applyFill="1" applyBorder="1" applyAlignment="1">
      <alignment horizontal="center" vertical="center"/>
    </xf>
    <xf numFmtId="0" fontId="6" fillId="0" borderId="9" xfId="3" applyFill="1" applyBorder="1" applyAlignment="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0" fillId="6" borderId="19" xfId="0" applyFill="1" applyBorder="1" applyAlignment="1" applyProtection="1">
      <alignment horizontal="center"/>
      <protection locked="0"/>
    </xf>
    <xf numFmtId="0" fontId="0" fillId="6" borderId="14"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0" fillId="0" borderId="6" xfId="0" applyBorder="1" applyAlignment="1" applyProtection="1">
      <alignment vertical="center" wrapText="1"/>
      <protection locked="0"/>
    </xf>
    <xf numFmtId="2" fontId="0" fillId="13" borderId="4" xfId="2" applyFont="1" applyFill="1" applyBorder="1" applyAlignment="1">
      <alignment horizontal="right" vertical="center"/>
    </xf>
    <xf numFmtId="2" fontId="0" fillId="13" borderId="53"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2" xfId="0" applyFont="1" applyFill="1" applyBorder="1" applyAlignment="1">
      <alignment horizontal="center"/>
    </xf>
    <xf numFmtId="0" fontId="2" fillId="4" borderId="61" xfId="0" applyFont="1" applyFill="1" applyBorder="1" applyAlignment="1">
      <alignment horizontal="center"/>
    </xf>
    <xf numFmtId="0" fontId="2" fillId="4" borderId="63" xfId="0" applyFont="1" applyFill="1" applyBorder="1" applyAlignment="1">
      <alignment horizontal="center"/>
    </xf>
    <xf numFmtId="0" fontId="2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8" xfId="3" applyFont="1" applyFill="1" applyBorder="1" applyAlignment="1" applyProtection="1">
      <alignment horizontal="center" vertical="center" wrapText="1"/>
    </xf>
    <xf numFmtId="0" fontId="7" fillId="0" borderId="1" xfId="3" applyFont="1" applyFill="1" applyBorder="1" applyAlignment="1" applyProtection="1">
      <alignment horizontal="center" vertical="center" wrapText="1"/>
    </xf>
    <xf numFmtId="0" fontId="7" fillId="0" borderId="11" xfId="3" applyFont="1" applyFill="1" applyBorder="1" applyAlignment="1" applyProtection="1">
      <alignment horizontal="center" vertical="center" wrapText="1"/>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6" fillId="0" borderId="56" xfId="3" applyBorder="1" applyAlignment="1">
      <alignment horizontal="center" wrapText="1"/>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2" fillId="7" borderId="0" xfId="0" applyFont="1" applyFill="1" applyAlignment="1">
      <alignment horizontal="center" vertical="center"/>
    </xf>
    <xf numFmtId="2" fontId="0" fillId="13" borderId="1" xfId="0" applyNumberFormat="1" applyFill="1" applyBorder="1" applyAlignment="1">
      <alignment horizontal="right" wrapText="1"/>
    </xf>
    <xf numFmtId="2" fontId="0" fillId="13" borderId="11" xfId="0" applyNumberFormat="1" applyFill="1" applyBorder="1" applyAlignment="1">
      <alignment horizontal="right"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10" fillId="19" borderId="18" xfId="3" applyFont="1" applyFill="1" applyBorder="1" applyAlignment="1" applyProtection="1">
      <alignment horizontal="center" vertical="center" wrapText="1"/>
    </xf>
    <xf numFmtId="0" fontId="37" fillId="19" borderId="1" xfId="3" applyFont="1" applyFill="1" applyBorder="1" applyAlignment="1" applyProtection="1">
      <alignment horizontal="center" vertical="center" wrapText="1"/>
    </xf>
    <xf numFmtId="2" fontId="9" fillId="6" borderId="1"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0" xfId="0" applyNumberFormat="1" applyFill="1" applyBorder="1" applyAlignment="1">
      <alignment horizontal="right" vertical="center"/>
    </xf>
    <xf numFmtId="10" fontId="0" fillId="13" borderId="14" xfId="0" applyNumberFormat="1" applyFill="1" applyBorder="1" applyAlignment="1">
      <alignment horizontal="right"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2" xfId="0" applyFont="1" applyFill="1" applyBorder="1" applyAlignment="1">
      <alignment horizontal="center" wrapText="1"/>
    </xf>
    <xf numFmtId="0" fontId="2" fillId="3" borderId="61" xfId="0" applyFont="1" applyFill="1" applyBorder="1" applyAlignment="1">
      <alignment horizontal="center" wrapText="1"/>
    </xf>
    <xf numFmtId="0" fontId="2" fillId="3" borderId="63" xfId="0" applyFont="1" applyFill="1" applyBorder="1" applyAlignment="1">
      <alignment horizontal="center" wrapText="1"/>
    </xf>
    <xf numFmtId="0" fontId="0" fillId="0" borderId="50" xfId="0" applyBorder="1" applyAlignment="1" applyProtection="1">
      <alignment horizontal="center" vertical="center" wrapText="1"/>
      <protection locked="0"/>
    </xf>
    <xf numFmtId="0" fontId="0" fillId="0" borderId="85"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7" fillId="8" borderId="1" xfId="0" applyFont="1" applyFill="1" applyBorder="1" applyAlignment="1">
      <alignment horizontal="center" vertical="center" wrapText="1"/>
    </xf>
    <xf numFmtId="0" fontId="7"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2" xfId="0" applyFont="1" applyFill="1" applyBorder="1" applyAlignment="1">
      <alignment horizontal="center" wrapText="1"/>
    </xf>
    <xf numFmtId="0" fontId="2" fillId="4" borderId="61" xfId="0" applyFont="1" applyFill="1" applyBorder="1" applyAlignment="1">
      <alignment horizontal="center" wrapText="1"/>
    </xf>
    <xf numFmtId="0" fontId="2" fillId="4" borderId="63" xfId="0" applyFont="1" applyFill="1" applyBorder="1" applyAlignment="1">
      <alignment horizontal="center" wrapText="1"/>
    </xf>
    <xf numFmtId="0" fontId="0" fillId="0" borderId="43"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8"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11" xfId="0" applyFont="1" applyFill="1" applyBorder="1" applyAlignment="1">
      <alignment horizontal="center" vertical="center" wrapText="1"/>
    </xf>
    <xf numFmtId="2" fontId="0" fillId="13" borderId="19"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7" borderId="25" xfId="0" applyFont="1" applyFill="1" applyBorder="1" applyAlignment="1">
      <alignment horizontal="center" vertical="center"/>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0" borderId="49" xfId="0" applyFont="1" applyBorder="1" applyAlignment="1">
      <alignment horizontal="left" vertical="center"/>
    </xf>
    <xf numFmtId="0" fontId="2" fillId="0" borderId="41" xfId="0" applyFont="1" applyBorder="1" applyAlignment="1">
      <alignment horizontal="left" vertical="center"/>
    </xf>
    <xf numFmtId="0" fontId="2" fillId="0" borderId="56" xfId="0" applyFont="1" applyBorder="1" applyAlignment="1">
      <alignment horizontal="left" vertical="center"/>
    </xf>
    <xf numFmtId="0" fontId="0" fillId="0" borderId="57" xfId="0" applyBorder="1" applyAlignment="1">
      <alignment horizontal="left" vertical="center" wrapText="1"/>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31" fillId="7" borderId="0" xfId="0" applyFont="1" applyFill="1" applyAlignment="1">
      <alignment horizontal="left" wrapText="1"/>
    </xf>
    <xf numFmtId="0" fontId="0" fillId="7" borderId="0" xfId="0" applyFill="1"/>
    <xf numFmtId="0" fontId="35"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0" fillId="0" borderId="87" xfId="0" quotePrefix="1" applyBorder="1" applyAlignment="1">
      <alignment horizontal="center" vertical="center" wrapText="1"/>
    </xf>
    <xf numFmtId="0" fontId="0" fillId="0" borderId="89" xfId="0" applyBorder="1" applyAlignment="1">
      <alignment horizontal="center" vertical="center" wrapText="1"/>
    </xf>
  </cellXfs>
  <cellStyles count="4">
    <cellStyle name="Auto-Calculated-Cells" xfId="2" xr:uid="{4E8529B9-507C-4B39-B503-553D51545A9E}"/>
    <cellStyle name="Hyperlink" xfId="3" builtinId="8"/>
    <cellStyle name="Normal" xfId="0" builtinId="0"/>
    <cellStyle name="Percent" xfId="1" builtinId="5"/>
  </cellStyles>
  <dxfs count="407">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4744235</xdr:colOff>
      <xdr:row>8</xdr:row>
      <xdr:rowOff>130175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41</xdr:row>
      <xdr:rowOff>158162</xdr:rowOff>
    </xdr:from>
    <xdr:to>
      <xdr:col>1</xdr:col>
      <xdr:colOff>627581</xdr:colOff>
      <xdr:row>43</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37</xdr:row>
      <xdr:rowOff>47625</xdr:rowOff>
    </xdr:from>
    <xdr:to>
      <xdr:col>1</xdr:col>
      <xdr:colOff>2421976</xdr:colOff>
      <xdr:row>37</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400</xdr:row>
      <xdr:rowOff>1025237</xdr:rowOff>
    </xdr:from>
    <xdr:to>
      <xdr:col>7</xdr:col>
      <xdr:colOff>2628900</xdr:colOff>
      <xdr:row>400</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400</xdr:row>
      <xdr:rowOff>989215</xdr:rowOff>
    </xdr:from>
    <xdr:to>
      <xdr:col>7</xdr:col>
      <xdr:colOff>2724150</xdr:colOff>
      <xdr:row>401</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534</xdr:row>
      <xdr:rowOff>12699</xdr:rowOff>
    </xdr:from>
    <xdr:to>
      <xdr:col>7</xdr:col>
      <xdr:colOff>6200323</xdr:colOff>
      <xdr:row>541</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543</xdr:row>
      <xdr:rowOff>35831</xdr:rowOff>
    </xdr:from>
    <xdr:to>
      <xdr:col>7</xdr:col>
      <xdr:colOff>6192158</xdr:colOff>
      <xdr:row>550</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551</xdr:row>
      <xdr:rowOff>178707</xdr:rowOff>
    </xdr:from>
    <xdr:to>
      <xdr:col>7</xdr:col>
      <xdr:colOff>6213930</xdr:colOff>
      <xdr:row>559</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535</xdr:row>
      <xdr:rowOff>154214</xdr:rowOff>
    </xdr:from>
    <xdr:to>
      <xdr:col>4</xdr:col>
      <xdr:colOff>1841500</xdr:colOff>
      <xdr:row>539</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544</xdr:row>
      <xdr:rowOff>121557</xdr:rowOff>
    </xdr:from>
    <xdr:to>
      <xdr:col>4</xdr:col>
      <xdr:colOff>1863271</xdr:colOff>
      <xdr:row>548</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401</xdr:row>
      <xdr:rowOff>1025237</xdr:rowOff>
    </xdr:from>
    <xdr:to>
      <xdr:col>7</xdr:col>
      <xdr:colOff>2628900</xdr:colOff>
      <xdr:row>401</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401</xdr:row>
      <xdr:rowOff>400049</xdr:rowOff>
    </xdr:from>
    <xdr:to>
      <xdr:col>7</xdr:col>
      <xdr:colOff>895350</xdr:colOff>
      <xdr:row>401</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2-01/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47/d" TargetMode="External"/><Relationship Id="rId18" Type="http://schemas.openxmlformats.org/officeDocument/2006/relationships/hyperlink" Target="https://knowledgehub.efrag.org/eng/interactive/vsme/vsme-standard-annex-i/2025-07-30-ec-rec/10" TargetMode="External"/><Relationship Id="rId26" Type="http://schemas.openxmlformats.org/officeDocument/2006/relationships/hyperlink" Target="https://knowledgehub.efrag.org/eng/interactive/vsme/vsme-standard-annex-i/2025-07-30-ec-rec/24/e/v" TargetMode="External"/><Relationship Id="rId39" Type="http://schemas.openxmlformats.org/officeDocument/2006/relationships/drawing" Target="../drawings/drawing2.xml"/><Relationship Id="rId21" Type="http://schemas.openxmlformats.org/officeDocument/2006/relationships/hyperlink" Target="https://knowledgehub.efrag.org/eng/interactive/vsme/vsme-standard-annex-i/2025-07-30-ec-rec/24/c" TargetMode="External"/><Relationship Id="rId34" Type="http://schemas.openxmlformats.org/officeDocument/2006/relationships/hyperlink" Target="https://knowledgehub.efrag.org/eng/interactive/vsme/vsme-guidance-annex-ii/2025-07-30-ec-rec/7" TargetMode="External"/><Relationship Id="rId7" Type="http://schemas.openxmlformats.org/officeDocument/2006/relationships/hyperlink" Target="https://knowledgehub.efrag.org/eng/interactive/vsme/vsme-standard-annex-i/2025-07-30-ec-rec/15" TargetMode="External"/><Relationship Id="rId12" Type="http://schemas.openxmlformats.org/officeDocument/2006/relationships/hyperlink" Target="https://knowledgehub.efrag.org/eng/interactive/vsme/vsme-standard-annex-i/2025-07-30-ec-rec/47/c" TargetMode="External"/><Relationship Id="rId17" Type="http://schemas.openxmlformats.org/officeDocument/2006/relationships/hyperlink" Target="https://knowledgehub.efrag.org/eng/interactive/vsme/vsme-guidance-annex-ii/2025-07-30-ec-rec/148" TargetMode="External"/><Relationship Id="rId25" Type="http://schemas.openxmlformats.org/officeDocument/2006/relationships/hyperlink" Target="https://knowledgehub.efrag.org/eng/interactive/vsme/vsme-standard-annex-i/2025-07-30-ec-rec/24/e/iv" TargetMode="External"/><Relationship Id="rId33" Type="http://schemas.openxmlformats.org/officeDocument/2006/relationships/hyperlink" Target="https://knowledgehub.efrag.org/eng/interactive/vsme/vsme-guidance-annex-ii/2025-07-30-ec-rec/7" TargetMode="External"/><Relationship Id="rId38" Type="http://schemas.openxmlformats.org/officeDocument/2006/relationships/printerSettings" Target="../printerSettings/printerSettings2.bin"/><Relationship Id="rId2" Type="http://schemas.openxmlformats.org/officeDocument/2006/relationships/hyperlink" Target="https://knowledgehub.efrag.org/eng/interactive/vsme/vsme-standard-annex-i/2025-07-30-ec-rec/24/d" TargetMode="External"/><Relationship Id="rId16" Type="http://schemas.openxmlformats.org/officeDocument/2006/relationships/hyperlink" Target="https://knowledgehub.efrag.org/eng/interactive/vsme/vsme-guidance-annex-ii/2025-07-30-ec-rec/149" TargetMode="External"/><Relationship Id="rId20" Type="http://schemas.openxmlformats.org/officeDocument/2006/relationships/hyperlink" Target="https://knowledgehub.efrag.org/eng/interactive/vsme/vsme-standard-annex-i/2025-07-30-ec-rec/24/b" TargetMode="External"/><Relationship Id="rId29" Type="http://schemas.openxmlformats.org/officeDocument/2006/relationships/hyperlink" Target="https://knowledgehub.efrag.org/eng/interactive/vsme/vsme-guidance-annex-ii/2025-07-30-ec-rec/14"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standard-annex-i/2025-07-30-ec-rec/26" TargetMode="External"/><Relationship Id="rId11" Type="http://schemas.openxmlformats.org/officeDocument/2006/relationships/hyperlink" Target="https://knowledgehub.efrag.org/eng/interactive/vsme/vsme-standard-annex-i/2025-07-30-ec-rec/47/b" TargetMode="External"/><Relationship Id="rId24" Type="http://schemas.openxmlformats.org/officeDocument/2006/relationships/hyperlink" Target="https://knowledgehub.efrag.org/eng/interactive/vsme/vsme-standard-annex-i/2025-07-30-ec-rec/24/e/iii" TargetMode="External"/><Relationship Id="rId32" Type="http://schemas.openxmlformats.org/officeDocument/2006/relationships/hyperlink" Target="https://knowledgehub.efrag.org/eng/interactive/vsme/vsme-guidance-annex-ii/2025-07-30-ec-rec/7" TargetMode="External"/><Relationship Id="rId37" Type="http://schemas.openxmlformats.org/officeDocument/2006/relationships/hyperlink" Target="https://www.efrag.org/en/vsme-supporting-guide-on-disclosure-c2-comprehensive-module-practices-policies-and-future" TargetMode="External"/><Relationship Id="rId5" Type="http://schemas.openxmlformats.org/officeDocument/2006/relationships/hyperlink" Target="https://knowledgehub.efrag.org/eng/interactive/vsme/vsme-standard-annex-i/2025-07-30-ec-rec/24/e/vii" TargetMode="External"/><Relationship Id="rId15" Type="http://schemas.openxmlformats.org/officeDocument/2006/relationships/hyperlink" Target="https://knowledgehub.efrag.org/eng/interactive/vsme/vsme-guidance-annex-ii/2025-07-30-ec-rec/149" TargetMode="External"/><Relationship Id="rId23" Type="http://schemas.openxmlformats.org/officeDocument/2006/relationships/hyperlink" Target="https://knowledgehub.efrag.org/eng/interactive/vsme/vsme-standard-annex-i/2025-07-30-ec-rec/24/e/ii" TargetMode="External"/><Relationship Id="rId28" Type="http://schemas.openxmlformats.org/officeDocument/2006/relationships/hyperlink" Target="https://knowledgehub.efrag.org/eng/interactive/vsme/vsme-standard-annex-i/2025-07-30-ec-rec/24/e/vi" TargetMode="External"/><Relationship Id="rId36" Type="http://schemas.openxmlformats.org/officeDocument/2006/relationships/hyperlink" Target="https://knowledgehub.efrag.org/eng/interactive/vsme/vsme-guidance-annex-ii/2025-07-30-ec-rec/9" TargetMode="External"/><Relationship Id="rId10" Type="http://schemas.openxmlformats.org/officeDocument/2006/relationships/hyperlink" Target="https://knowledgehub.efrag.org/eng/interactive/vsme/vsme-standard-annex-i/2025-07-30-ec-rec/47/a" TargetMode="External"/><Relationship Id="rId19" Type="http://schemas.openxmlformats.org/officeDocument/2006/relationships/hyperlink" Target="https://knowledgehub.efrag.org/eng/interactive/vsme/vsme-standard-annex-i/2025-07-30-ec-rec/24/a" TargetMode="External"/><Relationship Id="rId31" Type="http://schemas.openxmlformats.org/officeDocument/2006/relationships/hyperlink" Target="https://knowledgehub.efrag.org/eng/interactive/vsme/vsme-guidance-annex-ii/2025-07-30-ec-rec/5" TargetMode="External"/><Relationship Id="rId4" Type="http://schemas.openxmlformats.org/officeDocument/2006/relationships/hyperlink" Target="https://knowledgehub.efrag.org/eng/interactive/vsme/vsme-standard-annex-i/2025-07-30-ec-rec/13" TargetMode="External"/><Relationship Id="rId9" Type="http://schemas.openxmlformats.org/officeDocument/2006/relationships/hyperlink" Target="https://knowledgehub.efrag.org/eng/interactive/vsme/vsme-standard-annex-i/2025-07-30-ec-rec/49" TargetMode="External"/><Relationship Id="rId14" Type="http://schemas.openxmlformats.org/officeDocument/2006/relationships/hyperlink" Target="https://knowledgehub.efrag.org/eng/interactive/vsme/vsme-guidance-annex-ii/2025-07-30-ec-rec/149" TargetMode="External"/><Relationship Id="rId22" Type="http://schemas.openxmlformats.org/officeDocument/2006/relationships/hyperlink" Target="https://knowledgehub.efrag.org/eng/interactive/vsme/vsme-standard-annex-i/2025-07-30-ec-rec/24/e/i" TargetMode="External"/><Relationship Id="rId27" Type="http://schemas.openxmlformats.org/officeDocument/2006/relationships/hyperlink" Target="https://knowledgehub.efrag.org/eng/interactive/vsme/vsme-standard-annex-i/2025-07-30-ec-rec/24/e/v" TargetMode="External"/><Relationship Id="rId30" Type="http://schemas.openxmlformats.org/officeDocument/2006/relationships/hyperlink" Target="https://knowledgehub.efrag.org/eng/interactive/vsme/vsme-guidance-annex-ii/2025-07-30-ec-rec/4" TargetMode="External"/><Relationship Id="rId35" Type="http://schemas.openxmlformats.org/officeDocument/2006/relationships/hyperlink" Target="https://knowledgehub.efrag.org/eng/interactive/vsme/vsme-guidance-annex-ii/2025-07-30-ec-rec/9" TargetMode="External"/><Relationship Id="rId8" Type="http://schemas.openxmlformats.org/officeDocument/2006/relationships/hyperlink" Target="https://knowledgehub.efrag.org/eng/interactive/vsme/vsme-standard-annex-i/2025-07-30-ec-rec/48" TargetMode="External"/><Relationship Id="rId3" Type="http://schemas.openxmlformats.org/officeDocument/2006/relationships/hyperlink" Target="https://knowledgehub.efrag.org/eng/interactive/vsme/vsme-standard-annex-i/2025-07-30-ec-rec/25"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knowledgehub.efrag.org/eng/interactive/vsme/vsme-standard-annex-i/2025-07-30-ec-rec/55" TargetMode="External"/><Relationship Id="rId26" Type="http://schemas.openxmlformats.org/officeDocument/2006/relationships/hyperlink" Target="https://knowledgehub.efrag.org/eng/interactive/vsme/vsme-standard-annex-i/2025-07-30-ec-rec/31" TargetMode="External"/><Relationship Id="rId39" Type="http://schemas.openxmlformats.org/officeDocument/2006/relationships/hyperlink" Target="https://knowledgehub.efrag.org/eng/interactive/vsme/vsme-standard-annex-i/2025-07-30-ec-rec/38/a" TargetMode="External"/><Relationship Id="rId21" Type="http://schemas.openxmlformats.org/officeDocument/2006/relationships/hyperlink" Target="https://knowledgehub.efrag.org/eng/interactive/vsme/vsme-standard-annex-i/2025-07-30-ec-rec/56" TargetMode="External"/><Relationship Id="rId34" Type="http://schemas.openxmlformats.org/officeDocument/2006/relationships/hyperlink" Target="https://knowledgehub.efrag.org/eng/interactive/vsme/vsme-guidance-annex-ii/2025-07-30-ec-rec/77" TargetMode="External"/><Relationship Id="rId42" Type="http://schemas.openxmlformats.org/officeDocument/2006/relationships/hyperlink" Target="https://knowledgehub.efrag.org/eng/interactive/vsme/vsme-guidance-annex-ii/2025-07-30-ec-rec/108"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guidance-annex-ii/2025-07-30-ec-rec/164" TargetMode="External"/><Relationship Id="rId55" Type="http://schemas.openxmlformats.org/officeDocument/2006/relationships/printerSettings" Target="../printerSettings/printerSettings3.bin"/><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standard-annex-i/2025-07-30-ec-rec/33"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guidance-annex-ii/2025-07-30-ec-rec/74" TargetMode="External"/><Relationship Id="rId37" Type="http://schemas.openxmlformats.org/officeDocument/2006/relationships/hyperlink" Target="https://knowledgehub.efrag.org/eng/interactive/vsme/vsme-standard-annex-i/2025-07-30-ec-rec/37" TargetMode="External"/><Relationship Id="rId40" Type="http://schemas.openxmlformats.org/officeDocument/2006/relationships/hyperlink" Target="https://knowledgehub.efrag.org/eng/interactive/vsme/vsme-guidance-annex-ii/2025-07-30-ec-rec/95" TargetMode="External"/><Relationship Id="rId45" Type="http://schemas.openxmlformats.org/officeDocument/2006/relationships/hyperlink" Target="https://knowledgehub.efrag.org/eng/interactive/vsme/vsme-standard-annex-i/2025-07-30-ec-rec/57/c" TargetMode="External"/><Relationship Id="rId53" Type="http://schemas.openxmlformats.org/officeDocument/2006/relationships/hyperlink" Target="https://knowledgehub.efrag.org/eng/interactive/vsme/vsme-standard-annex-i/2025-07-30-ec-rec/10"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standard-annex-i/2025-07-30-ec-rec/34" TargetMode="External"/><Relationship Id="rId44" Type="http://schemas.openxmlformats.org/officeDocument/2006/relationships/hyperlink" Target="https://knowledgehub.efrag.org/eng/interactive/vsme/vsme-standard-annex-i/2025-07-30-ec-rec/57/b"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b4-pollution-of-air-water-and-soil" TargetMode="External"/><Relationship Id="rId30" Type="http://schemas.openxmlformats.org/officeDocument/2006/relationships/hyperlink" Target="https://knowledgehub.efrag.org/eng/interactive/vsme/vsme-guidance-annex-ii/2025-07-30-ec-rec/70" TargetMode="External"/><Relationship Id="rId35" Type="http://schemas.openxmlformats.org/officeDocument/2006/relationships/hyperlink" Target="https://knowledgehub.efrag.org/eng/interactive/vsme/vsme-standard-annex-i/2025-07-30-ec-rec/36" TargetMode="External"/><Relationship Id="rId43" Type="http://schemas.openxmlformats.org/officeDocument/2006/relationships/hyperlink" Target="https://knowledgehub.efrag.org/eng/interactive/vsme/vsme-standard-annex-i/2025-07-30-ec-rec/57/a" TargetMode="External"/><Relationship Id="rId48" Type="http://schemas.openxmlformats.org/officeDocument/2006/relationships/hyperlink" Target="https://knowledgehub.efrag.org/eng/interactive/vsme/vsme-guidance-annex-ii/2025-07-30-ec-rec/164" TargetMode="External"/><Relationship Id="rId56" Type="http://schemas.openxmlformats.org/officeDocument/2006/relationships/drawing" Target="../drawings/drawing3.xm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guidance-annex-ii/2025-07-30-ec-rec/160" TargetMode="External"/><Relationship Id="rId33" Type="http://schemas.openxmlformats.org/officeDocument/2006/relationships/hyperlink" Target="https://knowledgehub.efrag.org/eng/interactive/vsme/vsme-standard-annex-i/2025-07-30-ec-rec/35" TargetMode="External"/><Relationship Id="rId38" Type="http://schemas.openxmlformats.org/officeDocument/2006/relationships/hyperlink" Target="https://knowledgehub.efrag.org/eng/interactive/vsme/vsme-guidance-annex-ii/2025-07-30-ec-rec/94" TargetMode="External"/><Relationship Id="rId46" Type="http://schemas.openxmlformats.org/officeDocument/2006/relationships/hyperlink" Target="https://knowledgehub.efrag.org/eng/interactive/vsme/vsme-standard-annex-i/2025-07-30-ec-rec/57/d" TargetMode="External"/><Relationship Id="rId20" Type="http://schemas.openxmlformats.org/officeDocument/2006/relationships/hyperlink" Target="https://knowledgehub.efrag.org/eng/interactive/vsme/vsme-standard-annex-i/2025-07-30-ec-rec/55" TargetMode="External"/><Relationship Id="rId41" Type="http://schemas.openxmlformats.org/officeDocument/2006/relationships/hyperlink" Target="https://knowledgehub.efrag.org/eng/interactive/vsme/vsme-standard-annex-i/2025-07-30-ec-rec/38/c" TargetMode="External"/><Relationship Id="rId54" Type="http://schemas.openxmlformats.org/officeDocument/2006/relationships/hyperlink" Target="https://www.efrag.org/en/vsme-supporting-guide-on-disclosure-c3-comprehensive-module-ghg-reduction-targets-and-climate"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guidance-annex-ii/2025-07-30-ec-rec/160" TargetMode="External"/><Relationship Id="rId28" Type="http://schemas.openxmlformats.org/officeDocument/2006/relationships/hyperlink" Target="https://knowledgehub.efrag.org/eng/interactive/vsme/vsme-guidance-annex-ii/2025-07-30-ec-rec/46" TargetMode="External"/><Relationship Id="rId36" Type="http://schemas.openxmlformats.org/officeDocument/2006/relationships/hyperlink" Target="https://knowledgehub.efrag.org/eng/interactive/vsme/vsme-guidance-annex-ii/2025-07-30-ec-rec/77" TargetMode="External"/><Relationship Id="rId49" Type="http://schemas.openxmlformats.org/officeDocument/2006/relationships/hyperlink" Target="https://knowledgehub.efrag.org/eng/interactive/vsme/vsme-guidance-annex-ii/2025-07-30-ec-rec/16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standard-annex-i/2025-07-30-ec-rec/61/b" TargetMode="External"/><Relationship Id="rId63" Type="http://schemas.openxmlformats.org/officeDocument/2006/relationships/hyperlink" Target="https://knowledgehub.efrag.org/eng/interactive/vsme/vsme-guidance-annex-ii/2025-07-30-ec-rec/174" TargetMode="External"/><Relationship Id="rId68" Type="http://schemas.openxmlformats.org/officeDocument/2006/relationships/hyperlink" Target="https://knowledgehub.efrag.org/eng/interactive/vsme/vsme-guidance-annex-ii/2025-07-30-ec-rec/174" TargetMode="External"/><Relationship Id="rId84" Type="http://schemas.openxmlformats.org/officeDocument/2006/relationships/printerSettings" Target="../printerSettings/printerSettings4.bin"/><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67"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guidance-annex-ii/2025-07-30-ec-rec/173" TargetMode="External"/><Relationship Id="rId74" Type="http://schemas.openxmlformats.org/officeDocument/2006/relationships/hyperlink" Target="https://knowledgehub.efrag.org/eng/interactive/vsme/vsme-standard-annex-i/2025-07-30-ec-rec/62/a" TargetMode="External"/><Relationship Id="rId79" Type="http://schemas.openxmlformats.org/officeDocument/2006/relationships/hyperlink" Target="https://knowledgehub.efrag.org/eng/interactive/vsme/vsme-standard-annex-i/2025-07-30-ec-rec/62/b" TargetMode="External"/><Relationship Id="rId5" Type="http://schemas.openxmlformats.org/officeDocument/2006/relationships/hyperlink" Target="https://knowledgehub.efrag.org/eng/interactive/vsme/vsme-standard-annex-i/2025-07-30-ec-rec/39/c"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standard-annex-i/2025-07-30-ec-rec/42/b" TargetMode="External"/><Relationship Id="rId27" Type="http://schemas.openxmlformats.org/officeDocument/2006/relationships/hyperlink" Target="https://knowledgehub.efrag.org/eng/interactive/vsme/vsme-guidance-annex-ii/2025-07-30-ec-rec/129"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standard-annex-i/2025-07-30-ec-rec/61/b"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guidance-annex-ii/2025-07-30-ec-rec/173"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guidance-annex-ii/2025-07-30-ec-rec/174" TargetMode="External"/><Relationship Id="rId77" Type="http://schemas.openxmlformats.org/officeDocument/2006/relationships/hyperlink" Target="https://knowledgehub.efrag.org/eng/interactive/vsme/vsme-standard-annex-i/2025-07-30-ec-rec/62/a"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standard-annex-i/2025-07-30-ec-rec/62/a" TargetMode="External"/><Relationship Id="rId80" Type="http://schemas.openxmlformats.org/officeDocument/2006/relationships/hyperlink" Target="https://knowledgehub.efrag.org/eng/interactive/vsme/vsme-standard-annex-i/2025-07-30-ec-rec/62/c" TargetMode="External"/><Relationship Id="rId85" Type="http://schemas.openxmlformats.org/officeDocument/2006/relationships/drawing" Target="../drawings/drawing4.xm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standard-annex-i/2025-07-30-ec-rec/41/a" TargetMode="External"/><Relationship Id="rId17" Type="http://schemas.openxmlformats.org/officeDocument/2006/relationships/hyperlink" Target="https://knowledgehub.efrag.org/eng/interactive/vsme/vsme-guidance-annex-ii/2025-07-30-ec-rec/119" TargetMode="External"/><Relationship Id="rId25" Type="http://schemas.openxmlformats.org/officeDocument/2006/relationships/hyperlink" Target="https://knowledgehub.efrag.org/eng/interactive/vsme/vsme-guidance-annex-ii/2025-07-30-ec-rec/129" TargetMode="External"/><Relationship Id="rId33" Type="http://schemas.openxmlformats.org/officeDocument/2006/relationships/hyperlink" Target="https://knowledgehub.efrag.org/eng/interactive/vsme/vsme-standard-annex-i/2025-07-30-ec-rec/60" TargetMode="External"/><Relationship Id="rId38" Type="http://schemas.openxmlformats.org/officeDocument/2006/relationships/hyperlink" Target="https://knowledgehub.efrag.org/eng/interactive/vsme/vsme-guidance-annex-ii/2025-07-30-ec-rec/17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guidance-annex-ii/2025-07-30-ec-rec/174" TargetMode="External"/><Relationship Id="rId20" Type="http://schemas.openxmlformats.org/officeDocument/2006/relationships/hyperlink" Target="https://knowledgehub.efrag.org/eng/interactive/vsme/vsme-standard-annex-i/2025-07-30-ec-rec/42/b" TargetMode="External"/><Relationship Id="rId41" Type="http://schemas.openxmlformats.org/officeDocument/2006/relationships/hyperlink" Target="https://knowledgehub.efrag.org/eng/interactive/vsme/vsme-standard-annex-i/2025-07-30-ec-rec/61/b" TargetMode="External"/><Relationship Id="rId54" Type="http://schemas.openxmlformats.org/officeDocument/2006/relationships/hyperlink" Target="https://knowledgehub.efrag.org/eng/interactive/vsme/vsme-guidance-annex-ii/2025-07-30-ec-rec/173"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www.efrag.org/en/vsme-supporting-guide-to-disclosure-c7-comprehensive-module-severe-negative-human-rights-incidents"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guidance-annex-ii/2025-07-30-ec-rec/119" TargetMode="External"/><Relationship Id="rId23" Type="http://schemas.openxmlformats.org/officeDocument/2006/relationships/hyperlink" Target="https://knowledgehub.efrag.org/eng/interactive/vsme/vsme-standard-annex-i/2025-07-30-ec-rec/42/c"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guidance-annex-ii/2025-07-30-ec-rec/167" TargetMode="External"/><Relationship Id="rId49" Type="http://schemas.openxmlformats.org/officeDocument/2006/relationships/hyperlink" Target="https://knowledgehub.efrag.org/eng/interactive/vsme/vsme-standard-annex-i/2025-07-30-ec-rec/61/c"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standard-annex-i/2025-07-30-ec-rec/41/a" TargetMode="External"/><Relationship Id="rId31" Type="http://schemas.openxmlformats.org/officeDocument/2006/relationships/hyperlink" Target="https://knowledgehub.efrag.org/eng/interactive/vsme/vsme-standard-annex-i/2025-07-30-ec-rec/59"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guidance-annex-ii/2025-07-30-ec-rec/173" TargetMode="External"/><Relationship Id="rId60" Type="http://schemas.openxmlformats.org/officeDocument/2006/relationships/hyperlink" Target="https://knowledgehub.efrag.org/eng/interactive/vsme/vsme-guidance-annex-ii/2025-07-30-ec-rec/174" TargetMode="External"/><Relationship Id="rId65" Type="http://schemas.openxmlformats.org/officeDocument/2006/relationships/hyperlink" Target="https://knowledgehub.efrag.org/eng/interactive/vsme/vsme-guidance-annex-ii/2025-07-30-ec-rec/174"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standard-annex-i/2025-07-30-ec-rec/62/a"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b"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60" TargetMode="External"/><Relationship Id="rId50" Type="http://schemas.openxmlformats.org/officeDocument/2006/relationships/hyperlink" Target="https://knowledgehub.efrag.org/eng/interactive/vsme/vsme-guidance-annex-ii/2025-07-30-ec-rec/173"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standard-annex-i/2025-07-30-ec-rec/62/a"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7"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standard-annex-i/2025-07-30-ec-rec/61/b" TargetMode="External"/><Relationship Id="rId66" Type="http://schemas.openxmlformats.org/officeDocument/2006/relationships/hyperlink" Target="https://knowledgehub.efrag.org/eng/interactive/vsme/vsme-guidance-annex-ii/2025-07-30-ec-rec/174" TargetMode="External"/><Relationship Id="rId61" Type="http://schemas.openxmlformats.org/officeDocument/2006/relationships/hyperlink" Target="https://knowledgehub.efrag.org/eng/interactive/vsme/vsme-guidance-annex-ii/2025-07-30-ec-rec/174" TargetMode="External"/><Relationship Id="rId82" Type="http://schemas.openxmlformats.org/officeDocument/2006/relationships/hyperlink" Target="https://knowledgehub.efrag.org/eng/interactive/vsme/vsme-standard-annex-i/2025-07-30-ec-rec/1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knowledgehub.efrag.org/eng/interactive/vsme/vsme-standard-annex-i/2025-07-30-ec-rec/63/c" TargetMode="External"/><Relationship Id="rId13" Type="http://schemas.openxmlformats.org/officeDocument/2006/relationships/hyperlink" Target="https://knowledgehub.efrag.org/eng/interactive/vsme/vsme-standard-annex-i/2025-07-30-ec-rec/64" TargetMode="External"/><Relationship Id="rId18" Type="http://schemas.openxmlformats.org/officeDocument/2006/relationships/hyperlink" Target="https://knowledgehub.efrag.org/eng/interactive/vsme/vsme-guidance-annex-ii/2025-07-30-ec-rec/175"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guidance-annex-ii/2025-07-30-ec-rec/175"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standard-annex-i/2025-07-30-ec-rec/64" TargetMode="External"/><Relationship Id="rId17" Type="http://schemas.openxmlformats.org/officeDocument/2006/relationships/hyperlink" Target="https://knowledgehub.efrag.org/eng/interactive/vsme/vsme-guidance-annex-ii/2025-07-30-ec-rec/175" TargetMode="External"/><Relationship Id="rId25" Type="http://schemas.openxmlformats.org/officeDocument/2006/relationships/hyperlink" Target="https://knowledgehub.efrag.org/eng/interactive/vsme/vsme-guidance-annex-ii/2025-07-30-ec-rec/177/d"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5"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standard-annex-i/2025-07-30-ec-rec/63/c" TargetMode="External"/><Relationship Id="rId11" Type="http://schemas.openxmlformats.org/officeDocument/2006/relationships/hyperlink" Target="https://knowledgehub.efrag.org/eng/interactive/vsme/vsme-standard-annex-i/2025-07-30-ec-rec/64" TargetMode="External"/><Relationship Id="rId24" Type="http://schemas.openxmlformats.org/officeDocument/2006/relationships/hyperlink" Target="https://knowledgehub.efrag.org/eng/interactive/vsme/vsme-guidance-annex-ii/2025-07-30-ec-rec/177/c" TargetMode="External"/><Relationship Id="rId5" Type="http://schemas.openxmlformats.org/officeDocument/2006/relationships/hyperlink" Target="https://knowledgehub.efrag.org/eng/interactive/vsme/vsme-standard-annex-i/2025-07-30-ec-rec/63/c" TargetMode="External"/><Relationship Id="rId15" Type="http://schemas.openxmlformats.org/officeDocument/2006/relationships/hyperlink" Target="https://knowledgehub.efrag.org/eng/interactive/vsme/vsme-guidance-annex-ii/2025-07-30-ec-rec/175" TargetMode="External"/><Relationship Id="rId23" Type="http://schemas.openxmlformats.org/officeDocument/2006/relationships/hyperlink" Target="https://knowledgehub.efrag.org/eng/interactive/vsme/vsme-guidance-annex-ii/2025-07-30-ec-rec/177/b"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standard-annex-i/2025-07-30-ec-rec/64" TargetMode="External"/><Relationship Id="rId19" Type="http://schemas.openxmlformats.org/officeDocument/2006/relationships/hyperlink" Target="https://knowledgehub.efrag.org/eng/interactive/vsme/vsme-guidance-annex-ii/2025-07-30-ec-rec/175" TargetMode="External"/><Relationship Id="rId4" Type="http://schemas.openxmlformats.org/officeDocument/2006/relationships/hyperlink" Target="https://knowledgehub.efrag.org/eng/interactive/vsme/vsme-standard-annex-i/2025-07-30-ec-rec/63/b" TargetMode="External"/><Relationship Id="rId9" Type="http://schemas.openxmlformats.org/officeDocument/2006/relationships/hyperlink" Target="https://knowledgehub.efrag.org/eng/interactive/vsme/vsme-standard-annex-i/2025-07-30-ec-rec/63/d" TargetMode="External"/><Relationship Id="rId14" Type="http://schemas.openxmlformats.org/officeDocument/2006/relationships/hyperlink" Target="https://knowledgehub.efrag.org/eng/interactive/vsme/vsme-standard-annex-i/2025-07-30-ec-rec/64" TargetMode="External"/><Relationship Id="rId22" Type="http://schemas.openxmlformats.org/officeDocument/2006/relationships/hyperlink" Target="https://knowledgehub.efrag.org/eng/interactive/vsme/vsme-guidance-annex-ii/2025-07-30-ec-rec/177/a" TargetMode="External"/><Relationship Id="rId27" Type="http://schemas.openxmlformats.org/officeDocument/2006/relationships/hyperlink" Target="https://knowledgehub.efrag.org/eng/interactive/vsme/vsme-standard-annex-i/2025-07-30-ec-rec/65" TargetMode="External"/><Relationship Id="rId30"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0E42-697C-4EFB-8DCC-7B15A26E8E5C}">
  <dimension ref="B1:W32"/>
  <sheetViews>
    <sheetView workbookViewId="0"/>
  </sheetViews>
  <sheetFormatPr defaultColWidth="8.88671875" defaultRowHeight="14.4" x14ac:dyDescent="0.3"/>
  <cols>
    <col min="1" max="12" width="8.88671875" style="535"/>
    <col min="13" max="13" width="9.21875" style="535" customWidth="1"/>
    <col min="14" max="16384" width="8.88671875" style="535"/>
  </cols>
  <sheetData>
    <row r="1" spans="2:23" ht="15" thickBot="1" x14ac:dyDescent="0.35"/>
    <row r="2" spans="2:23" x14ac:dyDescent="0.3">
      <c r="B2" s="537" t="str">
        <f>template_vsme_digital_template_sample</f>
        <v>VSME Digital Template Sample</v>
      </c>
      <c r="C2" s="538"/>
      <c r="D2" s="538"/>
      <c r="E2" s="538"/>
      <c r="F2" s="538"/>
      <c r="G2" s="538"/>
      <c r="H2" s="538"/>
      <c r="I2" s="538"/>
      <c r="J2" s="538"/>
      <c r="K2" s="538"/>
      <c r="L2" s="538"/>
      <c r="M2" s="538"/>
      <c r="N2" s="538"/>
      <c r="O2" s="538"/>
      <c r="P2" s="538"/>
      <c r="Q2" s="538"/>
      <c r="R2" s="538"/>
      <c r="S2" s="538"/>
      <c r="T2" s="538"/>
      <c r="U2" s="538"/>
      <c r="V2" s="538"/>
      <c r="W2" s="539"/>
    </row>
    <row r="3" spans="2:23" x14ac:dyDescent="0.3">
      <c r="B3" s="540"/>
      <c r="C3" s="541"/>
      <c r="D3" s="541"/>
      <c r="E3" s="541"/>
      <c r="F3" s="541"/>
      <c r="G3" s="541"/>
      <c r="H3" s="541"/>
      <c r="I3" s="541"/>
      <c r="J3" s="541"/>
      <c r="K3" s="541"/>
      <c r="L3" s="541"/>
      <c r="M3" s="541"/>
      <c r="N3" s="541"/>
      <c r="O3" s="541"/>
      <c r="P3" s="541"/>
      <c r="Q3" s="541"/>
      <c r="R3" s="541"/>
      <c r="S3" s="541"/>
      <c r="T3" s="541"/>
      <c r="U3" s="541"/>
      <c r="V3" s="541"/>
      <c r="W3" s="542"/>
    </row>
    <row r="4" spans="2:23" x14ac:dyDescent="0.3">
      <c r="B4" s="540"/>
      <c r="C4" s="541"/>
      <c r="D4" s="541"/>
      <c r="E4" s="541"/>
      <c r="F4" s="541"/>
      <c r="G4" s="541"/>
      <c r="H4" s="541"/>
      <c r="I4" s="541"/>
      <c r="J4" s="541"/>
      <c r="K4" s="541"/>
      <c r="L4" s="541"/>
      <c r="M4" s="541"/>
      <c r="N4" s="541"/>
      <c r="O4" s="541"/>
      <c r="P4" s="541"/>
      <c r="Q4" s="541"/>
      <c r="R4" s="541"/>
      <c r="S4" s="541"/>
      <c r="T4" s="541"/>
      <c r="U4" s="541"/>
      <c r="V4" s="541"/>
      <c r="W4" s="542"/>
    </row>
    <row r="5" spans="2:23" x14ac:dyDescent="0.3">
      <c r="B5" s="540"/>
      <c r="C5" s="541"/>
      <c r="D5" s="541"/>
      <c r="E5" s="541"/>
      <c r="F5" s="541"/>
      <c r="G5" s="541"/>
      <c r="H5" s="541"/>
      <c r="I5" s="541"/>
      <c r="J5" s="541"/>
      <c r="K5" s="541"/>
      <c r="L5" s="541"/>
      <c r="M5" s="541"/>
      <c r="N5" s="541"/>
      <c r="O5" s="541"/>
      <c r="P5" s="541"/>
      <c r="Q5" s="541"/>
      <c r="R5" s="541"/>
      <c r="S5" s="541"/>
      <c r="T5" s="541"/>
      <c r="U5" s="541"/>
      <c r="V5" s="541"/>
      <c r="W5" s="542"/>
    </row>
    <row r="6" spans="2:23" x14ac:dyDescent="0.3">
      <c r="B6" s="540"/>
      <c r="C6" s="541"/>
      <c r="D6" s="541"/>
      <c r="E6" s="541"/>
      <c r="F6" s="541"/>
      <c r="G6" s="541"/>
      <c r="H6" s="541"/>
      <c r="I6" s="541"/>
      <c r="J6" s="541"/>
      <c r="K6" s="541"/>
      <c r="L6" s="541"/>
      <c r="M6" s="541"/>
      <c r="N6" s="541"/>
      <c r="O6" s="541"/>
      <c r="P6" s="541"/>
      <c r="Q6" s="541"/>
      <c r="R6" s="541"/>
      <c r="S6" s="541"/>
      <c r="T6" s="541"/>
      <c r="U6" s="541"/>
      <c r="V6" s="541"/>
      <c r="W6" s="542"/>
    </row>
    <row r="7" spans="2:23" x14ac:dyDescent="0.3">
      <c r="B7" s="540"/>
      <c r="C7" s="541"/>
      <c r="D7" s="541"/>
      <c r="E7" s="541"/>
      <c r="F7" s="541"/>
      <c r="G7" s="541"/>
      <c r="H7" s="541"/>
      <c r="I7" s="541"/>
      <c r="J7" s="541"/>
      <c r="K7" s="541"/>
      <c r="L7" s="541"/>
      <c r="M7" s="541"/>
      <c r="N7" s="541"/>
      <c r="O7" s="541"/>
      <c r="P7" s="541"/>
      <c r="Q7" s="541"/>
      <c r="R7" s="541"/>
      <c r="S7" s="541"/>
      <c r="T7" s="541"/>
      <c r="U7" s="541"/>
      <c r="V7" s="541"/>
      <c r="W7" s="542"/>
    </row>
    <row r="8" spans="2:23" x14ac:dyDescent="0.3">
      <c r="B8" s="540"/>
      <c r="C8" s="541"/>
      <c r="D8" s="541"/>
      <c r="E8" s="541"/>
      <c r="F8" s="541"/>
      <c r="G8" s="541"/>
      <c r="H8" s="541"/>
      <c r="I8" s="541"/>
      <c r="J8" s="541"/>
      <c r="K8" s="541"/>
      <c r="L8" s="541"/>
      <c r="M8" s="541"/>
      <c r="N8" s="541"/>
      <c r="O8" s="541"/>
      <c r="P8" s="541"/>
      <c r="Q8" s="541"/>
      <c r="R8" s="541"/>
      <c r="S8" s="541"/>
      <c r="T8" s="541"/>
      <c r="U8" s="541"/>
      <c r="V8" s="541"/>
      <c r="W8" s="542"/>
    </row>
    <row r="9" spans="2:23" x14ac:dyDescent="0.3">
      <c r="B9" s="540"/>
      <c r="C9" s="541"/>
      <c r="D9" s="541"/>
      <c r="E9" s="541"/>
      <c r="F9" s="541"/>
      <c r="G9" s="541"/>
      <c r="H9" s="541"/>
      <c r="I9" s="541"/>
      <c r="J9" s="541"/>
      <c r="K9" s="541"/>
      <c r="L9" s="541"/>
      <c r="M9" s="541"/>
      <c r="N9" s="541"/>
      <c r="O9" s="541"/>
      <c r="P9" s="541"/>
      <c r="Q9" s="541"/>
      <c r="R9" s="541"/>
      <c r="S9" s="541"/>
      <c r="T9" s="541"/>
      <c r="U9" s="541"/>
      <c r="V9" s="541"/>
      <c r="W9" s="542"/>
    </row>
    <row r="10" spans="2:23" x14ac:dyDescent="0.3">
      <c r="B10" s="540"/>
      <c r="C10" s="541"/>
      <c r="D10" s="541"/>
      <c r="E10" s="541"/>
      <c r="F10" s="541"/>
      <c r="G10" s="541"/>
      <c r="H10" s="541"/>
      <c r="I10" s="541"/>
      <c r="J10" s="541"/>
      <c r="K10" s="541"/>
      <c r="L10" s="541"/>
      <c r="M10" s="541"/>
      <c r="N10" s="541"/>
      <c r="O10" s="541"/>
      <c r="P10" s="541"/>
      <c r="Q10" s="541"/>
      <c r="R10" s="541"/>
      <c r="S10" s="541"/>
      <c r="T10" s="541"/>
      <c r="U10" s="541"/>
      <c r="V10" s="541"/>
      <c r="W10" s="542"/>
    </row>
    <row r="11" spans="2:23" x14ac:dyDescent="0.3">
      <c r="B11" s="540"/>
      <c r="C11" s="541"/>
      <c r="D11" s="541"/>
      <c r="E11" s="541"/>
      <c r="F11" s="541"/>
      <c r="G11" s="541"/>
      <c r="H11" s="541"/>
      <c r="I11" s="541"/>
      <c r="J11" s="541"/>
      <c r="K11" s="541"/>
      <c r="L11" s="541"/>
      <c r="M11" s="541"/>
      <c r="N11" s="541"/>
      <c r="O11" s="541"/>
      <c r="P11" s="541"/>
      <c r="Q11" s="541"/>
      <c r="R11" s="541"/>
      <c r="S11" s="541"/>
      <c r="T11" s="541"/>
      <c r="U11" s="541"/>
      <c r="V11" s="541"/>
      <c r="W11" s="542"/>
    </row>
    <row r="12" spans="2:23" x14ac:dyDescent="0.3">
      <c r="B12" s="540"/>
      <c r="C12" s="541"/>
      <c r="D12" s="541"/>
      <c r="E12" s="541"/>
      <c r="F12" s="541"/>
      <c r="G12" s="541"/>
      <c r="H12" s="541"/>
      <c r="I12" s="541"/>
      <c r="J12" s="541"/>
      <c r="K12" s="541"/>
      <c r="L12" s="541"/>
      <c r="M12" s="541"/>
      <c r="N12" s="541"/>
      <c r="O12" s="541"/>
      <c r="P12" s="541"/>
      <c r="Q12" s="541"/>
      <c r="R12" s="541"/>
      <c r="S12" s="541"/>
      <c r="T12" s="541"/>
      <c r="U12" s="541"/>
      <c r="V12" s="541"/>
      <c r="W12" s="542"/>
    </row>
    <row r="13" spans="2:23" x14ac:dyDescent="0.3">
      <c r="B13" s="540"/>
      <c r="C13" s="541"/>
      <c r="D13" s="541"/>
      <c r="E13" s="541"/>
      <c r="F13" s="541"/>
      <c r="G13" s="541"/>
      <c r="H13" s="541"/>
      <c r="I13" s="541"/>
      <c r="J13" s="541"/>
      <c r="K13" s="541"/>
      <c r="L13" s="541"/>
      <c r="M13" s="541"/>
      <c r="N13" s="541"/>
      <c r="O13" s="541"/>
      <c r="P13" s="541"/>
      <c r="Q13" s="541"/>
      <c r="R13" s="541"/>
      <c r="S13" s="541"/>
      <c r="T13" s="541"/>
      <c r="U13" s="541"/>
      <c r="V13" s="541"/>
      <c r="W13" s="542"/>
    </row>
    <row r="14" spans="2:23" x14ac:dyDescent="0.3">
      <c r="B14" s="540"/>
      <c r="C14" s="541"/>
      <c r="D14" s="541"/>
      <c r="E14" s="541"/>
      <c r="F14" s="541"/>
      <c r="G14" s="541"/>
      <c r="H14" s="541"/>
      <c r="I14" s="541"/>
      <c r="J14" s="541"/>
      <c r="K14" s="541"/>
      <c r="L14" s="541"/>
      <c r="M14" s="541"/>
      <c r="N14" s="541"/>
      <c r="O14" s="541"/>
      <c r="P14" s="541"/>
      <c r="Q14" s="541"/>
      <c r="R14" s="541"/>
      <c r="S14" s="541"/>
      <c r="T14" s="541"/>
      <c r="U14" s="541"/>
      <c r="V14" s="541"/>
      <c r="W14" s="542"/>
    </row>
    <row r="15" spans="2:23" x14ac:dyDescent="0.3">
      <c r="B15" s="540"/>
      <c r="C15" s="541"/>
      <c r="D15" s="541"/>
      <c r="E15" s="541"/>
      <c r="F15" s="541"/>
      <c r="G15" s="541"/>
      <c r="H15" s="541"/>
      <c r="I15" s="541"/>
      <c r="J15" s="541"/>
      <c r="K15" s="541"/>
      <c r="L15" s="541"/>
      <c r="M15" s="541"/>
      <c r="N15" s="541"/>
      <c r="O15" s="541"/>
      <c r="P15" s="541"/>
      <c r="Q15" s="541"/>
      <c r="R15" s="541"/>
      <c r="S15" s="541"/>
      <c r="T15" s="541"/>
      <c r="U15" s="541"/>
      <c r="V15" s="541"/>
      <c r="W15" s="542"/>
    </row>
    <row r="16" spans="2:23" x14ac:dyDescent="0.3">
      <c r="B16" s="540"/>
      <c r="C16" s="541"/>
      <c r="D16" s="541"/>
      <c r="E16" s="541"/>
      <c r="F16" s="541"/>
      <c r="G16" s="541"/>
      <c r="H16" s="541"/>
      <c r="I16" s="541"/>
      <c r="J16" s="541"/>
      <c r="K16" s="541"/>
      <c r="L16" s="541"/>
      <c r="M16" s="541"/>
      <c r="N16" s="541"/>
      <c r="O16" s="541"/>
      <c r="P16" s="541"/>
      <c r="Q16" s="541"/>
      <c r="R16" s="541"/>
      <c r="S16" s="541"/>
      <c r="T16" s="541"/>
      <c r="U16" s="541"/>
      <c r="V16" s="541"/>
      <c r="W16" s="542"/>
    </row>
    <row r="17" spans="2:23" x14ac:dyDescent="0.3">
      <c r="B17" s="540"/>
      <c r="C17" s="541"/>
      <c r="D17" s="541"/>
      <c r="E17" s="541"/>
      <c r="F17" s="541"/>
      <c r="G17" s="541"/>
      <c r="H17" s="541"/>
      <c r="I17" s="541"/>
      <c r="J17" s="541"/>
      <c r="K17" s="541"/>
      <c r="L17" s="541"/>
      <c r="M17" s="541"/>
      <c r="N17" s="541"/>
      <c r="O17" s="541"/>
      <c r="P17" s="541"/>
      <c r="Q17" s="541"/>
      <c r="R17" s="541"/>
      <c r="S17" s="541"/>
      <c r="T17" s="541"/>
      <c r="U17" s="541"/>
      <c r="V17" s="541"/>
      <c r="W17" s="542"/>
    </row>
    <row r="18" spans="2:23" x14ac:dyDescent="0.3">
      <c r="B18" s="540"/>
      <c r="C18" s="541"/>
      <c r="D18" s="541"/>
      <c r="E18" s="541"/>
      <c r="F18" s="541"/>
      <c r="G18" s="541"/>
      <c r="H18" s="541"/>
      <c r="I18" s="541"/>
      <c r="J18" s="541"/>
      <c r="K18" s="541"/>
      <c r="L18" s="541"/>
      <c r="M18" s="541"/>
      <c r="N18" s="541"/>
      <c r="O18" s="541"/>
      <c r="P18" s="541"/>
      <c r="Q18" s="541"/>
      <c r="R18" s="541"/>
      <c r="S18" s="541"/>
      <c r="T18" s="541"/>
      <c r="U18" s="541"/>
      <c r="V18" s="541"/>
      <c r="W18" s="542"/>
    </row>
    <row r="19" spans="2:23" x14ac:dyDescent="0.3">
      <c r="B19" s="540"/>
      <c r="C19" s="541"/>
      <c r="D19" s="541"/>
      <c r="E19" s="541"/>
      <c r="F19" s="541"/>
      <c r="G19" s="541"/>
      <c r="H19" s="541"/>
      <c r="I19" s="541"/>
      <c r="J19" s="541"/>
      <c r="K19" s="541"/>
      <c r="L19" s="541"/>
      <c r="M19" s="541"/>
      <c r="N19" s="541"/>
      <c r="O19" s="541"/>
      <c r="P19" s="541"/>
      <c r="Q19" s="541"/>
      <c r="R19" s="541"/>
      <c r="S19" s="541"/>
      <c r="T19" s="541"/>
      <c r="U19" s="541"/>
      <c r="V19" s="541"/>
      <c r="W19" s="542"/>
    </row>
    <row r="20" spans="2:23" x14ac:dyDescent="0.3">
      <c r="B20" s="540"/>
      <c r="C20" s="541"/>
      <c r="D20" s="541"/>
      <c r="E20" s="541"/>
      <c r="F20" s="541"/>
      <c r="G20" s="541"/>
      <c r="H20" s="541"/>
      <c r="I20" s="541"/>
      <c r="J20" s="541"/>
      <c r="K20" s="541"/>
      <c r="L20" s="541"/>
      <c r="M20" s="541"/>
      <c r="N20" s="541"/>
      <c r="O20" s="541"/>
      <c r="P20" s="541"/>
      <c r="Q20" s="541"/>
      <c r="R20" s="541"/>
      <c r="S20" s="541"/>
      <c r="T20" s="541"/>
      <c r="U20" s="541"/>
      <c r="V20" s="541"/>
      <c r="W20" s="542"/>
    </row>
    <row r="21" spans="2:23" x14ac:dyDescent="0.3">
      <c r="B21" s="540"/>
      <c r="C21" s="541"/>
      <c r="D21" s="541"/>
      <c r="E21" s="541"/>
      <c r="F21" s="541"/>
      <c r="G21" s="541"/>
      <c r="H21" s="541"/>
      <c r="I21" s="541"/>
      <c r="J21" s="541"/>
      <c r="K21" s="541"/>
      <c r="L21" s="541"/>
      <c r="M21" s="541"/>
      <c r="N21" s="541"/>
      <c r="O21" s="541"/>
      <c r="P21" s="541"/>
      <c r="Q21" s="541"/>
      <c r="R21" s="541"/>
      <c r="S21" s="541"/>
      <c r="T21" s="541"/>
      <c r="U21" s="541"/>
      <c r="V21" s="541"/>
      <c r="W21" s="542"/>
    </row>
    <row r="22" spans="2:23" ht="15" thickBot="1" x14ac:dyDescent="0.35">
      <c r="B22" s="543"/>
      <c r="C22" s="544"/>
      <c r="D22" s="544"/>
      <c r="E22" s="544"/>
      <c r="F22" s="544"/>
      <c r="G22" s="544"/>
      <c r="H22" s="544"/>
      <c r="I22" s="544"/>
      <c r="J22" s="544"/>
      <c r="K22" s="544"/>
      <c r="L22" s="544"/>
      <c r="M22" s="544"/>
      <c r="N22" s="544"/>
      <c r="O22" s="544"/>
      <c r="P22" s="544"/>
      <c r="Q22" s="544"/>
      <c r="R22" s="544"/>
      <c r="S22" s="544"/>
      <c r="T22" s="544"/>
      <c r="U22" s="544"/>
      <c r="V22" s="544"/>
      <c r="W22" s="545"/>
    </row>
    <row r="23" spans="2:23" ht="15" thickBot="1" x14ac:dyDescent="0.35"/>
    <row r="24" spans="2:23" x14ac:dyDescent="0.3">
      <c r="B24" s="546" t="str">
        <f>template_disclaimer_cover_page</f>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24" s="547"/>
      <c r="D24" s="547"/>
      <c r="E24" s="547"/>
      <c r="F24" s="547"/>
      <c r="G24" s="547"/>
      <c r="H24" s="547"/>
      <c r="I24" s="547"/>
      <c r="J24" s="547"/>
      <c r="K24" s="547"/>
      <c r="L24" s="547"/>
      <c r="M24" s="547"/>
      <c r="N24" s="547"/>
      <c r="O24" s="547"/>
      <c r="P24" s="547"/>
      <c r="Q24" s="547"/>
      <c r="R24" s="547"/>
      <c r="S24" s="547"/>
      <c r="T24" s="547"/>
      <c r="U24" s="547"/>
      <c r="V24" s="547"/>
      <c r="W24" s="548"/>
    </row>
    <row r="25" spans="2:23" ht="14.4" customHeight="1" x14ac:dyDescent="0.3">
      <c r="B25" s="549"/>
      <c r="C25" s="550"/>
      <c r="D25" s="550"/>
      <c r="E25" s="550"/>
      <c r="F25" s="550"/>
      <c r="G25" s="550"/>
      <c r="H25" s="550"/>
      <c r="I25" s="550"/>
      <c r="J25" s="550"/>
      <c r="K25" s="550"/>
      <c r="L25" s="550"/>
      <c r="M25" s="550"/>
      <c r="N25" s="550"/>
      <c r="O25" s="550"/>
      <c r="P25" s="550"/>
      <c r="Q25" s="550"/>
      <c r="R25" s="550"/>
      <c r="S25" s="550"/>
      <c r="T25" s="550"/>
      <c r="U25" s="550"/>
      <c r="V25" s="550"/>
      <c r="W25" s="551"/>
    </row>
    <row r="26" spans="2:23" ht="14.4" customHeight="1" x14ac:dyDescent="0.3">
      <c r="B26" s="549"/>
      <c r="C26" s="550"/>
      <c r="D26" s="550"/>
      <c r="E26" s="550"/>
      <c r="F26" s="550"/>
      <c r="G26" s="550"/>
      <c r="H26" s="550"/>
      <c r="I26" s="550"/>
      <c r="J26" s="550"/>
      <c r="K26" s="550"/>
      <c r="L26" s="550"/>
      <c r="M26" s="550"/>
      <c r="N26" s="550"/>
      <c r="O26" s="550"/>
      <c r="P26" s="550"/>
      <c r="Q26" s="550"/>
      <c r="R26" s="550"/>
      <c r="S26" s="550"/>
      <c r="T26" s="550"/>
      <c r="U26" s="550"/>
      <c r="V26" s="550"/>
      <c r="W26" s="551"/>
    </row>
    <row r="27" spans="2:23" ht="14.4" customHeight="1" x14ac:dyDescent="0.3">
      <c r="B27" s="549"/>
      <c r="C27" s="550"/>
      <c r="D27" s="550"/>
      <c r="E27" s="550"/>
      <c r="F27" s="550"/>
      <c r="G27" s="550"/>
      <c r="H27" s="550"/>
      <c r="I27" s="550"/>
      <c r="J27" s="550"/>
      <c r="K27" s="550"/>
      <c r="L27" s="550"/>
      <c r="M27" s="550"/>
      <c r="N27" s="550"/>
      <c r="O27" s="550"/>
      <c r="P27" s="550"/>
      <c r="Q27" s="550"/>
      <c r="R27" s="550"/>
      <c r="S27" s="550"/>
      <c r="T27" s="550"/>
      <c r="U27" s="550"/>
      <c r="V27" s="550"/>
      <c r="W27" s="551"/>
    </row>
    <row r="28" spans="2:23" ht="14.4" customHeight="1" x14ac:dyDescent="0.3">
      <c r="B28" s="549"/>
      <c r="C28" s="550"/>
      <c r="D28" s="550"/>
      <c r="E28" s="550"/>
      <c r="F28" s="550"/>
      <c r="G28" s="550"/>
      <c r="H28" s="550"/>
      <c r="I28" s="550"/>
      <c r="J28" s="550"/>
      <c r="K28" s="550"/>
      <c r="L28" s="550"/>
      <c r="M28" s="550"/>
      <c r="N28" s="550"/>
      <c r="O28" s="550"/>
      <c r="P28" s="550"/>
      <c r="Q28" s="550"/>
      <c r="R28" s="550"/>
      <c r="S28" s="550"/>
      <c r="T28" s="550"/>
      <c r="U28" s="550"/>
      <c r="V28" s="550"/>
      <c r="W28" s="551"/>
    </row>
    <row r="29" spans="2:23" ht="10.8" customHeight="1" x14ac:dyDescent="0.3">
      <c r="B29" s="549"/>
      <c r="C29" s="550"/>
      <c r="D29" s="550"/>
      <c r="E29" s="550"/>
      <c r="F29" s="550"/>
      <c r="G29" s="550"/>
      <c r="H29" s="550"/>
      <c r="I29" s="550"/>
      <c r="J29" s="550"/>
      <c r="K29" s="550"/>
      <c r="L29" s="550"/>
      <c r="M29" s="550"/>
      <c r="N29" s="550"/>
      <c r="O29" s="550"/>
      <c r="P29" s="550"/>
      <c r="Q29" s="550"/>
      <c r="R29" s="550"/>
      <c r="S29" s="550"/>
      <c r="T29" s="550"/>
      <c r="U29" s="550"/>
      <c r="V29" s="550"/>
      <c r="W29" s="551"/>
    </row>
    <row r="30" spans="2:23" ht="14.4" hidden="1" customHeight="1" x14ac:dyDescent="0.3">
      <c r="B30" s="549"/>
      <c r="C30" s="550"/>
      <c r="D30" s="550"/>
      <c r="E30" s="550"/>
      <c r="F30" s="550"/>
      <c r="G30" s="550"/>
      <c r="H30" s="550"/>
      <c r="I30" s="550"/>
      <c r="J30" s="550"/>
      <c r="K30" s="550"/>
      <c r="L30" s="550"/>
      <c r="M30" s="550"/>
      <c r="N30" s="550"/>
      <c r="O30" s="550"/>
      <c r="P30" s="550"/>
      <c r="Q30" s="550"/>
      <c r="R30" s="550"/>
      <c r="S30" s="550"/>
      <c r="T30" s="550"/>
      <c r="U30" s="550"/>
      <c r="V30" s="550"/>
      <c r="W30" s="551"/>
    </row>
    <row r="31" spans="2:23" ht="15" hidden="1" customHeight="1" x14ac:dyDescent="0.3">
      <c r="B31" s="549"/>
      <c r="C31" s="550"/>
      <c r="D31" s="550"/>
      <c r="E31" s="550"/>
      <c r="F31" s="550"/>
      <c r="G31" s="550"/>
      <c r="H31" s="550"/>
      <c r="I31" s="550"/>
      <c r="J31" s="550"/>
      <c r="K31" s="550"/>
      <c r="L31" s="550"/>
      <c r="M31" s="550"/>
      <c r="N31" s="550"/>
      <c r="O31" s="550"/>
      <c r="P31" s="550"/>
      <c r="Q31" s="550"/>
      <c r="R31" s="550"/>
      <c r="S31" s="550"/>
      <c r="T31" s="550"/>
      <c r="U31" s="550"/>
      <c r="V31" s="550"/>
      <c r="W31" s="551"/>
    </row>
    <row r="32" spans="2:23" ht="15" thickBot="1" x14ac:dyDescent="0.35">
      <c r="B32" s="552"/>
      <c r="C32" s="553"/>
      <c r="D32" s="553"/>
      <c r="E32" s="553"/>
      <c r="F32" s="553"/>
      <c r="G32" s="553"/>
      <c r="H32" s="553"/>
      <c r="I32" s="553"/>
      <c r="J32" s="553"/>
      <c r="K32" s="553"/>
      <c r="L32" s="553"/>
      <c r="M32" s="553"/>
      <c r="N32" s="553"/>
      <c r="O32" s="553"/>
      <c r="P32" s="553"/>
      <c r="Q32" s="553"/>
      <c r="R32" s="553"/>
      <c r="S32" s="553"/>
      <c r="T32" s="553"/>
      <c r="U32" s="553"/>
      <c r="V32" s="553"/>
      <c r="W32" s="554"/>
    </row>
  </sheetData>
  <sheetProtection algorithmName="SHA-512" hashValue="45AyrdPn2eNkVtdA3Da+B+wbHJBnJvsBBkKMV923ISYDy8MvxAgn1p1SjdNiDmbLs9FucvVWWySdf1n2lJ6StA==" saltValue="001S9xCDh0j3bpmzB6M0/w=="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5"/>
  <sheetViews>
    <sheetView showGridLines="0" zoomScaleNormal="100" workbookViewId="0"/>
  </sheetViews>
  <sheetFormatPr defaultColWidth="8.88671875" defaultRowHeight="14.4" x14ac:dyDescent="0.3"/>
  <cols>
    <col min="1" max="1" width="6" customWidth="1"/>
    <col min="2" max="2" width="84.33203125" bestFit="1"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288" t="str">
        <f>template_label_version</f>
        <v>Version:</v>
      </c>
      <c r="C1" s="288" t="s">
        <v>0</v>
      </c>
      <c r="D1" s="288"/>
    </row>
    <row r="2" spans="2:18" x14ac:dyDescent="0.3">
      <c r="B2" s="288" t="str">
        <f>template_label_publication_date</f>
        <v>Publication date:</v>
      </c>
      <c r="C2" s="289">
        <v>46080</v>
      </c>
      <c r="D2" s="288"/>
    </row>
    <row r="3" spans="2:18" ht="35.700000000000003" customHeight="1" x14ac:dyDescent="0.3">
      <c r="B3" s="555" t="str" cm="1">
        <f t="array" aca="1" ref="B3" ca="1">IF(ISERROR(CELL("filename",A1)),template_label_warning_microsoft_excel,"")</f>
        <v/>
      </c>
      <c r="C3" s="555"/>
      <c r="D3" s="288"/>
    </row>
    <row r="5" spans="2:18" x14ac:dyDescent="0.3">
      <c r="B5" s="290"/>
    </row>
    <row r="6" spans="2:18" x14ac:dyDescent="0.3">
      <c r="B6" s="290"/>
    </row>
    <row r="7" spans="2:18" x14ac:dyDescent="0.3">
      <c r="B7" s="290"/>
    </row>
    <row r="8" spans="2:18" x14ac:dyDescent="0.3">
      <c r="B8" s="290"/>
    </row>
    <row r="9" spans="2:18" x14ac:dyDescent="0.3">
      <c r="B9" s="290"/>
    </row>
    <row r="10" spans="2:18" x14ac:dyDescent="0.3">
      <c r="B10" s="88" t="str">
        <f>template_label_taxonomy_entry_point</f>
        <v>Taxonomy entry point:</v>
      </c>
      <c r="C10" s="481" t="s">
        <v>1</v>
      </c>
    </row>
    <row r="11" spans="2:18" x14ac:dyDescent="0.3">
      <c r="B11" s="88" t="str">
        <f>template_label_select_template_display_language</f>
        <v>Select Template Display Language:</v>
      </c>
      <c r="C11" s="358" t="s">
        <v>8834</v>
      </c>
    </row>
    <row r="12" spans="2:18" x14ac:dyDescent="0.3">
      <c r="B12" s="88" t="str">
        <f>template_label_title_of_report</f>
        <v>Main title of the report</v>
      </c>
      <c r="C12" t="str">
        <f>template_label_main_title_of_report_text</f>
        <v xml:space="preserve">Sustainability Report </v>
      </c>
    </row>
    <row r="13" spans="2:18" x14ac:dyDescent="0.3">
      <c r="B13" s="88"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292" customFormat="1" ht="63" x14ac:dyDescent="1.2">
      <c r="B14" s="291" t="str">
        <f>template_label_vsme_digital_template</f>
        <v>VSME Digital Template</v>
      </c>
    </row>
    <row r="15" spans="2:18" ht="381.6" customHeight="1" x14ac:dyDescent="0.3">
      <c r="B15" s="556"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57"/>
      <c r="D15" s="557"/>
      <c r="E15" s="558"/>
      <c r="F15" s="293"/>
      <c r="G15" s="293"/>
      <c r="H15" s="293"/>
      <c r="I15" s="293"/>
      <c r="J15" s="293"/>
      <c r="K15" s="293"/>
      <c r="L15" s="293"/>
      <c r="M15" s="293"/>
      <c r="N15" s="293"/>
      <c r="O15" s="293"/>
      <c r="P15" s="293"/>
      <c r="Q15" s="293"/>
      <c r="R15" s="293"/>
    </row>
    <row r="16" spans="2:18" ht="19.95" customHeight="1" x14ac:dyDescent="0.3">
      <c r="B16" s="294"/>
      <c r="C16" s="294"/>
      <c r="D16" s="294"/>
      <c r="E16" s="294"/>
      <c r="F16" s="293"/>
      <c r="G16" s="293"/>
      <c r="H16" s="293"/>
      <c r="I16" s="293"/>
      <c r="J16" s="293"/>
      <c r="K16" s="293"/>
      <c r="L16" s="293"/>
      <c r="M16" s="293"/>
      <c r="N16" s="293"/>
      <c r="O16" s="293"/>
      <c r="P16" s="293"/>
      <c r="Q16" s="293"/>
      <c r="R16" s="293"/>
    </row>
    <row r="17" spans="1:18" x14ac:dyDescent="0.3">
      <c r="B17" s="290"/>
    </row>
    <row r="18" spans="1:18" ht="26.7" customHeight="1" x14ac:dyDescent="0.4">
      <c r="B18" s="295" t="str">
        <f>template_label_how_to_use_it</f>
        <v>How to use it:</v>
      </c>
      <c r="C18" s="296"/>
      <c r="D18" s="296"/>
      <c r="E18" s="297"/>
      <c r="F18" s="298"/>
      <c r="G18" s="298"/>
      <c r="H18" s="298"/>
      <c r="I18" s="298"/>
      <c r="J18" s="298"/>
      <c r="K18" s="298"/>
      <c r="L18" s="298"/>
      <c r="M18" s="298"/>
      <c r="N18" s="298"/>
      <c r="O18" s="298"/>
      <c r="P18" s="298"/>
      <c r="Q18" s="298"/>
      <c r="R18" s="298"/>
    </row>
    <row r="19" spans="1:18" ht="18" x14ac:dyDescent="0.3">
      <c r="B19" s="559" t="str">
        <f>template_label_0_provide_information_that_is_mandatory_in_order_to_generate_the_vsme_and_xbrl_report</f>
        <v>0. Provide information that is mandatory in order to generate the VSME and XBRL Report.</v>
      </c>
      <c r="C19" s="560"/>
      <c r="D19" s="560"/>
      <c r="E19" s="561"/>
      <c r="F19" s="299"/>
      <c r="G19" s="299"/>
      <c r="H19" s="299"/>
      <c r="I19" s="299"/>
      <c r="J19" s="299"/>
      <c r="K19" s="299"/>
      <c r="L19" s="299"/>
      <c r="M19" s="299"/>
      <c r="N19" s="299"/>
      <c r="O19" s="299"/>
      <c r="P19" s="299"/>
      <c r="Q19" s="299"/>
      <c r="R19" s="299"/>
    </row>
    <row r="20" spans="1:18" ht="59.4" customHeight="1" x14ac:dyDescent="0.3">
      <c r="B20" s="559"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60"/>
      <c r="D20" s="560"/>
      <c r="E20" s="561"/>
      <c r="F20" s="299"/>
      <c r="G20" s="299"/>
      <c r="H20" s="299"/>
      <c r="I20" s="299"/>
      <c r="J20" s="299"/>
      <c r="K20" s="299"/>
      <c r="L20" s="299"/>
      <c r="M20" s="299"/>
      <c r="N20" s="299"/>
      <c r="O20" s="299"/>
      <c r="P20" s="299"/>
      <c r="Q20" s="299"/>
      <c r="R20" s="299"/>
    </row>
    <row r="21" spans="1:18" ht="39.6" customHeight="1" x14ac:dyDescent="0.3">
      <c r="B21" s="580"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81"/>
      <c r="D21" s="581"/>
      <c r="E21" s="582"/>
      <c r="F21" s="300"/>
      <c r="G21" s="300"/>
      <c r="H21" s="300"/>
      <c r="I21" s="300"/>
      <c r="J21" s="300"/>
      <c r="K21" s="300"/>
      <c r="L21" s="300"/>
      <c r="M21" s="300"/>
      <c r="N21" s="300"/>
      <c r="O21" s="300"/>
      <c r="P21" s="300"/>
      <c r="Q21" s="300"/>
      <c r="R21" s="300"/>
    </row>
    <row r="22" spans="1:18" ht="36" customHeight="1" x14ac:dyDescent="0.3">
      <c r="B22" s="559"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60"/>
      <c r="D22" s="560"/>
      <c r="E22" s="561"/>
      <c r="F22" s="300"/>
      <c r="G22" s="300"/>
      <c r="H22" s="300"/>
      <c r="I22" s="300"/>
      <c r="J22" s="300"/>
      <c r="K22" s="300"/>
      <c r="L22" s="300"/>
      <c r="M22" s="300"/>
      <c r="N22" s="300"/>
      <c r="O22" s="300"/>
      <c r="P22" s="300"/>
      <c r="Q22" s="300"/>
      <c r="R22" s="300"/>
    </row>
    <row r="23" spans="1:18" s="301" customFormat="1" ht="18" x14ac:dyDescent="0.3">
      <c r="B23" s="580" t="str">
        <f>template_label_4_validate_the_data_entered_by_checking_the_validation_status</f>
        <v>4. Validate the data entered by checking the validation status. The report is considered incomplete or erroneous if the validation fails, which might result in an invalid XBRL report.</v>
      </c>
      <c r="C23" s="581"/>
      <c r="D23" s="581"/>
      <c r="E23" s="582"/>
      <c r="F23" s="300"/>
      <c r="G23" s="300"/>
      <c r="H23" s="300"/>
      <c r="I23" s="300"/>
      <c r="J23" s="300"/>
      <c r="K23" s="300"/>
      <c r="L23" s="300"/>
      <c r="M23" s="300"/>
      <c r="N23" s="300"/>
      <c r="O23" s="300"/>
      <c r="P23" s="300"/>
      <c r="Q23" s="300"/>
      <c r="R23" s="300"/>
    </row>
    <row r="24" spans="1:18" ht="18" x14ac:dyDescent="0.3">
      <c r="B24" s="580" t="str">
        <f>template_label_5_convert_this_template_to_an_inline_xbrl_report</f>
        <v>5. Convert this template to an Inline XBRL report (or XBRL-JSON, XBRL-CSV), using the online converter: https://xbrl.efrag.org/convert/. Pay attention to the XBRL validation performed by the validator.</v>
      </c>
      <c r="C24" s="581"/>
      <c r="D24" s="581"/>
      <c r="E24" s="582"/>
      <c r="F24" s="300"/>
      <c r="G24" s="300"/>
      <c r="H24" s="300"/>
      <c r="I24" s="300"/>
      <c r="J24" s="300"/>
      <c r="K24" s="300"/>
      <c r="L24" s="300"/>
      <c r="M24" s="300"/>
      <c r="N24" s="300"/>
      <c r="O24" s="300"/>
      <c r="P24" s="300"/>
      <c r="Q24" s="300"/>
      <c r="R24" s="300"/>
    </row>
    <row r="25" spans="1:18" ht="24.6" customHeight="1" x14ac:dyDescent="0.3">
      <c r="B25" s="568" t="str">
        <f>template_label_6_the_undertaking_may_also_upload_the_report_to_public_repositories_or_a_webpage</f>
        <v>6. The undertaking may also upload the report to public repositories or a webpage.</v>
      </c>
      <c r="C25" s="569"/>
      <c r="D25" s="569"/>
      <c r="E25" s="570"/>
      <c r="F25" s="300"/>
      <c r="G25" s="300"/>
      <c r="H25" s="300"/>
      <c r="I25" s="300"/>
      <c r="J25" s="300"/>
      <c r="K25" s="300"/>
      <c r="L25" s="300"/>
      <c r="M25" s="300"/>
      <c r="N25" s="300"/>
      <c r="O25" s="300"/>
      <c r="P25" s="300"/>
      <c r="Q25" s="300"/>
      <c r="R25" s="300"/>
    </row>
    <row r="26" spans="1:18" ht="18" x14ac:dyDescent="0.35">
      <c r="B26" s="298"/>
      <c r="C26" s="298"/>
      <c r="D26" s="298"/>
      <c r="E26" s="298"/>
      <c r="F26" s="298"/>
      <c r="G26" s="298"/>
      <c r="H26" s="298"/>
      <c r="I26" s="298"/>
      <c r="J26" s="298"/>
      <c r="K26" s="298"/>
      <c r="L26" s="298"/>
      <c r="M26" s="298"/>
      <c r="N26" s="298"/>
      <c r="O26" s="298"/>
      <c r="P26" s="298"/>
      <c r="Q26" s="298"/>
      <c r="R26" s="298"/>
    </row>
    <row r="27" spans="1:18" ht="36" customHeight="1" x14ac:dyDescent="0.35">
      <c r="B27" s="583" t="str">
        <f>template_label_cell_background_color_index</f>
        <v>Cell background color index:</v>
      </c>
      <c r="C27" s="584"/>
      <c r="D27" s="584"/>
      <c r="E27" s="585"/>
      <c r="F27" s="298"/>
      <c r="G27" s="298"/>
      <c r="H27" s="298"/>
      <c r="I27" s="298"/>
      <c r="J27" s="298"/>
      <c r="K27" s="298"/>
      <c r="L27" s="298"/>
      <c r="M27" s="298"/>
      <c r="N27" s="298"/>
      <c r="O27" s="298"/>
      <c r="P27" s="298"/>
      <c r="Q27" s="298"/>
      <c r="R27" s="298"/>
    </row>
    <row r="28" spans="1:18" ht="32.1" customHeight="1" x14ac:dyDescent="0.35">
      <c r="B28" s="302" t="str">
        <f>template_label_general_principles</f>
        <v>General Principles</v>
      </c>
      <c r="C28" s="565" t="str">
        <f>template_label_indicates_that_the_disclosure_is_from_the_general_principles_of_the_vsme</f>
        <v>Indicates that the disclosure is from the general principles of the VSME.</v>
      </c>
      <c r="D28" s="566"/>
      <c r="E28" s="567"/>
      <c r="F28" s="298"/>
      <c r="G28" s="298"/>
      <c r="H28" s="298"/>
      <c r="I28" s="298"/>
      <c r="J28" s="298"/>
      <c r="K28" s="298"/>
      <c r="L28" s="298"/>
      <c r="M28" s="298"/>
      <c r="N28" s="298"/>
      <c r="O28" s="298"/>
      <c r="P28" s="298"/>
      <c r="Q28" s="298"/>
      <c r="R28" s="298"/>
    </row>
    <row r="29" spans="1:18" ht="34.5" customHeight="1" x14ac:dyDescent="0.35">
      <c r="A29" s="303"/>
      <c r="B29" s="304" t="str">
        <f>template_label_basic_module</f>
        <v>Basic Module</v>
      </c>
      <c r="C29" s="565" t="str">
        <f>template_label_indicates_that_the_disclosure_is_from_the_vsme_basic_module</f>
        <v>Indicates that the disclosure is from the VSME Basic Module.</v>
      </c>
      <c r="D29" s="566"/>
      <c r="E29" s="567"/>
      <c r="F29" s="298"/>
      <c r="G29" s="305"/>
      <c r="H29" s="305"/>
      <c r="I29" s="305"/>
      <c r="J29" s="305"/>
      <c r="K29" s="305"/>
      <c r="L29" s="305"/>
      <c r="M29" s="305"/>
      <c r="N29" s="305"/>
      <c r="O29" s="305"/>
      <c r="P29" s="305"/>
      <c r="Q29" s="305"/>
      <c r="R29" s="305"/>
    </row>
    <row r="30" spans="1:18" ht="35.700000000000003" customHeight="1" x14ac:dyDescent="0.35">
      <c r="A30" s="303"/>
      <c r="B30" s="306" t="str">
        <f>template_label_comprehensive_module</f>
        <v>Comprehensive Module</v>
      </c>
      <c r="C30" s="565" t="str">
        <f>template_label_indicates_that_the_disclosure_is_from_the_vsme_comprehensive_module</f>
        <v>Indicates that the disclosure is from the VSME Comprehensive Module.</v>
      </c>
      <c r="D30" s="566"/>
      <c r="E30" s="567"/>
      <c r="F30" s="437"/>
      <c r="G30" s="305"/>
      <c r="H30" s="305"/>
      <c r="I30" s="305"/>
      <c r="J30" s="305"/>
      <c r="K30" s="305"/>
      <c r="L30" s="305"/>
      <c r="M30" s="305"/>
      <c r="N30" s="305"/>
      <c r="O30" s="305"/>
      <c r="P30" s="305"/>
      <c r="Q30" s="305"/>
      <c r="R30" s="305"/>
    </row>
    <row r="31" spans="1:18" ht="35.85" customHeight="1" x14ac:dyDescent="0.35">
      <c r="A31" s="303"/>
      <c r="B31" s="307"/>
      <c r="C31" s="562" t="str">
        <f>template_label_indicates_that_the_cell_is_automatically_calculated_and_that_no_data_entry_is_required</f>
        <v>Indicates that the cell is automatically calculated and that no data entry is required.</v>
      </c>
      <c r="D31" s="563"/>
      <c r="E31" s="564"/>
      <c r="F31" s="298"/>
      <c r="G31" s="308"/>
      <c r="H31" s="308"/>
      <c r="I31" s="308"/>
      <c r="J31" s="308"/>
      <c r="K31" s="308"/>
      <c r="L31" s="308"/>
      <c r="M31" s="308"/>
      <c r="N31" s="308"/>
      <c r="O31" s="308"/>
      <c r="P31" s="308"/>
      <c r="Q31" s="308"/>
      <c r="R31" s="308"/>
    </row>
    <row r="32" spans="1:18" ht="63" customHeight="1" x14ac:dyDescent="0.35">
      <c r="A32" s="303"/>
      <c r="B32" s="309"/>
      <c r="C32" s="562"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63"/>
      <c r="E32" s="564"/>
      <c r="F32" s="298"/>
      <c r="G32" s="308"/>
      <c r="H32" s="308"/>
      <c r="I32" s="308"/>
      <c r="J32" s="308"/>
      <c r="K32" s="308"/>
      <c r="L32" s="308"/>
      <c r="M32" s="308"/>
      <c r="N32" s="308"/>
      <c r="O32" s="308"/>
      <c r="P32" s="308"/>
      <c r="Q32" s="308"/>
      <c r="R32" s="308"/>
    </row>
    <row r="33" spans="1:18" ht="35.85" customHeight="1" x14ac:dyDescent="0.35">
      <c r="A33" s="303"/>
      <c r="B33" s="310"/>
      <c r="C33" s="562"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63"/>
      <c r="E33" s="564"/>
      <c r="F33" s="298"/>
      <c r="G33" s="308"/>
      <c r="H33" s="308"/>
      <c r="I33" s="308"/>
      <c r="J33" s="308"/>
      <c r="K33" s="308"/>
      <c r="L33" s="308"/>
      <c r="M33" s="308"/>
      <c r="N33" s="308"/>
      <c r="O33" s="308"/>
      <c r="P33" s="308"/>
      <c r="Q33" s="308"/>
      <c r="R33" s="308"/>
    </row>
    <row r="34" spans="1:18" ht="42" x14ac:dyDescent="0.35">
      <c r="B34" s="311" t="str">
        <f>template_label_validation_missing_value_error_velue_inconsistency_invalid_url</f>
        <v>Validation MISSING VALUE/ERROR/VALUE INCONSISTENCY/INVALID URL</v>
      </c>
      <c r="C34" s="565"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66"/>
      <c r="E34" s="567"/>
      <c r="F34" s="298"/>
      <c r="G34" s="305"/>
      <c r="H34" s="305"/>
      <c r="I34" s="305"/>
      <c r="J34" s="305"/>
      <c r="K34" s="305"/>
      <c r="L34" s="305"/>
      <c r="M34" s="305"/>
      <c r="N34" s="305"/>
      <c r="O34" s="305"/>
      <c r="P34" s="305"/>
      <c r="Q34" s="305"/>
      <c r="R34" s="305"/>
    </row>
    <row r="35" spans="1:18" ht="22.35" customHeight="1" x14ac:dyDescent="0.35">
      <c r="B35" s="312" t="s">
        <v>2</v>
      </c>
      <c r="C35" s="565" t="str">
        <f>template_label_indicates_that_data_entry_is_ok_and_the_undertaking_can_proceed_to_the_next_disclosure</f>
        <v>Indicates that data entry is OK and the undertaking can proceed to the next disclosure.</v>
      </c>
      <c r="D35" s="566"/>
      <c r="E35" s="567"/>
      <c r="F35" s="298"/>
      <c r="G35" s="305"/>
      <c r="H35" s="305"/>
      <c r="I35" s="305"/>
      <c r="J35" s="305"/>
      <c r="K35" s="305"/>
      <c r="L35" s="305"/>
      <c r="M35" s="305"/>
      <c r="N35" s="305"/>
      <c r="O35" s="305"/>
      <c r="P35" s="305"/>
      <c r="Q35" s="305"/>
      <c r="R35" s="305"/>
    </row>
    <row r="36" spans="1:18" ht="22.35" customHeight="1" x14ac:dyDescent="0.35">
      <c r="B36" s="436" t="str">
        <f>template_label_validation_classified_or_sensitive_information</f>
        <v>Validation CLASSIFIED OR SENSITIVE INFORMATION</v>
      </c>
      <c r="C36" s="565" t="str">
        <f>template_label_indicates_that_the_undertaking_has_omitted_the_data_entry_as_it_is_deemed_to_be_classified_or_sensitive_information</f>
        <v>Indicates that the undertaking has omitted the data entry as it is deemed to be classified or sensitive information.</v>
      </c>
      <c r="D36" s="566"/>
      <c r="E36" s="567"/>
      <c r="F36" s="298"/>
      <c r="G36" s="305"/>
      <c r="H36" s="305"/>
      <c r="I36" s="305"/>
      <c r="J36" s="305"/>
      <c r="K36" s="305"/>
      <c r="L36" s="305"/>
      <c r="M36" s="305"/>
      <c r="N36" s="305"/>
      <c r="O36" s="305"/>
      <c r="P36" s="305"/>
      <c r="Q36" s="305"/>
      <c r="R36" s="305"/>
    </row>
    <row r="37" spans="1:18" ht="22.35" customHeight="1" x14ac:dyDescent="0.35">
      <c r="B37" s="313"/>
      <c r="C37" s="565" t="str">
        <f>template_label_no_value_can_be_entered_in_the_cell</f>
        <v>No value can be entered in the cell.</v>
      </c>
      <c r="D37" s="566"/>
      <c r="E37" s="567"/>
      <c r="F37" s="298"/>
      <c r="G37" s="305"/>
      <c r="H37" s="305"/>
      <c r="I37" s="305"/>
      <c r="J37" s="305"/>
      <c r="K37" s="305"/>
      <c r="L37" s="305"/>
      <c r="M37" s="305"/>
      <c r="N37" s="305"/>
      <c r="O37" s="305"/>
      <c r="P37" s="305"/>
      <c r="Q37" s="305"/>
      <c r="R37" s="305"/>
    </row>
    <row r="38" spans="1:18" ht="45.75" customHeight="1" x14ac:dyDescent="0.35">
      <c r="A38" s="303"/>
      <c r="B38" s="314" t="s">
        <v>3</v>
      </c>
      <c r="C38" s="562" t="str">
        <f>template_label_lists_can_be_expanded_using_the_plus_button_on_the_left</f>
        <v>Lists can be expanded using the plus [+] button on the left. If the number of rows is not sufficient, additional rows can be added by right clicking the second row and selecting "Insert row".</v>
      </c>
      <c r="D38" s="563"/>
      <c r="E38" s="564"/>
      <c r="F38" s="298"/>
      <c r="G38" s="315"/>
      <c r="H38" s="315"/>
      <c r="I38" s="315"/>
      <c r="J38" s="315"/>
      <c r="K38" s="315"/>
      <c r="L38" s="315"/>
      <c r="M38" s="315"/>
      <c r="N38" s="315"/>
      <c r="O38" s="315"/>
      <c r="P38" s="315"/>
      <c r="Q38" s="315"/>
      <c r="R38" s="315"/>
    </row>
    <row r="43" spans="1:18" x14ac:dyDescent="0.3">
      <c r="B43" s="577"/>
      <c r="C43" s="578"/>
      <c r="D43" s="578"/>
      <c r="E43" s="579"/>
    </row>
    <row r="44" spans="1:18" ht="97.2" customHeight="1" x14ac:dyDescent="0.4">
      <c r="B44" s="571"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4" s="572"/>
      <c r="D44" s="572"/>
      <c r="E44" s="573"/>
    </row>
    <row r="45" spans="1:18" ht="21" x14ac:dyDescent="0.4">
      <c r="B45" s="574" t="str">
        <f>template_label_reproduction_and_use_rights_are_strictly_limited</f>
        <v>Reproduction and use rights are strictly limited. For further details please contact efragsecretariat@efrag.org</v>
      </c>
      <c r="C45" s="575"/>
      <c r="D45" s="575"/>
      <c r="E45" s="576"/>
    </row>
  </sheetData>
  <sheetProtection algorithmName="SHA-512" hashValue="EFmZiGpjtapBV0SIr4F/4Ax6glAX9nRL4jbTpgkeIVBsFsibMVzQjoV0O77/+z/PpAv4gXuKLolln6hB7jtHxQ==" saltValue="iTkfF8HQYtG2IQ5CDTTdQg==" spinCount="100000" sheet="1" formatColumns="0" formatRows="0"/>
  <mergeCells count="24">
    <mergeCell ref="B44:E44"/>
    <mergeCell ref="B45:E45"/>
    <mergeCell ref="B43:E43"/>
    <mergeCell ref="B20:E20"/>
    <mergeCell ref="B21:E21"/>
    <mergeCell ref="B22:E22"/>
    <mergeCell ref="B23:E23"/>
    <mergeCell ref="B24:E24"/>
    <mergeCell ref="C32:E32"/>
    <mergeCell ref="C31:E31"/>
    <mergeCell ref="C28:E28"/>
    <mergeCell ref="C29:E29"/>
    <mergeCell ref="C30:E30"/>
    <mergeCell ref="C36:E36"/>
    <mergeCell ref="B27:E27"/>
    <mergeCell ref="B3:C3"/>
    <mergeCell ref="B15:E15"/>
    <mergeCell ref="B19:E19"/>
    <mergeCell ref="C33:E33"/>
    <mergeCell ref="C38:E38"/>
    <mergeCell ref="C37:E37"/>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E70"/>
  <sheetViews>
    <sheetView tabSelected="1" topLeftCell="B2" zoomScaleNormal="100" workbookViewId="0"/>
  </sheetViews>
  <sheetFormatPr defaultColWidth="8.88671875" defaultRowHeight="14.4" x14ac:dyDescent="0.3"/>
  <cols>
    <col min="1" max="1" width="3.6640625" style="10" customWidth="1"/>
    <col min="2" max="2" width="98.109375" style="10" customWidth="1"/>
    <col min="3" max="3" width="55.6640625" style="10" bestFit="1" customWidth="1"/>
    <col min="4" max="4" width="51.33203125" style="10" customWidth="1"/>
    <col min="5" max="5" width="64.33203125" style="10" customWidth="1"/>
    <col min="6" max="6" width="35.6640625" style="10" bestFit="1" customWidth="1"/>
    <col min="7" max="16384" width="8.88671875" style="10"/>
  </cols>
  <sheetData>
    <row r="1" spans="2:5" ht="15" thickBot="1" x14ac:dyDescent="0.35"/>
    <row r="2" spans="2:5" ht="78" customHeight="1" x14ac:dyDescent="0.3">
      <c r="B2" s="493" t="str">
        <f>template_label_table_of_contents_validation</f>
        <v>Table of Contents</v>
      </c>
      <c r="C2" s="494" t="str">
        <f>template_label_overall_validation_status_validation</f>
        <v>Overall Validation Status</v>
      </c>
      <c r="D2" s="495" t="str">
        <f>template_classified_or_sensitive_information</f>
        <v>Classified or sensitive information</v>
      </c>
    </row>
    <row r="3" spans="2:5" ht="43.2" customHeight="1" x14ac:dyDescent="0.3">
      <c r="B3" s="588" t="str">
        <f>template_label_contents_grouping_follows_templates_framework</f>
        <v>Contents grouping follows template's framework</v>
      </c>
      <c r="C3" s="447" t="str" cm="1">
        <f t="array" ref="C3">IF(SUMPRODUCT(--((C5:C70&lt;&gt;template_label_ok)*(C5:C70&lt;&gt;"-")*(C5:C70&lt;&gt;"")*(C5:C70&lt;&gt;template_label_classified_or_sensitive_information))) &gt; 0, template_label_incomplete, template_label_complete)</f>
        <v>COMPLETE</v>
      </c>
      <c r="D3" s="586" t="str">
        <f>template_filling_sensitive_checkboxes</f>
        <v>Filling the checkboxes below will fill automatically the list of omitted disclosures in B1 (from row 123 to 172 within General Information sheet)</v>
      </c>
    </row>
    <row r="4" spans="2:5" ht="23.4" x14ac:dyDescent="0.3">
      <c r="B4" s="589"/>
      <c r="C4" s="492" t="str">
        <f>template_label_specific_content_validation_status_validation</f>
        <v>Specific Content Validation Status</v>
      </c>
      <c r="D4" s="587"/>
    </row>
    <row r="5" spans="2:5" ht="14.4" customHeight="1" x14ac:dyDescent="0.35">
      <c r="B5" s="439" t="str">
        <f>template_label_general_information_validation</f>
        <v>General Information</v>
      </c>
      <c r="C5" s="428"/>
      <c r="D5" s="425"/>
    </row>
    <row r="6" spans="2:5" ht="14.4" customHeight="1" x14ac:dyDescent="0.35">
      <c r="B6" s="347" t="str">
        <f>template_label_information_on_the_report_necessary_for_xbrl_validation</f>
        <v>Information on the report necessary for  XBRL</v>
      </c>
      <c r="C6" s="444"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c r="D6" s="426"/>
    </row>
    <row r="7" spans="2:5" ht="14.4" customHeight="1" thickBot="1" x14ac:dyDescent="0.4">
      <c r="B7" s="347" t="str">
        <f>template_label_information_on_previous_reporting_period_validation</f>
        <v>Information on previous reporting period</v>
      </c>
      <c r="C7" s="444"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c r="D7" s="426"/>
    </row>
    <row r="8" spans="2:5" ht="18" x14ac:dyDescent="0.35">
      <c r="B8" s="387" t="str">
        <f>template_label_basic_module_validation</f>
        <v>Basic Module</v>
      </c>
      <c r="C8" s="445"/>
      <c r="D8" s="427"/>
    </row>
    <row r="9" spans="2:5" ht="14.7" customHeight="1" x14ac:dyDescent="0.3">
      <c r="B9" s="439" t="str">
        <f>template_label_general_information_validation</f>
        <v>General Information</v>
      </c>
      <c r="C9" s="428"/>
      <c r="D9" s="428"/>
      <c r="E9" s="496"/>
    </row>
    <row r="10" spans="2:5" s="507" customFormat="1" x14ac:dyDescent="0.3">
      <c r="B10" s="505" t="str">
        <f>template_label_b1_basis_for_preparation_validation</f>
        <v>B1 - Basis for Preparation</v>
      </c>
      <c r="C10" s="446" t="str">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OK</v>
      </c>
      <c r="D10" s="508" t="b">
        <f>IF(COUNTIF(D12:D15,TRUE)=ROWS(D12:D15),TRUE,FALSE)</f>
        <v>0</v>
      </c>
      <c r="E10" s="496"/>
    </row>
    <row r="11" spans="2:5" x14ac:dyDescent="0.3">
      <c r="B11" s="502" t="str">
        <f>template_label_b1_basis_for_preparation</f>
        <v>B1 - Basis for Preparation &amp; Module</v>
      </c>
      <c r="C11" s="444" t="str">
        <f>IF(COUNTIF('General Information'!F122,template_label_missing_value)&gt;0,template_label_missing_value,
IF(COUNTIF('General Information'!F122,template_label_ok)&gt;0,template_label_ok,"-"))</f>
        <v>OK</v>
      </c>
      <c r="D11" s="498"/>
      <c r="E11" s="496"/>
    </row>
    <row r="12" spans="2:5" x14ac:dyDescent="0.3">
      <c r="B12" s="503" t="str">
        <f>template_label_b1_other_undertakings_general_information</f>
        <v>B1 - Other undertaking's general information</v>
      </c>
      <c r="C12" s="444" t="str">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OK</v>
      </c>
      <c r="D12" s="500" t="b">
        <v>0</v>
      </c>
      <c r="E12" s="510" t="str">
        <f>IF(AND(C12=template_label_classified_or_sensitive_information,COUNTIF('General Information'!E177:E285,"&lt;&gt;")&gt;0),template_label_information_on_sensitive_information_before_converting,"")</f>
        <v/>
      </c>
    </row>
    <row r="13" spans="2:5" x14ac:dyDescent="0.3">
      <c r="B13" s="504" t="str">
        <f>template_label_b1_list_of_subsidiaries</f>
        <v>B1 - List of subsidiaries</v>
      </c>
      <c r="C13" s="446" t="str">
        <f>IF(D13=TRUE, template_label_classified_or_sensitive_information,
IF(
    COUNTIF('General Information'!F290:F389, template_label_missing_value) &gt; 0,
    template_label_missing_value,
    IF(
        COUNTIF('General Information'!F290:F389, template_label_ok) &gt; 0,
        template_label_ok,
        "-"
    )
)
)</f>
        <v>OK</v>
      </c>
      <c r="D13" s="501" t="b">
        <v>0</v>
      </c>
      <c r="E13" s="511" t="str">
        <f>IF(AND(C13=template_label_classified_or_sensitive_information,COUNTIF('General Information'!D404:G503,"&lt;&gt;")&gt;0),template_label_information_on_sensitive_information_before_converting,"")</f>
        <v/>
      </c>
    </row>
    <row r="14" spans="2:5" x14ac:dyDescent="0.3">
      <c r="B14" s="504" t="str">
        <f>template_label_b1_disclosure_of_sustainability_related_certification_or_label</f>
        <v>B1 - Disclosure of sustainability-related certification(s) or label(s)</v>
      </c>
      <c r="C14" s="444" t="str">
        <f>IF(D14=TRUE, template_label_classified_or_sensitive_information,
IF(
    COUNTIF('General Information'!I395, template_label_missing_value) &gt; 0,
    template_label_missing_value,
    IF(
        COUNTIF('General Information'!I395, template_label_ok) &gt; 0,
        template_label_ok,
        "-"
    )
)
)</f>
        <v>OK</v>
      </c>
      <c r="D14" s="501" t="b">
        <v>0</v>
      </c>
      <c r="E14" s="511" t="str">
        <f>IF(AND(C14=template_label_classified_or_sensitive_information,'General Information'!E394=TRUE),template_label_information_on_sensitive_information_before_converting,"")</f>
        <v/>
      </c>
    </row>
    <row r="15" spans="2:5" x14ac:dyDescent="0.3">
      <c r="B15" s="504" t="str">
        <f>template_label_b1_list_of_site</f>
        <v>B1 - List of site(s)</v>
      </c>
      <c r="C15" s="444" t="str">
        <f>IF(D15=TRUE, template_label_classified_or_sensitive_information,
IF(
    COUNTIF('General Information'!I404:I503, template_label_missing_value) &gt; 0,
    template_label_missing_value,
    IF(
        COUNTIF('General Information'!I404:I503, template_label_ok) &gt; 0,
        template_label_ok,
        "-"
    )
)
)</f>
        <v>OK</v>
      </c>
      <c r="D15" s="501" t="b">
        <v>0</v>
      </c>
      <c r="E15" s="511" t="str">
        <f>IF(AND(C15=template_label_classified_or_sensitive_information,COUNTIF('General Information'!D404:G503,"&lt;&gt;")&gt;0),template_label_information_on_sensitive_information_before_converting,"")</f>
        <v/>
      </c>
    </row>
    <row r="16" spans="2:5" x14ac:dyDescent="0.3">
      <c r="B16" s="514" t="str">
        <f>template_label_b2_practices_policies_and_future_initiatives_for_transitioning_towards_a_more_sustainable_economy</f>
        <v>B2 - Practices, policies and future initiatives for transitioning towards a more sustainable economy</v>
      </c>
      <c r="C16" s="444" t="str">
        <f>IF(D16=TRUE, template_label_classified_or_sensitive_information,
IF(
    COUNTIF('General Information'!P510, template_label_missing_value) &gt; 0,
    template_label_missing_value,
    IF(
        COUNTIF('General Information'!P510, template_label_ok) &gt; 0,
        template_label_ok,
        "-"
    )
)
)</f>
        <v>OK</v>
      </c>
      <c r="D16" s="501" t="b">
        <v>0</v>
      </c>
      <c r="E16" s="511" t="str">
        <f>IF(AND(C16=template_label_classified_or_sensitive_information,'General Information'!C510=TRUE),template_label_information_on_sensitive_information_before_converting,"")</f>
        <v/>
      </c>
    </row>
    <row r="17" spans="2:5" x14ac:dyDescent="0.3">
      <c r="B17" s="499" t="str">
        <f>template_label_b2_cooperative_specific_disclosures</f>
        <v>B2 - Cooperative specific disclosures</v>
      </c>
      <c r="C17" s="444" t="str" cm="1">
        <f t="array" ref="C17">IF(D17=TRUE, template_label_classified_or_sensitive_information,
IF(OR('General Information'!E514:E516=template_label_ok),template_label_ok,"-")
)</f>
        <v>-</v>
      </c>
      <c r="D17" s="501" t="b">
        <v>0</v>
      </c>
      <c r="E17" s="511" t="str">
        <f>IF(AND(C17=template_label_classified_or_sensitive_information,COUNTIF('General Information'!D514:D516,"&lt;&gt;")&gt;0),template_label_information_on_sensitive_information_before_converting,"")</f>
        <v/>
      </c>
    </row>
    <row r="18" spans="2:5" x14ac:dyDescent="0.3">
      <c r="B18" s="440" t="str">
        <f>template_label_environmental_disclosures_validation</f>
        <v>Environmental Disclosures</v>
      </c>
      <c r="C18" s="428"/>
      <c r="D18" s="428"/>
      <c r="E18" s="511"/>
    </row>
    <row r="19" spans="2:5" s="507" customFormat="1" x14ac:dyDescent="0.3">
      <c r="B19" s="505" t="str">
        <f>template_label_b3_energy_and_greenhouse_gas_emissions_validation</f>
        <v>B3 - Energy and greenhouse gas emissions</v>
      </c>
      <c r="C19" s="444" t="str">
        <f>IF(D19=TRUE,template_label_classified_or_sensitive_information,
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IF(AND(COUNTIF(C20:C23,template_label_ok)&gt;0, COUNTIF(C20:C23,template_label_error_plus_missing_value_plus_value_inconsistency)=0, COUNTIF(C20:C23,template_label_error_plus_value_inconsistency)=0, COUNTIF(C20:C23,template_label_error_plus_missing_value)=0, COUNTIF(C20:C23,template_label_error)=0, COUNTIF(C20:C23,template_label_missing_value_plus_value_inconsistency)=0, COUNTIF(C20:C23,template_label_value_inconsistency)=0, COUNTIF(C20:C23,template_label_missing_value)=0,OR(COUNTIF(C20:C23,template_label_missing_value)=0, COUNTIF(C20:C23,template_label_missing_value)&gt;0)), template_label_ok,
"-")))))))))
))</f>
        <v>OK</v>
      </c>
      <c r="D19" s="506" t="b">
        <f>IF(COUNTIF(D20:D23,TRUE)=ROWS(D20:D23),TRUE,FALSE)</f>
        <v>0</v>
      </c>
      <c r="E19" s="511"/>
    </row>
    <row r="20" spans="2:5" x14ac:dyDescent="0.3">
      <c r="B20" s="499" t="str">
        <f>template_label_b3_total_energy_consumption</f>
        <v>B3 - Total Energy Consumption (in MWh)</v>
      </c>
      <c r="C20" s="444" t="str">
        <f>IF(D20=TRUE, template_label_classified_or_sensitive_information,
IF(COUNTIF('Environmental Disclosures'!L5,template_label_missing_value)&gt;0,template_label_missing_value,
IF(COUNTIF('Environmental Disclosures'!L5,template_label_ok)&gt;0,template_label_ok,"-"))
)</f>
        <v>OK</v>
      </c>
      <c r="D20" s="501" t="b">
        <v>0</v>
      </c>
      <c r="E20" s="511" t="str">
        <f>IF(AND(C20=template_label_classified_or_sensitive_information,COUNTIF(TotalEnergyConsumption,"&lt;&gt;")&gt;0),template_label_information_on_sensitive_information_before_converting,"")</f>
        <v/>
      </c>
    </row>
    <row r="21" spans="2:5" x14ac:dyDescent="0.3">
      <c r="B21" s="438" t="str">
        <f>template_label_b3_breakdown_of_energy_consumption</f>
        <v>B3 - Breakdown of energy consumption (in MWh)</v>
      </c>
      <c r="C21" s="446" t="str">
        <f>IF(D21=TRUE,template_label_classified_or_sensitive_information,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OK</v>
      </c>
      <c r="D21" s="501" t="b">
        <v>0</v>
      </c>
      <c r="E21" s="511" t="str">
        <f>IF(AND(C21=template_label_classified_or_sensitive_information,'Environmental Disclosures'!G10=TRUE),template_label_information_on_sensitive_information_before_converting,"")</f>
        <v/>
      </c>
    </row>
    <row r="22" spans="2:5" x14ac:dyDescent="0.3">
      <c r="B22" s="438" t="str">
        <f>template_label_b3_estimated_greenhouse_gas_emissions</f>
        <v>B3 - Estimated Greenhouse Gas Emissions considering the GHG Protocol Version 2004 (in tCO2e)</v>
      </c>
      <c r="C22" s="444" t="str">
        <f>IF(D22=TRUE, template_label_classified_or_sensitive_information,
IF(COUNTIF('Environmental Disclosures'!L21:L44,template_label_missing_value)&gt;0,template_label_missing_value,
IF(COUNTIF('Environmental Disclosures'!L21:L44,template_label_ok)&gt;0,template_label_ok,"-"))
)</f>
        <v>OK</v>
      </c>
      <c r="D22" s="501" t="b">
        <v>0</v>
      </c>
      <c r="E22" s="511" t="str">
        <f>IF(AND(C22=template_label_classified_or_sensitive_information,COUNTIF('Environmental Disclosures'!D22:F24,"&lt;&gt;")&gt;0),template_label_information_on_sensitive_information_before_converting,"")</f>
        <v/>
      </c>
    </row>
    <row r="23" spans="2:5" x14ac:dyDescent="0.3">
      <c r="B23" s="438" t="str">
        <f>template_label_b3_greenhouse_gas_emission_intensity_per_turnover</f>
        <v>B3 - Greenhouse gas emission intensity per turnover (in tCO2e)</v>
      </c>
      <c r="C23" s="446" t="str">
        <f>IF(D23=TRUE, template_label_classified_or_sensitive_information,
IF(C22=template_label_ok,template_label_ok,"-")
)</f>
        <v>OK</v>
      </c>
      <c r="D23" s="501" t="b">
        <v>0</v>
      </c>
      <c r="E23" s="511" t="str">
        <f>IF(AND(C23=template_label_classified_or_sensitive_information,COUNTIF('Environmental Disclosures'!D22:F24,"&lt;&gt;")&gt;0,COUNTIF(Turnover,"&lt;&gt;")&gt;0),template_label_information_on_sensitive_information_before_converting,"")</f>
        <v/>
      </c>
    </row>
    <row r="24" spans="2:5" x14ac:dyDescent="0.3">
      <c r="B24" s="347" t="str">
        <f>template_label_b4_pollution_of_air_water_and_soil_validation</f>
        <v>B4 - Pollution of air, water and soil</v>
      </c>
      <c r="C24" s="444" t="str">
        <f>IF(D24=TRUE,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OK</v>
      </c>
      <c r="D24" s="501" t="b">
        <v>0</v>
      </c>
      <c r="E24" s="511" t="str">
        <f>IF(AND(C24=template_label_classified_or_sensitive_information,'Environmental Disclosures'!G74=TRUE),template_label_information_on_sensitive_information_before_converting,"")</f>
        <v/>
      </c>
    </row>
    <row r="25" spans="2:5" ht="14.4" customHeight="1" x14ac:dyDescent="0.3">
      <c r="B25" s="347" t="str">
        <f>template_label_b5_biodiversity_validation</f>
        <v>B5 - Biodiversity</v>
      </c>
      <c r="C25" s="444" t="str">
        <f>IF(D25=TRUE, template_label_classified_or_sensitive_information,
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IF(AND(COUNTIF(C26:C27,template_label_ok)&gt;0, COUNTIF(C26:C27,template_label_error_plus_missing_value_plus_value_inconsistency)=0, COUNTIF(C26:C27,template_label_error_plus_value_inconsistency)=0, COUNTIF(C26:C27,template_label_error_plus_missing_value)=0, COUNTIF(C26:C27,template_label_error)=0, COUNTIF(C26:C27,template_label_missing_value_plus_value_inconsistency)=0, COUNTIF(C26:C27,template_label_value_inconsistency)=0, COUNTIF(C26:C27,template_label_missing_value)=0,OR(COUNTIF(C26:C27,template_label_missing_value)=0, COUNTIF(C26:C27,template_label_missing_value)&gt;0)), template_label_ok,
"-")))))))))
))</f>
        <v>OK</v>
      </c>
      <c r="D25" s="449" t="b">
        <f>IF(COUNTIF(D26:D27,TRUE)=ROWS(D26:D27),TRUE,FALSE)</f>
        <v>0</v>
      </c>
      <c r="E25" s="511"/>
    </row>
    <row r="26" spans="2:5" x14ac:dyDescent="0.3">
      <c r="B26" s="438" t="str">
        <f>template_label_b5_sites_in_biodiversity_sensitive_areas</f>
        <v>B5 - Sites in biodiversity sensitive areas</v>
      </c>
      <c r="C26" s="444" t="str">
        <f>IF(D26=TRUE,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OK</v>
      </c>
      <c r="D26" s="450" t="b">
        <v>0</v>
      </c>
      <c r="E26" s="511" t="str">
        <f>IF(AND(C26=template_label_classified_or_sensitive_information,'Environmental Disclosures'!G184=TRUE),template_label_information_on_sensitive_information_before_converting,"")</f>
        <v/>
      </c>
    </row>
    <row r="27" spans="2:5" x14ac:dyDescent="0.3">
      <c r="B27" s="438" t="str">
        <f>template_label_b5_biodiversity_land_use</f>
        <v>B5 - Biodiversity - Land-use</v>
      </c>
      <c r="C27" s="444" t="str">
        <f>IF(D27=TRUE,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OK</v>
      </c>
      <c r="D27" s="450" t="b">
        <v>0</v>
      </c>
      <c r="E27" s="511" t="str">
        <f>IF(AND(C27=template_label_classified_or_sensitive_information,COUNTIF('Environmental Disclosures'!D295:F298,"&lt;&gt;")&gt;0),template_label_information_on_sensitive_information_before_converting,"")</f>
        <v/>
      </c>
    </row>
    <row r="28" spans="2:5" x14ac:dyDescent="0.3">
      <c r="B28" s="347" t="str">
        <f>template_label_b6_water_validation</f>
        <v>B6 - Water</v>
      </c>
      <c r="C28" s="444" t="str">
        <f>IF(D28=TRUE, template_label_classified_or_sensitive_information,
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IF(AND(COUNTIF(C29:C30,template_label_ok)&gt;0, COUNTIF(C26:C27,template_label_error_plus_missing_value_plus_value_inconsistency)=0, COUNTIF(C29:C30,template_label_error_plus_value_inconsistency)=0, COUNTIF(C29:C30,template_label_error_plus_missing_value)=0, COUNTIF(C29:C30,template_label_error)=0, COUNTIF(C29:C30,template_label_missing_value_plus_value_inconsistency)=0, COUNTIF(C29:C30,template_label_value_inconsistency)=0, COUNTIF(C29:C30,template_label_missing_value)=0,OR(COUNTIF(C29:C30,template_label_missing_value)=0, COUNTIF(C29:C30,template_label_missing_value)&gt;0)), template_label_ok,
"-")))))))))
))</f>
        <v>CLASSIFIED OR SENSITIVE INFORMATION</v>
      </c>
      <c r="D28" s="449" t="b">
        <f>IF(COUNTIF(D29:D30,TRUE)=ROWS(D29:D30),TRUE,FALSE)</f>
        <v>1</v>
      </c>
      <c r="E28" s="511"/>
    </row>
    <row r="29" spans="2:5" x14ac:dyDescent="0.3">
      <c r="B29" s="438" t="str">
        <f>template_label_b6_water_withdrawal</f>
        <v>B6 - Water Withdrawal</v>
      </c>
      <c r="C29" s="444" t="str">
        <f>IF(D29=TRUE, template_label_classified_or_sensitive_information,
IF(COUNTIF('Environmental Disclosures'!E303:F304, template_label_missing_value) &gt; 0,
    template_label_missing_value,
    IF(COUNTIF('Environmental Disclosures'!E303:F304, template_label_ok) &gt; 0,
        template_label_ok,
        "-"))
)</f>
        <v>CLASSIFIED OR SENSITIVE INFORMATION</v>
      </c>
      <c r="D29" s="450" t="b">
        <v>1</v>
      </c>
      <c r="E29" s="511" t="str">
        <f>IF(AND(C29=template_label_classified_or_sensitive_information,COUNTIF('Environmental Disclosures'!D303:D304,"&lt;&gt;")&gt;0),template_label_information_on_sensitive_information_before_converting,"")</f>
        <v/>
      </c>
    </row>
    <row r="30" spans="2:5" x14ac:dyDescent="0.3">
      <c r="B30" s="438" t="str">
        <f>template_label_b6_water_consumption</f>
        <v>B6 - Water Consumption</v>
      </c>
      <c r="C30" s="444" t="str">
        <f>IF(D30=TRUE, template_label_classified_or_sensitive_information,
IF(COUNTIF('Environmental Disclosures'!E310:F310, template_label_missing_value) &gt; 0,
    template_label_missing_value,
    IF(COUNTIF('Environmental Disclosures'!E310:F310, template_label_ok) &gt; 0,
        template_label_ok,
        "-"))
)</f>
        <v>CLASSIFIED OR SENSITIVE INFORMATION</v>
      </c>
      <c r="D30" s="450" t="b">
        <v>1</v>
      </c>
      <c r="E30" s="511" t="str">
        <f>IF(AND(C30=template_label_classified_or_sensitive_information,'Environmental Disclosures'!D309=TRUE),template_label_information_on_sensitive_information_before_converting,"")</f>
        <v/>
      </c>
    </row>
    <row r="31" spans="2:5" x14ac:dyDescent="0.3">
      <c r="B31" s="347" t="str">
        <f>template_label_b7_resource_use_circular_economy_and_waste_management_validation</f>
        <v>B7 - Resource use, circular economy and waste management</v>
      </c>
      <c r="C31" s="444" t="str">
        <f>IF(D31=TRUE, template_label_classified_or_sensitive_information,
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IF(AND(COUNTIF(C32:C34,template_label_ok)&gt;0, COUNTIF(C32:C34,template_label_error_plus_missing_value_plus_value_inconsistency)=0, COUNTIF(C32:C34,template_label_error_plus_value_inconsistency)=0, COUNTIF(C32:C34,template_label_error_plus_missing_value)=0, COUNTIF(C32:C34,template_label_error)=0, COUNTIF(C32:C34,template_label_missing_value_plus_value_inconsistency)=0, COUNTIF(C32:C34,template_label_value_inconsistency)=0, COUNTIF(C32:C34,template_label_missing_value)=0,OR(COUNTIF(C32:C34,template_label_missing_value)=0, COUNTIF(C32:C34,template_label_missing_value)&gt;0)), template_label_ok,
"-")))))))))
))</f>
        <v>OK</v>
      </c>
      <c r="D31" s="449" t="b">
        <f>IF(COUNTIF(D33:D34,TRUE)=ROWS(D33:D34),TRUE,FALSE)</f>
        <v>0</v>
      </c>
      <c r="E31" s="511"/>
    </row>
    <row r="32" spans="2:5" x14ac:dyDescent="0.3">
      <c r="B32" s="438" t="str">
        <f>template_label_b7_description_of_circular_economy_principles</f>
        <v>B7 - Description of circular economy principles</v>
      </c>
      <c r="C32" s="444" t="str">
        <f>IF(D32=TRUE,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OK</v>
      </c>
      <c r="D32" s="509" t="b">
        <v>0</v>
      </c>
      <c r="E32" s="511" t="str">
        <f>IF(AND(C32=template_label_classified_or_sensitive_information,COUNTIF('Environmental Disclosures'!D316:G317,"&lt;&gt;")&gt;0),template_label_information_on_sensitive_information_before_converting,"")</f>
        <v/>
      </c>
    </row>
    <row r="33" spans="2:5" x14ac:dyDescent="0.3">
      <c r="B33" s="438" t="str">
        <f>template_label_b7_waste_generated</f>
        <v>B7 - Waste generated</v>
      </c>
      <c r="C33" s="444" t="str">
        <f>IF(D33=TRUE,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OK</v>
      </c>
      <c r="D33" s="501" t="b">
        <v>0</v>
      </c>
      <c r="E33" s="511" t="str">
        <f>IF(AND(C33=template_label_classified_or_sensitive_information,COUNTIF('Environmental Disclosures'!D323:K422,"&lt;&gt;")&gt;0),template_label_information_on_sensitive_information_before_converting,"")</f>
        <v/>
      </c>
    </row>
    <row r="34" spans="2:5" x14ac:dyDescent="0.3">
      <c r="B34" s="438" t="str">
        <f>template_label_b7_annual_mass_flow_of_relevant_materials_used</f>
        <v>B7 - Annual mass-flow of relevant materials used</v>
      </c>
      <c r="C34" s="444" t="str">
        <f>IF(D34=TRUE, template_label_classified_or_sensitive_information,
IF(COUNTIF('Environmental Disclosures'!K435:K534, template_label_missing_value) &gt; 0,
    template_label_missing_value,
    IF(COUNTIF('Environmental Disclosures'!K435:K534, template_label_ok) &gt; 0,
        template_label_ok,
        "-"))
)</f>
        <v>OK</v>
      </c>
      <c r="D34" s="450" t="b">
        <v>0</v>
      </c>
      <c r="E34" s="511" t="str">
        <f>IF(AND(C34=template_label_classified_or_sensitive_information,'Environmental Disclosures'!G433=TRUE),template_label_information_on_sensitive_information_before_converting,"")</f>
        <v/>
      </c>
    </row>
    <row r="35" spans="2:5" x14ac:dyDescent="0.3">
      <c r="B35" s="440" t="str">
        <f>template_label_social_disclosures_validation</f>
        <v>Social Disclosures</v>
      </c>
      <c r="C35" s="428"/>
      <c r="D35" s="429"/>
      <c r="E35" s="511"/>
    </row>
    <row r="36" spans="2:5" ht="14.4" customHeight="1" x14ac:dyDescent="0.3">
      <c r="B36" s="316" t="str">
        <f>template_label_b8_workforce_general_characteristics_validation</f>
        <v>B8 - Workforce - General characteristics</v>
      </c>
      <c r="C36" s="444" t="str">
        <f>IF(D36=TRUE, template_label_classified_or_sensitive_information,
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IF(AND(COUNTIF(C37:C40,template_label_ok)&gt;0, COUNTIF(C37:C40,template_label_error_plus_missing_value_plus_value_inconsistency)=0, COUNTIF(C37:C40,template_label_error_plus_value_inconsistency)=0, COUNTIF(C37:C40,template_label_error_plus_missing_value)=0, COUNTIF(C37:C40,template_label_error)=0, COUNTIF(C37:C40,template_label_missing_value_plus_value_inconsistency)=0, COUNTIF(C37:C40,template_label_value_inconsistency)=0, COUNTIF(C37:C40,template_label_missing_value)=0,OR(COUNTIF(C37:C40,template_label_missing_value)=0, COUNTIF(C37:C40,template_label_missing_value)&gt;0)), template_label_ok,
"-")))))))))
))</f>
        <v>OK</v>
      </c>
      <c r="D36" s="449" t="b">
        <f>IF(COUNTIF(D37:D40,TRUE)=ROWS(D37:D40),TRUE,FALSE)</f>
        <v>0</v>
      </c>
      <c r="E36" s="511"/>
    </row>
    <row r="37" spans="2:5" ht="14.4" customHeight="1" x14ac:dyDescent="0.3">
      <c r="B37" s="438" t="str">
        <f>template_label_b8_workforce_general_characteristics_type_of_contract</f>
        <v>B8 - Workforce - General characteristics - Type of contract</v>
      </c>
      <c r="C37" s="444" t="str">
        <f>IF(D37=TRUE, template_label_classified_or_sensitive_information,
IF(COUNTIF('Social Disclosures'!H10, template_label_missing_value) &gt; 0,
    template_label_missing_value,
    IF(COUNTIF('Social Disclosures'!H10, template_label_ok) &gt; 0,
        template_label_ok,
        "-"))
)</f>
        <v>OK</v>
      </c>
      <c r="D37" s="450" t="b">
        <v>0</v>
      </c>
      <c r="E37" s="511" t="str">
        <f>IF(AND(C37=template_label_classified_or_sensitive_information,COUNTIF([0]!NumberOfPermanentContractEmployees,"&lt;&gt;")&gt;0),template_label_information_on_sensitive_information_before_converting,"")</f>
        <v/>
      </c>
    </row>
    <row r="38" spans="2:5" ht="14.4" customHeight="1" x14ac:dyDescent="0.3">
      <c r="B38" s="438" t="str">
        <f>template_label_b8_workforce_general_characteristics_gender</f>
        <v>B8 - Workforce - General characteristics - Gender</v>
      </c>
      <c r="C38" s="444" t="str">
        <f>IF(D38=TRUE,template_label_classified_or_sensitive_information,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OK</v>
      </c>
      <c r="D38" s="450" t="b">
        <v>0</v>
      </c>
      <c r="E38" s="511" t="str">
        <f>IF(AND(C38=template_label_classified_or_sensitive_information,COUNTIF('Social Disclosures'!D18:G21,"&lt;&gt;")&gt;0),template_label_information_on_sensitive_information_before_converting,"")</f>
        <v/>
      </c>
    </row>
    <row r="39" spans="2:5" ht="14.4" customHeight="1" x14ac:dyDescent="0.3">
      <c r="B39" s="438" t="str">
        <f>template_label_b8_workforce_general_characteristics_country_of_employment</f>
        <v>B8 - Workforce - General characteristics - Country of employment</v>
      </c>
      <c r="C39" s="444" t="str">
        <f>IF(D39=TRUE, template_label_classified_or_sensitive_information,
IF(COUNTIF('Social Disclosures'!I29:I128, template_label_missing_value) &gt; 0,
    template_label_missing_value,
    IF(COUNTIF('Social Disclosures'!I29:I128, template_label_ok) &gt; 0,
        template_label_ok,
        "-"))
)</f>
        <v>OK</v>
      </c>
      <c r="D39" s="450" t="b">
        <v>0</v>
      </c>
      <c r="E39" s="511" t="str">
        <f>IF(AND(C39=template_label_classified_or_sensitive_information,'Social Disclosures'!E27=TRUE),template_label_information_on_sensitive_information_before_converting,"")</f>
        <v/>
      </c>
    </row>
    <row r="40" spans="2:5" ht="14.4" customHeight="1" x14ac:dyDescent="0.3">
      <c r="B40" s="438" t="str">
        <f>template_label_b8_workforce_general_characteristics_turnover_rate</f>
        <v>B8 - Workforce - General characteristics - Turnover rate</v>
      </c>
      <c r="C40" s="444" t="str">
        <f>IF(D40=TRUE, template_label_classified_or_sensitive_information,
IF(COUNTIF('Social Disclosures'!I134:I136, template_label_missing_value) &gt; 0,
    template_label_missing_value,
    IF(COUNTIF('Social Disclosures'!I134:I136, template_label_ok) &gt; 0,
        template_label_ok,
        "-"))
)</f>
        <v>OK</v>
      </c>
      <c r="D40" s="450" t="b">
        <v>0</v>
      </c>
      <c r="E40" s="511" t="str">
        <f>IF(AND(C40=template_label_classified_or_sensitive_information,COUNTIF('Social Disclosures'!D134:H136,"&lt;&gt;")&gt;0),template_label_information_on_sensitive_information_before_converting,"")</f>
        <v/>
      </c>
    </row>
    <row r="41" spans="2:5" ht="14.4" customHeight="1" x14ac:dyDescent="0.3">
      <c r="B41" s="347" t="str">
        <f>template_label_b9_workforce_health_and_safety_validation</f>
        <v>B9 - Workforce - Health and safety</v>
      </c>
      <c r="C41" s="444" t="str">
        <f>IF(D41=TRUE, template_label_classified_or_sensitive_information,
IF(COUNTIF('Social Disclosures'!I140:I144, template_label_missing_value) &gt; 0,
    template_label_missing_value,
    IF(COUNTIF('Social Disclosures'!I140:I144, template_label_ok) &gt; 0,
        template_label_ok,
        "-"))
)</f>
        <v>OK</v>
      </c>
      <c r="D41" s="450" t="b">
        <v>0</v>
      </c>
      <c r="E41" s="511" t="str">
        <f>IF(AND(C41=template_label_classified_or_sensitive_information,COUNTIF('Social Disclosures'!D140:H142,"&lt;&gt;")&gt;0),template_label_information_on_sensitive_information_before_converting,"")</f>
        <v/>
      </c>
    </row>
    <row r="42" spans="2:5" x14ac:dyDescent="0.3">
      <c r="B42" s="347" t="str">
        <f>template_label_b10_workforce_remuneration_collective_bargaining_and_training_validation</f>
        <v>B10 - Workforce - Remuneration, collective bargaining and training</v>
      </c>
      <c r="C42" s="444" t="str">
        <f>IF(D42=TRUE,template_label_classified_or_sensitive_information,
IF(COUNTIF(C43:C44,template_label_error_plus_missing_value_plus_value_inconsistency)&gt;0,template_label_error_plus_missing_value_plus_value_inconsistency,
IF(COUNTIF(C43:C44,template_label_error_plus_value_inconsistency)&gt;0,template_label_error_plus_value_inconsistency,
IF(COUNTIF(C43:C44,template_label_error_plus_missing_value)&gt;0,template_label_error_plus_missing_value,
IF(COUNTIF(C43:C44,template_label_error)&gt;0,template_label_error,
IF(COUNTIF(C43:C44,template_label_missing_value_plus_value_inconsistency)&gt;0,template_label_missing_value_plus_value_inconsistency,
IF(COUNTIF(C43:C44,template_label_value_inconsistency)&gt;0,template_label_value_inconsistency,
IF(COUNTIF(C43:C44,template_label_missing_value)&gt;0,template_label_missing_value,
IF(COUNTIF(C43:C44,template_label_ok)=ROWS(C43:C44),template_label_ok,
IF(COUNTIF(C43:C44,"-")=ROWS(C43:C44),"-",
IF(AND(COUNTIF(C43:C44,template_label_ok)&gt;0,COUNTIF(C43:C44,template_label_error_plus_missing_value_plus_value_inconsistency)=0,COUNTIF(C43:C44,template_label_error_plus_value_inconsistency)=0,COUNTIF(C43:C44,template_label_error_plus_missing_value)=0,COUNTIF(C43:C44,template_label_error)=0,COUNTIF(C43:C44,template_label_missing_value_plus_value_inconsistency)=0,COUNTIF(C43:C44,template_label_value_inconsistency)=0,COUNTIF(C43:C44,template_label_missing_value)=0,OR(COUNTIF(C43:C44,template_label_missing_value)=0, COUNTIF(C43:C44,template_label_missing_value)&gt;0)),template_label_ok,
"-")))))))))))</f>
        <v>OK</v>
      </c>
      <c r="D42" s="449" t="b">
        <f>IF(COUNTIF(D43:D44,TRUE)=ROWS(D43:D44),TRUE,FALSE)</f>
        <v>0</v>
      </c>
      <c r="E42" s="511"/>
    </row>
    <row r="43" spans="2:5" ht="14.4" customHeight="1" x14ac:dyDescent="0.3">
      <c r="B43" s="497" t="str">
        <f>template_label_b10_workforce_remuneration_collective_bargaining</f>
        <v>B10 - Workforce - Remuneration and collective bargaining</v>
      </c>
      <c r="C43" s="444" t="str">
        <f>IF(D43=TRUE, template_label_classified_or_sensitive_information,
IF(COUNTIF('Social Disclosures'!I147:I151, template_label_missing_value) &gt; 0,
    template_label_missing_value,
    IF(COUNTIF('Social Disclosures'!I147:I151, template_label_ok) &gt; 0,
        template_label_ok,
        "-"))
)</f>
        <v>OK</v>
      </c>
      <c r="D43" s="450" t="b">
        <v>0</v>
      </c>
      <c r="E43" s="511" t="str">
        <f>IF(AND(C43=template_label_classified_or_sensitive_information,OR(COUNTIF('Social Disclosures'!D147:H149,"&lt;&gt;")&gt;0,COUNTIF('Social Disclosures'!D151,"&lt;&gt;")&gt;0)),template_label_information_on_sensitive_information_before_converting,"")</f>
        <v/>
      </c>
    </row>
    <row r="44" spans="2:5" x14ac:dyDescent="0.3">
      <c r="B44" s="438" t="str">
        <f>template_label_number_of_annual_training_hours_per_employee_during_the_reporting_period</f>
        <v>B10 - Workforce - Number of annual training hours per employee during the reporting period</v>
      </c>
      <c r="C44" s="444" t="str">
        <f>IF(D44=TRUE, template_label_classified_or_sensitive_information,
IF(COUNTIF('Social Disclosures'!I157:I160, template_label_missing_value) &gt; 0,
    template_label_missing_value,
    IF(COUNTIF('Social Disclosures'!I157:I160, template_label_ok) &gt; 0,
        template_label_ok,
        "-"))
)</f>
        <v>OK</v>
      </c>
      <c r="D44" s="450" t="b">
        <v>0</v>
      </c>
      <c r="E44" s="511" t="str">
        <f>IF(AND(C44=template_label_classified_or_sensitive_information,COUNTIF('Social Disclosures'!D157:H160,"&lt;&gt;")&gt;0),template_label_information_on_sensitive_information_before_converting,"")</f>
        <v/>
      </c>
    </row>
    <row r="45" spans="2:5" x14ac:dyDescent="0.3">
      <c r="B45" s="440" t="str">
        <f>template_label_governance_disclosures_validation</f>
        <v>Governance Disclosures</v>
      </c>
      <c r="C45" s="428"/>
      <c r="D45" s="429"/>
      <c r="E45" s="511"/>
    </row>
    <row r="46" spans="2:5" ht="15" thickBot="1" x14ac:dyDescent="0.35">
      <c r="B46" s="348" t="str">
        <f>template_label_b11_convictions_and_fines_for_corruption_and_bribery_validation</f>
        <v>B11 - Convictions and fines for corruption and bribery</v>
      </c>
      <c r="C46" s="442" t="str">
        <f>IF(D46=TRUE, template_label_classified_or_sensitive_information,
IF(COUNTIF('Governance Disclosures'!I6:I7, template_label_missing_value) &gt; 0,
    template_label_missing_value,
    IF(COUNTIF('Governance Disclosures'!I6:I7, template_label_ok) &gt; 0,
        template_label_ok,
        "-"))
)</f>
        <v>OK</v>
      </c>
      <c r="D46" s="452" t="b">
        <v>0</v>
      </c>
      <c r="E46" s="511" t="str">
        <f>IF(AND(C46=template_label_classified_or_sensitive_information,'Governance Disclosures'!H5=TRUE),template_label_information_on_sensitive_information_before_converting,"")</f>
        <v/>
      </c>
    </row>
    <row r="47" spans="2:5" ht="18" x14ac:dyDescent="0.35">
      <c r="B47" s="387" t="str">
        <f>template_label_comprehensive_module_validation</f>
        <v>Comprehensive Module</v>
      </c>
      <c r="C47" s="445"/>
      <c r="D47" s="430"/>
      <c r="E47" s="511"/>
    </row>
    <row r="48" spans="2:5" x14ac:dyDescent="0.3">
      <c r="B48" s="439" t="str">
        <f>template_label_general_information_validation</f>
        <v>General Information</v>
      </c>
      <c r="C48" s="428"/>
      <c r="D48" s="429"/>
      <c r="E48" s="511"/>
    </row>
    <row r="49" spans="2:5" ht="14.4" customHeight="1" x14ac:dyDescent="0.3">
      <c r="B49" s="347" t="str">
        <f>template_label_c1_strategy_business_model_and_sustainability_related_initiatives_validation</f>
        <v>C1 - Strategy: Business Model and Sustainability - Related Initiatives</v>
      </c>
      <c r="C49" s="444" t="str">
        <f>IF(D49=TRUE, template_label_classified_or_sensitive_information,
IF(COUNTIF('General Information'!H525:H529, template_label_missing_value) &gt; 0,
    template_label_missing_value,
    IF(COUNTIF('General Information'!H525:H529, template_label_ok) &gt; 0,
        template_label_ok,
        "-"))
)</f>
        <v>OK</v>
      </c>
      <c r="D49" s="450" t="b">
        <v>0</v>
      </c>
      <c r="E49" s="511" t="str">
        <f>IF(AND(C49=template_label_classified_or_sensitive_information,OR(COUNTIF('General Information'!E525:G527,"&lt;&gt;")&gt;0,'General Information'!E528=TRUE)),template_label_information_on_sensitive_information_before_converting,"")</f>
        <v/>
      </c>
    </row>
    <row r="50" spans="2:5" x14ac:dyDescent="0.3">
      <c r="B50" s="347" t="str">
        <f>template_label_c2_description_of_practices_policies_and_future_initiatives_for_transitioning_towards_a_more_sustainable_economy_validation</f>
        <v>C2 - Description of practices, policies and future initiatives for transitioning towards a more sustainable economy</v>
      </c>
      <c r="C50" s="444" t="str">
        <f>IF(D50=TRUE, template_label_classified_or_sensitive_information,
IF(COUNTIF('General Information'!H519:H521, template_label_missing_value) &gt; 0,
    template_label_missing_value,
    IF(COUNTIF('General Information'!H519:H521, template_label_ok) &gt; 0,
        template_label_ok,
        "-"))
)</f>
        <v>OK</v>
      </c>
      <c r="D50" s="450" t="b">
        <v>0</v>
      </c>
      <c r="E50" s="511" t="str">
        <f>IF(AND(C50=template_label_classified_or_sensitive_information,COUNTIF('General Information'!E216:E324,"&lt;&gt;")&gt;0),template_label_information_on_sensitive_information_before_converting,"")</f>
        <v/>
      </c>
    </row>
    <row r="51" spans="2:5" x14ac:dyDescent="0.3">
      <c r="B51" s="440" t="str">
        <f>template_label_environmental_disclosures_validation</f>
        <v>Environmental Disclosures</v>
      </c>
      <c r="C51" s="428"/>
      <c r="D51" s="429"/>
      <c r="E51" s="511"/>
    </row>
    <row r="52" spans="2:5" x14ac:dyDescent="0.3">
      <c r="B52" s="316" t="str">
        <f>template_label_c3_ghg_reduction_targets_and_climate_transition_validation</f>
        <v>C3 - GHG reduction targets and climate transition</v>
      </c>
      <c r="C52" s="444" t="str">
        <f>IF(D52=TRUE,template_label_classified_or_sensitive_information,
IF(COUNTIF(C53:C55,template_label_error_plus_missing_value_plus_value_inconsistency)&gt;0,template_label_error_plus_missing_value_plus_value_inconsistency,
IF(COUNTIF(C53:C55,template_label_error_plus_value_inconsistency)&gt;0,template_label_error_plus_value_inconsistency,
IF(COUNTIF(C53:C55,template_label_error_plus_missing_value)&gt;0,template_label_error_plus_missing_value,
IF(COUNTIF(C53:C55,template_label_error)&gt;0,template_label_error,
IF(COUNTIF(C53:C55,template_label_missing_value_plus_value_inconsistency)&gt;0,template_label_missing_value_plus_value_inconsistency,
IF(COUNTIF(C53:C55,template_label_value_inconsistency)&gt;0,template_label_value_inconsistency,
IF(COUNTIF(C53:C55,template_label_missing_value)&gt;0,template_label_missing_value,
IF(COUNTIF(C53:C55,template_label_ok)=ROWS(C53:C55),template_label_ok,
IF(COUNTIF(C53:C55,"-")=ROWS(C53:C55),"-",
IF(AND(COUNTIF(C53:C55,template_label_ok)&gt;0,
COUNTIF(C53:C55,template_label_error_plus_missing_value_plus_value_inconsistency)=0,
COUNTIF(C53:C55,template_label_error_plus_value_inconsistency)=0,
COUNTIF(C53:C55,template_label_error_plus_missing_value)=0,
COUNTIF(C53:C55,template_label_error)=0,
COUNTIF(C53:C55,template_label_missing_value_plus_value_inconsistency)=0,
COUNTIF(C53:C55,template_label_value_inconsistency)=0,
COUNTIF(C53:C55,template_label_missing_value)=0),
template_label_ok,
"-")))))))))))</f>
        <v>OK</v>
      </c>
      <c r="D52" s="449" t="b">
        <f>IF(COUNTIF(D53:D55,TRUE)=ROWS(D53:D55),TRUE,FALSE)</f>
        <v>0</v>
      </c>
      <c r="E52" s="511"/>
    </row>
    <row r="53" spans="2:5" x14ac:dyDescent="0.3">
      <c r="B53" s="438" t="str">
        <f>template_label_c3_ghg_reduction_targets</f>
        <v>C3 - GHG reduction targets (in tC02e)</v>
      </c>
      <c r="C53" s="444" t="str">
        <f>IF(D53=TRUE,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OK</v>
      </c>
      <c r="D53" s="450" t="b">
        <v>0</v>
      </c>
      <c r="E53" s="511" t="str">
        <f>IF(AND(C53=template_label_classified_or_sensitive_information,'Environmental Disclosures'!J19=TRUE),template_label_information_on_sensitive_information_before_converting,"")</f>
        <v/>
      </c>
    </row>
    <row r="54" spans="2:5" x14ac:dyDescent="0.3">
      <c r="B54" s="438" t="str">
        <f>template_label_c3_disclosure_of_list_of_main_actions_the_entity_seeks_in_order_to_achieve_its_targets</f>
        <v>C3 - Disclosure of list of main actions the entity seeks in order to achieve its targets</v>
      </c>
      <c r="C54" s="444" t="str">
        <f>IF(D54=TRUE, template_label_classified_or_sensitive_information,
IF(COUNTIF('Environmental Disclosures'!L52, template_label_missing_value) &gt; 0,
    template_label_missing_value,
    IF(COUNTIF('Environmental Disclosures'!L52, template_label_ok) &gt; 0,
        template_label_ok,
        "-"))
)</f>
        <v>OK</v>
      </c>
      <c r="D54" s="450" t="b">
        <v>0</v>
      </c>
      <c r="E54" s="511" t="str">
        <f>IF(AND(C54=template_label_classified_or_sensitive_information,COUNTIF(DisclosureOfListOfMainActionsTheEntitySeeksInOrderToAchieveItsTargets,"&lt;&gt;")&gt;0),template_label_information_on_sensitive_information_before_converting,"")</f>
        <v/>
      </c>
    </row>
    <row r="55" spans="2:5" x14ac:dyDescent="0.3">
      <c r="B55" s="438" t="str">
        <f>template_label_c3_transition_plan_for_undertakings_operating_in_high_climate_impact_sectors</f>
        <v>C3 - Transition plan for undertakings operating in high climate impact sectors</v>
      </c>
      <c r="C55" s="444" t="str">
        <f>IF(D55=TRUE,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OK</v>
      </c>
      <c r="D55" s="450" t="b">
        <v>0</v>
      </c>
      <c r="E55" s="511" t="str">
        <f>IF(AND(C55=template_label_classified_or_sensitive_information,COUNTIF('Environmental Disclosures'!D57,"&lt;&gt;")&gt;0),template_label_information_on_sensitive_information_before_converting,"")</f>
        <v/>
      </c>
    </row>
    <row r="56" spans="2:5" x14ac:dyDescent="0.3">
      <c r="B56" s="347" t="str">
        <f>template_label_c4_climate_risks_validation</f>
        <v>C4 - Climate risks</v>
      </c>
      <c r="C56" s="444" t="str">
        <f>IF(D56=TRUE, template_label_classified_or_sensitive_information,
IF(COUNTIF('Environmental Disclosures'!L540:L544, template_label_missing_value) &gt; 0,
    template_label_missing_value,
    IF(COUNTIF('Environmental Disclosures'!L540:L544, template_label_ok) &gt; 0,
        template_label_ok,
        "-"))
)</f>
        <v>OK</v>
      </c>
      <c r="D56" s="450" t="b">
        <v>0</v>
      </c>
      <c r="E56" s="511" t="str" cm="1">
        <f t="array" ref="E56">IF(AND(C56=template_label_classified_or_sensitive_information,'Environmental Disclosures'!E539:K539=TRUE),template_label_information_on_sensitive_information_before_converting,"")</f>
        <v/>
      </c>
    </row>
    <row r="57" spans="2:5" x14ac:dyDescent="0.3">
      <c r="B57" s="440" t="str">
        <f>template_label_social_disclosures_validation</f>
        <v>Social Disclosures</v>
      </c>
      <c r="C57" s="428"/>
      <c r="D57" s="429"/>
      <c r="E57" s="511"/>
    </row>
    <row r="58" spans="2:5" x14ac:dyDescent="0.3">
      <c r="B58" s="347" t="str">
        <f>template_label_c5_additional_general_workforce_characteristics_validation</f>
        <v>C5 - Additional (general) workforce characteristics</v>
      </c>
      <c r="C58" s="444" t="str">
        <f>IF(D58=TRUE, template_label_classified_or_sensitive_information,
IF(COUNTIF('Social Disclosures'!I165:I169, template_label_ok) &gt; 0,
    template_label_ok,
    "-")
)</f>
        <v>OK</v>
      </c>
      <c r="D58" s="450" t="b">
        <v>0</v>
      </c>
      <c r="E58" s="511" t="str">
        <f>IF(AND(C58=template_label_classified_or_sensitive_information,OR(COUNTIF('Social Disclosures'!D165:H166,"&lt;&gt;")&gt;0,COUNTIF('Social Disclosures'!D168:H169,"&lt;&gt;")&gt;0)),template_label_information_on_sensitive_information_before_converting,"")</f>
        <v/>
      </c>
    </row>
    <row r="59" spans="2:5" x14ac:dyDescent="0.3">
      <c r="B59" s="347" t="str">
        <f>template_label_c6_additional_own_workforce_information_human_rights_policies_and_processes_validation</f>
        <v>C6 - Additional own workforce information - Human rights policies and processes</v>
      </c>
      <c r="C59" s="444" t="str">
        <f>IF(D59=TRUE,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OK</v>
      </c>
      <c r="D59" s="450" t="b">
        <v>0</v>
      </c>
      <c r="E59" s="511" t="str">
        <f>IF(AND(C59=template_label_classified_or_sensitive_information,OR(COUNTIF(UndertakingHasACodeOfConductOrHumanRightsPolicyForItsOwnWorkforce,"&lt;&gt;")&gt;0,COUNTIF('Social Disclosures'!D180:H181,"&lt;&gt;")&gt;0,COUNTIF(TypeOfContentCoveredByTheCodeOfConductOrHumanRightsPolicyForItsOwnWorkforce,TRUE)&gt;0)),template_label_information_on_sensitive_information_before_converting,"")</f>
        <v/>
      </c>
    </row>
    <row r="60" spans="2:5" x14ac:dyDescent="0.3">
      <c r="B60" s="441" t="str">
        <f>template_label_c7_severe_negative_human_rights_incidents_validation</f>
        <v>C7 - Severe negative human rights incidents</v>
      </c>
      <c r="C60" s="447" t="str">
        <f>IF(D60=TRUE,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OK</v>
      </c>
      <c r="D60" s="450" t="b">
        <v>0</v>
      </c>
      <c r="E60" s="511" t="str">
        <f>IF(AND(C60=template_label_classified_or_sensitive_information,OR(COUNTIF(UndertakingHasConfirmedHumanRightsIncidentsInItsOwnWorkforce,"&lt;&gt;")&gt;0,COUNTIF(TypeOfHumanRightRelatedToTheConfirmedIncident,TRUE)&gt;0,COUNTIF('Social Disclosures'!D191:H194,"&lt;&gt;"))),template_label_information_on_sensitive_information_before_converting,"")</f>
        <v/>
      </c>
    </row>
    <row r="61" spans="2:5" x14ac:dyDescent="0.3">
      <c r="B61" s="317" t="str">
        <f>template_label_governance_disclosures_validation</f>
        <v>Governance Disclosures</v>
      </c>
      <c r="C61" s="448"/>
      <c r="D61" s="429"/>
      <c r="E61" s="511"/>
    </row>
    <row r="62" spans="2:5" x14ac:dyDescent="0.3">
      <c r="B62" s="316" t="str">
        <f>template_label_c8_revenues_from_certain_sectors_and_exclusion_from_eu_reference_benchmarks_validation</f>
        <v>C8 - Revenues from certain activities and exclusion from EU reference benchmarks</v>
      </c>
      <c r="C62" s="444" t="str">
        <f>IF(D62=TRUE,template_label_classified_or_sensitive_information,
IF(COUNTIF(C63:C64,template_label_error_plus_missing_value_plus_value_inconsistency)&gt;0,template_label_error_plus_missing_value_plus_value_inconsistency,
IF(COUNTIF(C63:C64,template_label_error_plus_value_inconsistency)&gt;0,template_label_error_plus_value_inconsistency,
IF(COUNTIF(C63:C64,template_label_error_plus_missing_value)&gt;0,template_label_error_plus_missing_value,
IF(COUNTIF(C63:C64,template_label_error)&gt;0,template_label_error,
IF(COUNTIF(C63:C64,template_label_missing_value_plus_value_inconsistency)&gt;0,template_label_missing_value_plus_value_inconsistency,
IF(COUNTIF(C63:C64,template_label_value_inconsistency)&gt;0,template_label_value_inconsistency,
IF(COUNTIF(C63:C64,template_label_missing_value)&gt;0,template_label_missing_value,
IF(COUNTIF(C63:C64,template_label_ok)=ROWS(C63:C64),template_label_ok,
IF(COUNTIF(C63:C64,"-")=ROWS(C63:C64),"-",
IF(AND(COUNTIF(C63:C64,template_label_ok)&gt;0,
COUNTIF(C63:C64,template_label_error_plus_missing_value_plus_value_inconsistency)=0,
COUNTIF(C63:C64,template_label_error_plus_value_inconsistency)=0,
COUNTIF(C63:C64,template_label_error_plus_missing_value)=0,
COUNTIF(C63:C64,template_label_error)=0,
COUNTIF(C63:C64,template_label_missing_value_plus_value_inconsistency)=0,
COUNTIF(C63:C64,template_label_value_inconsistency)=0,
COUNTIF(C63:C64,template_label_missing_value)=0),
template_label_ok,
"-")))))))))))</f>
        <v>OK</v>
      </c>
      <c r="D62" s="449" t="b">
        <f>IF(COUNTIF(D63:D64,TRUE)=ROWS(D63:D64),TRUE,FALSE)</f>
        <v>0</v>
      </c>
      <c r="E62" s="511"/>
    </row>
    <row r="63" spans="2:5" x14ac:dyDescent="0.3">
      <c r="B63" s="438" t="str">
        <f>template_label_c8_revenues_from_certain_sectors</f>
        <v>C8 - Revenues from certain activities</v>
      </c>
      <c r="C63" s="444" t="str">
        <f>IF(D63=TRUE, template_label_classified_or_sensitive_information,
IF(COUNTIF('Governance Disclosures'!I12:I18, template_label_value_inconsistency) &gt; 0,
    template_label_value_inconsistency,
    IF(COUNTIF('Governance Disclosures'!I12:I18, template_label_ok) &gt; 0,
        template_label_ok,
        "-"))
)</f>
        <v>-</v>
      </c>
      <c r="D63" s="450" t="b">
        <v>0</v>
      </c>
      <c r="E63" s="511" t="str">
        <f>IF(AND(C63=template_label_classified_or_sensitive_information,COUNTIF('Governance Disclosures'!H10,TRUE)&gt;0),template_label_information_on_sensitive_information_before_converting,"")</f>
        <v/>
      </c>
    </row>
    <row r="64" spans="2:5" x14ac:dyDescent="0.3">
      <c r="B64" s="438" t="str">
        <f>template_label_c8_exclusion_from_eu_reference_benchmarks</f>
        <v>C8 - Exclusion from EU reference benchmarks</v>
      </c>
      <c r="C64" s="444" t="str">
        <f>IF(D64=TRUE, template_label_classified_or_sensitive_information,
IF(COUNTIF('Governance Disclosures'!I22:I26, template_label_missing_value) &gt; 0,
    template_label_missing_value,
    IF(COUNTIF('Governance Disclosures'!I22:I26, template_label_ok) &gt; 0,
        template_label_ok,
        "-"))
)</f>
        <v>OK</v>
      </c>
      <c r="D64" s="450" t="b">
        <v>0</v>
      </c>
      <c r="E64" s="511" t="str">
        <f>IF(AND(C64=template_label_classified_or_sensitive_information,COUNTIF('Governance Disclosures'!H22:H26,TRUE)&gt;0),template_label_information_on_sensitive_information_before_converting,"")</f>
        <v/>
      </c>
    </row>
    <row r="65" spans="2:5" ht="15" thickBot="1" x14ac:dyDescent="0.35">
      <c r="B65" s="347" t="str">
        <f>template_label_c9_gender_diversity_ratio_in_the_governance_body_validation</f>
        <v>C9 - Gender diversity ratio in the governance body</v>
      </c>
      <c r="C65" s="444" t="str">
        <f>IF(D65=TRUE, template_label_classified_or_sensitive_information,
IF(COUNTIF('Governance Disclosures'!I31:I32, template_label_missing_value) &gt; 0,
    template_label_missing_value,
    IF(COUNTIF('Governance Disclosures'!I31:I32, template_label_ok) &gt; 0,
        template_label_ok,
        "-"))
)</f>
        <v>OK</v>
      </c>
      <c r="D65" s="450" t="b">
        <v>0</v>
      </c>
      <c r="E65" s="511" t="str">
        <f>IF(AND(C65=template_label_classified_or_sensitive_information,COUNTIF('Governance Disclosures'!H30,"&lt;&gt;")&gt;0),template_label_information_on_sensitive_information_before_converting,"")</f>
        <v/>
      </c>
    </row>
    <row r="66" spans="2:5" x14ac:dyDescent="0.3">
      <c r="B66" s="388" t="str">
        <f>template_label_additional_disclosures_validation</f>
        <v>Additional Disclosures</v>
      </c>
      <c r="C66" s="427"/>
      <c r="D66" s="451"/>
      <c r="E66" s="511"/>
    </row>
    <row r="67" spans="2:5" x14ac:dyDescent="0.3">
      <c r="B67" s="347" t="str">
        <f>template_label_disclosure_of_any_other_general_and_or_entity_specific_information_on_the_reporting_period</f>
        <v>Disclosure of any other general and/or entity specific information on the reporting period</v>
      </c>
      <c r="C67" s="444" t="str">
        <f>IF(D67=TRUE, template_label_classified_or_sensitive_information,
IF('General Information'!I533 = template_label_ok, template_label_ok, "-")
)</f>
        <v>OK</v>
      </c>
      <c r="D67" s="450" t="b">
        <v>0</v>
      </c>
      <c r="E67" s="511" t="str">
        <f>IF(AND(C67=template_label_classified_or_sensitive_information,COUNTIF(DisclosureOfAnyOtherGeneralAndOrEntitySpecificInformation,"&lt;&gt;")&gt;0),template_label_information_on_sensitive_information_before_converting,"")</f>
        <v/>
      </c>
    </row>
    <row r="68" spans="2:5" x14ac:dyDescent="0.3">
      <c r="B68" s="347" t="str">
        <f>template_label_disclosure_of_any_other_environmental_and_or_entity_specific_environmental_disclosures</f>
        <v>Disclosure of any other environmental and/or entity specific environmental disclosures</v>
      </c>
      <c r="C68" s="444" t="str">
        <f>IF(D68=TRUE, template_label_classified_or_sensitive_information,
IF('Environmental Disclosures'!M548 = template_label_ok, template_label_ok, "-")
)</f>
        <v>-</v>
      </c>
      <c r="D68" s="450" t="b">
        <v>0</v>
      </c>
      <c r="E68" s="511" t="str">
        <f>IF(AND(C68=template_label_classified_or_sensitive_information,COUNTIF(DisclosureOfAnyOtherEnvironmentalAndOrEntitySpecificEnvironmentalDisclosures,"&lt;&gt;")&gt;0),template_label_information_on_sensitive_information_before_converting,"")</f>
        <v/>
      </c>
    </row>
    <row r="69" spans="2:5" x14ac:dyDescent="0.3">
      <c r="B69" s="347" t="str">
        <f>template_label_disclosure_of_any_other_social_and_or_entity_specific_social_disclosures</f>
        <v>Disclosure of any other social and/or entity specific social disclosures</v>
      </c>
      <c r="C69" s="444" t="str">
        <f>IF(D69=TRUE, template_label_classified_or_sensitive_information,
IF('Social Disclosures'!I200 = template_label_ok, template_label_ok, "-")
)</f>
        <v>-</v>
      </c>
      <c r="D69" s="450" t="b">
        <v>0</v>
      </c>
      <c r="E69" s="511" t="str">
        <f>IF(AND(C69=template_label_classified_or_sensitive_information,COUNTIF(DisclosureOfAnyOtherSocialAndOrEntitySpecificSocialDisclosures,"&lt;&gt;")&gt;0),template_label_information_on_sensitive_information_before_converting,"")</f>
        <v/>
      </c>
    </row>
    <row r="70" spans="2:5" ht="15" thickBot="1" x14ac:dyDescent="0.35">
      <c r="B70" s="348" t="str">
        <f>template_label_disclosure_of_any_other_governance_and_or_entity_specific_governance_disclosures</f>
        <v>Disclosure of any other governance and/or entity specific governance disclosures</v>
      </c>
      <c r="C70" s="442" t="str">
        <f>IF(D70=TRUE, template_label_classified_or_sensitive_information,
IF('Governance Disclosures'!I38 = template_label_ok, template_label_ok, "-")
)</f>
        <v>-</v>
      </c>
      <c r="D70" s="452" t="b">
        <v>0</v>
      </c>
      <c r="E70" s="511" t="str">
        <f>IF(AND(C70=template_label_classified_or_sensitive_information,COUNTIF(DisclosureOfAnyOtherGovernanceAndOrEntitySpecificGovernanceDisclosures,"&lt;&gt;")&gt;0),template_label_information_on_sensitive_information_before_converting,"")</f>
        <v/>
      </c>
    </row>
  </sheetData>
  <sheetProtection algorithmName="SHA-512" hashValue="szsY/M+KKN1PZ3TwNzO87THK+X6CcVxP4z92O9kTVXaakvne9IGQ9llZCSsVFnllpcPNWc1j5oDnG+V1hM1EOw==" saltValue="MhNxf5UuflTsE2hUGNBMIg==" spinCount="100000" sheet="1" formatColumns="0" formatRows="0"/>
  <mergeCells count="2">
    <mergeCell ref="D3:D4"/>
    <mergeCell ref="B3:B4"/>
  </mergeCells>
  <conditionalFormatting sqref="B2:C2">
    <cfRule type="expression" dxfId="406" priority="392">
      <formula>B$46="INCOMPLETE"</formula>
    </cfRule>
    <cfRule type="expression" dxfId="405" priority="393">
      <formula>B$46="COMPLETE"</formula>
    </cfRule>
  </conditionalFormatting>
  <conditionalFormatting sqref="C3">
    <cfRule type="expression" dxfId="404" priority="31">
      <formula>$C$3=template_label_incomplete</formula>
    </cfRule>
    <cfRule type="expression" dxfId="403" priority="32">
      <formula>$C$3=template_label_complete</formula>
    </cfRule>
  </conditionalFormatting>
  <conditionalFormatting sqref="C6:C8 C10:C47 C49:C70">
    <cfRule type="expression" dxfId="402" priority="1">
      <formula>$C6=template_label_classified_or_sensitive_information</formula>
    </cfRule>
    <cfRule type="expression" dxfId="401" priority="22">
      <formula>$C6=template_label_value_inconsistency</formula>
    </cfRule>
    <cfRule type="expression" dxfId="400" priority="23">
      <formula>$C6=template_label_invalid_url</formula>
    </cfRule>
    <cfRule type="expression" dxfId="399" priority="24">
      <formula>$C6=template_label_error_plus_missing_value_plus_value_inconsistency</formula>
    </cfRule>
    <cfRule type="expression" dxfId="398" priority="25">
      <formula>$C6=template_label_error_plus_value_inconsistency</formula>
    </cfRule>
    <cfRule type="expression" dxfId="397" priority="26">
      <formula>$C6=template_label_error_plus_missing_value</formula>
    </cfRule>
    <cfRule type="expression" dxfId="396" priority="27">
      <formula>$C6=template_label_missing_value_plus_value_inconsistency</formula>
    </cfRule>
    <cfRule type="expression" dxfId="395" priority="28">
      <formula>$C6=template_label_missing_value</formula>
    </cfRule>
    <cfRule type="expression" dxfId="394" priority="29">
      <formula>$C6=template_label_error</formula>
    </cfRule>
    <cfRule type="expression" dxfId="393" priority="30">
      <formula>$C6=template_label_ok</formula>
    </cfRule>
  </conditionalFormatting>
  <conditionalFormatting sqref="D8:D9">
    <cfRule type="expression" dxfId="392" priority="2">
      <formula>$C8=template_label_value_inconsistency</formula>
    </cfRule>
    <cfRule type="expression" dxfId="391" priority="3">
      <formula>$C8=template_label_invalid_url</formula>
    </cfRule>
    <cfRule type="expression" dxfId="390" priority="4">
      <formula>$C8=template_label_error_plus_missing_value_plus_value_inconsistency</formula>
    </cfRule>
    <cfRule type="expression" dxfId="389" priority="5">
      <formula>$C8=template_label_error_plus_value_inconsistency</formula>
    </cfRule>
    <cfRule type="expression" dxfId="388" priority="6">
      <formula>$C8=template_label_error_plus_missing_value</formula>
    </cfRule>
    <cfRule type="expression" dxfId="387" priority="7">
      <formula>$C8=template_label_missing_value_plus_value_inconsistency</formula>
    </cfRule>
    <cfRule type="expression" dxfId="386" priority="8">
      <formula>$C8=template_label_missing_value</formula>
    </cfRule>
    <cfRule type="expression" dxfId="385" priority="9">
      <formula>$C8=template_label_error</formula>
    </cfRule>
    <cfRule type="expression" dxfId="384" priority="10">
      <formula>$C8=template_label_ok</formula>
    </cfRule>
  </conditionalFormatting>
  <conditionalFormatting sqref="D18">
    <cfRule type="expression" dxfId="383" priority="11">
      <formula>$C18=template_label_value_inconsistency</formula>
    </cfRule>
    <cfRule type="expression" dxfId="382" priority="12">
      <formula>$C18=template_label_invalid_url</formula>
    </cfRule>
    <cfRule type="expression" dxfId="381" priority="13">
      <formula>$C18=template_label_error_plus_missing_value_plus_value_inconsistency</formula>
    </cfRule>
    <cfRule type="expression" dxfId="380" priority="14">
      <formula>$C18=template_label_error_plus_value_inconsistency</formula>
    </cfRule>
    <cfRule type="expression" dxfId="379" priority="15">
      <formula>$C18=template_label_error_plus_missing_value</formula>
    </cfRule>
    <cfRule type="expression" dxfId="378" priority="16">
      <formula>$C18=template_label_missing_value_plus_value_inconsistency</formula>
    </cfRule>
    <cfRule type="expression" dxfId="377" priority="17">
      <formula>$C18=template_label_missing_value</formula>
    </cfRule>
    <cfRule type="expression" dxfId="376" priority="18">
      <formula>$C18=template_label_error</formula>
    </cfRule>
    <cfRule type="expression" dxfId="375" priority="19">
      <formula>$C18=template_label_ok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3" location="template_b1_list_of_subsidiaries" display="             List of subsidiaries" xr:uid="{9EAA5EF6-131F-42F1-9145-55B580C93404}"/>
    <hyperlink ref="B14" location="template_b1_disclosure_of_sustainability_related_certifications_or_labels" display="             Disclosure of sustainability-related certification(s) or label(s)" xr:uid="{4D19F8C5-01A7-4A79-B8B9-BD32706D0E62}"/>
    <hyperlink ref="B15" location="template_b1_list_of_sites" display="             List of site(s)" xr:uid="{D243425C-ED64-484D-A378-BCE59FEA1CCA}"/>
    <hyperlink ref="B17" location="template_b2_cooperative_specific_disclosures" display="             Cooperative specific disclosures" xr:uid="{DD0201D3-4CEF-4426-A12D-90862DD79EFB}"/>
    <hyperlink ref="B49" location="template_c1_strategy_business_model_and_sustainability" display="· C1 - Strategy: Business Model and Sustainability – Related Initiatives" xr:uid="{A970C105-76A8-40CF-A869-573C4F419725}"/>
    <hyperlink ref="B50"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7" location="template_disclosure_of_any_other_general_and_or_entity_specific_information_on_the_reporting_period" display="· Disclosure of any other general and/or entity specific information on the reporting period" xr:uid="{737F7CD2-A98D-46EC-85E3-472AB0E79697}"/>
    <hyperlink ref="B51"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2" location="template_c3_GHG_reduction_targets_in_tC02e" display="· C3 - GHG reduction targets and climate transition" xr:uid="{848C6734-27F4-49E8-9FCC-08706070E8A6}"/>
    <hyperlink ref="B53" location="template_c3_GHG_reduction_targets_in_tC02e" display="              GHG reduction targets (in tC02e)" xr:uid="{03F78659-15D3-426B-904F-EB997820F373}"/>
    <hyperlink ref="B54" location="template_c3_disclosure_of_list_of_main_actions_the_entity_seeks_in_order_to_achieve_its_targets" display="              Disclosure of list of main actions the entity seeks in order  to achieve its targets" xr:uid="{7736370F-5B99-4C0B-90FC-4925E5CC7276}"/>
    <hyperlink ref="B55" location="template_c3_transition_plan_for_undertakings_operating_in_high_climate_impact_sectors" display="              Transition plan for undertakings operating in high climate impact sectors" xr:uid="{9B00468F-D916-42FC-9DB7-512FE564EB6B}"/>
    <hyperlink ref="B56" location="template_c4_climate_risks" display="· C4 - Climate risks" xr:uid="{9A4CE9A4-48DE-4DCC-AA6A-C83BB13ECA6E}"/>
    <hyperlink ref="B68" location="template_disclosure_of_any_other_environmental_and_or_entity_specific_enviromental_disclosures" display="· Disclosure of any other environmental and/or entity specific enviromental disclosures" xr:uid="{3B30C8FE-FF9E-4311-9E4E-4FDD869D911E}"/>
    <hyperlink ref="B57"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8" location="template_c5_additional_general_workforce_characteristics" display="· C5 - Additional (general) workforce characteristics" xr:uid="{12A6D13C-E762-49D9-B9D9-FF10B30E5074}"/>
    <hyperlink ref="B59" location="template_c6_additional_own_workforce_information_human_rights_policies_and_processes" display="· C6 - Additional own workforce information - Human rights policies and processes" xr:uid="{ADA01F7E-1E23-46D3-A6C5-180A4471A463}"/>
    <hyperlink ref="B60" location="template_c7_severe_negative_human_rights_incidents" display="· C7 - Severe negative human rights incidents" xr:uid="{94D3FF8D-39DA-47EF-8F8C-21118A7AC765}"/>
    <hyperlink ref="B69" location="template_disclosure_of_any_other_social_and_or_entity_specific_social_disclosures" display="· Disclosure of any other social and/or entity specific social disclosures" xr:uid="{C461AEC8-E547-4D3E-985E-464AE7DE0614}"/>
    <hyperlink ref="B61" location="'Governance Disclosures'!A1" display="Governance Disclosures" xr:uid="{DB065620-D288-425D-A3F6-B94563629CD2}"/>
    <hyperlink ref="B46" location="template_b11_convictions_and_fines_for_corruption_and_bribery" display="· B11 - Convictions and fines for corruption and bribery" xr:uid="{DCDB2FE8-D2A1-470C-AEE7-1A53DE3C6A56}"/>
    <hyperlink ref="B62" location="template_c8_revenues_from_certain_sectors" display="· C8 - Revenues from certain sectors and exclusion from EU reference benchmarks" xr:uid="{9A39A97B-59DF-4A64-9184-E8CE24890C97}"/>
    <hyperlink ref="B63" location="template_c8_revenues_from_certain_sectors" display="              Revenues from certain sectors" xr:uid="{C95EF8C3-FA9B-4CEE-8D33-44BBFD20DB8E}"/>
    <hyperlink ref="B64" location="template_c8_exclusion_from_EU_reference_benchmarks" display="              Exclusion from EU reference benchmarks" xr:uid="{686FE336-7658-4083-B1D8-2A0952B0A262}"/>
    <hyperlink ref="B65" location="template_c9_gender_diversity_ratio_in_the_governance_body" display="· C9 - Gender diversity ratio in the governance body" xr:uid="{8744655C-A8E1-41B4-9ACB-ED49B581199E}"/>
    <hyperlink ref="B70"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8" location="'General Information'!A1" display="General Information" xr:uid="{8D1A7217-DD9F-4D14-8E62-DF0CE7521CD6}"/>
    <hyperlink ref="B35" location="'Social Disclosures'!A1" display="Social Disclosures" xr:uid="{5005ADE5-99EC-42B4-8AAE-6D7FF266EFE1}"/>
    <hyperlink ref="B45" location="'Governance Disclosures'!A1" display="Governance Disclosures" xr:uid="{3A78DB22-3150-4E53-A3E3-AF5505C487EE}"/>
    <hyperlink ref="B18" location="'Environmental Disclosures'!A1" display="Environmental Disclosures" xr:uid="{7718B422-B5A6-477E-8388-A9804BDB4D4F}"/>
    <hyperlink ref="B43" location="template_b10_workforce_remuneration_collective_bargaining_and_training" display="template_b10_workforce_remuneration_collective_bargaining_and_training" xr:uid="{203BC68F-FB2B-4D06-88CB-1719EC4A5A0E}"/>
    <hyperlink ref="B44" location="template_b10_workforce_number_of_training" display="template_b10_workforce_number_of_training" xr:uid="{7A83DE48-ECCD-4CDC-96C4-FE6FEFA66522}"/>
    <hyperlink ref="B11" location="template_b1_basis_for_preparation_and_other_undertakings_general_information" display="            Basis for Preparation and other undertaking's general information" xr:uid="{DCB9EB33-29ED-498C-82CC-F099A7297C4E}"/>
    <hyperlink ref="B12" location="template_b1_other_undertakings_general_information" display="template_b1_other_undertakings_general_information" xr:uid="{86A71077-5E3D-4DEE-8A72-EAAE1FBB0A0F}"/>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33"/>
  <sheetViews>
    <sheetView showGridLines="0" zoomScale="68" zoomScaleNormal="100" workbookViewId="0">
      <selection activeCell="E123" sqref="E123"/>
    </sheetView>
  </sheetViews>
  <sheetFormatPr defaultColWidth="8.88671875" defaultRowHeight="14.4" outlineLevelRow="2" x14ac:dyDescent="0.3"/>
  <cols>
    <col min="1" max="1" width="10.33203125" bestFit="1" customWidth="1"/>
    <col min="2" max="2" width="10" bestFit="1" customWidth="1"/>
    <col min="3" max="3" width="54.88671875" customWidth="1"/>
    <col min="4" max="4" width="56.33203125" customWidth="1"/>
    <col min="5" max="5" width="41.33203125" customWidth="1"/>
    <col min="6" max="6" width="31.6640625" style="2" customWidth="1"/>
    <col min="7" max="7" width="13.5546875" bestFit="1" customWidth="1"/>
    <col min="8" max="8" width="91.6640625" customWidth="1"/>
    <col min="9" max="9" width="13.33203125"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9" t="str">
        <f>template_label_paragraph_reference</f>
        <v>Paragraph Reference</v>
      </c>
      <c r="B1" s="389" t="str">
        <f>template_label_paragraph_guidance_reference</f>
        <v>Paragraph Guidance Reference</v>
      </c>
    </row>
    <row r="2" spans="1:11" ht="14.4" customHeight="1" thickBot="1" x14ac:dyDescent="0.35">
      <c r="B2" s="87"/>
      <c r="C2" s="644" t="str">
        <f>template_label_information_on_the_report_necessary_for_xbrl &amp; " " &amp; template_label_always_to_be_reported</f>
        <v>Information on the report necessary for  XBRL [Always to be reported]</v>
      </c>
      <c r="D2" s="644"/>
      <c r="E2" s="644"/>
    </row>
    <row r="3" spans="1:11" ht="14.4" customHeight="1" x14ac:dyDescent="0.3">
      <c r="B3" s="87"/>
      <c r="C3" s="418" t="str">
        <f>template_label_name_of_the_reporting_entity</f>
        <v>Name of the reporting entity</v>
      </c>
      <c r="D3" s="652" t="s">
        <v>4</v>
      </c>
      <c r="E3" s="652"/>
      <c r="F3" s="11" t="str">
        <f>IF(D3 = "", template_label_missing_value, template_label_ok)</f>
        <v>OK</v>
      </c>
    </row>
    <row r="4" spans="1:11" ht="14.4" customHeight="1" x14ac:dyDescent="0.3">
      <c r="B4" s="87"/>
      <c r="C4" s="115" t="str">
        <f>template_label_identifier_of_the_reporting_entity</f>
        <v>Identifier of the reporting entity (select and specify on the right)</v>
      </c>
      <c r="D4" s="325" t="s">
        <v>5</v>
      </c>
      <c r="E4" s="56" t="s">
        <v>6</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53" t="s">
        <v>7</v>
      </c>
      <c r="E5" s="653"/>
      <c r="F5" s="11" t="str">
        <f>IF(D5 = "", template_label_missing_value, template_label_ok)</f>
        <v>OK</v>
      </c>
      <c r="H5" s="52"/>
    </row>
    <row r="6" spans="1:11" ht="14.4" customHeight="1" x14ac:dyDescent="0.3">
      <c r="C6" s="219" t="str">
        <f>template_label_starting_year</f>
        <v>Starting year</v>
      </c>
      <c r="D6" s="631">
        <v>2025</v>
      </c>
      <c r="E6" s="631"/>
      <c r="F6" s="637"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591" t="str">
        <f>template_label_date_warning</f>
        <v>ℹ️ If VALUE INCONSISTENCY message appears on the right, please ensure that the reporting period end date is greater than the reporting period start date.</v>
      </c>
      <c r="H6" s="591"/>
      <c r="I6" s="591"/>
      <c r="J6" s="591"/>
      <c r="K6" s="591"/>
    </row>
    <row r="7" spans="1:11" ht="14.4" customHeight="1" x14ac:dyDescent="0.3">
      <c r="C7" s="125" t="str">
        <f>template_label_starting_month</f>
        <v>Starting month</v>
      </c>
      <c r="D7" s="654">
        <v>1</v>
      </c>
      <c r="E7" s="654"/>
      <c r="F7" s="637"/>
      <c r="G7" s="591"/>
      <c r="H7" s="591"/>
      <c r="I7" s="591"/>
      <c r="J7" s="591"/>
      <c r="K7" s="591"/>
    </row>
    <row r="8" spans="1:11" ht="14.4" customHeight="1" x14ac:dyDescent="0.3">
      <c r="C8" s="125" t="str">
        <f>template_label_starting_day</f>
        <v>Starting day</v>
      </c>
      <c r="D8" s="655">
        <v>1</v>
      </c>
      <c r="E8" s="655"/>
      <c r="F8" s="637"/>
      <c r="G8" s="591"/>
      <c r="H8" s="591"/>
      <c r="I8" s="591"/>
      <c r="J8" s="591"/>
      <c r="K8" s="591"/>
    </row>
    <row r="9" spans="1:11" ht="14.4" customHeight="1" thickBot="1" x14ac:dyDescent="0.35">
      <c r="C9" s="112" t="str">
        <f>template_label_reporting_period_start_date</f>
        <v>Reporting period start date (yyyy-mm-dd)</v>
      </c>
      <c r="D9" s="630" t="str">
        <f>IF(OR(ISBLANK(D6), ISBLANK(D7), ISBLANK(D8)), "-", D6 &amp; "-" &amp; TEXT(D7, "00") &amp; "-" &amp; TEXT(D8, "00"))</f>
        <v>2025-01-01</v>
      </c>
      <c r="E9" s="630"/>
      <c r="F9"/>
      <c r="H9" s="52"/>
    </row>
    <row r="10" spans="1:11" ht="14.4" customHeight="1" x14ac:dyDescent="0.3">
      <c r="C10" s="219" t="str">
        <f>template_label_ending_year</f>
        <v>Ending year</v>
      </c>
      <c r="D10" s="631">
        <v>2025</v>
      </c>
      <c r="E10" s="631"/>
      <c r="F10" s="637"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591" t="str">
        <f>template_label_date_warning</f>
        <v>ℹ️ If VALUE INCONSISTENCY message appears on the right, please ensure that the reporting period end date is greater than the reporting period start date.</v>
      </c>
      <c r="H10" s="591"/>
      <c r="I10" s="591"/>
      <c r="J10" s="591"/>
      <c r="K10" s="591"/>
    </row>
    <row r="11" spans="1:11" ht="14.4" customHeight="1" x14ac:dyDescent="0.3">
      <c r="C11" s="125" t="str">
        <f>template_label_ending_month</f>
        <v>Ending month</v>
      </c>
      <c r="D11" s="632">
        <v>12</v>
      </c>
      <c r="E11" s="632"/>
      <c r="F11" s="637"/>
      <c r="G11" s="591"/>
      <c r="H11" s="591"/>
      <c r="I11" s="591"/>
      <c r="J11" s="591"/>
      <c r="K11" s="591"/>
    </row>
    <row r="12" spans="1:11" ht="14.4" customHeight="1" x14ac:dyDescent="0.3">
      <c r="C12" s="125" t="s">
        <v>8</v>
      </c>
      <c r="D12" s="633">
        <v>31</v>
      </c>
      <c r="E12" s="633"/>
      <c r="F12" s="637"/>
      <c r="G12" s="591"/>
      <c r="H12" s="591"/>
      <c r="I12" s="591"/>
      <c r="J12" s="591"/>
      <c r="K12" s="591"/>
    </row>
    <row r="13" spans="1:11" ht="14.4" customHeight="1" thickBot="1" x14ac:dyDescent="0.35">
      <c r="B13" s="87"/>
      <c r="C13" s="112" t="str">
        <f>template_label_reporting_period_end_date</f>
        <v>Reporting period end date  (yyyy-mm-dd)</v>
      </c>
      <c r="D13" s="630" t="str">
        <f>IF(OR(ISBLANK(D10), ISBLANK(D11), ISBLANK(D12)), "-", D10 &amp; "-" &amp; TEXT(D11, "00") &amp; "-" &amp; TEXT(D12, "00"))</f>
        <v>2025-12-31</v>
      </c>
      <c r="E13" s="630"/>
      <c r="F13" s="11"/>
    </row>
    <row r="14" spans="1:11" x14ac:dyDescent="0.3">
      <c r="B14" s="87"/>
      <c r="C14" s="88"/>
      <c r="D14" s="88"/>
      <c r="E14" s="89"/>
      <c r="F14" s="11"/>
    </row>
    <row r="15" spans="1:11" ht="15" customHeight="1" thickBot="1" x14ac:dyDescent="0.35">
      <c r="B15" s="87"/>
    </row>
    <row r="16" spans="1:11" ht="15" thickBot="1" x14ac:dyDescent="0.35">
      <c r="B16" s="87"/>
      <c r="C16" s="646" t="str">
        <f>template_label_information_on_previous_reporting_period</f>
        <v>Information on previous reporting period</v>
      </c>
      <c r="D16" s="646"/>
      <c r="E16" s="647"/>
    </row>
    <row r="17" spans="2:7" x14ac:dyDescent="0.3">
      <c r="B17" s="87"/>
      <c r="C17" s="650">
        <v>16</v>
      </c>
      <c r="D17" s="650"/>
      <c r="E17" s="651"/>
      <c r="F17" s="220"/>
    </row>
    <row r="18" spans="2:7" ht="14.4" customHeight="1" x14ac:dyDescent="0.3">
      <c r="C18" s="649" t="str">
        <f>template_label_disclosures_from_the_previous_reporting_period_that_remain_unchanged</f>
        <v>This report contains disclosures from the previous reporting period that remain unchanged</v>
      </c>
      <c r="D18" s="649"/>
      <c r="E18" s="57" t="b">
        <v>0</v>
      </c>
      <c r="F18" s="11" t="str">
        <f>IF(E18 = FALSE, "", template_label_ok)</f>
        <v/>
      </c>
    </row>
    <row r="19" spans="2:7" ht="14.4" customHeight="1" x14ac:dyDescent="0.3">
      <c r="C19" s="636" t="str">
        <f>template_label_disclosures_for_which_no_changes_are_reported_compared_to_the_previous_period_reporting</f>
        <v>List of disclosures for which no changes are reported compared to the previous period reporting</v>
      </c>
      <c r="D19" s="636"/>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2:7" ht="14.4" customHeight="1" x14ac:dyDescent="0.3">
      <c r="C20" s="636"/>
      <c r="D20" s="636"/>
      <c r="E20" s="59"/>
      <c r="F20" s="11" t="str">
        <f t="shared" ref="F20:F27" si="0">IF($E$18 = FALSE, "",
IF(E20 = "", "",
IF(COUNTIF($E$19:$E$118, E20) &gt; 1, template_label_value_inconsistency, template_label_ok)))</f>
        <v/>
      </c>
    </row>
    <row r="21" spans="2:7" ht="14.4" customHeight="1" x14ac:dyDescent="0.3">
      <c r="C21" s="636"/>
      <c r="D21" s="636"/>
      <c r="E21" s="59"/>
      <c r="F21" s="11" t="str">
        <f t="shared" si="0"/>
        <v/>
      </c>
    </row>
    <row r="22" spans="2:7" ht="14.4" hidden="1" customHeight="1" outlineLevel="2" x14ac:dyDescent="0.3">
      <c r="C22" s="636"/>
      <c r="D22" s="636"/>
      <c r="E22" s="59"/>
      <c r="F22" s="11" t="str">
        <f t="shared" si="0"/>
        <v/>
      </c>
    </row>
    <row r="23" spans="2:7" ht="14.4" hidden="1" customHeight="1" outlineLevel="2" thickBot="1" x14ac:dyDescent="0.35">
      <c r="C23" s="636"/>
      <c r="D23" s="636"/>
      <c r="E23" s="59"/>
      <c r="F23" s="11" t="str">
        <f t="shared" si="0"/>
        <v/>
      </c>
    </row>
    <row r="24" spans="2:7" ht="14.4" hidden="1" customHeight="1" outlineLevel="2" thickBot="1" x14ac:dyDescent="0.35">
      <c r="C24" s="636"/>
      <c r="D24" s="636"/>
      <c r="E24" s="59"/>
      <c r="F24" s="11" t="str">
        <f t="shared" si="0"/>
        <v/>
      </c>
    </row>
    <row r="25" spans="2:7" ht="14.4" hidden="1" customHeight="1" outlineLevel="2" thickBot="1" x14ac:dyDescent="0.35">
      <c r="C25" s="636"/>
      <c r="D25" s="636"/>
      <c r="E25" s="59"/>
      <c r="F25" s="11" t="str">
        <f t="shared" si="0"/>
        <v/>
      </c>
    </row>
    <row r="26" spans="2:7" ht="14.4" hidden="1" customHeight="1" outlineLevel="2" thickBot="1" x14ac:dyDescent="0.35">
      <c r="C26" s="636"/>
      <c r="D26" s="636"/>
      <c r="E26" s="59"/>
      <c r="F26" s="11" t="str">
        <f t="shared" si="0"/>
        <v/>
      </c>
    </row>
    <row r="27" spans="2:7" ht="14.4" hidden="1" customHeight="1" outlineLevel="2" thickBot="1" x14ac:dyDescent="0.35">
      <c r="C27" s="636"/>
      <c r="D27" s="636"/>
      <c r="E27" s="59"/>
      <c r="F27" s="11" t="str">
        <f t="shared" si="0"/>
        <v/>
      </c>
    </row>
    <row r="28" spans="2:7" ht="14.4" hidden="1" customHeight="1" outlineLevel="2" thickBot="1" x14ac:dyDescent="0.35">
      <c r="C28" s="636"/>
      <c r="D28" s="636"/>
      <c r="E28" s="59"/>
      <c r="F28" s="11"/>
    </row>
    <row r="29" spans="2:7" ht="14.4" hidden="1" customHeight="1" outlineLevel="2" thickBot="1" x14ac:dyDescent="0.35">
      <c r="C29" s="636"/>
      <c r="D29" s="636"/>
      <c r="E29" s="59"/>
      <c r="F29" s="11"/>
    </row>
    <row r="30" spans="2:7" ht="14.4" hidden="1" customHeight="1" outlineLevel="2" thickBot="1" x14ac:dyDescent="0.35">
      <c r="C30" s="636"/>
      <c r="D30" s="636"/>
      <c r="E30" s="59"/>
      <c r="F30" s="11"/>
    </row>
    <row r="31" spans="2:7" ht="14.4" hidden="1" customHeight="1" outlineLevel="2" thickBot="1" x14ac:dyDescent="0.35">
      <c r="C31" s="636"/>
      <c r="D31" s="636"/>
      <c r="E31" s="59"/>
      <c r="F31" s="11"/>
    </row>
    <row r="32" spans="2:7" ht="14.4" hidden="1" customHeight="1" outlineLevel="2" thickBot="1" x14ac:dyDescent="0.35">
      <c r="C32" s="636"/>
      <c r="D32" s="636"/>
      <c r="E32" s="59"/>
      <c r="F32" s="11"/>
    </row>
    <row r="33" spans="3:6" ht="14.4" hidden="1" customHeight="1" outlineLevel="2" thickBot="1" x14ac:dyDescent="0.35">
      <c r="C33" s="636"/>
      <c r="D33" s="636"/>
      <c r="E33" s="59"/>
      <c r="F33" s="11"/>
    </row>
    <row r="34" spans="3:6" ht="14.4" hidden="1" customHeight="1" outlineLevel="2" thickBot="1" x14ac:dyDescent="0.35">
      <c r="C34" s="636"/>
      <c r="D34" s="636"/>
      <c r="E34" s="59"/>
      <c r="F34" s="11"/>
    </row>
    <row r="35" spans="3:6" ht="14.4" hidden="1" customHeight="1" outlineLevel="2" thickBot="1" x14ac:dyDescent="0.35">
      <c r="C35" s="636"/>
      <c r="D35" s="636"/>
      <c r="E35" s="59"/>
      <c r="F35" s="11"/>
    </row>
    <row r="36" spans="3:6" ht="14.4" hidden="1" customHeight="1" outlineLevel="2" thickBot="1" x14ac:dyDescent="0.35">
      <c r="C36" s="636"/>
      <c r="D36" s="636"/>
      <c r="E36" s="59"/>
      <c r="F36" s="11"/>
    </row>
    <row r="37" spans="3:6" ht="14.4" hidden="1" customHeight="1" outlineLevel="2" thickBot="1" x14ac:dyDescent="0.35">
      <c r="C37" s="636"/>
      <c r="D37" s="636"/>
      <c r="E37" s="59"/>
      <c r="F37" s="11"/>
    </row>
    <row r="38" spans="3:6" ht="14.4" hidden="1" customHeight="1" outlineLevel="2" thickBot="1" x14ac:dyDescent="0.35">
      <c r="C38" s="636"/>
      <c r="D38" s="636"/>
      <c r="E38" s="59"/>
      <c r="F38" s="11"/>
    </row>
    <row r="39" spans="3:6" ht="14.4" hidden="1" customHeight="1" outlineLevel="2" thickBot="1" x14ac:dyDescent="0.35">
      <c r="C39" s="636"/>
      <c r="D39" s="636"/>
      <c r="E39" s="59"/>
      <c r="F39" s="11"/>
    </row>
    <row r="40" spans="3:6" ht="14.4" hidden="1" customHeight="1" outlineLevel="2" thickBot="1" x14ac:dyDescent="0.35">
      <c r="C40" s="636"/>
      <c r="D40" s="636"/>
      <c r="E40" s="59"/>
      <c r="F40" s="11"/>
    </row>
    <row r="41" spans="3:6" ht="14.4" hidden="1" customHeight="1" outlineLevel="2" thickBot="1" x14ac:dyDescent="0.35">
      <c r="C41" s="636"/>
      <c r="D41" s="636"/>
      <c r="E41" s="59"/>
      <c r="F41" s="11"/>
    </row>
    <row r="42" spans="3:6" ht="14.4" hidden="1" customHeight="1" outlineLevel="2" thickBot="1" x14ac:dyDescent="0.35">
      <c r="C42" s="636"/>
      <c r="D42" s="636"/>
      <c r="E42" s="59"/>
      <c r="F42" s="11"/>
    </row>
    <row r="43" spans="3:6" ht="14.4" hidden="1" customHeight="1" outlineLevel="2" thickBot="1" x14ac:dyDescent="0.35">
      <c r="C43" s="636"/>
      <c r="D43" s="636"/>
      <c r="E43" s="59"/>
      <c r="F43" s="11"/>
    </row>
    <row r="44" spans="3:6" ht="14.4" hidden="1" customHeight="1" outlineLevel="2" thickBot="1" x14ac:dyDescent="0.35">
      <c r="C44" s="636"/>
      <c r="D44" s="636"/>
      <c r="E44" s="59"/>
      <c r="F44" s="11"/>
    </row>
    <row r="45" spans="3:6" ht="14.4" hidden="1" customHeight="1" outlineLevel="2" thickBot="1" x14ac:dyDescent="0.35">
      <c r="C45" s="636"/>
      <c r="D45" s="636"/>
      <c r="E45" s="59"/>
      <c r="F45" s="11"/>
    </row>
    <row r="46" spans="3:6" ht="14.4" hidden="1" customHeight="1" outlineLevel="2" thickBot="1" x14ac:dyDescent="0.35">
      <c r="C46" s="636"/>
      <c r="D46" s="636"/>
      <c r="E46" s="59"/>
      <c r="F46" s="11"/>
    </row>
    <row r="47" spans="3:6" ht="14.4" hidden="1" customHeight="1" outlineLevel="2" thickBot="1" x14ac:dyDescent="0.35">
      <c r="C47" s="636"/>
      <c r="D47" s="636"/>
      <c r="E47" s="59"/>
      <c r="F47" s="11"/>
    </row>
    <row r="48" spans="3:6" ht="14.4" hidden="1" customHeight="1" outlineLevel="2" thickBot="1" x14ac:dyDescent="0.35">
      <c r="C48" s="636"/>
      <c r="D48" s="636"/>
      <c r="E48" s="59"/>
      <c r="F48" s="11"/>
    </row>
    <row r="49" spans="3:6" ht="14.4" hidden="1" customHeight="1" outlineLevel="2" thickBot="1" x14ac:dyDescent="0.35">
      <c r="C49" s="636"/>
      <c r="D49" s="636"/>
      <c r="E49" s="59"/>
      <c r="F49" s="11"/>
    </row>
    <row r="50" spans="3:6" ht="14.4" hidden="1" customHeight="1" outlineLevel="2" thickBot="1" x14ac:dyDescent="0.35">
      <c r="C50" s="636"/>
      <c r="D50" s="636"/>
      <c r="E50" s="59"/>
      <c r="F50" s="11"/>
    </row>
    <row r="51" spans="3:6" ht="14.4" hidden="1" customHeight="1" outlineLevel="2" thickBot="1" x14ac:dyDescent="0.35">
      <c r="C51" s="636"/>
      <c r="D51" s="636"/>
      <c r="E51" s="59"/>
      <c r="F51" s="11"/>
    </row>
    <row r="52" spans="3:6" ht="14.4" hidden="1" customHeight="1" outlineLevel="2" thickBot="1" x14ac:dyDescent="0.35">
      <c r="C52" s="636"/>
      <c r="D52" s="636"/>
      <c r="E52" s="59"/>
      <c r="F52" s="11"/>
    </row>
    <row r="53" spans="3:6" ht="14.4" hidden="1" customHeight="1" outlineLevel="2" thickBot="1" x14ac:dyDescent="0.35">
      <c r="C53" s="636"/>
      <c r="D53" s="636"/>
      <c r="E53" s="59"/>
      <c r="F53" s="11"/>
    </row>
    <row r="54" spans="3:6" ht="14.4" hidden="1" customHeight="1" outlineLevel="2" thickBot="1" x14ac:dyDescent="0.35">
      <c r="C54" s="636"/>
      <c r="D54" s="636"/>
      <c r="E54" s="59"/>
      <c r="F54" s="11"/>
    </row>
    <row r="55" spans="3:6" ht="14.4" hidden="1" customHeight="1" outlineLevel="2" thickBot="1" x14ac:dyDescent="0.35">
      <c r="C55" s="636"/>
      <c r="D55" s="636"/>
      <c r="E55" s="59"/>
      <c r="F55" s="11"/>
    </row>
    <row r="56" spans="3:6" ht="14.4" hidden="1" customHeight="1" outlineLevel="2" thickBot="1" x14ac:dyDescent="0.35">
      <c r="C56" s="636"/>
      <c r="D56" s="636"/>
      <c r="E56" s="59"/>
      <c r="F56" s="11"/>
    </row>
    <row r="57" spans="3:6" ht="14.4" hidden="1" customHeight="1" outlineLevel="2" thickBot="1" x14ac:dyDescent="0.35">
      <c r="C57" s="636"/>
      <c r="D57" s="636"/>
      <c r="E57" s="59"/>
      <c r="F57" s="11"/>
    </row>
    <row r="58" spans="3:6" ht="14.4" hidden="1" customHeight="1" outlineLevel="2" thickBot="1" x14ac:dyDescent="0.35">
      <c r="C58" s="636"/>
      <c r="D58" s="636"/>
      <c r="E58" s="59"/>
      <c r="F58" s="11"/>
    </row>
    <row r="59" spans="3:6" ht="14.4" hidden="1" customHeight="1" outlineLevel="2" thickBot="1" x14ac:dyDescent="0.35">
      <c r="C59" s="636"/>
      <c r="D59" s="636"/>
      <c r="E59" s="59"/>
      <c r="F59" s="11"/>
    </row>
    <row r="60" spans="3:6" ht="14.4" hidden="1" customHeight="1" outlineLevel="2" thickBot="1" x14ac:dyDescent="0.35">
      <c r="C60" s="636"/>
      <c r="D60" s="636"/>
      <c r="E60" s="59"/>
      <c r="F60" s="11"/>
    </row>
    <row r="61" spans="3:6" ht="14.4" hidden="1" customHeight="1" outlineLevel="2" thickBot="1" x14ac:dyDescent="0.35">
      <c r="C61" s="636"/>
      <c r="D61" s="636"/>
      <c r="E61" s="59"/>
      <c r="F61" s="11"/>
    </row>
    <row r="62" spans="3:6" ht="14.4" hidden="1" customHeight="1" outlineLevel="2" thickBot="1" x14ac:dyDescent="0.35">
      <c r="C62" s="636"/>
      <c r="D62" s="636"/>
      <c r="E62" s="59"/>
      <c r="F62" s="11"/>
    </row>
    <row r="63" spans="3:6" ht="14.4" hidden="1" customHeight="1" outlineLevel="2" thickBot="1" x14ac:dyDescent="0.35">
      <c r="C63" s="636"/>
      <c r="D63" s="636"/>
      <c r="E63" s="59"/>
      <c r="F63" s="11"/>
    </row>
    <row r="64" spans="3:6" ht="14.4" hidden="1" customHeight="1" outlineLevel="2" thickBot="1" x14ac:dyDescent="0.35">
      <c r="C64" s="636"/>
      <c r="D64" s="636"/>
      <c r="E64" s="59"/>
      <c r="F64" s="11"/>
    </row>
    <row r="65" spans="3:6" ht="14.4" hidden="1" customHeight="1" outlineLevel="2" thickBot="1" x14ac:dyDescent="0.35">
      <c r="C65" s="636"/>
      <c r="D65" s="636"/>
      <c r="E65" s="59"/>
      <c r="F65" s="11"/>
    </row>
    <row r="66" spans="3:6" ht="14.4" hidden="1" customHeight="1" outlineLevel="2" thickBot="1" x14ac:dyDescent="0.35">
      <c r="C66" s="636"/>
      <c r="D66" s="636"/>
      <c r="E66" s="59"/>
      <c r="F66" s="11"/>
    </row>
    <row r="67" spans="3:6" ht="14.4" hidden="1" customHeight="1" outlineLevel="2" thickBot="1" x14ac:dyDescent="0.35">
      <c r="C67" s="636"/>
      <c r="D67" s="636"/>
      <c r="E67" s="59"/>
      <c r="F67" s="11"/>
    </row>
    <row r="68" spans="3:6" ht="14.4" hidden="1" customHeight="1" outlineLevel="2" thickBot="1" x14ac:dyDescent="0.35">
      <c r="C68" s="636"/>
      <c r="D68" s="636"/>
      <c r="E68" s="59"/>
      <c r="F68" s="11"/>
    </row>
    <row r="69" spans="3:6" ht="14.4" hidden="1" customHeight="1" outlineLevel="2" thickBot="1" x14ac:dyDescent="0.35">
      <c r="C69" s="636"/>
      <c r="D69" s="636"/>
      <c r="E69" s="59"/>
      <c r="F69" s="11"/>
    </row>
    <row r="70" spans="3:6" ht="14.4" hidden="1" customHeight="1" outlineLevel="2" thickBot="1" x14ac:dyDescent="0.35">
      <c r="C70" s="636"/>
      <c r="D70" s="636"/>
      <c r="E70" s="59"/>
      <c r="F70" s="11"/>
    </row>
    <row r="71" spans="3:6" ht="14.4" hidden="1" customHeight="1" outlineLevel="2" thickBot="1" x14ac:dyDescent="0.35">
      <c r="C71" s="636"/>
      <c r="D71" s="636"/>
      <c r="E71" s="59"/>
      <c r="F71" s="11"/>
    </row>
    <row r="72" spans="3:6" ht="14.4" hidden="1" customHeight="1" outlineLevel="2" thickBot="1" x14ac:dyDescent="0.35">
      <c r="C72" s="636"/>
      <c r="D72" s="636"/>
      <c r="E72" s="59"/>
      <c r="F72" s="11"/>
    </row>
    <row r="73" spans="3:6" ht="14.4" hidden="1" customHeight="1" outlineLevel="2" thickBot="1" x14ac:dyDescent="0.35">
      <c r="C73" s="636"/>
      <c r="D73" s="636"/>
      <c r="E73" s="59"/>
      <c r="F73" s="11"/>
    </row>
    <row r="74" spans="3:6" ht="14.4" hidden="1" customHeight="1" outlineLevel="2" thickBot="1" x14ac:dyDescent="0.35">
      <c r="C74" s="636"/>
      <c r="D74" s="636"/>
      <c r="E74" s="59"/>
      <c r="F74" s="11"/>
    </row>
    <row r="75" spans="3:6" ht="14.4" hidden="1" customHeight="1" outlineLevel="2" thickBot="1" x14ac:dyDescent="0.35">
      <c r="C75" s="636"/>
      <c r="D75" s="636"/>
      <c r="E75" s="59"/>
      <c r="F75" s="11"/>
    </row>
    <row r="76" spans="3:6" ht="14.4" hidden="1" customHeight="1" outlineLevel="2" thickBot="1" x14ac:dyDescent="0.35">
      <c r="C76" s="636"/>
      <c r="D76" s="636"/>
      <c r="E76" s="59"/>
      <c r="F76" s="11"/>
    </row>
    <row r="77" spans="3:6" ht="14.4" hidden="1" customHeight="1" outlineLevel="2" thickBot="1" x14ac:dyDescent="0.35">
      <c r="C77" s="636"/>
      <c r="D77" s="636"/>
      <c r="E77" s="59"/>
      <c r="F77" s="11"/>
    </row>
    <row r="78" spans="3:6" ht="14.4" hidden="1" customHeight="1" outlineLevel="2" thickBot="1" x14ac:dyDescent="0.35">
      <c r="C78" s="636"/>
      <c r="D78" s="636"/>
      <c r="E78" s="59"/>
      <c r="F78" s="11"/>
    </row>
    <row r="79" spans="3:6" ht="14.4" hidden="1" customHeight="1" outlineLevel="2" thickBot="1" x14ac:dyDescent="0.35">
      <c r="C79" s="636"/>
      <c r="D79" s="636"/>
      <c r="E79" s="59"/>
      <c r="F79" s="11"/>
    </row>
    <row r="80" spans="3:6" ht="14.4" hidden="1" customHeight="1" outlineLevel="2" thickBot="1" x14ac:dyDescent="0.35">
      <c r="C80" s="636"/>
      <c r="D80" s="636"/>
      <c r="E80" s="59"/>
      <c r="F80" s="11"/>
    </row>
    <row r="81" spans="3:6" ht="14.4" hidden="1" customHeight="1" outlineLevel="2" thickBot="1" x14ac:dyDescent="0.35">
      <c r="C81" s="636"/>
      <c r="D81" s="636"/>
      <c r="E81" s="59"/>
      <c r="F81" s="11"/>
    </row>
    <row r="82" spans="3:6" ht="14.4" hidden="1" customHeight="1" outlineLevel="2" thickBot="1" x14ac:dyDescent="0.35">
      <c r="C82" s="636"/>
      <c r="D82" s="636"/>
      <c r="E82" s="59"/>
      <c r="F82" s="11"/>
    </row>
    <row r="83" spans="3:6" ht="14.4" hidden="1" customHeight="1" outlineLevel="2" thickBot="1" x14ac:dyDescent="0.35">
      <c r="C83" s="636"/>
      <c r="D83" s="636"/>
      <c r="E83" s="59"/>
      <c r="F83" s="11"/>
    </row>
    <row r="84" spans="3:6" ht="14.4" hidden="1" customHeight="1" outlineLevel="2" thickBot="1" x14ac:dyDescent="0.35">
      <c r="C84" s="636"/>
      <c r="D84" s="636"/>
      <c r="E84" s="59"/>
      <c r="F84" s="11"/>
    </row>
    <row r="85" spans="3:6" ht="14.4" hidden="1" customHeight="1" outlineLevel="2" thickBot="1" x14ac:dyDescent="0.35">
      <c r="C85" s="636"/>
      <c r="D85" s="636"/>
      <c r="E85" s="59"/>
      <c r="F85" s="11"/>
    </row>
    <row r="86" spans="3:6" ht="14.4" hidden="1" customHeight="1" outlineLevel="2" thickBot="1" x14ac:dyDescent="0.35">
      <c r="C86" s="636"/>
      <c r="D86" s="636"/>
      <c r="E86" s="59"/>
      <c r="F86" s="11"/>
    </row>
    <row r="87" spans="3:6" ht="14.4" hidden="1" customHeight="1" outlineLevel="2" thickBot="1" x14ac:dyDescent="0.35">
      <c r="C87" s="636"/>
      <c r="D87" s="636"/>
      <c r="E87" s="59"/>
      <c r="F87" s="11"/>
    </row>
    <row r="88" spans="3:6" ht="14.4" hidden="1" customHeight="1" outlineLevel="2" thickBot="1" x14ac:dyDescent="0.35">
      <c r="C88" s="636"/>
      <c r="D88" s="636"/>
      <c r="E88" s="59"/>
      <c r="F88" s="11"/>
    </row>
    <row r="89" spans="3:6" ht="14.4" hidden="1" customHeight="1" outlineLevel="2" thickBot="1" x14ac:dyDescent="0.35">
      <c r="C89" s="636"/>
      <c r="D89" s="636"/>
      <c r="E89" s="59"/>
      <c r="F89" s="11"/>
    </row>
    <row r="90" spans="3:6" ht="14.4" hidden="1" customHeight="1" outlineLevel="2" thickBot="1" x14ac:dyDescent="0.35">
      <c r="C90" s="636"/>
      <c r="D90" s="636"/>
      <c r="E90" s="59"/>
      <c r="F90" s="11"/>
    </row>
    <row r="91" spans="3:6" ht="14.4" hidden="1" customHeight="1" outlineLevel="2" thickBot="1" x14ac:dyDescent="0.35">
      <c r="C91" s="636"/>
      <c r="D91" s="636"/>
      <c r="E91" s="59"/>
      <c r="F91" s="11"/>
    </row>
    <row r="92" spans="3:6" ht="14.4" hidden="1" customHeight="1" outlineLevel="2" thickBot="1" x14ac:dyDescent="0.35">
      <c r="C92" s="636"/>
      <c r="D92" s="636"/>
      <c r="E92" s="59"/>
      <c r="F92" s="11"/>
    </row>
    <row r="93" spans="3:6" ht="14.4" hidden="1" customHeight="1" outlineLevel="2" thickBot="1" x14ac:dyDescent="0.35">
      <c r="C93" s="636"/>
      <c r="D93" s="636"/>
      <c r="E93" s="59"/>
      <c r="F93" s="11"/>
    </row>
    <row r="94" spans="3:6" ht="14.4" hidden="1" customHeight="1" outlineLevel="2" thickBot="1" x14ac:dyDescent="0.35">
      <c r="C94" s="636"/>
      <c r="D94" s="636"/>
      <c r="E94" s="59"/>
      <c r="F94" s="11"/>
    </row>
    <row r="95" spans="3:6" ht="14.4" hidden="1" customHeight="1" outlineLevel="2" thickBot="1" x14ac:dyDescent="0.35">
      <c r="C95" s="636"/>
      <c r="D95" s="636"/>
      <c r="E95" s="59"/>
      <c r="F95" s="11"/>
    </row>
    <row r="96" spans="3:6" ht="14.4" hidden="1" customHeight="1" outlineLevel="2" thickBot="1" x14ac:dyDescent="0.35">
      <c r="C96" s="636"/>
      <c r="D96" s="636"/>
      <c r="E96" s="59"/>
      <c r="F96" s="11"/>
    </row>
    <row r="97" spans="3:6" ht="14.4" hidden="1" customHeight="1" outlineLevel="2" thickBot="1" x14ac:dyDescent="0.35">
      <c r="C97" s="636"/>
      <c r="D97" s="636"/>
      <c r="E97" s="59"/>
      <c r="F97" s="11"/>
    </row>
    <row r="98" spans="3:6" ht="14.4" hidden="1" customHeight="1" outlineLevel="2" thickBot="1" x14ac:dyDescent="0.35">
      <c r="C98" s="636"/>
      <c r="D98" s="636"/>
      <c r="E98" s="59"/>
      <c r="F98" s="11"/>
    </row>
    <row r="99" spans="3:6" ht="14.4" hidden="1" customHeight="1" outlineLevel="2" thickBot="1" x14ac:dyDescent="0.35">
      <c r="C99" s="636"/>
      <c r="D99" s="636"/>
      <c r="E99" s="59"/>
      <c r="F99" s="11"/>
    </row>
    <row r="100" spans="3:6" ht="14.4" hidden="1" customHeight="1" outlineLevel="2" thickBot="1" x14ac:dyDescent="0.35">
      <c r="C100" s="636"/>
      <c r="D100" s="636"/>
      <c r="E100" s="59"/>
      <c r="F100" s="11"/>
    </row>
    <row r="101" spans="3:6" ht="14.4" hidden="1" customHeight="1" outlineLevel="2" thickBot="1" x14ac:dyDescent="0.35">
      <c r="C101" s="636"/>
      <c r="D101" s="636"/>
      <c r="E101" s="59"/>
      <c r="F101" s="11"/>
    </row>
    <row r="102" spans="3:6" ht="14.4" hidden="1" customHeight="1" outlineLevel="2" thickBot="1" x14ac:dyDescent="0.35">
      <c r="C102" s="636"/>
      <c r="D102" s="636"/>
      <c r="E102" s="59"/>
      <c r="F102" s="11"/>
    </row>
    <row r="103" spans="3:6" ht="14.4" hidden="1" customHeight="1" outlineLevel="2" thickBot="1" x14ac:dyDescent="0.35">
      <c r="C103" s="636"/>
      <c r="D103" s="636"/>
      <c r="E103" s="59"/>
      <c r="F103" s="11"/>
    </row>
    <row r="104" spans="3:6" ht="14.4" hidden="1" customHeight="1" outlineLevel="2" thickBot="1" x14ac:dyDescent="0.35">
      <c r="C104" s="636"/>
      <c r="D104" s="636"/>
      <c r="E104" s="59"/>
      <c r="F104" s="11"/>
    </row>
    <row r="105" spans="3:6" ht="14.4" hidden="1" customHeight="1" outlineLevel="2" thickBot="1" x14ac:dyDescent="0.35">
      <c r="C105" s="636"/>
      <c r="D105" s="636"/>
      <c r="E105" s="59"/>
      <c r="F105" s="11"/>
    </row>
    <row r="106" spans="3:6" ht="14.4" hidden="1" customHeight="1" outlineLevel="2" thickBot="1" x14ac:dyDescent="0.35">
      <c r="C106" s="636"/>
      <c r="D106" s="636"/>
      <c r="E106" s="59"/>
      <c r="F106" s="11"/>
    </row>
    <row r="107" spans="3:6" ht="14.4" hidden="1" customHeight="1" outlineLevel="2" thickBot="1" x14ac:dyDescent="0.35">
      <c r="C107" s="636"/>
      <c r="D107" s="636"/>
      <c r="E107" s="59"/>
      <c r="F107" s="11"/>
    </row>
    <row r="108" spans="3:6" ht="14.4" hidden="1" customHeight="1" outlineLevel="2" thickBot="1" x14ac:dyDescent="0.35">
      <c r="C108" s="636"/>
      <c r="D108" s="636"/>
      <c r="E108" s="59"/>
      <c r="F108" s="11"/>
    </row>
    <row r="109" spans="3:6" ht="14.4" hidden="1" customHeight="1" outlineLevel="2" thickBot="1" x14ac:dyDescent="0.35">
      <c r="C109" s="636"/>
      <c r="D109" s="636"/>
      <c r="E109" s="59"/>
      <c r="F109" s="11"/>
    </row>
    <row r="110" spans="3:6" ht="14.4" hidden="1" customHeight="1" outlineLevel="2" thickBot="1" x14ac:dyDescent="0.35">
      <c r="C110" s="636"/>
      <c r="D110" s="636"/>
      <c r="E110" s="59"/>
      <c r="F110" s="11"/>
    </row>
    <row r="111" spans="3:6" ht="14.4" hidden="1" customHeight="1" outlineLevel="2" thickBot="1" x14ac:dyDescent="0.35">
      <c r="C111" s="636"/>
      <c r="D111" s="636"/>
      <c r="E111" s="59"/>
      <c r="F111" s="11"/>
    </row>
    <row r="112" spans="3:6" ht="14.4" hidden="1" customHeight="1" outlineLevel="2" thickBot="1" x14ac:dyDescent="0.35">
      <c r="C112" s="636"/>
      <c r="D112" s="636"/>
      <c r="E112" s="59"/>
      <c r="F112" s="11"/>
    </row>
    <row r="113" spans="1:6" ht="14.4" hidden="1" customHeight="1" outlineLevel="2" thickBot="1" x14ac:dyDescent="0.35">
      <c r="C113" s="636"/>
      <c r="D113" s="636"/>
      <c r="E113" s="59"/>
      <c r="F113" s="11"/>
    </row>
    <row r="114" spans="1:6" ht="14.4" hidden="1" customHeight="1" outlineLevel="2" thickBot="1" x14ac:dyDescent="0.35">
      <c r="C114" s="636"/>
      <c r="D114" s="636"/>
      <c r="E114" s="59"/>
      <c r="F114" s="11"/>
    </row>
    <row r="115" spans="1:6" ht="14.4" hidden="1" customHeight="1" outlineLevel="2" thickBot="1" x14ac:dyDescent="0.35">
      <c r="C115" s="636"/>
      <c r="D115" s="636"/>
      <c r="E115" s="59"/>
      <c r="F115" s="11"/>
    </row>
    <row r="116" spans="1:6" ht="14.4" hidden="1" customHeight="1" outlineLevel="2" thickBot="1" x14ac:dyDescent="0.35">
      <c r="C116" s="636"/>
      <c r="D116" s="636"/>
      <c r="E116" s="59"/>
      <c r="F116" s="11"/>
    </row>
    <row r="117" spans="1:6" ht="14.4" hidden="1" customHeight="1" outlineLevel="2" thickBot="1" x14ac:dyDescent="0.35">
      <c r="C117" s="636"/>
      <c r="D117" s="636"/>
      <c r="E117" s="59"/>
      <c r="F117" s="11"/>
    </row>
    <row r="118" spans="1:6" ht="14.4" hidden="1" customHeight="1" outlineLevel="2" thickBot="1" x14ac:dyDescent="0.35">
      <c r="C118" s="636"/>
      <c r="D118" s="636"/>
      <c r="E118" s="59"/>
      <c r="F118" s="11"/>
    </row>
    <row r="119" spans="1:6" ht="14.4" customHeight="1" collapsed="1" thickBot="1" x14ac:dyDescent="0.35">
      <c r="B119" s="90"/>
      <c r="C119" s="607" t="str">
        <f>template_label_link_to_previous_report_containing_disclosures_that_remain_unchanged</f>
        <v>Link to previous report containing disclosures that remain unchanged</v>
      </c>
      <c r="D119" s="607"/>
      <c r="E119" s="204"/>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B120" s="91"/>
    </row>
    <row r="121" spans="1:6" ht="17.7" customHeight="1" thickBot="1" x14ac:dyDescent="0.35">
      <c r="C121" s="634" t="str">
        <f>template_label_b1_basis_for_preparation &amp; " " &amp; template_label_from &amp; " " &amp; template_starting_date_display &amp; " " &amp; template_label_to &amp; " " &amp; template_ending_date_display &amp; " " &amp; template_label_always_to_be_reported</f>
        <v>B1 - Basis for Preparation &amp; Module from 2025-01-01 to 2025-12-31 [Always to be reported]</v>
      </c>
      <c r="D121" s="634"/>
      <c r="E121" s="635"/>
      <c r="F121"/>
    </row>
    <row r="122" spans="1:6" ht="28.8" x14ac:dyDescent="0.3">
      <c r="A122" s="480" t="s">
        <v>9</v>
      </c>
      <c r="B122" s="483" t="s">
        <v>10</v>
      </c>
      <c r="C122" s="648" t="str">
        <f>template_label_basis_for_preparation</f>
        <v>Basis for preparation (Basic Module Only or Basic &amp; Comprehensive Module)</v>
      </c>
      <c r="D122" s="648"/>
      <c r="E122" s="419" t="s">
        <v>11</v>
      </c>
      <c r="F122" s="11" t="str">
        <f>IF(
'Table of Contents &amp; Validation'!D11=TRUE, IF(E122 = "", "", template_label_ok),
IF(E122 = "", template_label_missing_value, template_label_ok)
)</f>
        <v>OK</v>
      </c>
    </row>
    <row r="123" spans="1:6" ht="14.4" customHeight="1" x14ac:dyDescent="0.3">
      <c r="A123" s="665" t="s">
        <v>12</v>
      </c>
      <c r="B123" s="668" t="s">
        <v>10</v>
      </c>
      <c r="C123" s="638" t="str">
        <f>template_label_list_of_omitted_disclosures_deemed_to_be_classified_or_sensitive_information</f>
        <v>List of omitted disclosures deemed to be classified or sensitive information</v>
      </c>
      <c r="D123" s="639"/>
      <c r="E123" s="386" t="str">
        <f>_xlfn.XLOOKUP('Technical Sheet'!A28, 'Technical Sheet'!E106:E166, 'Table of Contents &amp; Validation'!B10:B70, "")</f>
        <v>B6 - Water</v>
      </c>
      <c r="F123" s="603" t="str">
        <f>template_label_bold_omitted_information</f>
        <v>ℹ️  Whenever a disclosure is fully omitted because sensitive or classfied, it will be highligted in bold</v>
      </c>
    </row>
    <row r="124" spans="1:6" ht="14.4" customHeight="1" x14ac:dyDescent="0.3">
      <c r="A124" s="666"/>
      <c r="B124" s="669"/>
      <c r="C124" s="640"/>
      <c r="D124" s="641"/>
      <c r="E124" s="386" t="str">
        <f>_xlfn.XLOOKUP('Technical Sheet'!A29, 'Technical Sheet'!E107:E167, 'Table of Contents &amp; Validation'!B11:B71, "")</f>
        <v>B6 - Water Withdrawal</v>
      </c>
      <c r="F124" s="603"/>
    </row>
    <row r="125" spans="1:6" ht="14.4" customHeight="1" x14ac:dyDescent="0.3">
      <c r="A125" s="666"/>
      <c r="B125" s="669"/>
      <c r="C125" s="640"/>
      <c r="D125" s="641"/>
      <c r="E125" s="386" t="str">
        <f>_xlfn.XLOOKUP('Technical Sheet'!A30, 'Technical Sheet'!E108:E168, 'Table of Contents &amp; Validation'!B12:B72, "")</f>
        <v>B6 - Water Consumption</v>
      </c>
      <c r="F125" s="603"/>
    </row>
    <row r="126" spans="1:6" ht="14.4" hidden="1" customHeight="1" outlineLevel="1" x14ac:dyDescent="0.3">
      <c r="A126" s="666"/>
      <c r="B126" s="669"/>
      <c r="C126" s="640"/>
      <c r="D126" s="641"/>
      <c r="E126" s="386" t="str">
        <f>_xlfn.XLOOKUP('Technical Sheet'!A31, 'Technical Sheet'!E109:E169, 'Table of Contents &amp; Validation'!B13:B73, "")</f>
        <v/>
      </c>
      <c r="F126" s="603"/>
    </row>
    <row r="127" spans="1:6" ht="14.4" hidden="1" customHeight="1" outlineLevel="1" x14ac:dyDescent="0.3">
      <c r="A127" s="666"/>
      <c r="B127" s="669"/>
      <c r="C127" s="640"/>
      <c r="D127" s="641"/>
      <c r="E127" s="386" t="str">
        <f>_xlfn.XLOOKUP('Technical Sheet'!A32, 'Technical Sheet'!E110:E170, 'Table of Contents &amp; Validation'!B14:B74, "")</f>
        <v/>
      </c>
      <c r="F127" s="603"/>
    </row>
    <row r="128" spans="1:6" ht="14.4" hidden="1" customHeight="1" outlineLevel="1" x14ac:dyDescent="0.3">
      <c r="A128" s="666"/>
      <c r="B128" s="669"/>
      <c r="C128" s="640"/>
      <c r="D128" s="641"/>
      <c r="E128" s="386" t="str">
        <f>_xlfn.XLOOKUP('Technical Sheet'!A33, 'Technical Sheet'!E111:E171, 'Table of Contents &amp; Validation'!B15:B75, "")</f>
        <v/>
      </c>
      <c r="F128" s="603"/>
    </row>
    <row r="129" spans="1:6" ht="14.4" hidden="1" customHeight="1" outlineLevel="1" x14ac:dyDescent="0.3">
      <c r="A129" s="666"/>
      <c r="B129" s="669"/>
      <c r="C129" s="640"/>
      <c r="D129" s="641"/>
      <c r="E129" s="386" t="str">
        <f>_xlfn.XLOOKUP('Technical Sheet'!A34, 'Technical Sheet'!E112:E172, 'Table of Contents &amp; Validation'!B16:B76, "")</f>
        <v/>
      </c>
      <c r="F129" s="603"/>
    </row>
    <row r="130" spans="1:6" ht="14.4" hidden="1" customHeight="1" outlineLevel="1" x14ac:dyDescent="0.3">
      <c r="A130" s="666"/>
      <c r="B130" s="669"/>
      <c r="C130" s="640"/>
      <c r="D130" s="641"/>
      <c r="E130" s="386" t="str">
        <f>_xlfn.XLOOKUP('Technical Sheet'!A35, 'Technical Sheet'!E112:E173, 'Table of Contents &amp; Validation'!B16:B77, "")</f>
        <v/>
      </c>
      <c r="F130" s="603"/>
    </row>
    <row r="131" spans="1:6" ht="14.4" hidden="1" customHeight="1" outlineLevel="1" x14ac:dyDescent="0.3">
      <c r="A131" s="666"/>
      <c r="B131" s="669"/>
      <c r="C131" s="640"/>
      <c r="D131" s="641"/>
      <c r="E131" s="386" t="str">
        <f>_xlfn.XLOOKUP('Technical Sheet'!A36, 'Technical Sheet'!E113:E174, 'Table of Contents &amp; Validation'!B17:B78, "")</f>
        <v/>
      </c>
      <c r="F131" s="603"/>
    </row>
    <row r="132" spans="1:6" ht="14.4" hidden="1" customHeight="1" outlineLevel="1" x14ac:dyDescent="0.3">
      <c r="A132" s="666"/>
      <c r="B132" s="669"/>
      <c r="C132" s="640"/>
      <c r="D132" s="641"/>
      <c r="E132" s="386" t="str">
        <f>_xlfn.XLOOKUP('Technical Sheet'!A37, 'Technical Sheet'!E114:E175, 'Table of Contents &amp; Validation'!B18:B79, "")</f>
        <v/>
      </c>
      <c r="F132" s="603"/>
    </row>
    <row r="133" spans="1:6" ht="14.4" hidden="1" customHeight="1" outlineLevel="1" x14ac:dyDescent="0.3">
      <c r="A133" s="666"/>
      <c r="B133" s="669"/>
      <c r="C133" s="640"/>
      <c r="D133" s="641"/>
      <c r="E133" s="386" t="str">
        <f>_xlfn.XLOOKUP('Technical Sheet'!A38, 'Technical Sheet'!E115:E176, 'Table of Contents &amp; Validation'!B19:B80, "")</f>
        <v/>
      </c>
      <c r="F133" s="603"/>
    </row>
    <row r="134" spans="1:6" ht="14.4" hidden="1" customHeight="1" outlineLevel="1" x14ac:dyDescent="0.3">
      <c r="A134" s="666"/>
      <c r="B134" s="669"/>
      <c r="C134" s="640"/>
      <c r="D134" s="641"/>
      <c r="E134" s="386" t="str">
        <f>_xlfn.XLOOKUP('Technical Sheet'!A39, 'Technical Sheet'!E116:E177, 'Table of Contents &amp; Validation'!B20:B81, "")</f>
        <v/>
      </c>
      <c r="F134" s="603"/>
    </row>
    <row r="135" spans="1:6" ht="14.4" hidden="1" customHeight="1" outlineLevel="1" x14ac:dyDescent="0.3">
      <c r="A135" s="666"/>
      <c r="B135" s="669"/>
      <c r="C135" s="640"/>
      <c r="D135" s="641"/>
      <c r="E135" s="386" t="str">
        <f>_xlfn.XLOOKUP('Technical Sheet'!A40, 'Technical Sheet'!E117:E178, 'Table of Contents &amp; Validation'!B21:B82, "")</f>
        <v/>
      </c>
      <c r="F135" s="603"/>
    </row>
    <row r="136" spans="1:6" ht="14.4" hidden="1" customHeight="1" outlineLevel="1" x14ac:dyDescent="0.3">
      <c r="A136" s="666"/>
      <c r="B136" s="669"/>
      <c r="C136" s="640"/>
      <c r="D136" s="641"/>
      <c r="E136" s="386" t="str">
        <f>_xlfn.XLOOKUP('Technical Sheet'!A41, 'Technical Sheet'!E118:E179, 'Table of Contents &amp; Validation'!B22:B83, "")</f>
        <v/>
      </c>
      <c r="F136" s="603"/>
    </row>
    <row r="137" spans="1:6" ht="14.4" hidden="1" customHeight="1" outlineLevel="1" x14ac:dyDescent="0.3">
      <c r="A137" s="666"/>
      <c r="B137" s="669"/>
      <c r="C137" s="640"/>
      <c r="D137" s="641"/>
      <c r="E137" s="386" t="str">
        <f>_xlfn.XLOOKUP('Technical Sheet'!A42, 'Technical Sheet'!E119:E180, 'Table of Contents &amp; Validation'!B23:B84, "")</f>
        <v/>
      </c>
      <c r="F137" s="603"/>
    </row>
    <row r="138" spans="1:6" ht="14.4" hidden="1" customHeight="1" outlineLevel="1" x14ac:dyDescent="0.3">
      <c r="A138" s="666"/>
      <c r="B138" s="669"/>
      <c r="C138" s="640"/>
      <c r="D138" s="641"/>
      <c r="E138" s="386" t="str">
        <f>_xlfn.XLOOKUP('Technical Sheet'!A43, 'Technical Sheet'!E120:E181, 'Table of Contents &amp; Validation'!B24:B85, "")</f>
        <v/>
      </c>
      <c r="F138" s="603"/>
    </row>
    <row r="139" spans="1:6" ht="14.4" hidden="1" customHeight="1" outlineLevel="1" x14ac:dyDescent="0.3">
      <c r="A139" s="666"/>
      <c r="B139" s="669"/>
      <c r="C139" s="640"/>
      <c r="D139" s="641"/>
      <c r="E139" s="386" t="str">
        <f>_xlfn.XLOOKUP('Technical Sheet'!A44, 'Technical Sheet'!E121:E182, 'Table of Contents &amp; Validation'!B25:B86, "")</f>
        <v/>
      </c>
      <c r="F139" s="603"/>
    </row>
    <row r="140" spans="1:6" ht="14.4" hidden="1" customHeight="1" outlineLevel="1" x14ac:dyDescent="0.3">
      <c r="A140" s="666"/>
      <c r="B140" s="669"/>
      <c r="C140" s="640"/>
      <c r="D140" s="641"/>
      <c r="E140" s="386" t="str">
        <f>_xlfn.XLOOKUP('Technical Sheet'!A45, 'Technical Sheet'!E122:E183, 'Table of Contents &amp; Validation'!B26:B87, "")</f>
        <v/>
      </c>
      <c r="F140" s="603"/>
    </row>
    <row r="141" spans="1:6" ht="14.4" hidden="1" customHeight="1" outlineLevel="1" x14ac:dyDescent="0.3">
      <c r="A141" s="666"/>
      <c r="B141" s="669"/>
      <c r="C141" s="640"/>
      <c r="D141" s="641"/>
      <c r="E141" s="386" t="str">
        <f>_xlfn.XLOOKUP('Technical Sheet'!A46, 'Technical Sheet'!E123:E184, 'Table of Contents &amp; Validation'!B27:B88, "")</f>
        <v/>
      </c>
      <c r="F141" s="603"/>
    </row>
    <row r="142" spans="1:6" ht="14.4" hidden="1" customHeight="1" outlineLevel="1" x14ac:dyDescent="0.3">
      <c r="A142" s="666"/>
      <c r="B142" s="669"/>
      <c r="C142" s="640"/>
      <c r="D142" s="641"/>
      <c r="E142" s="386" t="str">
        <f>_xlfn.XLOOKUP('Technical Sheet'!A47, 'Technical Sheet'!E124:E185, 'Table of Contents &amp; Validation'!B28:B89, "")</f>
        <v/>
      </c>
      <c r="F142" s="603"/>
    </row>
    <row r="143" spans="1:6" ht="14.4" hidden="1" customHeight="1" outlineLevel="1" x14ac:dyDescent="0.3">
      <c r="A143" s="666"/>
      <c r="B143" s="669"/>
      <c r="C143" s="640"/>
      <c r="D143" s="641"/>
      <c r="E143" s="386" t="str">
        <f>_xlfn.XLOOKUP('Technical Sheet'!A48, 'Technical Sheet'!E125:E186, 'Table of Contents &amp; Validation'!B29:B90, "")</f>
        <v/>
      </c>
      <c r="F143" s="603"/>
    </row>
    <row r="144" spans="1:6" ht="14.4" hidden="1" customHeight="1" outlineLevel="1" x14ac:dyDescent="0.3">
      <c r="A144" s="666"/>
      <c r="B144" s="669"/>
      <c r="C144" s="640"/>
      <c r="D144" s="641"/>
      <c r="E144" s="386" t="str">
        <f>_xlfn.XLOOKUP('Technical Sheet'!A49, 'Technical Sheet'!E126:E187, 'Table of Contents &amp; Validation'!B30:B91, "")</f>
        <v/>
      </c>
      <c r="F144" s="603"/>
    </row>
    <row r="145" spans="1:6" ht="14.4" hidden="1" customHeight="1" outlineLevel="1" x14ac:dyDescent="0.3">
      <c r="A145" s="666"/>
      <c r="B145" s="669"/>
      <c r="C145" s="640"/>
      <c r="D145" s="641"/>
      <c r="E145" s="386" t="str">
        <f>_xlfn.XLOOKUP('Technical Sheet'!A50, 'Technical Sheet'!E127:E188, 'Table of Contents &amp; Validation'!B31:B92, "")</f>
        <v/>
      </c>
      <c r="F145" s="603"/>
    </row>
    <row r="146" spans="1:6" ht="14.4" hidden="1" customHeight="1" outlineLevel="1" x14ac:dyDescent="0.3">
      <c r="A146" s="666"/>
      <c r="B146" s="669"/>
      <c r="C146" s="640"/>
      <c r="D146" s="641"/>
      <c r="E146" s="386" t="str">
        <f>_xlfn.XLOOKUP('Technical Sheet'!A51, 'Technical Sheet'!E128:E189, 'Table of Contents &amp; Validation'!B32:B93, "")</f>
        <v/>
      </c>
      <c r="F146" s="603"/>
    </row>
    <row r="147" spans="1:6" ht="14.4" hidden="1" customHeight="1" outlineLevel="1" x14ac:dyDescent="0.3">
      <c r="A147" s="666"/>
      <c r="B147" s="669"/>
      <c r="C147" s="640"/>
      <c r="D147" s="641"/>
      <c r="E147" s="386" t="str">
        <f>_xlfn.XLOOKUP('Technical Sheet'!A52, 'Technical Sheet'!E129:E190, 'Table of Contents &amp; Validation'!B33:B94, "")</f>
        <v/>
      </c>
      <c r="F147" s="603"/>
    </row>
    <row r="148" spans="1:6" ht="14.4" hidden="1" customHeight="1" outlineLevel="1" x14ac:dyDescent="0.3">
      <c r="A148" s="666"/>
      <c r="B148" s="669"/>
      <c r="C148" s="640"/>
      <c r="D148" s="641"/>
      <c r="E148" s="386" t="str">
        <f>_xlfn.XLOOKUP('Technical Sheet'!A53, 'Technical Sheet'!E130:E191, 'Table of Contents &amp; Validation'!B34:B95, "")</f>
        <v/>
      </c>
      <c r="F148" s="603"/>
    </row>
    <row r="149" spans="1:6" ht="14.4" hidden="1" customHeight="1" outlineLevel="1" x14ac:dyDescent="0.3">
      <c r="A149" s="666"/>
      <c r="B149" s="669"/>
      <c r="C149" s="640"/>
      <c r="D149" s="641"/>
      <c r="E149" s="386" t="str">
        <f>_xlfn.XLOOKUP('Technical Sheet'!A54, 'Technical Sheet'!E131:E192, 'Table of Contents &amp; Validation'!B35:B96, "")</f>
        <v/>
      </c>
      <c r="F149" s="603"/>
    </row>
    <row r="150" spans="1:6" ht="14.4" hidden="1" customHeight="1" outlineLevel="1" x14ac:dyDescent="0.3">
      <c r="A150" s="666"/>
      <c r="B150" s="669"/>
      <c r="C150" s="640"/>
      <c r="D150" s="641"/>
      <c r="E150" s="386" t="str">
        <f>_xlfn.XLOOKUP('Technical Sheet'!A55, 'Technical Sheet'!E132:E193, 'Table of Contents &amp; Validation'!B36:B97, "")</f>
        <v/>
      </c>
      <c r="F150" s="603"/>
    </row>
    <row r="151" spans="1:6" ht="14.4" hidden="1" customHeight="1" outlineLevel="1" x14ac:dyDescent="0.3">
      <c r="A151" s="666"/>
      <c r="B151" s="669"/>
      <c r="C151" s="640"/>
      <c r="D151" s="641"/>
      <c r="E151" s="386" t="str">
        <f>_xlfn.XLOOKUP('Technical Sheet'!A56, 'Technical Sheet'!E133:E194, 'Table of Contents &amp; Validation'!B37:B98, "")</f>
        <v/>
      </c>
      <c r="F151" s="603"/>
    </row>
    <row r="152" spans="1:6" ht="14.4" hidden="1" customHeight="1" outlineLevel="1" x14ac:dyDescent="0.3">
      <c r="A152" s="666"/>
      <c r="B152" s="669"/>
      <c r="C152" s="640"/>
      <c r="D152" s="641"/>
      <c r="E152" s="386" t="str">
        <f>_xlfn.XLOOKUP('Technical Sheet'!A57, 'Technical Sheet'!E134:E195, 'Table of Contents &amp; Validation'!B38:B99, "")</f>
        <v/>
      </c>
      <c r="F152" s="603"/>
    </row>
    <row r="153" spans="1:6" ht="14.4" hidden="1" customHeight="1" outlineLevel="1" x14ac:dyDescent="0.3">
      <c r="A153" s="666"/>
      <c r="B153" s="669"/>
      <c r="C153" s="640"/>
      <c r="D153" s="641"/>
      <c r="E153" s="386" t="str">
        <f>_xlfn.XLOOKUP('Technical Sheet'!A58, 'Technical Sheet'!E135:E196, 'Table of Contents &amp; Validation'!B39:B100, "")</f>
        <v/>
      </c>
      <c r="F153" s="603"/>
    </row>
    <row r="154" spans="1:6" ht="14.4" hidden="1" customHeight="1" outlineLevel="1" x14ac:dyDescent="0.3">
      <c r="A154" s="666"/>
      <c r="B154" s="669"/>
      <c r="C154" s="640"/>
      <c r="D154" s="641"/>
      <c r="E154" s="386" t="str">
        <f>_xlfn.XLOOKUP('Technical Sheet'!A59, 'Technical Sheet'!E136:E197, 'Table of Contents &amp; Validation'!B40:B101, "")</f>
        <v/>
      </c>
      <c r="F154" s="603"/>
    </row>
    <row r="155" spans="1:6" ht="14.4" hidden="1" customHeight="1" outlineLevel="1" x14ac:dyDescent="0.3">
      <c r="A155" s="666"/>
      <c r="B155" s="669"/>
      <c r="C155" s="640"/>
      <c r="D155" s="641"/>
      <c r="E155" s="386" t="str">
        <f>_xlfn.XLOOKUP('Technical Sheet'!A60, 'Technical Sheet'!E137:E198, 'Table of Contents &amp; Validation'!B41:B102, "")</f>
        <v/>
      </c>
      <c r="F155" s="603"/>
    </row>
    <row r="156" spans="1:6" ht="14.4" hidden="1" customHeight="1" outlineLevel="1" x14ac:dyDescent="0.3">
      <c r="A156" s="666"/>
      <c r="B156" s="669"/>
      <c r="C156" s="640"/>
      <c r="D156" s="641"/>
      <c r="E156" s="386" t="str">
        <f>_xlfn.XLOOKUP('Technical Sheet'!A61, 'Technical Sheet'!E138:E199, 'Table of Contents &amp; Validation'!B42:B103, "")</f>
        <v/>
      </c>
      <c r="F156" s="603"/>
    </row>
    <row r="157" spans="1:6" ht="14.4" hidden="1" customHeight="1" outlineLevel="1" x14ac:dyDescent="0.3">
      <c r="A157" s="666"/>
      <c r="B157" s="669"/>
      <c r="C157" s="640"/>
      <c r="D157" s="641"/>
      <c r="E157" s="386" t="str">
        <f>_xlfn.XLOOKUP('Technical Sheet'!A62, 'Technical Sheet'!E139:E200, 'Table of Contents &amp; Validation'!B43:B104, "")</f>
        <v/>
      </c>
      <c r="F157" s="603"/>
    </row>
    <row r="158" spans="1:6" ht="14.4" hidden="1" customHeight="1" outlineLevel="1" x14ac:dyDescent="0.3">
      <c r="A158" s="666"/>
      <c r="B158" s="669"/>
      <c r="C158" s="640"/>
      <c r="D158" s="641"/>
      <c r="E158" s="386" t="str">
        <f>_xlfn.XLOOKUP('Technical Sheet'!A63, 'Technical Sheet'!E140:E201, 'Table of Contents &amp; Validation'!B44:B105, "")</f>
        <v/>
      </c>
      <c r="F158" s="603"/>
    </row>
    <row r="159" spans="1:6" ht="14.4" hidden="1" customHeight="1" outlineLevel="1" x14ac:dyDescent="0.3">
      <c r="A159" s="666"/>
      <c r="B159" s="669"/>
      <c r="C159" s="640"/>
      <c r="D159" s="641"/>
      <c r="E159" s="386" t="str">
        <f>_xlfn.XLOOKUP('Technical Sheet'!A64, 'Technical Sheet'!E141:E202, 'Table of Contents &amp; Validation'!B45:B106, "")</f>
        <v/>
      </c>
      <c r="F159" s="603"/>
    </row>
    <row r="160" spans="1:6" ht="14.4" hidden="1" customHeight="1" outlineLevel="1" x14ac:dyDescent="0.3">
      <c r="A160" s="666"/>
      <c r="B160" s="669"/>
      <c r="C160" s="640"/>
      <c r="D160" s="641"/>
      <c r="E160" s="386" t="str">
        <f>_xlfn.XLOOKUP('Technical Sheet'!A65, 'Technical Sheet'!E142:E203, 'Table of Contents &amp; Validation'!B46:B107, "")</f>
        <v/>
      </c>
      <c r="F160" s="603"/>
    </row>
    <row r="161" spans="1:6" ht="14.4" hidden="1" customHeight="1" outlineLevel="1" x14ac:dyDescent="0.3">
      <c r="A161" s="666"/>
      <c r="B161" s="669"/>
      <c r="C161" s="640"/>
      <c r="D161" s="641"/>
      <c r="E161" s="386" t="str">
        <f>_xlfn.XLOOKUP('Technical Sheet'!A66, 'Technical Sheet'!E143:E204, 'Table of Contents &amp; Validation'!B47:B108, "")</f>
        <v/>
      </c>
      <c r="F161" s="603"/>
    </row>
    <row r="162" spans="1:6" ht="14.4" hidden="1" customHeight="1" outlineLevel="1" x14ac:dyDescent="0.3">
      <c r="A162" s="666"/>
      <c r="B162" s="669"/>
      <c r="C162" s="640"/>
      <c r="D162" s="641"/>
      <c r="E162" s="386" t="str">
        <f>_xlfn.XLOOKUP('Technical Sheet'!A67, 'Technical Sheet'!E144:E205, 'Table of Contents &amp; Validation'!B48:B109, "")</f>
        <v/>
      </c>
      <c r="F162" s="603"/>
    </row>
    <row r="163" spans="1:6" ht="14.4" hidden="1" customHeight="1" outlineLevel="1" x14ac:dyDescent="0.3">
      <c r="A163" s="666"/>
      <c r="B163" s="669"/>
      <c r="C163" s="640"/>
      <c r="D163" s="641"/>
      <c r="E163" s="386" t="str">
        <f>_xlfn.XLOOKUP('Technical Sheet'!A68, 'Technical Sheet'!E145:E206, 'Table of Contents &amp; Validation'!B49:B110, "")</f>
        <v/>
      </c>
      <c r="F163" s="603"/>
    </row>
    <row r="164" spans="1:6" ht="14.4" hidden="1" customHeight="1" outlineLevel="1" x14ac:dyDescent="0.3">
      <c r="A164" s="666"/>
      <c r="B164" s="669"/>
      <c r="C164" s="640"/>
      <c r="D164" s="641"/>
      <c r="E164" s="386" t="str">
        <f>_xlfn.XLOOKUP('Technical Sheet'!A69, 'Technical Sheet'!E146:E207, 'Table of Contents &amp; Validation'!B50:B111, "")</f>
        <v/>
      </c>
      <c r="F164" s="603"/>
    </row>
    <row r="165" spans="1:6" ht="14.4" hidden="1" customHeight="1" outlineLevel="1" x14ac:dyDescent="0.3">
      <c r="A165" s="666"/>
      <c r="B165" s="669"/>
      <c r="C165" s="640"/>
      <c r="D165" s="641"/>
      <c r="E165" s="386" t="str">
        <f>_xlfn.XLOOKUP('Technical Sheet'!A70, 'Technical Sheet'!E147:E208, 'Table of Contents &amp; Validation'!B51:B112, "")</f>
        <v/>
      </c>
      <c r="F165" s="603"/>
    </row>
    <row r="166" spans="1:6" ht="14.4" hidden="1" customHeight="1" outlineLevel="1" x14ac:dyDescent="0.3">
      <c r="A166" s="666"/>
      <c r="B166" s="669"/>
      <c r="C166" s="640"/>
      <c r="D166" s="641"/>
      <c r="E166" s="386" t="str">
        <f>_xlfn.XLOOKUP('Technical Sheet'!A71, 'Technical Sheet'!E148:E209, 'Table of Contents &amp; Validation'!B52:B113, "")</f>
        <v/>
      </c>
      <c r="F166" s="603"/>
    </row>
    <row r="167" spans="1:6" ht="14.4" hidden="1" customHeight="1" outlineLevel="1" x14ac:dyDescent="0.3">
      <c r="A167" s="666"/>
      <c r="B167" s="669"/>
      <c r="C167" s="640"/>
      <c r="D167" s="641"/>
      <c r="E167" s="386" t="str">
        <f>_xlfn.XLOOKUP('Technical Sheet'!A72, 'Technical Sheet'!E149:E210, 'Table of Contents &amp; Validation'!B53:B114, "")</f>
        <v/>
      </c>
      <c r="F167" s="603"/>
    </row>
    <row r="168" spans="1:6" ht="14.4" hidden="1" customHeight="1" outlineLevel="1" x14ac:dyDescent="0.3">
      <c r="A168" s="666"/>
      <c r="B168" s="669"/>
      <c r="C168" s="640"/>
      <c r="D168" s="641"/>
      <c r="E168" s="386" t="str">
        <f>_xlfn.XLOOKUP('Technical Sheet'!A73, 'Technical Sheet'!E150:E211, 'Table of Contents &amp; Validation'!B54:B115, "")</f>
        <v/>
      </c>
      <c r="F168" s="603"/>
    </row>
    <row r="169" spans="1:6" ht="14.4" hidden="1" customHeight="1" outlineLevel="1" x14ac:dyDescent="0.3">
      <c r="A169" s="666"/>
      <c r="B169" s="669"/>
      <c r="C169" s="640"/>
      <c r="D169" s="641"/>
      <c r="E169" s="386" t="str">
        <f>_xlfn.XLOOKUP('Technical Sheet'!A74, 'Technical Sheet'!E151:E212, 'Table of Contents &amp; Validation'!B55:B116, "")</f>
        <v/>
      </c>
      <c r="F169" s="603"/>
    </row>
    <row r="170" spans="1:6" ht="14.4" hidden="1" customHeight="1" outlineLevel="1" x14ac:dyDescent="0.3">
      <c r="A170" s="666"/>
      <c r="B170" s="669"/>
      <c r="C170" s="640"/>
      <c r="D170" s="641"/>
      <c r="E170" s="386" t="str">
        <f>_xlfn.XLOOKUP('Technical Sheet'!A75, 'Technical Sheet'!E152:E213, 'Table of Contents &amp; Validation'!B56:B117, "")</f>
        <v/>
      </c>
      <c r="F170" s="603"/>
    </row>
    <row r="171" spans="1:6" ht="14.4" hidden="1" customHeight="1" outlineLevel="1" x14ac:dyDescent="0.3">
      <c r="A171" s="666"/>
      <c r="B171" s="669"/>
      <c r="C171" s="640"/>
      <c r="D171" s="641"/>
      <c r="E171" s="386" t="str">
        <f>_xlfn.XLOOKUP('Technical Sheet'!A76, 'Technical Sheet'!E153:E214, 'Table of Contents &amp; Validation'!B57:B118, "")</f>
        <v/>
      </c>
      <c r="F171" s="603"/>
    </row>
    <row r="172" spans="1:6" ht="14.4" hidden="1" customHeight="1" outlineLevel="1" x14ac:dyDescent="0.3">
      <c r="A172" s="666"/>
      <c r="B172" s="669"/>
      <c r="C172" s="640"/>
      <c r="D172" s="641"/>
      <c r="E172" s="478" t="str">
        <f>_xlfn.XLOOKUP('Technical Sheet'!A77, 'Technical Sheet'!E154:E215, 'Table of Contents &amp; Validation'!B58:B119, "")</f>
        <v/>
      </c>
      <c r="F172" s="603"/>
    </row>
    <row r="173" spans="1:6" ht="14.4" hidden="1" customHeight="1" outlineLevel="1" x14ac:dyDescent="0.3">
      <c r="A173" s="666"/>
      <c r="B173" s="669"/>
      <c r="C173" s="640"/>
      <c r="D173" s="641"/>
      <c r="E173" s="386" t="str">
        <f>_xlfn.XLOOKUP('Technical Sheet'!A78, 'Technical Sheet'!E155:E216, 'Table of Contents &amp; Validation'!B59:B120, "")</f>
        <v/>
      </c>
      <c r="F173" s="603"/>
    </row>
    <row r="174" spans="1:6" ht="14.4" hidden="1" customHeight="1" outlineLevel="1" thickBot="1" x14ac:dyDescent="0.35">
      <c r="A174" s="667"/>
      <c r="B174" s="670"/>
      <c r="C174" s="642"/>
      <c r="D174" s="643"/>
      <c r="E174" s="482" t="str">
        <f>_xlfn.XLOOKUP('Technical Sheet'!A79, 'Technical Sheet'!E156:E217, 'Table of Contents &amp; Validation'!B60:B121, "")</f>
        <v/>
      </c>
      <c r="F174" s="453"/>
    </row>
    <row r="175" spans="1:6" ht="14.4" customHeight="1" collapsed="1" thickBot="1" x14ac:dyDescent="0.35">
      <c r="F175"/>
    </row>
    <row r="176" spans="1:6" ht="14.4" customHeight="1" thickBot="1" x14ac:dyDescent="0.35">
      <c r="C176" s="634" t="str">
        <f>template_label_b1_other_undertakings_general_information &amp; " " &amp; template_label_from &amp; " " &amp; template_starting_date_display &amp; " " &amp; template_label_to &amp; " " &amp; template_ending_date_display &amp; " " &amp; template_label_always_to_be_reported</f>
        <v>B1 - Other undertaking's general information from 2025-01-01 to 2025-12-31 [Always to be reported]</v>
      </c>
      <c r="D176" s="671"/>
      <c r="E176" s="672"/>
      <c r="F176"/>
    </row>
    <row r="177" spans="1:7" ht="28.8" x14ac:dyDescent="0.3">
      <c r="A177" s="391" t="s">
        <v>13</v>
      </c>
      <c r="B177" s="221" t="s">
        <v>10</v>
      </c>
      <c r="C177" s="648" t="str">
        <f>template_label_basis_for_reporting</f>
        <v>Basis for reporting (consolidated or individual basis)</v>
      </c>
      <c r="D177" s="648"/>
      <c r="E177" s="419" t="s">
        <v>14</v>
      </c>
      <c r="F177" s="11" t="str">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OK</v>
      </c>
    </row>
    <row r="178" spans="1:7" x14ac:dyDescent="0.3">
      <c r="A178" s="590" t="s">
        <v>15</v>
      </c>
      <c r="B178" s="599">
        <v>4</v>
      </c>
      <c r="C178" s="600" t="str">
        <f>template_label_undertakings_legal_form</f>
        <v>Undertakings legal form</v>
      </c>
      <c r="D178" s="600"/>
      <c r="E178" s="60" t="s">
        <v>16</v>
      </c>
      <c r="F178" s="11" t="str">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OK</v>
      </c>
      <c r="G178" t="str">
        <f>template_label_other_warning</f>
        <v>ℹ️ When "other" is chosen as undertaking legal form please fill the row below</v>
      </c>
    </row>
    <row r="179" spans="1:7" x14ac:dyDescent="0.3">
      <c r="A179" s="590"/>
      <c r="B179" s="599"/>
      <c r="C179" s="629" t="str">
        <f>template_label_other_undertakings_legal_form_specification</f>
        <v>Other undertaking's legal form specification</v>
      </c>
      <c r="D179" s="629"/>
      <c r="E179" s="62"/>
      <c r="F179" s="11" t="str">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spans="1:7" ht="14.4" customHeight="1" x14ac:dyDescent="0.3">
      <c r="A180" s="590" t="s">
        <v>17</v>
      </c>
      <c r="B180" s="599" t="s">
        <v>18</v>
      </c>
      <c r="C180" s="628" t="str">
        <f>template_label_nace_sector_classification_code</f>
        <v>NACE sector classification code(s)</v>
      </c>
      <c r="D180" s="628"/>
      <c r="E180" s="60" t="s">
        <v>19</v>
      </c>
      <c r="F180" s="11" t="str">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OK</v>
      </c>
      <c r="G180" t="str">
        <f>template_label_NACE_warning</f>
        <v>ℹ️  Please select a NACE code rather than a category else an ERROR message will appear.</v>
      </c>
    </row>
    <row r="181" spans="1:7" ht="14.4" customHeight="1" x14ac:dyDescent="0.3">
      <c r="A181" s="590"/>
      <c r="B181" s="599"/>
      <c r="C181" s="628"/>
      <c r="D181" s="628"/>
      <c r="E181" s="60" t="s">
        <v>20</v>
      </c>
      <c r="F181" s="11" t="str">
        <f>IF(COUNTIF(enum_ListNACECategories, E181) &gt; 0, template_label_error,
IF(E181 = "", "",
IF(COUNTIF($E$180:$E$279, E181) &gt; 1, template_label_value_inconsistency, template_label_ok)))</f>
        <v>OK</v>
      </c>
    </row>
    <row r="182" spans="1:7" ht="14.4" customHeight="1" x14ac:dyDescent="0.3">
      <c r="A182" s="590"/>
      <c r="B182" s="599"/>
      <c r="C182" s="628"/>
      <c r="D182" s="628"/>
      <c r="E182" s="60"/>
      <c r="F182" s="11" t="str">
        <f t="shared" ref="F182:F212" si="1">IF(COUNTIF(enum_ListNACECategories, E182) &gt; 0, template_label_error,
IF(E182 = "", "",
IF(COUNTIF($E$180:$E$279, E182) &gt; 1, template_label_value_inconsistency, template_label_ok)))</f>
        <v/>
      </c>
    </row>
    <row r="183" spans="1:7" ht="14.4" hidden="1" customHeight="1" outlineLevel="2" x14ac:dyDescent="0.3">
      <c r="A183" s="590"/>
      <c r="B183" s="599"/>
      <c r="C183" s="628"/>
      <c r="D183" s="628"/>
      <c r="E183" s="60"/>
      <c r="F183" s="11" t="str">
        <f t="shared" si="1"/>
        <v/>
      </c>
    </row>
    <row r="184" spans="1:7" ht="14.4" hidden="1" customHeight="1" outlineLevel="2" x14ac:dyDescent="0.3">
      <c r="A184" s="590"/>
      <c r="B184" s="599"/>
      <c r="C184" s="628"/>
      <c r="D184" s="628"/>
      <c r="E184" s="60"/>
      <c r="F184" s="11" t="str">
        <f t="shared" si="1"/>
        <v/>
      </c>
    </row>
    <row r="185" spans="1:7" ht="14.4" hidden="1" customHeight="1" outlineLevel="2" x14ac:dyDescent="0.3">
      <c r="A185" s="590"/>
      <c r="B185" s="599"/>
      <c r="C185" s="628"/>
      <c r="D185" s="628"/>
      <c r="E185" s="60"/>
      <c r="F185" s="11" t="str">
        <f t="shared" si="1"/>
        <v/>
      </c>
    </row>
    <row r="186" spans="1:7" ht="14.4" hidden="1" customHeight="1" outlineLevel="2" x14ac:dyDescent="0.3">
      <c r="A186" s="590"/>
      <c r="B186" s="599"/>
      <c r="C186" s="628"/>
      <c r="D186" s="628"/>
      <c r="E186" s="60"/>
      <c r="F186" s="11" t="str">
        <f t="shared" si="1"/>
        <v/>
      </c>
    </row>
    <row r="187" spans="1:7" ht="14.4" hidden="1" customHeight="1" outlineLevel="2" x14ac:dyDescent="0.3">
      <c r="A187" s="590"/>
      <c r="B187" s="599"/>
      <c r="C187" s="628"/>
      <c r="D187" s="628"/>
      <c r="E187" s="60"/>
      <c r="F187" s="11" t="str">
        <f t="shared" si="1"/>
        <v/>
      </c>
    </row>
    <row r="188" spans="1:7" ht="14.4" hidden="1" customHeight="1" outlineLevel="2" x14ac:dyDescent="0.3">
      <c r="A188" s="590"/>
      <c r="B188" s="599"/>
      <c r="C188" s="628"/>
      <c r="D188" s="628"/>
      <c r="E188" s="60"/>
      <c r="F188" s="11" t="str">
        <f t="shared" si="1"/>
        <v/>
      </c>
    </row>
    <row r="189" spans="1:7" ht="14.4" hidden="1" customHeight="1" outlineLevel="2" x14ac:dyDescent="0.3">
      <c r="A189" s="590"/>
      <c r="B189" s="599"/>
      <c r="C189" s="628"/>
      <c r="D189" s="628"/>
      <c r="E189" s="60"/>
      <c r="F189" s="11" t="str">
        <f t="shared" si="1"/>
        <v/>
      </c>
    </row>
    <row r="190" spans="1:7" ht="14.4" hidden="1" customHeight="1" outlineLevel="2" x14ac:dyDescent="0.3">
      <c r="A190" s="590"/>
      <c r="B190" s="599"/>
      <c r="C190" s="628"/>
      <c r="D190" s="628"/>
      <c r="E190" s="60"/>
      <c r="F190" s="11" t="str">
        <f t="shared" si="1"/>
        <v/>
      </c>
    </row>
    <row r="191" spans="1:7" ht="14.4" hidden="1" customHeight="1" outlineLevel="2" x14ac:dyDescent="0.3">
      <c r="A191" s="590"/>
      <c r="B191" s="599"/>
      <c r="C191" s="628"/>
      <c r="D191" s="628"/>
      <c r="E191" s="60"/>
      <c r="F191" s="11" t="str">
        <f t="shared" si="1"/>
        <v/>
      </c>
    </row>
    <row r="192" spans="1:7" ht="14.4" hidden="1" customHeight="1" outlineLevel="2" x14ac:dyDescent="0.3">
      <c r="A192" s="590"/>
      <c r="B192" s="599"/>
      <c r="C192" s="628"/>
      <c r="D192" s="628"/>
      <c r="E192" s="60"/>
      <c r="F192" s="11" t="str">
        <f t="shared" si="1"/>
        <v/>
      </c>
    </row>
    <row r="193" spans="1:6" ht="14.4" hidden="1" customHeight="1" outlineLevel="2" x14ac:dyDescent="0.3">
      <c r="A193" s="590"/>
      <c r="B193" s="599"/>
      <c r="C193" s="628"/>
      <c r="D193" s="628"/>
      <c r="E193" s="60"/>
      <c r="F193" s="11" t="str">
        <f t="shared" si="1"/>
        <v/>
      </c>
    </row>
    <row r="194" spans="1:6" ht="14.4" hidden="1" customHeight="1" outlineLevel="2" x14ac:dyDescent="0.3">
      <c r="A194" s="590"/>
      <c r="B194" s="599"/>
      <c r="C194" s="628"/>
      <c r="D194" s="628"/>
      <c r="E194" s="60"/>
      <c r="F194" s="11" t="str">
        <f t="shared" si="1"/>
        <v/>
      </c>
    </row>
    <row r="195" spans="1:6" ht="14.4" hidden="1" customHeight="1" outlineLevel="2" x14ac:dyDescent="0.3">
      <c r="A195" s="590"/>
      <c r="B195" s="599"/>
      <c r="C195" s="628"/>
      <c r="D195" s="628"/>
      <c r="E195" s="60"/>
      <c r="F195" s="11" t="str">
        <f t="shared" si="1"/>
        <v/>
      </c>
    </row>
    <row r="196" spans="1:6" ht="14.4" hidden="1" customHeight="1" outlineLevel="2" x14ac:dyDescent="0.3">
      <c r="A196" s="590"/>
      <c r="B196" s="599"/>
      <c r="C196" s="628"/>
      <c r="D196" s="628"/>
      <c r="E196" s="60"/>
      <c r="F196" s="11" t="str">
        <f t="shared" si="1"/>
        <v/>
      </c>
    </row>
    <row r="197" spans="1:6" ht="14.4" hidden="1" customHeight="1" outlineLevel="2" x14ac:dyDescent="0.3">
      <c r="A197" s="590"/>
      <c r="B197" s="599"/>
      <c r="C197" s="628"/>
      <c r="D197" s="628"/>
      <c r="E197" s="60"/>
      <c r="F197" s="11" t="str">
        <f t="shared" si="1"/>
        <v/>
      </c>
    </row>
    <row r="198" spans="1:6" ht="14.4" hidden="1" customHeight="1" outlineLevel="2" x14ac:dyDescent="0.3">
      <c r="A198" s="590"/>
      <c r="B198" s="599"/>
      <c r="C198" s="628"/>
      <c r="D198" s="628"/>
      <c r="E198" s="60"/>
      <c r="F198" s="11" t="str">
        <f t="shared" si="1"/>
        <v/>
      </c>
    </row>
    <row r="199" spans="1:6" ht="14.4" hidden="1" customHeight="1" outlineLevel="2" x14ac:dyDescent="0.3">
      <c r="A199" s="590"/>
      <c r="B199" s="599"/>
      <c r="C199" s="628"/>
      <c r="D199" s="628"/>
      <c r="E199" s="60"/>
      <c r="F199" s="11" t="str">
        <f t="shared" si="1"/>
        <v/>
      </c>
    </row>
    <row r="200" spans="1:6" ht="14.4" hidden="1" customHeight="1" outlineLevel="2" x14ac:dyDescent="0.3">
      <c r="A200" s="590"/>
      <c r="B200" s="599"/>
      <c r="C200" s="628"/>
      <c r="D200" s="628"/>
      <c r="E200" s="60"/>
      <c r="F200" s="11" t="str">
        <f t="shared" si="1"/>
        <v/>
      </c>
    </row>
    <row r="201" spans="1:6" ht="14.4" hidden="1" customHeight="1" outlineLevel="2" x14ac:dyDescent="0.3">
      <c r="A201" s="590"/>
      <c r="B201" s="599"/>
      <c r="C201" s="628"/>
      <c r="D201" s="628"/>
      <c r="E201" s="60"/>
      <c r="F201" s="11" t="str">
        <f t="shared" si="1"/>
        <v/>
      </c>
    </row>
    <row r="202" spans="1:6" ht="14.4" hidden="1" customHeight="1" outlineLevel="2" x14ac:dyDescent="0.3">
      <c r="A202" s="590"/>
      <c r="B202" s="599"/>
      <c r="C202" s="628"/>
      <c r="D202" s="628"/>
      <c r="E202" s="60"/>
      <c r="F202" s="11" t="str">
        <f t="shared" si="1"/>
        <v/>
      </c>
    </row>
    <row r="203" spans="1:6" ht="14.4" hidden="1" customHeight="1" outlineLevel="2" x14ac:dyDescent="0.3">
      <c r="A203" s="590"/>
      <c r="B203" s="599"/>
      <c r="C203" s="628"/>
      <c r="D203" s="628"/>
      <c r="E203" s="60"/>
      <c r="F203" s="11" t="str">
        <f t="shared" si="1"/>
        <v/>
      </c>
    </row>
    <row r="204" spans="1:6" ht="14.4" hidden="1" customHeight="1" outlineLevel="2" x14ac:dyDescent="0.3">
      <c r="A204" s="590"/>
      <c r="B204" s="599"/>
      <c r="C204" s="628"/>
      <c r="D204" s="628"/>
      <c r="E204" s="60"/>
      <c r="F204" s="11" t="str">
        <f t="shared" si="1"/>
        <v/>
      </c>
    </row>
    <row r="205" spans="1:6" ht="14.4" hidden="1" customHeight="1" outlineLevel="2" x14ac:dyDescent="0.3">
      <c r="A205" s="590"/>
      <c r="B205" s="599"/>
      <c r="C205" s="628"/>
      <c r="D205" s="628"/>
      <c r="E205" s="60"/>
      <c r="F205" s="11" t="str">
        <f t="shared" si="1"/>
        <v/>
      </c>
    </row>
    <row r="206" spans="1:6" ht="14.4" hidden="1" customHeight="1" outlineLevel="2" x14ac:dyDescent="0.3">
      <c r="A206" s="590"/>
      <c r="B206" s="599"/>
      <c r="C206" s="628"/>
      <c r="D206" s="628"/>
      <c r="E206" s="60"/>
      <c r="F206" s="11" t="str">
        <f t="shared" si="1"/>
        <v/>
      </c>
    </row>
    <row r="207" spans="1:6" ht="14.4" hidden="1" customHeight="1" outlineLevel="2" x14ac:dyDescent="0.3">
      <c r="A207" s="590"/>
      <c r="B207" s="599"/>
      <c r="C207" s="628"/>
      <c r="D207" s="628"/>
      <c r="E207" s="60"/>
      <c r="F207" s="11" t="str">
        <f t="shared" si="1"/>
        <v/>
      </c>
    </row>
    <row r="208" spans="1:6" ht="14.4" hidden="1" customHeight="1" outlineLevel="2" x14ac:dyDescent="0.3">
      <c r="A208" s="590"/>
      <c r="B208" s="599"/>
      <c r="C208" s="628"/>
      <c r="D208" s="628"/>
      <c r="E208" s="60"/>
      <c r="F208" s="11" t="str">
        <f t="shared" si="1"/>
        <v/>
      </c>
    </row>
    <row r="209" spans="1:6" ht="14.4" hidden="1" customHeight="1" outlineLevel="2" x14ac:dyDescent="0.3">
      <c r="A209" s="590"/>
      <c r="B209" s="599"/>
      <c r="C209" s="628"/>
      <c r="D209" s="628"/>
      <c r="E209" s="60"/>
      <c r="F209" s="11" t="str">
        <f t="shared" si="1"/>
        <v/>
      </c>
    </row>
    <row r="210" spans="1:6" ht="14.4" hidden="1" customHeight="1" outlineLevel="2" x14ac:dyDescent="0.3">
      <c r="A210" s="590"/>
      <c r="B210" s="599"/>
      <c r="C210" s="628"/>
      <c r="D210" s="628"/>
      <c r="E210" s="60"/>
      <c r="F210" s="11" t="str">
        <f t="shared" si="1"/>
        <v/>
      </c>
    </row>
    <row r="211" spans="1:6" ht="14.4" hidden="1" customHeight="1" outlineLevel="2" x14ac:dyDescent="0.3">
      <c r="A211" s="590"/>
      <c r="B211" s="599"/>
      <c r="C211" s="628"/>
      <c r="D211" s="628"/>
      <c r="E211" s="60"/>
      <c r="F211" s="11" t="str">
        <f t="shared" si="1"/>
        <v/>
      </c>
    </row>
    <row r="212" spans="1:6" ht="14.4" hidden="1" customHeight="1" outlineLevel="2" x14ac:dyDescent="0.3">
      <c r="A212" s="590"/>
      <c r="B212" s="599"/>
      <c r="C212" s="628"/>
      <c r="D212" s="628"/>
      <c r="E212" s="60"/>
      <c r="F212" s="11" t="str">
        <f t="shared" si="1"/>
        <v/>
      </c>
    </row>
    <row r="213" spans="1:6" ht="14.4" hidden="1" customHeight="1" outlineLevel="2" x14ac:dyDescent="0.3">
      <c r="A213" s="590"/>
      <c r="B213" s="599"/>
      <c r="C213" s="628"/>
      <c r="D213" s="628"/>
      <c r="E213" s="60"/>
      <c r="F213" s="11" t="str">
        <f t="shared" ref="F213:F244" si="2">IF(COUNTIF(enum_ListNACECategories, E213) &gt; 0, template_label_error,
IF(E213 = "", "",
IF(COUNTIF($E$180:$E$279, E213) &gt; 1, template_label_value_inconsistency, template_label_ok)))</f>
        <v/>
      </c>
    </row>
    <row r="214" spans="1:6" ht="14.4" hidden="1" customHeight="1" outlineLevel="2" x14ac:dyDescent="0.3">
      <c r="A214" s="590"/>
      <c r="B214" s="599"/>
      <c r="C214" s="628"/>
      <c r="D214" s="628"/>
      <c r="E214" s="60"/>
      <c r="F214" s="11" t="str">
        <f t="shared" si="2"/>
        <v/>
      </c>
    </row>
    <row r="215" spans="1:6" ht="14.4" hidden="1" customHeight="1" outlineLevel="2" x14ac:dyDescent="0.3">
      <c r="A215" s="590"/>
      <c r="B215" s="599"/>
      <c r="C215" s="628"/>
      <c r="D215" s="628"/>
      <c r="E215" s="60"/>
      <c r="F215" s="11" t="str">
        <f t="shared" si="2"/>
        <v/>
      </c>
    </row>
    <row r="216" spans="1:6" ht="14.4" hidden="1" customHeight="1" outlineLevel="2" x14ac:dyDescent="0.3">
      <c r="A216" s="590"/>
      <c r="B216" s="599"/>
      <c r="C216" s="628"/>
      <c r="D216" s="628"/>
      <c r="E216" s="60"/>
      <c r="F216" s="11" t="str">
        <f t="shared" si="2"/>
        <v/>
      </c>
    </row>
    <row r="217" spans="1:6" ht="14.4" hidden="1" customHeight="1" outlineLevel="2" x14ac:dyDescent="0.3">
      <c r="A217" s="590"/>
      <c r="B217" s="599"/>
      <c r="C217" s="628"/>
      <c r="D217" s="628"/>
      <c r="E217" s="60"/>
      <c r="F217" s="11" t="str">
        <f t="shared" si="2"/>
        <v/>
      </c>
    </row>
    <row r="218" spans="1:6" ht="14.4" hidden="1" customHeight="1" outlineLevel="2" x14ac:dyDescent="0.3">
      <c r="A218" s="590"/>
      <c r="B218" s="599"/>
      <c r="C218" s="628"/>
      <c r="D218" s="628"/>
      <c r="E218" s="60"/>
      <c r="F218" s="11" t="str">
        <f t="shared" si="2"/>
        <v/>
      </c>
    </row>
    <row r="219" spans="1:6" ht="14.4" hidden="1" customHeight="1" outlineLevel="2" x14ac:dyDescent="0.3">
      <c r="A219" s="590"/>
      <c r="B219" s="599"/>
      <c r="C219" s="628"/>
      <c r="D219" s="628"/>
      <c r="E219" s="60"/>
      <c r="F219" s="11" t="str">
        <f t="shared" si="2"/>
        <v/>
      </c>
    </row>
    <row r="220" spans="1:6" ht="14.4" hidden="1" customHeight="1" outlineLevel="2" x14ac:dyDescent="0.3">
      <c r="A220" s="590"/>
      <c r="B220" s="599"/>
      <c r="C220" s="628"/>
      <c r="D220" s="628"/>
      <c r="E220" s="60"/>
      <c r="F220" s="11" t="str">
        <f t="shared" si="2"/>
        <v/>
      </c>
    </row>
    <row r="221" spans="1:6" ht="14.4" hidden="1" customHeight="1" outlineLevel="2" x14ac:dyDescent="0.3">
      <c r="A221" s="590"/>
      <c r="B221" s="599"/>
      <c r="C221" s="628"/>
      <c r="D221" s="628"/>
      <c r="E221" s="60"/>
      <c r="F221" s="11" t="str">
        <f t="shared" si="2"/>
        <v/>
      </c>
    </row>
    <row r="222" spans="1:6" ht="14.4" hidden="1" customHeight="1" outlineLevel="2" x14ac:dyDescent="0.3">
      <c r="A222" s="590"/>
      <c r="B222" s="599"/>
      <c r="C222" s="628"/>
      <c r="D222" s="628"/>
      <c r="E222" s="60"/>
      <c r="F222" s="11" t="str">
        <f t="shared" si="2"/>
        <v/>
      </c>
    </row>
    <row r="223" spans="1:6" ht="14.4" hidden="1" customHeight="1" outlineLevel="2" x14ac:dyDescent="0.3">
      <c r="A223" s="590"/>
      <c r="B223" s="599"/>
      <c r="C223" s="628"/>
      <c r="D223" s="628"/>
      <c r="E223" s="60"/>
      <c r="F223" s="11" t="str">
        <f t="shared" si="2"/>
        <v/>
      </c>
    </row>
    <row r="224" spans="1:6" ht="14.4" hidden="1" customHeight="1" outlineLevel="2" x14ac:dyDescent="0.3">
      <c r="A224" s="590"/>
      <c r="B224" s="599"/>
      <c r="C224" s="628"/>
      <c r="D224" s="628"/>
      <c r="E224" s="60"/>
      <c r="F224" s="11" t="str">
        <f t="shared" si="2"/>
        <v/>
      </c>
    </row>
    <row r="225" spans="1:6" ht="14.4" hidden="1" customHeight="1" outlineLevel="2" x14ac:dyDescent="0.3">
      <c r="A225" s="590"/>
      <c r="B225" s="599"/>
      <c r="C225" s="628"/>
      <c r="D225" s="628"/>
      <c r="E225" s="60"/>
      <c r="F225" s="11" t="str">
        <f t="shared" si="2"/>
        <v/>
      </c>
    </row>
    <row r="226" spans="1:6" ht="14.4" hidden="1" customHeight="1" outlineLevel="2" x14ac:dyDescent="0.3">
      <c r="A226" s="590"/>
      <c r="B226" s="599"/>
      <c r="C226" s="628"/>
      <c r="D226" s="628"/>
      <c r="E226" s="60"/>
      <c r="F226" s="11" t="str">
        <f t="shared" si="2"/>
        <v/>
      </c>
    </row>
    <row r="227" spans="1:6" ht="14.4" hidden="1" customHeight="1" outlineLevel="2" x14ac:dyDescent="0.3">
      <c r="A227" s="590"/>
      <c r="B227" s="599"/>
      <c r="C227" s="628"/>
      <c r="D227" s="628"/>
      <c r="E227" s="60"/>
      <c r="F227" s="11" t="str">
        <f t="shared" si="2"/>
        <v/>
      </c>
    </row>
    <row r="228" spans="1:6" ht="14.4" hidden="1" customHeight="1" outlineLevel="2" x14ac:dyDescent="0.3">
      <c r="A228" s="590"/>
      <c r="B228" s="599"/>
      <c r="C228" s="628"/>
      <c r="D228" s="628"/>
      <c r="E228" s="60"/>
      <c r="F228" s="11" t="str">
        <f t="shared" si="2"/>
        <v/>
      </c>
    </row>
    <row r="229" spans="1:6" ht="14.4" hidden="1" customHeight="1" outlineLevel="2" x14ac:dyDescent="0.3">
      <c r="A229" s="590"/>
      <c r="B229" s="599"/>
      <c r="C229" s="628"/>
      <c r="D229" s="628"/>
      <c r="E229" s="60"/>
      <c r="F229" s="11" t="str">
        <f t="shared" si="2"/>
        <v/>
      </c>
    </row>
    <row r="230" spans="1:6" ht="14.4" hidden="1" customHeight="1" outlineLevel="2" x14ac:dyDescent="0.3">
      <c r="A230" s="590"/>
      <c r="B230" s="599"/>
      <c r="C230" s="628"/>
      <c r="D230" s="628"/>
      <c r="E230" s="60"/>
      <c r="F230" s="11" t="str">
        <f t="shared" si="2"/>
        <v/>
      </c>
    </row>
    <row r="231" spans="1:6" ht="14.4" hidden="1" customHeight="1" outlineLevel="2" x14ac:dyDescent="0.3">
      <c r="A231" s="590"/>
      <c r="B231" s="599"/>
      <c r="C231" s="628"/>
      <c r="D231" s="628"/>
      <c r="E231" s="60"/>
      <c r="F231" s="11" t="str">
        <f t="shared" si="2"/>
        <v/>
      </c>
    </row>
    <row r="232" spans="1:6" ht="14.4" hidden="1" customHeight="1" outlineLevel="2" x14ac:dyDescent="0.3">
      <c r="A232" s="590"/>
      <c r="B232" s="599"/>
      <c r="C232" s="628"/>
      <c r="D232" s="628"/>
      <c r="E232" s="60"/>
      <c r="F232" s="11" t="str">
        <f t="shared" si="2"/>
        <v/>
      </c>
    </row>
    <row r="233" spans="1:6" ht="14.4" hidden="1" customHeight="1" outlineLevel="2" x14ac:dyDescent="0.3">
      <c r="A233" s="590"/>
      <c r="B233" s="599"/>
      <c r="C233" s="628"/>
      <c r="D233" s="628"/>
      <c r="E233" s="60"/>
      <c r="F233" s="11" t="str">
        <f t="shared" si="2"/>
        <v/>
      </c>
    </row>
    <row r="234" spans="1:6" ht="14.4" hidden="1" customHeight="1" outlineLevel="2" x14ac:dyDescent="0.3">
      <c r="A234" s="590"/>
      <c r="B234" s="599"/>
      <c r="C234" s="628"/>
      <c r="D234" s="628"/>
      <c r="E234" s="60"/>
      <c r="F234" s="11" t="str">
        <f t="shared" si="2"/>
        <v/>
      </c>
    </row>
    <row r="235" spans="1:6" ht="14.4" hidden="1" customHeight="1" outlineLevel="2" x14ac:dyDescent="0.3">
      <c r="A235" s="590"/>
      <c r="B235" s="599"/>
      <c r="C235" s="628"/>
      <c r="D235" s="628"/>
      <c r="E235" s="60"/>
      <c r="F235" s="11" t="str">
        <f t="shared" si="2"/>
        <v/>
      </c>
    </row>
    <row r="236" spans="1:6" ht="14.4" hidden="1" customHeight="1" outlineLevel="2" x14ac:dyDescent="0.3">
      <c r="A236" s="590"/>
      <c r="B236" s="599"/>
      <c r="C236" s="628"/>
      <c r="D236" s="628"/>
      <c r="E236" s="60"/>
      <c r="F236" s="11" t="str">
        <f t="shared" si="2"/>
        <v/>
      </c>
    </row>
    <row r="237" spans="1:6" ht="14.4" hidden="1" customHeight="1" outlineLevel="2" x14ac:dyDescent="0.3">
      <c r="A237" s="590"/>
      <c r="B237" s="599"/>
      <c r="C237" s="628"/>
      <c r="D237" s="628"/>
      <c r="E237" s="60"/>
      <c r="F237" s="11" t="str">
        <f t="shared" si="2"/>
        <v/>
      </c>
    </row>
    <row r="238" spans="1:6" ht="14.4" hidden="1" customHeight="1" outlineLevel="2" x14ac:dyDescent="0.3">
      <c r="A238" s="590"/>
      <c r="B238" s="599"/>
      <c r="C238" s="628"/>
      <c r="D238" s="628"/>
      <c r="E238" s="60"/>
      <c r="F238" s="11" t="str">
        <f t="shared" si="2"/>
        <v/>
      </c>
    </row>
    <row r="239" spans="1:6" ht="14.4" hidden="1" customHeight="1" outlineLevel="2" x14ac:dyDescent="0.3">
      <c r="A239" s="590"/>
      <c r="B239" s="599"/>
      <c r="C239" s="628"/>
      <c r="D239" s="628"/>
      <c r="E239" s="60"/>
      <c r="F239" s="11" t="str">
        <f t="shared" si="2"/>
        <v/>
      </c>
    </row>
    <row r="240" spans="1:6" ht="14.4" hidden="1" customHeight="1" outlineLevel="2" x14ac:dyDescent="0.3">
      <c r="A240" s="590"/>
      <c r="B240" s="599"/>
      <c r="C240" s="628"/>
      <c r="D240" s="628"/>
      <c r="E240" s="60"/>
      <c r="F240" s="11" t="str">
        <f t="shared" si="2"/>
        <v/>
      </c>
    </row>
    <row r="241" spans="1:6" ht="14.4" hidden="1" customHeight="1" outlineLevel="2" x14ac:dyDescent="0.3">
      <c r="A241" s="590"/>
      <c r="B241" s="599"/>
      <c r="C241" s="628"/>
      <c r="D241" s="628"/>
      <c r="E241" s="60"/>
      <c r="F241" s="11" t="str">
        <f t="shared" si="2"/>
        <v/>
      </c>
    </row>
    <row r="242" spans="1:6" ht="14.4" hidden="1" customHeight="1" outlineLevel="2" x14ac:dyDescent="0.3">
      <c r="A242" s="590"/>
      <c r="B242" s="599"/>
      <c r="C242" s="628"/>
      <c r="D242" s="628"/>
      <c r="E242" s="60"/>
      <c r="F242" s="11" t="str">
        <f t="shared" si="2"/>
        <v/>
      </c>
    </row>
    <row r="243" spans="1:6" ht="14.4" hidden="1" customHeight="1" outlineLevel="2" x14ac:dyDescent="0.3">
      <c r="A243" s="590"/>
      <c r="B243" s="599"/>
      <c r="C243" s="628"/>
      <c r="D243" s="628"/>
      <c r="E243" s="60"/>
      <c r="F243" s="11" t="str">
        <f t="shared" si="2"/>
        <v/>
      </c>
    </row>
    <row r="244" spans="1:6" ht="14.4" hidden="1" customHeight="1" outlineLevel="2" x14ac:dyDescent="0.3">
      <c r="A244" s="590"/>
      <c r="B244" s="599"/>
      <c r="C244" s="628"/>
      <c r="D244" s="628"/>
      <c r="E244" s="60"/>
      <c r="F244" s="11" t="str">
        <f t="shared" si="2"/>
        <v/>
      </c>
    </row>
    <row r="245" spans="1:6" ht="14.4" hidden="1" customHeight="1" outlineLevel="2" x14ac:dyDescent="0.3">
      <c r="A245" s="590"/>
      <c r="B245" s="599"/>
      <c r="C245" s="628"/>
      <c r="D245" s="628"/>
      <c r="E245" s="60"/>
      <c r="F245" s="11" t="str">
        <f t="shared" ref="F245:F276" si="3">IF(COUNTIF(enum_ListNACECategories, E245) &gt; 0, template_label_error,
IF(E245 = "", "",
IF(COUNTIF($E$180:$E$279, E245) &gt; 1, template_label_value_inconsistency, template_label_ok)))</f>
        <v/>
      </c>
    </row>
    <row r="246" spans="1:6" ht="14.4" hidden="1" customHeight="1" outlineLevel="2" x14ac:dyDescent="0.3">
      <c r="A246" s="590"/>
      <c r="B246" s="599"/>
      <c r="C246" s="628"/>
      <c r="D246" s="628"/>
      <c r="E246" s="60"/>
      <c r="F246" s="11" t="str">
        <f t="shared" si="3"/>
        <v/>
      </c>
    </row>
    <row r="247" spans="1:6" ht="14.4" hidden="1" customHeight="1" outlineLevel="2" x14ac:dyDescent="0.3">
      <c r="A247" s="590"/>
      <c r="B247" s="599"/>
      <c r="C247" s="628"/>
      <c r="D247" s="628"/>
      <c r="E247" s="60"/>
      <c r="F247" s="11" t="str">
        <f t="shared" si="3"/>
        <v/>
      </c>
    </row>
    <row r="248" spans="1:6" ht="14.4" hidden="1" customHeight="1" outlineLevel="2" x14ac:dyDescent="0.3">
      <c r="A248" s="590"/>
      <c r="B248" s="599"/>
      <c r="C248" s="628"/>
      <c r="D248" s="628"/>
      <c r="E248" s="60"/>
      <c r="F248" s="11" t="str">
        <f t="shared" si="3"/>
        <v/>
      </c>
    </row>
    <row r="249" spans="1:6" ht="14.4" hidden="1" customHeight="1" outlineLevel="2" x14ac:dyDescent="0.3">
      <c r="A249" s="590"/>
      <c r="B249" s="599"/>
      <c r="C249" s="628"/>
      <c r="D249" s="628"/>
      <c r="E249" s="60"/>
      <c r="F249" s="11" t="str">
        <f t="shared" si="3"/>
        <v/>
      </c>
    </row>
    <row r="250" spans="1:6" ht="14.4" hidden="1" customHeight="1" outlineLevel="2" x14ac:dyDescent="0.3">
      <c r="A250" s="590"/>
      <c r="B250" s="599"/>
      <c r="C250" s="628"/>
      <c r="D250" s="628"/>
      <c r="E250" s="60"/>
      <c r="F250" s="11" t="str">
        <f t="shared" si="3"/>
        <v/>
      </c>
    </row>
    <row r="251" spans="1:6" ht="14.4" hidden="1" customHeight="1" outlineLevel="2" x14ac:dyDescent="0.3">
      <c r="A251" s="590"/>
      <c r="B251" s="599"/>
      <c r="C251" s="628"/>
      <c r="D251" s="628"/>
      <c r="E251" s="60"/>
      <c r="F251" s="11" t="str">
        <f t="shared" si="3"/>
        <v/>
      </c>
    </row>
    <row r="252" spans="1:6" ht="14.4" hidden="1" customHeight="1" outlineLevel="2" x14ac:dyDescent="0.3">
      <c r="A252" s="590"/>
      <c r="B252" s="599"/>
      <c r="C252" s="628"/>
      <c r="D252" s="628"/>
      <c r="E252" s="60"/>
      <c r="F252" s="11" t="str">
        <f t="shared" si="3"/>
        <v/>
      </c>
    </row>
    <row r="253" spans="1:6" ht="14.4" hidden="1" customHeight="1" outlineLevel="2" x14ac:dyDescent="0.3">
      <c r="A253" s="590"/>
      <c r="B253" s="599"/>
      <c r="C253" s="628"/>
      <c r="D253" s="628"/>
      <c r="E253" s="60"/>
      <c r="F253" s="11" t="str">
        <f t="shared" si="3"/>
        <v/>
      </c>
    </row>
    <row r="254" spans="1:6" ht="14.4" hidden="1" customHeight="1" outlineLevel="2" x14ac:dyDescent="0.3">
      <c r="A254" s="590"/>
      <c r="B254" s="599"/>
      <c r="C254" s="628"/>
      <c r="D254" s="628"/>
      <c r="E254" s="60"/>
      <c r="F254" s="11" t="str">
        <f t="shared" si="3"/>
        <v/>
      </c>
    </row>
    <row r="255" spans="1:6" ht="14.4" hidden="1" customHeight="1" outlineLevel="2" x14ac:dyDescent="0.3">
      <c r="A255" s="590"/>
      <c r="B255" s="599"/>
      <c r="C255" s="628"/>
      <c r="D255" s="628"/>
      <c r="E255" s="60"/>
      <c r="F255" s="11" t="str">
        <f t="shared" si="3"/>
        <v/>
      </c>
    </row>
    <row r="256" spans="1:6" ht="14.4" hidden="1" customHeight="1" outlineLevel="2" x14ac:dyDescent="0.3">
      <c r="A256" s="590"/>
      <c r="B256" s="599"/>
      <c r="C256" s="628"/>
      <c r="D256" s="628"/>
      <c r="E256" s="60"/>
      <c r="F256" s="11" t="str">
        <f t="shared" si="3"/>
        <v/>
      </c>
    </row>
    <row r="257" spans="1:6" ht="14.4" hidden="1" customHeight="1" outlineLevel="2" x14ac:dyDescent="0.3">
      <c r="A257" s="590"/>
      <c r="B257" s="599"/>
      <c r="C257" s="628"/>
      <c r="D257" s="628"/>
      <c r="E257" s="60"/>
      <c r="F257" s="11" t="str">
        <f t="shared" si="3"/>
        <v/>
      </c>
    </row>
    <row r="258" spans="1:6" ht="14.4" hidden="1" customHeight="1" outlineLevel="2" x14ac:dyDescent="0.3">
      <c r="A258" s="590"/>
      <c r="B258" s="599"/>
      <c r="C258" s="628"/>
      <c r="D258" s="628"/>
      <c r="E258" s="60"/>
      <c r="F258" s="11" t="str">
        <f t="shared" si="3"/>
        <v/>
      </c>
    </row>
    <row r="259" spans="1:6" ht="14.4" hidden="1" customHeight="1" outlineLevel="2" x14ac:dyDescent="0.3">
      <c r="A259" s="590"/>
      <c r="B259" s="599"/>
      <c r="C259" s="628"/>
      <c r="D259" s="628"/>
      <c r="E259" s="60"/>
      <c r="F259" s="11" t="str">
        <f t="shared" si="3"/>
        <v/>
      </c>
    </row>
    <row r="260" spans="1:6" ht="14.4" hidden="1" customHeight="1" outlineLevel="2" x14ac:dyDescent="0.3">
      <c r="A260" s="590"/>
      <c r="B260" s="599"/>
      <c r="C260" s="628"/>
      <c r="D260" s="628"/>
      <c r="E260" s="60"/>
      <c r="F260" s="11" t="str">
        <f t="shared" si="3"/>
        <v/>
      </c>
    </row>
    <row r="261" spans="1:6" ht="14.4" hidden="1" customHeight="1" outlineLevel="2" x14ac:dyDescent="0.3">
      <c r="A261" s="590"/>
      <c r="B261" s="599"/>
      <c r="C261" s="628"/>
      <c r="D261" s="628"/>
      <c r="E261" s="60"/>
      <c r="F261" s="11" t="str">
        <f t="shared" si="3"/>
        <v/>
      </c>
    </row>
    <row r="262" spans="1:6" ht="14.4" hidden="1" customHeight="1" outlineLevel="2" x14ac:dyDescent="0.3">
      <c r="A262" s="590"/>
      <c r="B262" s="599"/>
      <c r="C262" s="628"/>
      <c r="D262" s="628"/>
      <c r="E262" s="60"/>
      <c r="F262" s="11" t="str">
        <f t="shared" si="3"/>
        <v/>
      </c>
    </row>
    <row r="263" spans="1:6" ht="14.4" hidden="1" customHeight="1" outlineLevel="2" x14ac:dyDescent="0.3">
      <c r="A263" s="590"/>
      <c r="B263" s="599"/>
      <c r="C263" s="628"/>
      <c r="D263" s="628"/>
      <c r="E263" s="60"/>
      <c r="F263" s="11" t="str">
        <f t="shared" si="3"/>
        <v/>
      </c>
    </row>
    <row r="264" spans="1:6" ht="14.4" hidden="1" customHeight="1" outlineLevel="2" x14ac:dyDescent="0.3">
      <c r="A264" s="590"/>
      <c r="B264" s="599"/>
      <c r="C264" s="628"/>
      <c r="D264" s="628"/>
      <c r="E264" s="60"/>
      <c r="F264" s="11" t="str">
        <f t="shared" si="3"/>
        <v/>
      </c>
    </row>
    <row r="265" spans="1:6" ht="14.4" hidden="1" customHeight="1" outlineLevel="2" x14ac:dyDescent="0.3">
      <c r="A265" s="590"/>
      <c r="B265" s="599"/>
      <c r="C265" s="628"/>
      <c r="D265" s="628"/>
      <c r="E265" s="60"/>
      <c r="F265" s="11" t="str">
        <f t="shared" si="3"/>
        <v/>
      </c>
    </row>
    <row r="266" spans="1:6" ht="14.4" hidden="1" customHeight="1" outlineLevel="2" x14ac:dyDescent="0.3">
      <c r="A266" s="590"/>
      <c r="B266" s="599"/>
      <c r="C266" s="628"/>
      <c r="D266" s="628"/>
      <c r="E266" s="60"/>
      <c r="F266" s="11" t="str">
        <f t="shared" si="3"/>
        <v/>
      </c>
    </row>
    <row r="267" spans="1:6" ht="14.4" hidden="1" customHeight="1" outlineLevel="2" x14ac:dyDescent="0.3">
      <c r="A267" s="590"/>
      <c r="B267" s="599"/>
      <c r="C267" s="628"/>
      <c r="D267" s="628"/>
      <c r="E267" s="60"/>
      <c r="F267" s="11" t="str">
        <f t="shared" si="3"/>
        <v/>
      </c>
    </row>
    <row r="268" spans="1:6" ht="14.4" hidden="1" customHeight="1" outlineLevel="2" x14ac:dyDescent="0.3">
      <c r="A268" s="590"/>
      <c r="B268" s="599"/>
      <c r="C268" s="628"/>
      <c r="D268" s="628"/>
      <c r="E268" s="60"/>
      <c r="F268" s="11" t="str">
        <f t="shared" si="3"/>
        <v/>
      </c>
    </row>
    <row r="269" spans="1:6" ht="14.4" hidden="1" customHeight="1" outlineLevel="2" x14ac:dyDescent="0.3">
      <c r="A269" s="590"/>
      <c r="B269" s="599"/>
      <c r="C269" s="628"/>
      <c r="D269" s="628"/>
      <c r="E269" s="60"/>
      <c r="F269" s="11" t="str">
        <f t="shared" si="3"/>
        <v/>
      </c>
    </row>
    <row r="270" spans="1:6" ht="14.4" hidden="1" customHeight="1" outlineLevel="2" x14ac:dyDescent="0.3">
      <c r="A270" s="590"/>
      <c r="B270" s="599"/>
      <c r="C270" s="628"/>
      <c r="D270" s="628"/>
      <c r="E270" s="60"/>
      <c r="F270" s="11" t="str">
        <f t="shared" si="3"/>
        <v/>
      </c>
    </row>
    <row r="271" spans="1:6" ht="14.4" hidden="1" customHeight="1" outlineLevel="2" x14ac:dyDescent="0.3">
      <c r="A271" s="590"/>
      <c r="B271" s="599"/>
      <c r="C271" s="628"/>
      <c r="D271" s="628"/>
      <c r="E271" s="60"/>
      <c r="F271" s="11" t="str">
        <f t="shared" si="3"/>
        <v/>
      </c>
    </row>
    <row r="272" spans="1:6" ht="14.4" hidden="1" customHeight="1" outlineLevel="2" x14ac:dyDescent="0.3">
      <c r="A272" s="590"/>
      <c r="B272" s="599"/>
      <c r="C272" s="628"/>
      <c r="D272" s="628"/>
      <c r="E272" s="60"/>
      <c r="F272" s="11" t="str">
        <f t="shared" si="3"/>
        <v/>
      </c>
    </row>
    <row r="273" spans="1:6" ht="14.4" hidden="1" customHeight="1" outlineLevel="2" x14ac:dyDescent="0.3">
      <c r="A273" s="590"/>
      <c r="B273" s="599"/>
      <c r="C273" s="628"/>
      <c r="D273" s="628"/>
      <c r="E273" s="60"/>
      <c r="F273" s="11" t="str">
        <f t="shared" si="3"/>
        <v/>
      </c>
    </row>
    <row r="274" spans="1:6" ht="14.4" hidden="1" customHeight="1" outlineLevel="2" x14ac:dyDescent="0.3">
      <c r="A274" s="590"/>
      <c r="B274" s="599"/>
      <c r="C274" s="628"/>
      <c r="D274" s="628"/>
      <c r="E274" s="60"/>
      <c r="F274" s="11" t="str">
        <f t="shared" si="3"/>
        <v/>
      </c>
    </row>
    <row r="275" spans="1:6" ht="14.4" hidden="1" customHeight="1" outlineLevel="2" x14ac:dyDescent="0.3">
      <c r="A275" s="590"/>
      <c r="B275" s="599"/>
      <c r="C275" s="628"/>
      <c r="D275" s="628"/>
      <c r="E275" s="60"/>
      <c r="F275" s="11" t="str">
        <f t="shared" si="3"/>
        <v/>
      </c>
    </row>
    <row r="276" spans="1:6" ht="14.4" hidden="1" customHeight="1" outlineLevel="2" x14ac:dyDescent="0.3">
      <c r="A276" s="590"/>
      <c r="B276" s="599"/>
      <c r="C276" s="628"/>
      <c r="D276" s="628"/>
      <c r="E276" s="60"/>
      <c r="F276" s="11" t="str">
        <f t="shared" si="3"/>
        <v/>
      </c>
    </row>
    <row r="277" spans="1:6" ht="14.4" hidden="1" customHeight="1" outlineLevel="2" x14ac:dyDescent="0.3">
      <c r="A277" s="590"/>
      <c r="B277" s="599"/>
      <c r="C277" s="628"/>
      <c r="D277" s="628"/>
      <c r="E277" s="60"/>
      <c r="F277" s="11" t="str">
        <f t="shared" ref="F277:F279" si="4">IF(COUNTIF(enum_ListNACECategories, E277) &gt; 0, template_label_error,
IF(E277 = "", "",
IF(COUNTIF($E$180:$E$279, E277) &gt; 1, template_label_value_inconsistency, template_label_ok)))</f>
        <v/>
      </c>
    </row>
    <row r="278" spans="1:6" ht="14.4" hidden="1" customHeight="1" outlineLevel="2" x14ac:dyDescent="0.3">
      <c r="A278" s="590"/>
      <c r="B278" s="599"/>
      <c r="C278" s="628"/>
      <c r="D278" s="628"/>
      <c r="E278" s="60"/>
      <c r="F278" s="11" t="str">
        <f t="shared" si="4"/>
        <v/>
      </c>
    </row>
    <row r="279" spans="1:6" ht="14.4" hidden="1" customHeight="1" outlineLevel="2" x14ac:dyDescent="0.3">
      <c r="A279" s="590"/>
      <c r="B279" s="599"/>
      <c r="C279" s="628"/>
      <c r="D279" s="628"/>
      <c r="E279" s="60"/>
      <c r="F279" s="11" t="str">
        <f t="shared" si="4"/>
        <v/>
      </c>
    </row>
    <row r="280" spans="1:6" ht="14.4" customHeight="1" collapsed="1" x14ac:dyDescent="0.3">
      <c r="A280" s="391" t="s">
        <v>21</v>
      </c>
      <c r="B280" s="221" t="s">
        <v>10</v>
      </c>
      <c r="C280" s="600" t="str">
        <f>template_label_size_of_balance_sheet_in &amp; " " &amp; template_currency</f>
        <v>Size of balance sheet (total assets) in EUR</v>
      </c>
      <c r="D280" s="600"/>
      <c r="E280" s="63">
        <v>600000</v>
      </c>
      <c r="F280" s="11" t="str">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OK</v>
      </c>
    </row>
    <row r="281" spans="1:6" ht="14.4" customHeight="1" x14ac:dyDescent="0.3">
      <c r="A281" s="391" t="s">
        <v>22</v>
      </c>
      <c r="B281" s="221" t="s">
        <v>10</v>
      </c>
      <c r="C281" s="600" t="str">
        <f>template_label_turnover_in &amp; " " &amp; template_currency</f>
        <v>Turnover in EUR</v>
      </c>
      <c r="D281" s="600"/>
      <c r="E281" s="63">
        <v>235000</v>
      </c>
      <c r="F281" s="11" t="str">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OK</v>
      </c>
    </row>
    <row r="282" spans="1:6" ht="14.4" customHeight="1" x14ac:dyDescent="0.3">
      <c r="A282" s="391" t="s">
        <v>23</v>
      </c>
      <c r="B282" s="392" t="s">
        <v>24</v>
      </c>
      <c r="C282" s="600" t="str">
        <f>+template_label_number_of_employees</f>
        <v>Number of employees</v>
      </c>
      <c r="D282" s="600"/>
      <c r="E282" s="64">
        <v>151</v>
      </c>
      <c r="F282" s="11" t="str">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OK</v>
      </c>
    </row>
    <row r="283" spans="1:6" ht="14.4" customHeight="1" x14ac:dyDescent="0.3">
      <c r="A283" s="391" t="s">
        <v>23</v>
      </c>
      <c r="B283" s="392" t="s">
        <v>24</v>
      </c>
      <c r="C283" s="602" t="str">
        <f>template_label_employee_counting_methodology_end_of_reporting_period_or_average_during_the_reporting_period</f>
        <v>Employee counting methodology (At the end of reporting period or as an average during the reporting period)</v>
      </c>
      <c r="D283" s="602"/>
      <c r="E283" s="64" t="s">
        <v>25</v>
      </c>
      <c r="F283" s="11" t="str">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OK</v>
      </c>
    </row>
    <row r="284" spans="1:6" ht="14.4" customHeight="1" x14ac:dyDescent="0.3">
      <c r="A284" s="391" t="s">
        <v>23</v>
      </c>
      <c r="B284" s="392" t="s">
        <v>24</v>
      </c>
      <c r="C284" s="600" t="str">
        <f>template_label_employee_counting_methodology_headcount_or_fulltime_equivalent</f>
        <v>Employee counting methodology (Headcount or Full-time equivalent)</v>
      </c>
      <c r="D284" s="600"/>
      <c r="E284" s="61" t="s">
        <v>26</v>
      </c>
      <c r="F284" s="11" t="str">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OK</v>
      </c>
    </row>
    <row r="285" spans="1:6" ht="14.4" customHeight="1" thickBot="1" x14ac:dyDescent="0.35">
      <c r="A285" s="391" t="s">
        <v>27</v>
      </c>
      <c r="B285" s="392" t="s">
        <v>28</v>
      </c>
      <c r="C285" s="601" t="str">
        <f>template_label_country_of_primary_operations_and_location_of_significant_asset</f>
        <v>Country of primary operations and location of significant asset(s)</v>
      </c>
      <c r="D285" s="601"/>
      <c r="E285" s="65" t="s">
        <v>29</v>
      </c>
      <c r="F285" s="11" t="str">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OK</v>
      </c>
    </row>
    <row r="286" spans="1:6" ht="15" thickBot="1" x14ac:dyDescent="0.35">
      <c r="B286" s="87"/>
    </row>
    <row r="287" spans="1:6" ht="14.4" customHeight="1" thickBot="1" x14ac:dyDescent="0.35">
      <c r="B287" s="87"/>
      <c r="C287" s="627" t="str">
        <f xml:space="preserve"> template_label_b1_list_of_subsidiaries &amp; " " &amp; template_label_from &amp; " " &amp; template_starting_date_display &amp; " " &amp; template_label_to &amp; " " &amp; template_ending_date_display &amp; " " &amp; template_label_if_applicable</f>
        <v>B1 - List of subsidiaries from 2025-01-01 to 2025-12-31 [If applicable]</v>
      </c>
      <c r="D287" s="627"/>
      <c r="E287" s="635"/>
    </row>
    <row r="288" spans="1:6" ht="14.4" customHeight="1" x14ac:dyDescent="0.3">
      <c r="B288" s="87"/>
      <c r="C288" s="592" t="s">
        <v>30</v>
      </c>
      <c r="D288" s="592"/>
      <c r="E288" s="593"/>
    </row>
    <row r="289" spans="2:7" ht="14.4" customHeight="1" x14ac:dyDescent="0.3">
      <c r="B289" s="87"/>
      <c r="C289" s="4" t="str">
        <f>template_label_id</f>
        <v>ID</v>
      </c>
      <c r="D289" s="1" t="str">
        <f>template_label_name</f>
        <v>Name</v>
      </c>
      <c r="E289" s="394" t="str">
        <f>template_label_registered_address</f>
        <v>Registered Address</v>
      </c>
    </row>
    <row r="290" spans="2:7" ht="14.4" customHeight="1" x14ac:dyDescent="0.3">
      <c r="B290" s="87"/>
      <c r="C290" s="207">
        <v>1</v>
      </c>
      <c r="D290" s="359" t="s">
        <v>31</v>
      </c>
      <c r="E290" s="70" t="s">
        <v>32</v>
      </c>
      <c r="F290" s="11" t="str">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OK</v>
      </c>
      <c r="G290" t="str">
        <f>template_label_additional_rows_warning</f>
        <v>ℹ️  Lists can be expanded using the little [+] button on the left.  If the number of rows is not sufficient, those can be added by right clicking the second row and selecting "Insert row".</v>
      </c>
    </row>
    <row r="291" spans="2:7" ht="14.4" customHeight="1" x14ac:dyDescent="0.3">
      <c r="B291" s="87"/>
      <c r="C291" s="207">
        <v>2</v>
      </c>
      <c r="D291" s="359"/>
      <c r="E291" s="70"/>
      <c r="F291" s="11" t="str">
        <f t="shared" ref="F291:F389" si="5">IF(AND(D291&lt;&gt;"",E291=""), template_label_missing_value,
IF(AND(D291&lt;&gt;"",E291&lt;&gt;""), template_label_ok,
IF(AND(D291="",E291=""), "", template_label_missing_value)))</f>
        <v/>
      </c>
    </row>
    <row r="292" spans="2:7" ht="14.4" customHeight="1" thickBot="1" x14ac:dyDescent="0.35">
      <c r="C292" s="209">
        <v>3</v>
      </c>
      <c r="D292" s="395"/>
      <c r="E292" s="66"/>
      <c r="F292" s="11" t="str">
        <f t="shared" si="5"/>
        <v/>
      </c>
    </row>
    <row r="293" spans="2:7" ht="14.4" hidden="1" customHeight="1" outlineLevel="1" x14ac:dyDescent="0.3">
      <c r="C293" s="208">
        <v>4</v>
      </c>
      <c r="D293" s="67"/>
      <c r="E293" s="68"/>
      <c r="F293" s="86" t="str">
        <f t="shared" si="5"/>
        <v/>
      </c>
    </row>
    <row r="294" spans="2:7" ht="14.4" hidden="1" customHeight="1" outlineLevel="1" x14ac:dyDescent="0.3">
      <c r="C294" s="208">
        <v>5</v>
      </c>
      <c r="D294" s="69"/>
      <c r="E294" s="70"/>
      <c r="F294" s="86" t="str">
        <f t="shared" si="5"/>
        <v/>
      </c>
    </row>
    <row r="295" spans="2:7" ht="14.4" hidden="1" customHeight="1" outlineLevel="1" x14ac:dyDescent="0.3">
      <c r="C295" s="207">
        <v>6</v>
      </c>
      <c r="D295" s="69"/>
      <c r="E295" s="70"/>
      <c r="F295" s="86" t="str">
        <f t="shared" si="5"/>
        <v/>
      </c>
    </row>
    <row r="296" spans="2:7" ht="14.4" hidden="1" customHeight="1" outlineLevel="1" x14ac:dyDescent="0.3">
      <c r="C296" s="207">
        <v>7</v>
      </c>
      <c r="D296" s="69"/>
      <c r="E296" s="70"/>
      <c r="F296" s="86" t="str">
        <f t="shared" si="5"/>
        <v/>
      </c>
    </row>
    <row r="297" spans="2:7" ht="14.4" hidden="1" customHeight="1" outlineLevel="1" x14ac:dyDescent="0.3">
      <c r="C297" s="208">
        <v>8</v>
      </c>
      <c r="D297" s="69"/>
      <c r="E297" s="70"/>
      <c r="F297" s="86" t="str">
        <f t="shared" si="5"/>
        <v/>
      </c>
    </row>
    <row r="298" spans="2:7" ht="14.4" hidden="1" customHeight="1" outlineLevel="1" x14ac:dyDescent="0.3">
      <c r="C298" s="207">
        <v>9</v>
      </c>
      <c r="D298" s="69"/>
      <c r="E298" s="70"/>
      <c r="F298" s="86" t="str">
        <f t="shared" si="5"/>
        <v/>
      </c>
    </row>
    <row r="299" spans="2:7" ht="14.4" hidden="1" customHeight="1" outlineLevel="1" x14ac:dyDescent="0.3">
      <c r="C299" s="207">
        <v>10</v>
      </c>
      <c r="D299" s="69"/>
      <c r="E299" s="70"/>
      <c r="F299" s="86" t="str">
        <f t="shared" si="5"/>
        <v/>
      </c>
    </row>
    <row r="300" spans="2:7" ht="14.4" hidden="1" customHeight="1" outlineLevel="1" x14ac:dyDescent="0.3">
      <c r="C300" s="208">
        <v>11</v>
      </c>
      <c r="D300" s="69"/>
      <c r="E300" s="70"/>
      <c r="F300" s="86" t="str">
        <f t="shared" si="5"/>
        <v/>
      </c>
    </row>
    <row r="301" spans="2:7" ht="14.4" hidden="1" customHeight="1" outlineLevel="1" x14ac:dyDescent="0.3">
      <c r="C301" s="207">
        <v>12</v>
      </c>
      <c r="D301" s="69"/>
      <c r="E301" s="70"/>
      <c r="F301" s="86" t="str">
        <f t="shared" si="5"/>
        <v/>
      </c>
    </row>
    <row r="302" spans="2:7" ht="14.4" hidden="1" customHeight="1" outlineLevel="1" x14ac:dyDescent="0.3">
      <c r="C302" s="207">
        <v>13</v>
      </c>
      <c r="D302" s="69"/>
      <c r="E302" s="70"/>
      <c r="F302" s="86" t="str">
        <f t="shared" si="5"/>
        <v/>
      </c>
    </row>
    <row r="303" spans="2:7" ht="14.4" hidden="1" customHeight="1" outlineLevel="1" x14ac:dyDescent="0.3">
      <c r="C303" s="208">
        <v>14</v>
      </c>
      <c r="D303" s="69"/>
      <c r="E303" s="70"/>
      <c r="F303" s="86" t="str">
        <f t="shared" si="5"/>
        <v/>
      </c>
    </row>
    <row r="304" spans="2:7" ht="14.4" hidden="1" customHeight="1" outlineLevel="1" x14ac:dyDescent="0.3">
      <c r="C304" s="207">
        <v>15</v>
      </c>
      <c r="D304" s="69"/>
      <c r="E304" s="70"/>
      <c r="F304" s="86" t="str">
        <f t="shared" si="5"/>
        <v/>
      </c>
    </row>
    <row r="305" spans="3:6" ht="14.4" hidden="1" customHeight="1" outlineLevel="1" x14ac:dyDescent="0.3">
      <c r="C305" s="207">
        <v>16</v>
      </c>
      <c r="D305" s="69"/>
      <c r="E305" s="70"/>
      <c r="F305" s="86" t="str">
        <f t="shared" si="5"/>
        <v/>
      </c>
    </row>
    <row r="306" spans="3:6" ht="14.4" hidden="1" customHeight="1" outlineLevel="1" x14ac:dyDescent="0.3">
      <c r="C306" s="208">
        <v>17</v>
      </c>
      <c r="D306" s="69"/>
      <c r="E306" s="70"/>
      <c r="F306" s="86" t="str">
        <f t="shared" si="5"/>
        <v/>
      </c>
    </row>
    <row r="307" spans="3:6" ht="14.4" hidden="1" customHeight="1" outlineLevel="1" x14ac:dyDescent="0.3">
      <c r="C307" s="207">
        <v>18</v>
      </c>
      <c r="D307" s="69"/>
      <c r="E307" s="70"/>
      <c r="F307" s="86" t="str">
        <f t="shared" si="5"/>
        <v/>
      </c>
    </row>
    <row r="308" spans="3:6" ht="14.4" hidden="1" customHeight="1" outlineLevel="1" x14ac:dyDescent="0.3">
      <c r="C308" s="207">
        <v>19</v>
      </c>
      <c r="D308" s="69"/>
      <c r="E308" s="70"/>
      <c r="F308" s="86" t="str">
        <f t="shared" si="5"/>
        <v/>
      </c>
    </row>
    <row r="309" spans="3:6" ht="14.4" hidden="1" customHeight="1" outlineLevel="1" x14ac:dyDescent="0.3">
      <c r="C309" s="208">
        <v>20</v>
      </c>
      <c r="D309" s="69"/>
      <c r="E309" s="70"/>
      <c r="F309" s="86" t="str">
        <f t="shared" si="5"/>
        <v/>
      </c>
    </row>
    <row r="310" spans="3:6" ht="14.4" hidden="1" customHeight="1" outlineLevel="1" x14ac:dyDescent="0.3">
      <c r="C310" s="207">
        <v>21</v>
      </c>
      <c r="D310" s="69"/>
      <c r="E310" s="70"/>
      <c r="F310" s="86" t="str">
        <f t="shared" si="5"/>
        <v/>
      </c>
    </row>
    <row r="311" spans="3:6" ht="14.4" hidden="1" customHeight="1" outlineLevel="1" x14ac:dyDescent="0.3">
      <c r="C311" s="207">
        <v>22</v>
      </c>
      <c r="D311" s="69"/>
      <c r="E311" s="70"/>
      <c r="F311" s="86" t="str">
        <f t="shared" si="5"/>
        <v/>
      </c>
    </row>
    <row r="312" spans="3:6" ht="14.4" hidden="1" customHeight="1" outlineLevel="1" x14ac:dyDescent="0.3">
      <c r="C312" s="208">
        <v>23</v>
      </c>
      <c r="D312" s="69"/>
      <c r="E312" s="70"/>
      <c r="F312" s="86" t="str">
        <f t="shared" si="5"/>
        <v/>
      </c>
    </row>
    <row r="313" spans="3:6" ht="14.4" hidden="1" customHeight="1" outlineLevel="1" x14ac:dyDescent="0.3">
      <c r="C313" s="207">
        <v>24</v>
      </c>
      <c r="D313" s="69"/>
      <c r="E313" s="70"/>
      <c r="F313" s="86" t="str">
        <f t="shared" si="5"/>
        <v/>
      </c>
    </row>
    <row r="314" spans="3:6" ht="14.4" hidden="1" customHeight="1" outlineLevel="1" x14ac:dyDescent="0.3">
      <c r="C314" s="207">
        <v>25</v>
      </c>
      <c r="D314" s="69"/>
      <c r="E314" s="70"/>
      <c r="F314" s="86" t="str">
        <f t="shared" si="5"/>
        <v/>
      </c>
    </row>
    <row r="315" spans="3:6" ht="14.4" hidden="1" customHeight="1" outlineLevel="1" x14ac:dyDescent="0.3">
      <c r="C315" s="208">
        <v>26</v>
      </c>
      <c r="D315" s="69"/>
      <c r="E315" s="70"/>
      <c r="F315" s="86" t="str">
        <f t="shared" si="5"/>
        <v/>
      </c>
    </row>
    <row r="316" spans="3:6" ht="14.4" hidden="1" customHeight="1" outlineLevel="1" x14ac:dyDescent="0.3">
      <c r="C316" s="207">
        <v>27</v>
      </c>
      <c r="D316" s="69"/>
      <c r="E316" s="70"/>
      <c r="F316" s="86" t="str">
        <f t="shared" si="5"/>
        <v/>
      </c>
    </row>
    <row r="317" spans="3:6" ht="14.4" hidden="1" customHeight="1" outlineLevel="1" x14ac:dyDescent="0.3">
      <c r="C317" s="207">
        <v>28</v>
      </c>
      <c r="D317" s="69"/>
      <c r="E317" s="70"/>
      <c r="F317" s="86" t="str">
        <f t="shared" si="5"/>
        <v/>
      </c>
    </row>
    <row r="318" spans="3:6" ht="14.4" hidden="1" customHeight="1" outlineLevel="1" x14ac:dyDescent="0.3">
      <c r="C318" s="208">
        <v>29</v>
      </c>
      <c r="D318" s="69"/>
      <c r="E318" s="70"/>
      <c r="F318" s="86" t="str">
        <f t="shared" si="5"/>
        <v/>
      </c>
    </row>
    <row r="319" spans="3:6" ht="14.4" hidden="1" customHeight="1" outlineLevel="1" x14ac:dyDescent="0.3">
      <c r="C319" s="207">
        <v>30</v>
      </c>
      <c r="D319" s="69"/>
      <c r="E319" s="70"/>
      <c r="F319" s="86" t="str">
        <f t="shared" si="5"/>
        <v/>
      </c>
    </row>
    <row r="320" spans="3:6" ht="14.4" hidden="1" customHeight="1" outlineLevel="1" x14ac:dyDescent="0.3">
      <c r="C320" s="207">
        <v>31</v>
      </c>
      <c r="D320" s="69"/>
      <c r="E320" s="70"/>
      <c r="F320" s="86" t="str">
        <f t="shared" si="5"/>
        <v/>
      </c>
    </row>
    <row r="321" spans="3:6" ht="14.4" hidden="1" customHeight="1" outlineLevel="1" x14ac:dyDescent="0.3">
      <c r="C321" s="208">
        <v>32</v>
      </c>
      <c r="D321" s="69"/>
      <c r="E321" s="70"/>
      <c r="F321" s="86" t="str">
        <f t="shared" si="5"/>
        <v/>
      </c>
    </row>
    <row r="322" spans="3:6" ht="14.4" hidden="1" customHeight="1" outlineLevel="1" x14ac:dyDescent="0.3">
      <c r="C322" s="207">
        <v>33</v>
      </c>
      <c r="D322" s="69"/>
      <c r="E322" s="70"/>
      <c r="F322" s="86" t="str">
        <f t="shared" si="5"/>
        <v/>
      </c>
    </row>
    <row r="323" spans="3:6" ht="14.4" hidden="1" customHeight="1" outlineLevel="1" x14ac:dyDescent="0.3">
      <c r="C323" s="207">
        <v>34</v>
      </c>
      <c r="D323" s="69"/>
      <c r="E323" s="70"/>
      <c r="F323" s="86" t="str">
        <f t="shared" si="5"/>
        <v/>
      </c>
    </row>
    <row r="324" spans="3:6" ht="14.4" hidden="1" customHeight="1" outlineLevel="1" x14ac:dyDescent="0.3">
      <c r="C324" s="208">
        <v>35</v>
      </c>
      <c r="D324" s="69"/>
      <c r="E324" s="70"/>
      <c r="F324" s="86" t="str">
        <f t="shared" si="5"/>
        <v/>
      </c>
    </row>
    <row r="325" spans="3:6" ht="14.4" hidden="1" customHeight="1" outlineLevel="1" x14ac:dyDescent="0.3">
      <c r="C325" s="207">
        <v>36</v>
      </c>
      <c r="D325" s="69"/>
      <c r="E325" s="70"/>
      <c r="F325" s="86" t="str">
        <f t="shared" si="5"/>
        <v/>
      </c>
    </row>
    <row r="326" spans="3:6" ht="14.4" hidden="1" customHeight="1" outlineLevel="1" x14ac:dyDescent="0.3">
      <c r="C326" s="207">
        <v>37</v>
      </c>
      <c r="D326" s="69"/>
      <c r="E326" s="70"/>
      <c r="F326" s="86" t="str">
        <f t="shared" si="5"/>
        <v/>
      </c>
    </row>
    <row r="327" spans="3:6" ht="14.4" hidden="1" customHeight="1" outlineLevel="1" x14ac:dyDescent="0.3">
      <c r="C327" s="208">
        <v>38</v>
      </c>
      <c r="D327" s="69"/>
      <c r="E327" s="70"/>
      <c r="F327" s="86" t="str">
        <f t="shared" si="5"/>
        <v/>
      </c>
    </row>
    <row r="328" spans="3:6" ht="14.4" hidden="1" customHeight="1" outlineLevel="1" x14ac:dyDescent="0.3">
      <c r="C328" s="207">
        <v>39</v>
      </c>
      <c r="D328" s="69"/>
      <c r="E328" s="70"/>
      <c r="F328" s="86" t="str">
        <f t="shared" si="5"/>
        <v/>
      </c>
    </row>
    <row r="329" spans="3:6" ht="14.4" hidden="1" customHeight="1" outlineLevel="1" x14ac:dyDescent="0.3">
      <c r="C329" s="207">
        <v>40</v>
      </c>
      <c r="D329" s="69"/>
      <c r="E329" s="70"/>
      <c r="F329" s="86" t="str">
        <f t="shared" si="5"/>
        <v/>
      </c>
    </row>
    <row r="330" spans="3:6" ht="14.4" hidden="1" customHeight="1" outlineLevel="1" x14ac:dyDescent="0.3">
      <c r="C330" s="208">
        <v>41</v>
      </c>
      <c r="D330" s="69"/>
      <c r="E330" s="70"/>
      <c r="F330" s="86" t="str">
        <f t="shared" si="5"/>
        <v/>
      </c>
    </row>
    <row r="331" spans="3:6" ht="14.4" hidden="1" customHeight="1" outlineLevel="1" x14ac:dyDescent="0.3">
      <c r="C331" s="207">
        <v>42</v>
      </c>
      <c r="D331" s="69"/>
      <c r="E331" s="70"/>
      <c r="F331" s="86" t="str">
        <f t="shared" si="5"/>
        <v/>
      </c>
    </row>
    <row r="332" spans="3:6" ht="14.4" hidden="1" customHeight="1" outlineLevel="1" x14ac:dyDescent="0.3">
      <c r="C332" s="207">
        <v>43</v>
      </c>
      <c r="D332" s="69"/>
      <c r="E332" s="70"/>
      <c r="F332" s="86" t="str">
        <f t="shared" si="5"/>
        <v/>
      </c>
    </row>
    <row r="333" spans="3:6" ht="14.4" hidden="1" customHeight="1" outlineLevel="1" x14ac:dyDescent="0.3">
      <c r="C333" s="208">
        <v>44</v>
      </c>
      <c r="D333" s="69"/>
      <c r="E333" s="70"/>
      <c r="F333" s="86" t="str">
        <f t="shared" si="5"/>
        <v/>
      </c>
    </row>
    <row r="334" spans="3:6" ht="14.4" hidden="1" customHeight="1" outlineLevel="1" x14ac:dyDescent="0.3">
      <c r="C334" s="207">
        <v>45</v>
      </c>
      <c r="D334" s="69"/>
      <c r="E334" s="70"/>
      <c r="F334" s="86" t="str">
        <f t="shared" si="5"/>
        <v/>
      </c>
    </row>
    <row r="335" spans="3:6" ht="14.4" hidden="1" customHeight="1" outlineLevel="1" x14ac:dyDescent="0.3">
      <c r="C335" s="207">
        <v>46</v>
      </c>
      <c r="D335" s="69"/>
      <c r="E335" s="70"/>
      <c r="F335" s="86" t="str">
        <f t="shared" si="5"/>
        <v/>
      </c>
    </row>
    <row r="336" spans="3:6" ht="14.4" hidden="1" customHeight="1" outlineLevel="1" x14ac:dyDescent="0.3">
      <c r="C336" s="208">
        <v>47</v>
      </c>
      <c r="D336" s="69"/>
      <c r="E336" s="70"/>
      <c r="F336" s="86" t="str">
        <f t="shared" si="5"/>
        <v/>
      </c>
    </row>
    <row r="337" spans="3:6" ht="14.4" hidden="1" customHeight="1" outlineLevel="1" x14ac:dyDescent="0.3">
      <c r="C337" s="207">
        <v>48</v>
      </c>
      <c r="D337" s="69"/>
      <c r="E337" s="70"/>
      <c r="F337" s="86" t="str">
        <f t="shared" si="5"/>
        <v/>
      </c>
    </row>
    <row r="338" spans="3:6" ht="14.4" hidden="1" customHeight="1" outlineLevel="1" x14ac:dyDescent="0.3">
      <c r="C338" s="207">
        <v>49</v>
      </c>
      <c r="D338" s="69"/>
      <c r="E338" s="70"/>
      <c r="F338" s="86" t="str">
        <f t="shared" si="5"/>
        <v/>
      </c>
    </row>
    <row r="339" spans="3:6" ht="14.4" hidden="1" customHeight="1" outlineLevel="1" x14ac:dyDescent="0.3">
      <c r="C339" s="208">
        <v>50</v>
      </c>
      <c r="D339" s="69"/>
      <c r="E339" s="70"/>
      <c r="F339" s="86" t="str">
        <f t="shared" si="5"/>
        <v/>
      </c>
    </row>
    <row r="340" spans="3:6" ht="14.4" hidden="1" customHeight="1" outlineLevel="1" x14ac:dyDescent="0.3">
      <c r="C340" s="207">
        <v>51</v>
      </c>
      <c r="D340" s="69"/>
      <c r="E340" s="70"/>
      <c r="F340" s="86" t="str">
        <f t="shared" si="5"/>
        <v/>
      </c>
    </row>
    <row r="341" spans="3:6" ht="14.4" hidden="1" customHeight="1" outlineLevel="1" x14ac:dyDescent="0.3">
      <c r="C341" s="207">
        <v>52</v>
      </c>
      <c r="D341" s="69"/>
      <c r="E341" s="70"/>
      <c r="F341" s="86" t="str">
        <f t="shared" si="5"/>
        <v/>
      </c>
    </row>
    <row r="342" spans="3:6" ht="14.4" hidden="1" customHeight="1" outlineLevel="1" x14ac:dyDescent="0.3">
      <c r="C342" s="208">
        <v>53</v>
      </c>
      <c r="D342" s="69"/>
      <c r="E342" s="70"/>
      <c r="F342" s="86" t="str">
        <f t="shared" si="5"/>
        <v/>
      </c>
    </row>
    <row r="343" spans="3:6" ht="14.4" hidden="1" customHeight="1" outlineLevel="1" x14ac:dyDescent="0.3">
      <c r="C343" s="207">
        <v>54</v>
      </c>
      <c r="D343" s="69"/>
      <c r="E343" s="70"/>
      <c r="F343" s="86" t="str">
        <f t="shared" si="5"/>
        <v/>
      </c>
    </row>
    <row r="344" spans="3:6" ht="14.4" hidden="1" customHeight="1" outlineLevel="1" x14ac:dyDescent="0.3">
      <c r="C344" s="207">
        <v>55</v>
      </c>
      <c r="D344" s="69"/>
      <c r="E344" s="70"/>
      <c r="F344" s="86" t="str">
        <f t="shared" si="5"/>
        <v/>
      </c>
    </row>
    <row r="345" spans="3:6" ht="14.4" hidden="1" customHeight="1" outlineLevel="1" x14ac:dyDescent="0.3">
      <c r="C345" s="208">
        <v>56</v>
      </c>
      <c r="D345" s="69"/>
      <c r="E345" s="70"/>
      <c r="F345" s="86" t="str">
        <f t="shared" si="5"/>
        <v/>
      </c>
    </row>
    <row r="346" spans="3:6" ht="14.4" hidden="1" customHeight="1" outlineLevel="1" x14ac:dyDescent="0.3">
      <c r="C346" s="207">
        <v>57</v>
      </c>
      <c r="D346" s="69"/>
      <c r="E346" s="70"/>
      <c r="F346" s="86" t="str">
        <f t="shared" si="5"/>
        <v/>
      </c>
    </row>
    <row r="347" spans="3:6" ht="14.4" hidden="1" customHeight="1" outlineLevel="1" x14ac:dyDescent="0.3">
      <c r="C347" s="207">
        <v>58</v>
      </c>
      <c r="D347" s="69"/>
      <c r="E347" s="70"/>
      <c r="F347" s="86" t="str">
        <f t="shared" si="5"/>
        <v/>
      </c>
    </row>
    <row r="348" spans="3:6" ht="14.4" hidden="1" customHeight="1" outlineLevel="1" x14ac:dyDescent="0.3">
      <c r="C348" s="208">
        <v>59</v>
      </c>
      <c r="D348" s="69"/>
      <c r="E348" s="70"/>
      <c r="F348" s="86" t="str">
        <f t="shared" si="5"/>
        <v/>
      </c>
    </row>
    <row r="349" spans="3:6" ht="14.4" hidden="1" customHeight="1" outlineLevel="1" x14ac:dyDescent="0.3">
      <c r="C349" s="207">
        <v>60</v>
      </c>
      <c r="D349" s="69"/>
      <c r="E349" s="70"/>
      <c r="F349" s="86" t="str">
        <f t="shared" si="5"/>
        <v/>
      </c>
    </row>
    <row r="350" spans="3:6" ht="14.4" hidden="1" customHeight="1" outlineLevel="1" x14ac:dyDescent="0.3">
      <c r="C350" s="207">
        <v>61</v>
      </c>
      <c r="D350" s="69"/>
      <c r="E350" s="70"/>
      <c r="F350" s="86" t="str">
        <f t="shared" si="5"/>
        <v/>
      </c>
    </row>
    <row r="351" spans="3:6" ht="14.4" hidden="1" customHeight="1" outlineLevel="1" x14ac:dyDescent="0.3">
      <c r="C351" s="208">
        <v>62</v>
      </c>
      <c r="D351" s="69"/>
      <c r="E351" s="70"/>
      <c r="F351" s="86" t="str">
        <f t="shared" si="5"/>
        <v/>
      </c>
    </row>
    <row r="352" spans="3:6" ht="14.4" hidden="1" customHeight="1" outlineLevel="1" x14ac:dyDescent="0.3">
      <c r="C352" s="207">
        <v>63</v>
      </c>
      <c r="D352" s="69"/>
      <c r="E352" s="70"/>
      <c r="F352" s="86" t="str">
        <f t="shared" si="5"/>
        <v/>
      </c>
    </row>
    <row r="353" spans="3:6" ht="14.4" hidden="1" customHeight="1" outlineLevel="1" x14ac:dyDescent="0.3">
      <c r="C353" s="207">
        <v>64</v>
      </c>
      <c r="D353" s="69"/>
      <c r="E353" s="70"/>
      <c r="F353" s="86" t="str">
        <f t="shared" si="5"/>
        <v/>
      </c>
    </row>
    <row r="354" spans="3:6" ht="14.4" hidden="1" customHeight="1" outlineLevel="1" x14ac:dyDescent="0.3">
      <c r="C354" s="208">
        <v>65</v>
      </c>
      <c r="D354" s="69"/>
      <c r="E354" s="70"/>
      <c r="F354" s="86" t="str">
        <f t="shared" si="5"/>
        <v/>
      </c>
    </row>
    <row r="355" spans="3:6" ht="14.4" hidden="1" customHeight="1" outlineLevel="1" x14ac:dyDescent="0.3">
      <c r="C355" s="207">
        <v>66</v>
      </c>
      <c r="D355" s="69"/>
      <c r="E355" s="70"/>
      <c r="F355" s="86" t="str">
        <f t="shared" si="5"/>
        <v/>
      </c>
    </row>
    <row r="356" spans="3:6" ht="14.4" hidden="1" customHeight="1" outlineLevel="1" x14ac:dyDescent="0.3">
      <c r="C356" s="207">
        <v>67</v>
      </c>
      <c r="D356" s="69"/>
      <c r="E356" s="70"/>
      <c r="F356" s="86" t="str">
        <f t="shared" si="5"/>
        <v/>
      </c>
    </row>
    <row r="357" spans="3:6" ht="14.4" hidden="1" customHeight="1" outlineLevel="1" x14ac:dyDescent="0.3">
      <c r="C357" s="208">
        <v>68</v>
      </c>
      <c r="D357" s="69"/>
      <c r="E357" s="70"/>
      <c r="F357" s="86" t="str">
        <f t="shared" si="5"/>
        <v/>
      </c>
    </row>
    <row r="358" spans="3:6" ht="14.4" hidden="1" customHeight="1" outlineLevel="1" x14ac:dyDescent="0.3">
      <c r="C358" s="207">
        <v>69</v>
      </c>
      <c r="D358" s="69"/>
      <c r="E358" s="70"/>
      <c r="F358" s="86" t="str">
        <f t="shared" si="5"/>
        <v/>
      </c>
    </row>
    <row r="359" spans="3:6" ht="14.4" hidden="1" customHeight="1" outlineLevel="1" x14ac:dyDescent="0.3">
      <c r="C359" s="207">
        <v>70</v>
      </c>
      <c r="D359" s="69"/>
      <c r="E359" s="70"/>
      <c r="F359" s="86" t="str">
        <f t="shared" si="5"/>
        <v/>
      </c>
    </row>
    <row r="360" spans="3:6" ht="14.4" hidden="1" customHeight="1" outlineLevel="1" x14ac:dyDescent="0.3">
      <c r="C360" s="208">
        <v>71</v>
      </c>
      <c r="D360" s="69"/>
      <c r="E360" s="70"/>
      <c r="F360" s="86" t="str">
        <f t="shared" si="5"/>
        <v/>
      </c>
    </row>
    <row r="361" spans="3:6" ht="14.4" hidden="1" customHeight="1" outlineLevel="1" x14ac:dyDescent="0.3">
      <c r="C361" s="207">
        <v>72</v>
      </c>
      <c r="D361" s="69"/>
      <c r="E361" s="70"/>
      <c r="F361" s="86" t="str">
        <f t="shared" si="5"/>
        <v/>
      </c>
    </row>
    <row r="362" spans="3:6" ht="14.4" hidden="1" customHeight="1" outlineLevel="1" x14ac:dyDescent="0.3">
      <c r="C362" s="207">
        <v>73</v>
      </c>
      <c r="D362" s="69"/>
      <c r="E362" s="70"/>
      <c r="F362" s="86" t="str">
        <f t="shared" si="5"/>
        <v/>
      </c>
    </row>
    <row r="363" spans="3:6" ht="14.4" hidden="1" customHeight="1" outlineLevel="1" x14ac:dyDescent="0.3">
      <c r="C363" s="208">
        <v>74</v>
      </c>
      <c r="D363" s="69"/>
      <c r="E363" s="70"/>
      <c r="F363" s="86" t="str">
        <f t="shared" si="5"/>
        <v/>
      </c>
    </row>
    <row r="364" spans="3:6" ht="14.4" hidden="1" customHeight="1" outlineLevel="1" x14ac:dyDescent="0.3">
      <c r="C364" s="207">
        <v>75</v>
      </c>
      <c r="D364" s="69"/>
      <c r="E364" s="70"/>
      <c r="F364" s="86" t="str">
        <f t="shared" si="5"/>
        <v/>
      </c>
    </row>
    <row r="365" spans="3:6" ht="14.4" hidden="1" customHeight="1" outlineLevel="1" x14ac:dyDescent="0.3">
      <c r="C365" s="207">
        <v>76</v>
      </c>
      <c r="D365" s="69"/>
      <c r="E365" s="70"/>
      <c r="F365" s="86" t="str">
        <f t="shared" si="5"/>
        <v/>
      </c>
    </row>
    <row r="366" spans="3:6" ht="14.4" hidden="1" customHeight="1" outlineLevel="1" x14ac:dyDescent="0.3">
      <c r="C366" s="208">
        <v>77</v>
      </c>
      <c r="D366" s="69"/>
      <c r="E366" s="70"/>
      <c r="F366" s="86" t="str">
        <f t="shared" si="5"/>
        <v/>
      </c>
    </row>
    <row r="367" spans="3:6" ht="14.4" hidden="1" customHeight="1" outlineLevel="1" x14ac:dyDescent="0.3">
      <c r="C367" s="207">
        <v>78</v>
      </c>
      <c r="D367" s="69"/>
      <c r="E367" s="70"/>
      <c r="F367" s="86" t="str">
        <f t="shared" si="5"/>
        <v/>
      </c>
    </row>
    <row r="368" spans="3:6" ht="14.4" hidden="1" customHeight="1" outlineLevel="1" x14ac:dyDescent="0.3">
      <c r="C368" s="207">
        <v>79</v>
      </c>
      <c r="D368" s="69"/>
      <c r="E368" s="70"/>
      <c r="F368" s="86" t="str">
        <f t="shared" si="5"/>
        <v/>
      </c>
    </row>
    <row r="369" spans="3:6" ht="14.4" hidden="1" customHeight="1" outlineLevel="1" x14ac:dyDescent="0.3">
      <c r="C369" s="208">
        <v>80</v>
      </c>
      <c r="D369" s="69"/>
      <c r="E369" s="70"/>
      <c r="F369" s="86" t="str">
        <f t="shared" si="5"/>
        <v/>
      </c>
    </row>
    <row r="370" spans="3:6" ht="14.4" hidden="1" customHeight="1" outlineLevel="1" x14ac:dyDescent="0.3">
      <c r="C370" s="207">
        <v>81</v>
      </c>
      <c r="D370" s="69"/>
      <c r="E370" s="70"/>
      <c r="F370" s="86" t="str">
        <f t="shared" si="5"/>
        <v/>
      </c>
    </row>
    <row r="371" spans="3:6" ht="14.4" hidden="1" customHeight="1" outlineLevel="1" x14ac:dyDescent="0.3">
      <c r="C371" s="207">
        <v>82</v>
      </c>
      <c r="D371" s="69"/>
      <c r="E371" s="70"/>
      <c r="F371" s="86" t="str">
        <f t="shared" si="5"/>
        <v/>
      </c>
    </row>
    <row r="372" spans="3:6" ht="14.4" hidden="1" customHeight="1" outlineLevel="1" x14ac:dyDescent="0.3">
      <c r="C372" s="208">
        <v>83</v>
      </c>
      <c r="D372" s="69"/>
      <c r="E372" s="70"/>
      <c r="F372" s="86" t="str">
        <f t="shared" si="5"/>
        <v/>
      </c>
    </row>
    <row r="373" spans="3:6" ht="14.4" hidden="1" customHeight="1" outlineLevel="1" x14ac:dyDescent="0.3">
      <c r="C373" s="207">
        <v>84</v>
      </c>
      <c r="D373" s="69"/>
      <c r="E373" s="70"/>
      <c r="F373" s="86" t="str">
        <f t="shared" si="5"/>
        <v/>
      </c>
    </row>
    <row r="374" spans="3:6" ht="14.4" hidden="1" customHeight="1" outlineLevel="1" x14ac:dyDescent="0.3">
      <c r="C374" s="207">
        <v>85</v>
      </c>
      <c r="D374" s="69"/>
      <c r="E374" s="70"/>
      <c r="F374" s="86" t="str">
        <f t="shared" si="5"/>
        <v/>
      </c>
    </row>
    <row r="375" spans="3:6" ht="14.4" hidden="1" customHeight="1" outlineLevel="1" x14ac:dyDescent="0.3">
      <c r="C375" s="208">
        <v>86</v>
      </c>
      <c r="D375" s="69"/>
      <c r="E375" s="70"/>
      <c r="F375" s="86" t="str">
        <f t="shared" si="5"/>
        <v/>
      </c>
    </row>
    <row r="376" spans="3:6" ht="14.4" hidden="1" customHeight="1" outlineLevel="1" x14ac:dyDescent="0.3">
      <c r="C376" s="207">
        <v>87</v>
      </c>
      <c r="D376" s="69"/>
      <c r="E376" s="70"/>
      <c r="F376" s="86" t="str">
        <f>IF(AND(D376&lt;&gt;"",E376=""), template_label_missing_value,
IF(AND(D376&lt;&gt;"",E376&lt;&gt;""), template_label_ok,
IF(AND(D376="",E376=""), "", template_label_missing_value)))</f>
        <v/>
      </c>
    </row>
    <row r="377" spans="3:6" ht="14.4" hidden="1" customHeight="1" outlineLevel="1" x14ac:dyDescent="0.3">
      <c r="C377" s="207">
        <v>88</v>
      </c>
      <c r="D377" s="69"/>
      <c r="E377" s="70"/>
      <c r="F377" s="86" t="str">
        <f t="shared" si="5"/>
        <v/>
      </c>
    </row>
    <row r="378" spans="3:6" ht="14.4" hidden="1" customHeight="1" outlineLevel="1" x14ac:dyDescent="0.3">
      <c r="C378" s="208">
        <v>89</v>
      </c>
      <c r="D378" s="69"/>
      <c r="E378" s="70"/>
      <c r="F378" s="86" t="str">
        <f t="shared" si="5"/>
        <v/>
      </c>
    </row>
    <row r="379" spans="3:6" ht="14.4" hidden="1" customHeight="1" outlineLevel="1" x14ac:dyDescent="0.3">
      <c r="C379" s="207">
        <v>90</v>
      </c>
      <c r="D379" s="69"/>
      <c r="E379" s="70"/>
      <c r="F379" s="86" t="str">
        <f t="shared" si="5"/>
        <v/>
      </c>
    </row>
    <row r="380" spans="3:6" ht="14.4" hidden="1" customHeight="1" outlineLevel="1" x14ac:dyDescent="0.3">
      <c r="C380" s="207">
        <v>91</v>
      </c>
      <c r="D380" s="69"/>
      <c r="E380" s="70"/>
      <c r="F380" s="86" t="str">
        <f t="shared" si="5"/>
        <v/>
      </c>
    </row>
    <row r="381" spans="3:6" ht="14.4" hidden="1" customHeight="1" outlineLevel="1" x14ac:dyDescent="0.3">
      <c r="C381" s="208">
        <v>92</v>
      </c>
      <c r="D381" s="69"/>
      <c r="E381" s="70"/>
      <c r="F381" s="86" t="str">
        <f t="shared" si="5"/>
        <v/>
      </c>
    </row>
    <row r="382" spans="3:6" ht="14.4" hidden="1" customHeight="1" outlineLevel="1" x14ac:dyDescent="0.3">
      <c r="C382" s="207">
        <v>93</v>
      </c>
      <c r="D382" s="69"/>
      <c r="E382" s="70"/>
      <c r="F382" s="86" t="str">
        <f t="shared" si="5"/>
        <v/>
      </c>
    </row>
    <row r="383" spans="3:6" ht="14.4" hidden="1" customHeight="1" outlineLevel="1" x14ac:dyDescent="0.3">
      <c r="C383" s="207">
        <v>94</v>
      </c>
      <c r="D383" s="69"/>
      <c r="E383" s="70"/>
      <c r="F383" s="86" t="str">
        <f t="shared" si="5"/>
        <v/>
      </c>
    </row>
    <row r="384" spans="3:6" ht="14.4" hidden="1" customHeight="1" outlineLevel="1" x14ac:dyDescent="0.3">
      <c r="C384" s="208">
        <v>95</v>
      </c>
      <c r="D384" s="69"/>
      <c r="E384" s="70"/>
      <c r="F384" s="86" t="str">
        <f t="shared" si="5"/>
        <v/>
      </c>
    </row>
    <row r="385" spans="3:9" ht="14.4" hidden="1" customHeight="1" outlineLevel="1" x14ac:dyDescent="0.3">
      <c r="C385" s="207">
        <v>96</v>
      </c>
      <c r="D385" s="69"/>
      <c r="E385" s="70"/>
      <c r="F385" s="86" t="str">
        <f t="shared" si="5"/>
        <v/>
      </c>
    </row>
    <row r="386" spans="3:9" ht="14.4" hidden="1" customHeight="1" outlineLevel="1" x14ac:dyDescent="0.3">
      <c r="C386" s="207">
        <v>97</v>
      </c>
      <c r="D386" s="69"/>
      <c r="E386" s="70"/>
      <c r="F386" s="86" t="str">
        <f t="shared" si="5"/>
        <v/>
      </c>
    </row>
    <row r="387" spans="3:9" ht="14.4" hidden="1" customHeight="1" outlineLevel="1" x14ac:dyDescent="0.3">
      <c r="C387" s="208">
        <v>98</v>
      </c>
      <c r="D387" s="69"/>
      <c r="E387" s="70"/>
      <c r="F387" s="86" t="str">
        <f t="shared" si="5"/>
        <v/>
      </c>
    </row>
    <row r="388" spans="3:9" ht="14.4" hidden="1" customHeight="1" outlineLevel="1" x14ac:dyDescent="0.3">
      <c r="C388" s="207">
        <v>99</v>
      </c>
      <c r="D388" s="69"/>
      <c r="E388" s="70"/>
      <c r="F388" s="86" t="str">
        <f t="shared" si="5"/>
        <v/>
      </c>
    </row>
    <row r="389" spans="3:9" ht="14.4" hidden="1" customHeight="1" outlineLevel="1" thickBot="1" x14ac:dyDescent="0.35">
      <c r="C389" s="209">
        <v>100</v>
      </c>
      <c r="D389" s="71"/>
      <c r="E389" s="66"/>
      <c r="F389" s="86" t="str">
        <f t="shared" si="5"/>
        <v/>
      </c>
    </row>
    <row r="390" spans="3:9" ht="15" collapsed="1" thickBot="1" x14ac:dyDescent="0.35"/>
    <row r="391" spans="3:9" ht="14.4" customHeight="1" thickBot="1" x14ac:dyDescent="0.35">
      <c r="C391" s="627"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2025-01-01 to 2025-12-31 [If applicable]</v>
      </c>
      <c r="D391" s="627"/>
      <c r="E391" s="627"/>
      <c r="F391" s="627"/>
      <c r="G391" s="627"/>
      <c r="H391" s="627"/>
    </row>
    <row r="392" spans="3:9" ht="14.4" customHeight="1" x14ac:dyDescent="0.3">
      <c r="C392" s="592">
        <v>25</v>
      </c>
      <c r="D392" s="592"/>
      <c r="E392" s="592"/>
      <c r="F392" s="592"/>
      <c r="G392" s="592"/>
      <c r="H392" s="592"/>
    </row>
    <row r="393" spans="3:9" ht="14.4" customHeight="1" x14ac:dyDescent="0.3">
      <c r="C393" s="626">
        <v>13</v>
      </c>
      <c r="D393" s="626"/>
      <c r="E393" s="626"/>
      <c r="F393" s="626"/>
      <c r="G393" s="626"/>
      <c r="H393" s="626"/>
    </row>
    <row r="394" spans="3:9" ht="14.4" customHeight="1" x14ac:dyDescent="0.3">
      <c r="C394" s="684" t="str">
        <f>template_label_has_the_undertaking_obtained_any_sustainability_related_certification_or_label</f>
        <v>Has the undertaking obtained any sustainability-related certification(s) or label(s) ?</v>
      </c>
      <c r="D394" s="684"/>
      <c r="E394" s="685" t="b">
        <v>1</v>
      </c>
      <c r="F394" s="685"/>
      <c r="G394" s="685"/>
      <c r="H394" s="685"/>
    </row>
    <row r="395" spans="3:9" ht="30" customHeight="1" thickBot="1" x14ac:dyDescent="0.35">
      <c r="C395" s="645" t="str">
        <f>template_label_description_of_sustainability_related_certification_or_label</f>
        <v>Description of sustainability-related certification(s) or label(s) including where relevant the issuers of the certification or label date and rating score</v>
      </c>
      <c r="D395" s="645"/>
      <c r="E395" s="596" t="s">
        <v>33</v>
      </c>
      <c r="F395" s="596"/>
      <c r="G395" s="596"/>
      <c r="H395" s="596"/>
      <c r="I395" s="16" t="str">
        <f>IF(AND(E394=TRUE,E395=""), template_label_missing_value,
IF(AND(E394=TRUE,E395&lt;&gt;""), template_label_ok, ""))</f>
        <v>OK</v>
      </c>
    </row>
    <row r="396" spans="3:9" ht="15" thickBot="1" x14ac:dyDescent="0.35"/>
    <row r="397" spans="3:9" ht="15" thickBot="1" x14ac:dyDescent="0.35">
      <c r="C397" s="627" t="str">
        <f>template_label_b1_list_of_site&amp; " " &amp; template_label_from &amp; " " &amp; template_starting_date_display &amp; " " &amp; template_label_to &amp; " " &amp; template_ending_date_display &amp; " " &amp; template_label_always_to_be_reported</f>
        <v>B1 - List of site(s) from 2025-01-01 to 2025-12-31 [Always to be reported]</v>
      </c>
      <c r="D397" s="627"/>
      <c r="E397" s="627"/>
      <c r="F397" s="627"/>
      <c r="G397" s="627"/>
      <c r="H397" s="627"/>
    </row>
    <row r="398" spans="3:9" x14ac:dyDescent="0.3">
      <c r="C398" s="592" t="s">
        <v>34</v>
      </c>
      <c r="D398" s="592"/>
      <c r="E398" s="592"/>
      <c r="F398" s="592"/>
      <c r="G398" s="592"/>
      <c r="H398" s="592"/>
    </row>
    <row r="399" spans="3:9" x14ac:dyDescent="0.3">
      <c r="C399" s="662" t="s">
        <v>35</v>
      </c>
      <c r="D399" s="662"/>
      <c r="E399" s="662"/>
      <c r="F399" s="662"/>
      <c r="G399" s="662"/>
      <c r="H399" s="662"/>
    </row>
    <row r="400" spans="3:9" x14ac:dyDescent="0.3">
      <c r="C400" s="657" t="str">
        <f>template_label_id</f>
        <v>ID</v>
      </c>
      <c r="D400" s="595" t="str">
        <f>template_label_address</f>
        <v>Address</v>
      </c>
      <c r="E400" s="595" t="str">
        <f>template_label_postal_code</f>
        <v>Postal code</v>
      </c>
      <c r="F400" s="594" t="str">
        <f>template_label_city</f>
        <v>City</v>
      </c>
      <c r="G400" s="595" t="str">
        <f>template_label_country</f>
        <v>Country</v>
      </c>
      <c r="H400" s="397" t="str">
        <f>template_label_gps_coordinates</f>
        <v>GPS Coordinates (geolocation)</v>
      </c>
      <c r="I400" s="92"/>
    </row>
    <row r="401" spans="3:13" ht="78" customHeight="1" x14ac:dyDescent="0.3">
      <c r="C401" s="657"/>
      <c r="D401" s="595"/>
      <c r="E401" s="595"/>
      <c r="F401" s="594"/>
      <c r="G401" s="595"/>
      <c r="H401" s="398"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01" s="92"/>
      <c r="J401" s="2"/>
    </row>
    <row r="402" spans="3:13" ht="53.4" customHeight="1" x14ac:dyDescent="0.3">
      <c r="C402" s="657"/>
      <c r="D402" s="595"/>
      <c r="E402" s="595"/>
      <c r="F402" s="594"/>
      <c r="G402" s="595"/>
      <c r="H402" s="399" t="s">
        <v>36</v>
      </c>
      <c r="I402" s="92"/>
      <c r="J402" s="2"/>
    </row>
    <row r="403" spans="3:13" x14ac:dyDescent="0.3">
      <c r="C403" s="657"/>
      <c r="D403" s="595"/>
      <c r="E403" s="595"/>
      <c r="F403" s="594"/>
      <c r="G403" s="595"/>
      <c r="H403" s="400" t="b">
        <v>1</v>
      </c>
      <c r="I403" s="92"/>
      <c r="J403" s="301"/>
    </row>
    <row r="404" spans="3:13" x14ac:dyDescent="0.3">
      <c r="C404" s="207">
        <v>1</v>
      </c>
      <c r="D404" s="72" t="s">
        <v>37</v>
      </c>
      <c r="E404" s="73" t="s">
        <v>38</v>
      </c>
      <c r="F404" s="396" t="s">
        <v>39</v>
      </c>
      <c r="G404" s="72" t="s">
        <v>29</v>
      </c>
      <c r="H404" s="401" t="str">
        <f>IF(COUNTA(D404:G404)=COLUMNS(D404:G404), IFERROR('Technical Sheet'!G2, "-"), "-")</f>
        <v>45.4634273,9.1919874</v>
      </c>
      <c r="I404" s="17" t="str">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OK</v>
      </c>
      <c r="J404" s="192" t="str">
        <f>IF(AND(D404&lt;&gt;"", E404&lt;&gt;"", F404&lt;&gt;"", G404&lt;&gt;""),
    IFERROR(HYPERLINK("https://www.openstreetmap.org/search?lat=" &amp; 'Technical Sheet'!E2 &amp; "&amp;lon=" &amp; 'Technical Sheet'!F2, "OpenStreetMap Link"),
    ""),
"")</f>
        <v>OpenStreetMap Link</v>
      </c>
      <c r="K404" s="93" t="str">
        <f t="shared" ref="K404:K503" si="6">LOWER(SUBSTITUTE(D404," ","+" )) &amp; "+" &amp; LOWER(SUBSTITUTE(E404," ","+" )) &amp; "+" &amp; LOWER(SUBSTITUTE(F404," ","+" )) &amp; "+" &amp; LOWER(SUBSTITUTE(G404," ","+" )) &amp; "+"</f>
        <v>duomo+square+20122+milan+italy+</v>
      </c>
      <c r="L404" t="str">
        <f>template_label_geolocalisation_warning</f>
        <v>ℹ️  Please be careful to separate each street number and house number using the slash symbol "/" and not the comma ","</v>
      </c>
      <c r="M404" s="88"/>
    </row>
    <row r="405" spans="3:13" x14ac:dyDescent="0.3">
      <c r="C405" s="207">
        <v>2</v>
      </c>
      <c r="D405" s="72"/>
      <c r="E405" s="73"/>
      <c r="F405" s="396"/>
      <c r="G405" s="72"/>
      <c r="H405" s="401" t="str">
        <f>IF(COUNTA(D405:G405)=COLUMNS(D405:G405), IFERROR('Technical Sheet'!G3, "-"), "-")</f>
        <v>-</v>
      </c>
      <c r="I405" s="17" t="str">
        <f t="shared" ref="I405:I503" si="7">IF(AND(D405&lt;&gt;"", E405&lt;&gt;"", F405&lt;&gt;"", G405&lt;&gt;"", H405&lt;&gt;""), template_label_ok,
    IF(AND(D405="", E405="", F405="", G405="", H405="-"), "",
        template_label_missing_value
    )
)</f>
        <v/>
      </c>
      <c r="J405" s="192" t="str">
        <f>IF(AND(D405&lt;&gt;"", E405&lt;&gt;"", F405&lt;&gt;"", G405&lt;&gt;""),
    IFERROR(HYPERLINK("https://www.openstreetmap.org/search?lat=" &amp; 'Technical Sheet'!E3 &amp; "&amp;lon=" &amp; 'Technical Sheet'!F3, "OpenStreetMap Link"),
    ""),
"")</f>
        <v/>
      </c>
      <c r="K405" s="93" t="str">
        <f>LOWER(SUBSTITUTE(D405," ","+" )) &amp; "+" &amp; LOWER(SUBSTITUTE(E405," ","+" )) &amp; "+" &amp; LOWER(SUBSTITUTE(F405," ","+" )) &amp; "+" &amp; LOWER(SUBSTITUTE(G405," ","+" )) &amp; "+"</f>
        <v>++++</v>
      </c>
    </row>
    <row r="406" spans="3:13" ht="15" thickBot="1" x14ac:dyDescent="0.35">
      <c r="C406" s="209">
        <v>3</v>
      </c>
      <c r="D406" s="78"/>
      <c r="E406" s="79"/>
      <c r="F406" s="402"/>
      <c r="G406" s="78"/>
      <c r="H406" s="360" t="str">
        <f>IF(COUNTA(D406:G406)=COLUMNS(D406:G406), IFERROR('Technical Sheet'!G4, "-"), "-")</f>
        <v>-</v>
      </c>
      <c r="I406" s="17" t="str">
        <f t="shared" si="7"/>
        <v/>
      </c>
      <c r="J406" s="192" t="str">
        <f>IF(AND(D406&lt;&gt;"", E406&lt;&gt;"", F406&lt;&gt;"", G406&lt;&gt;""),
    IFERROR(HYPERLINK("https://www.openstreetmap.org/search?lat=" &amp; 'Technical Sheet'!E4 &amp; "&amp;lon=" &amp; 'Technical Sheet'!F4, "OpenStreetMap Link"),
    ""),
"")</f>
        <v/>
      </c>
      <c r="K406" s="93" t="str">
        <f>LOWER(SUBSTITUTE(D406," ","+" )) &amp; "+" &amp; LOWER(SUBSTITUTE(E406," ","+" )) &amp; "+" &amp; LOWER(SUBSTITUTE(F406," ","+" )) &amp; "+" &amp; LOWER(SUBSTITUTE(G406," ","+" )) &amp; "+"</f>
        <v>++++</v>
      </c>
      <c r="L406" t="str">
        <f>template_label_additional_rows_warning</f>
        <v>ℹ️  Lists can be expanded using the little [+] button on the left.  If the number of rows is not sufficient, those can be added by right clicking the second row and selecting "Insert row".</v>
      </c>
    </row>
    <row r="407" spans="3:13" hidden="1" outlineLevel="1" x14ac:dyDescent="0.3">
      <c r="C407" s="208">
        <v>4</v>
      </c>
      <c r="D407" s="75"/>
      <c r="E407" s="76"/>
      <c r="F407" s="77"/>
      <c r="G407" s="75"/>
      <c r="H407" s="187" t="str">
        <f>IF(COUNTA(D407:G407)=COLUMNS(D407:G407), IFERROR('Technical Sheet'!G5, "-"), "-")</f>
        <v>-</v>
      </c>
      <c r="I407" s="17" t="str">
        <f t="shared" si="7"/>
        <v/>
      </c>
      <c r="J407" s="192" t="str">
        <f>IF(AND(D407&lt;&gt;"", E407&lt;&gt;"", F407&lt;&gt;"", G407&lt;&gt;""),
    IFERROR(HYPERLINK("https://www.openstreetmap.org/search?lat=" &amp; 'Technical Sheet'!E5 &amp; "&amp;lon=" &amp; 'Technical Sheet'!F5, "OpenStreetMap Link"),
    ""),
"")</f>
        <v/>
      </c>
      <c r="K407" s="93" t="str">
        <f t="shared" si="6"/>
        <v>++++</v>
      </c>
    </row>
    <row r="408" spans="3:13" hidden="1" outlineLevel="1" x14ac:dyDescent="0.3">
      <c r="C408" s="208">
        <v>5</v>
      </c>
      <c r="D408" s="72"/>
      <c r="E408" s="73"/>
      <c r="F408" s="74"/>
      <c r="G408" s="72"/>
      <c r="H408" s="186" t="str">
        <f>IF(COUNTA(D408:G408)=COLUMNS(D408:G408), IFERROR('Technical Sheet'!G6, "-"), "-")</f>
        <v>-</v>
      </c>
      <c r="I408" s="17" t="str">
        <f t="shared" si="7"/>
        <v/>
      </c>
      <c r="J408" s="192" t="str">
        <f>IF(AND(D408&lt;&gt;"", E408&lt;&gt;"", F408&lt;&gt;"", G408&lt;&gt;""),
    IFERROR(HYPERLINK("https://www.openstreetmap.org/search?lat=" &amp; 'Technical Sheet'!E6 &amp; "&amp;lon=" &amp; 'Technical Sheet'!F6, "OpenStreetMap Link"),
    ""),
"")</f>
        <v/>
      </c>
      <c r="K408" s="93" t="str">
        <f t="shared" si="6"/>
        <v>++++</v>
      </c>
    </row>
    <row r="409" spans="3:13" hidden="1" outlineLevel="1" x14ac:dyDescent="0.3">
      <c r="C409" s="207">
        <v>6</v>
      </c>
      <c r="D409" s="72"/>
      <c r="E409" s="73"/>
      <c r="F409" s="74"/>
      <c r="G409" s="72"/>
      <c r="H409" s="186" t="str">
        <f>IF(COUNTA(D409:G409)=COLUMNS(D409:G409), IFERROR('Technical Sheet'!G7, "-"), "-")</f>
        <v>-</v>
      </c>
      <c r="I409" s="17" t="str">
        <f t="shared" si="7"/>
        <v/>
      </c>
      <c r="J409" s="192" t="str">
        <f>IF(AND(D409&lt;&gt;"", E409&lt;&gt;"", F409&lt;&gt;"", G409&lt;&gt;""),
    IFERROR(HYPERLINK("https://www.openstreetmap.org/search?lat=" &amp; 'Technical Sheet'!E7 &amp; "&amp;lon=" &amp; 'Technical Sheet'!F7, "OpenStreetMap Link"),
    ""),
"")</f>
        <v/>
      </c>
      <c r="K409" s="93" t="str">
        <f t="shared" si="6"/>
        <v>++++</v>
      </c>
    </row>
    <row r="410" spans="3:13" hidden="1" outlineLevel="1" x14ac:dyDescent="0.3">
      <c r="C410" s="207">
        <v>7</v>
      </c>
      <c r="D410" s="72"/>
      <c r="E410" s="73"/>
      <c r="F410" s="74"/>
      <c r="G410" s="72"/>
      <c r="H410" s="186" t="str">
        <f>IF(COUNTA(D410:G410)=COLUMNS(D410:G410), IFERROR('Technical Sheet'!G8, "-"), "-")</f>
        <v>-</v>
      </c>
      <c r="I410" s="17" t="str">
        <f t="shared" si="7"/>
        <v/>
      </c>
      <c r="J410" s="192" t="str">
        <f>IF(AND(D410&lt;&gt;"", E410&lt;&gt;"", F410&lt;&gt;"", G410&lt;&gt;""),
    IFERROR(HYPERLINK("https://www.openstreetmap.org/search?lat=" &amp; 'Technical Sheet'!E8 &amp; "&amp;lon=" &amp; 'Technical Sheet'!F8, "OpenStreetMap Link"),
    ""),
"")</f>
        <v/>
      </c>
      <c r="K410" s="93" t="str">
        <f t="shared" si="6"/>
        <v>++++</v>
      </c>
    </row>
    <row r="411" spans="3:13" hidden="1" outlineLevel="1" x14ac:dyDescent="0.3">
      <c r="C411" s="208">
        <v>8</v>
      </c>
      <c r="D411" s="72"/>
      <c r="E411" s="73"/>
      <c r="F411" s="74"/>
      <c r="G411" s="72"/>
      <c r="H411" s="186" t="str">
        <f>IF(COUNTA(D411:G411)=COLUMNS(D411:G411), IFERROR('Technical Sheet'!G9, "-"), "-")</f>
        <v>-</v>
      </c>
      <c r="I411" s="17" t="str">
        <f t="shared" si="7"/>
        <v/>
      </c>
      <c r="J411" s="192" t="str">
        <f>IF(AND(D411&lt;&gt;"", E411&lt;&gt;"", F411&lt;&gt;"", G411&lt;&gt;""),
    IFERROR(HYPERLINK("https://www.openstreetmap.org/search?lat=" &amp; 'Technical Sheet'!E9 &amp; "&amp;lon=" &amp; 'Technical Sheet'!F9, "OpenStreetMap Link"),
    ""),
"")</f>
        <v/>
      </c>
      <c r="K411" s="93" t="str">
        <f t="shared" si="6"/>
        <v>++++</v>
      </c>
    </row>
    <row r="412" spans="3:13" hidden="1" outlineLevel="1" x14ac:dyDescent="0.3">
      <c r="C412" s="207">
        <v>9</v>
      </c>
      <c r="D412" s="72"/>
      <c r="E412" s="73"/>
      <c r="F412" s="74"/>
      <c r="G412" s="72"/>
      <c r="H412" s="186" t="str">
        <f>IF(COUNTA(D412:G412)=COLUMNS(D412:G412), IFERROR('Technical Sheet'!G10, "-"), "-")</f>
        <v>-</v>
      </c>
      <c r="I412" s="17" t="str">
        <f t="shared" si="7"/>
        <v/>
      </c>
      <c r="J412" s="192" t="str">
        <f>IF(AND(D412&lt;&gt;"", E412&lt;&gt;"", F412&lt;&gt;"", G412&lt;&gt;""),
    IFERROR(HYPERLINK("https://www.openstreetmap.org/search?lat=" &amp; 'Technical Sheet'!E10 &amp; "&amp;lon=" &amp; 'Technical Sheet'!F10, "OpenStreetMap Link"),
    ""),
"")</f>
        <v/>
      </c>
      <c r="K412" s="93" t="str">
        <f t="shared" si="6"/>
        <v>++++</v>
      </c>
    </row>
    <row r="413" spans="3:13" hidden="1" outlineLevel="1" x14ac:dyDescent="0.3">
      <c r="C413" s="207">
        <v>10</v>
      </c>
      <c r="D413" s="72"/>
      <c r="E413" s="73"/>
      <c r="F413" s="74"/>
      <c r="G413" s="72"/>
      <c r="H413" s="186" t="str">
        <f>IF(COUNTA(D413:G413)=COLUMNS(D413:G413), IFERROR('Technical Sheet'!G11, "-"), "-")</f>
        <v>-</v>
      </c>
      <c r="I413" s="17" t="str">
        <f t="shared" si="7"/>
        <v/>
      </c>
      <c r="J413" s="192" t="str">
        <f>IF(AND(D413&lt;&gt;"", E413&lt;&gt;"", F413&lt;&gt;"", G413&lt;&gt;""),
    IFERROR(HYPERLINK("https://www.openstreetmap.org/search?lat=" &amp; 'Technical Sheet'!E11 &amp; "&amp;lon=" &amp; 'Technical Sheet'!F11, "OpenStreetMap Link"),
    ""),
"")</f>
        <v/>
      </c>
      <c r="K413" s="93" t="str">
        <f t="shared" si="6"/>
        <v>++++</v>
      </c>
    </row>
    <row r="414" spans="3:13" hidden="1" outlineLevel="1" x14ac:dyDescent="0.3">
      <c r="C414" s="208">
        <v>11</v>
      </c>
      <c r="D414" s="72"/>
      <c r="E414" s="73"/>
      <c r="F414" s="74"/>
      <c r="G414" s="72"/>
      <c r="H414" s="186" t="str">
        <f>IF(COUNTA(D414:G414)=COLUMNS(D414:G414), IFERROR('Technical Sheet'!G12, "-"), "-")</f>
        <v>-</v>
      </c>
      <c r="I414" s="17" t="str">
        <f t="shared" si="7"/>
        <v/>
      </c>
      <c r="J414" s="192" t="str">
        <f>IF(AND(D414&lt;&gt;"", E414&lt;&gt;"", F414&lt;&gt;"", G414&lt;&gt;""),
    IFERROR(HYPERLINK("https://www.openstreetmap.org/search?lat=" &amp; 'Technical Sheet'!E12 &amp; "&amp;lon=" &amp; 'Technical Sheet'!F12, "OpenStreetMap Link"),
    ""),
"")</f>
        <v/>
      </c>
      <c r="K414" s="93" t="str">
        <f t="shared" si="6"/>
        <v>++++</v>
      </c>
    </row>
    <row r="415" spans="3:13" hidden="1" outlineLevel="1" x14ac:dyDescent="0.3">
      <c r="C415" s="207">
        <v>12</v>
      </c>
      <c r="D415" s="72"/>
      <c r="E415" s="73"/>
      <c r="F415" s="74"/>
      <c r="G415" s="72"/>
      <c r="H415" s="186" t="str">
        <f>IF(COUNTA(D415:G415)=COLUMNS(D415:G415), IFERROR('Technical Sheet'!G13, "-"), "-")</f>
        <v>-</v>
      </c>
      <c r="I415" s="17" t="str">
        <f t="shared" si="7"/>
        <v/>
      </c>
      <c r="J415" s="192" t="str">
        <f>IF(AND(D415&lt;&gt;"", E415&lt;&gt;"", F415&lt;&gt;"", G415&lt;&gt;""),
    IFERROR(HYPERLINK("https://www.openstreetmap.org/search?lat=" &amp; 'Technical Sheet'!E13 &amp; "&amp;lon=" &amp; 'Technical Sheet'!F13, "OpenStreetMap Link"),
    ""),
"")</f>
        <v/>
      </c>
      <c r="K415" s="93" t="str">
        <f t="shared" si="6"/>
        <v>++++</v>
      </c>
    </row>
    <row r="416" spans="3:13" hidden="1" outlineLevel="1" x14ac:dyDescent="0.3">
      <c r="C416" s="207">
        <v>13</v>
      </c>
      <c r="D416" s="72"/>
      <c r="E416" s="73"/>
      <c r="F416" s="74"/>
      <c r="G416" s="72"/>
      <c r="H416" s="186" t="str">
        <f>IF(COUNTA(D416:G416)=COLUMNS(D416:G416), IFERROR('Technical Sheet'!G14, "-"), "-")</f>
        <v>-</v>
      </c>
      <c r="I416" s="17" t="str">
        <f t="shared" si="7"/>
        <v/>
      </c>
      <c r="J416" s="192" t="str">
        <f>IF(AND(D416&lt;&gt;"", E416&lt;&gt;"", F416&lt;&gt;"", G416&lt;&gt;""),
    IFERROR(HYPERLINK("https://www.openstreetmap.org/search?lat=" &amp; 'Technical Sheet'!E14 &amp; "&amp;lon=" &amp; 'Technical Sheet'!F14, "OpenStreetMap Link"),
    ""),
"")</f>
        <v/>
      </c>
      <c r="K416" s="93" t="str">
        <f t="shared" si="6"/>
        <v>++++</v>
      </c>
    </row>
    <row r="417" spans="3:11" hidden="1" outlineLevel="1" x14ac:dyDescent="0.3">
      <c r="C417" s="208">
        <v>14</v>
      </c>
      <c r="D417" s="72"/>
      <c r="E417" s="73"/>
      <c r="F417" s="74"/>
      <c r="G417" s="72"/>
      <c r="H417" s="186" t="str">
        <f>IF(COUNTA(D417:G417)=COLUMNS(D417:G417), IFERROR('Technical Sheet'!G15, "-"), "-")</f>
        <v>-</v>
      </c>
      <c r="I417" s="17" t="str">
        <f t="shared" si="7"/>
        <v/>
      </c>
      <c r="J417" s="192" t="str">
        <f>IF(AND(D417&lt;&gt;"", E417&lt;&gt;"", F417&lt;&gt;"", G417&lt;&gt;""),
    IFERROR(HYPERLINK("https://www.openstreetmap.org/search?lat=" &amp; 'Technical Sheet'!E15 &amp; "&amp;lon=" &amp; 'Technical Sheet'!F15, "OpenStreetMap Link"),
    ""),
"")</f>
        <v/>
      </c>
      <c r="K417" s="93" t="str">
        <f t="shared" si="6"/>
        <v>++++</v>
      </c>
    </row>
    <row r="418" spans="3:11" hidden="1" outlineLevel="1" x14ac:dyDescent="0.3">
      <c r="C418" s="207">
        <v>15</v>
      </c>
      <c r="D418" s="72"/>
      <c r="E418" s="73"/>
      <c r="F418" s="74"/>
      <c r="G418" s="72"/>
      <c r="H418" s="186" t="str">
        <f>IF(COUNTA(D418:G418)=COLUMNS(D418:G418), IFERROR('Technical Sheet'!G16, "-"), "-")</f>
        <v>-</v>
      </c>
      <c r="I418" s="17" t="str">
        <f t="shared" si="7"/>
        <v/>
      </c>
      <c r="J418" s="192" t="str">
        <f>IF(AND(D418&lt;&gt;"", E418&lt;&gt;"", F418&lt;&gt;"", G418&lt;&gt;""),
    IFERROR(HYPERLINK("https://www.openstreetmap.org/search?lat=" &amp; 'Technical Sheet'!E16 &amp; "&amp;lon=" &amp; 'Technical Sheet'!F16, "OpenStreetMap Link"),
    ""),
"")</f>
        <v/>
      </c>
      <c r="K418" s="93" t="str">
        <f t="shared" si="6"/>
        <v>++++</v>
      </c>
    </row>
    <row r="419" spans="3:11" hidden="1" outlineLevel="1" x14ac:dyDescent="0.3">
      <c r="C419" s="207">
        <v>16</v>
      </c>
      <c r="D419" s="72"/>
      <c r="E419" s="73"/>
      <c r="F419" s="74"/>
      <c r="G419" s="72"/>
      <c r="H419" s="186" t="str">
        <f>IF(COUNTA(D419:G419)=COLUMNS(D419:G419), IFERROR('Technical Sheet'!G17, "-"), "-")</f>
        <v>-</v>
      </c>
      <c r="I419" s="17" t="str">
        <f t="shared" si="7"/>
        <v/>
      </c>
      <c r="J419" s="192" t="str">
        <f>IF(AND(D419&lt;&gt;"", E419&lt;&gt;"", F419&lt;&gt;"", G419&lt;&gt;""),
    IFERROR(HYPERLINK("https://www.openstreetmap.org/search?lat=" &amp; 'Technical Sheet'!E17 &amp; "&amp;lon=" &amp; 'Technical Sheet'!F17, "OpenStreetMap Link"),
    ""),
"")</f>
        <v/>
      </c>
      <c r="K419" s="93" t="str">
        <f t="shared" si="6"/>
        <v>++++</v>
      </c>
    </row>
    <row r="420" spans="3:11" hidden="1" outlineLevel="1" x14ac:dyDescent="0.3">
      <c r="C420" s="208">
        <v>17</v>
      </c>
      <c r="D420" s="72"/>
      <c r="E420" s="73"/>
      <c r="F420" s="74"/>
      <c r="G420" s="72"/>
      <c r="H420" s="186" t="str">
        <f>IF(COUNTA(D420:G420)=COLUMNS(D420:G420), IFERROR('Technical Sheet'!G18, "-"), "-")</f>
        <v>-</v>
      </c>
      <c r="I420" s="17" t="str">
        <f t="shared" si="7"/>
        <v/>
      </c>
      <c r="J420" s="192" t="str">
        <f>IF(AND(D420&lt;&gt;"", E420&lt;&gt;"", F420&lt;&gt;"", G420&lt;&gt;""),
    IFERROR(HYPERLINK("https://www.openstreetmap.org/search?lat=" &amp; 'Technical Sheet'!E18 &amp; "&amp;lon=" &amp; 'Technical Sheet'!F18, "OpenStreetMap Link"),
    ""),
"")</f>
        <v/>
      </c>
      <c r="K420" s="93" t="str">
        <f t="shared" si="6"/>
        <v>++++</v>
      </c>
    </row>
    <row r="421" spans="3:11" hidden="1" outlineLevel="1" x14ac:dyDescent="0.3">
      <c r="C421" s="207">
        <v>18</v>
      </c>
      <c r="D421" s="72"/>
      <c r="E421" s="73"/>
      <c r="F421" s="74"/>
      <c r="G421" s="72"/>
      <c r="H421" s="186" t="str">
        <f>IF(COUNTA(D421:G421)=COLUMNS(D421:G421), IFERROR('Technical Sheet'!G19, "-"), "-")</f>
        <v>-</v>
      </c>
      <c r="I421" s="17" t="str">
        <f t="shared" si="7"/>
        <v/>
      </c>
      <c r="J421" s="192" t="str">
        <f>IF(AND(D421&lt;&gt;"", E421&lt;&gt;"", F421&lt;&gt;"", G421&lt;&gt;""),
    IFERROR(HYPERLINK("https://www.openstreetmap.org/search?lat=" &amp; 'Technical Sheet'!E19 &amp; "&amp;lon=" &amp; 'Technical Sheet'!F19, "OpenStreetMap Link"),
    ""),
"")</f>
        <v/>
      </c>
      <c r="K421" s="93" t="str">
        <f t="shared" si="6"/>
        <v>++++</v>
      </c>
    </row>
    <row r="422" spans="3:11" hidden="1" outlineLevel="1" x14ac:dyDescent="0.3">
      <c r="C422" s="207">
        <v>19</v>
      </c>
      <c r="D422" s="72"/>
      <c r="E422" s="73"/>
      <c r="F422" s="74"/>
      <c r="G422" s="72"/>
      <c r="H422" s="186" t="str">
        <f>IF(COUNTA(D422:G422)=COLUMNS(D422:G422), IFERROR('Technical Sheet'!G20, "-"), "-")</f>
        <v>-</v>
      </c>
      <c r="I422" s="17" t="str">
        <f t="shared" si="7"/>
        <v/>
      </c>
      <c r="J422" s="192" t="str">
        <f>IF(AND(D422&lt;&gt;"", E422&lt;&gt;"", F422&lt;&gt;"", G422&lt;&gt;""),
    IFERROR(HYPERLINK("https://www.openstreetmap.org/search?lat=" &amp; 'Technical Sheet'!E20 &amp; "&amp;lon=" &amp; 'Technical Sheet'!F20, "OpenStreetMap Link"),
    ""),
"")</f>
        <v/>
      </c>
      <c r="K422" s="93" t="str">
        <f t="shared" si="6"/>
        <v>++++</v>
      </c>
    </row>
    <row r="423" spans="3:11" hidden="1" outlineLevel="1" x14ac:dyDescent="0.3">
      <c r="C423" s="208">
        <v>20</v>
      </c>
      <c r="D423" s="72"/>
      <c r="E423" s="73"/>
      <c r="F423" s="74"/>
      <c r="G423" s="72"/>
      <c r="H423" s="186" t="str">
        <f>IF(COUNTA(D423:G423)=COLUMNS(D423:G423), IFERROR('Technical Sheet'!G21, "-"), "-")</f>
        <v>-</v>
      </c>
      <c r="I423" s="17" t="str">
        <f t="shared" si="7"/>
        <v/>
      </c>
      <c r="J423" s="192" t="str">
        <f>IF(AND(D423&lt;&gt;"", E423&lt;&gt;"", F423&lt;&gt;"", G423&lt;&gt;""),
    IFERROR(HYPERLINK("https://www.openstreetmap.org/search?lat=" &amp; 'Technical Sheet'!E21 &amp; "&amp;lon=" &amp; 'Technical Sheet'!F21, "OpenStreetMap Link"),
    ""),
"")</f>
        <v/>
      </c>
      <c r="K423" s="93" t="str">
        <f t="shared" si="6"/>
        <v>++++</v>
      </c>
    </row>
    <row r="424" spans="3:11" hidden="1" outlineLevel="1" x14ac:dyDescent="0.3">
      <c r="C424" s="207">
        <v>21</v>
      </c>
      <c r="D424" s="72"/>
      <c r="E424" s="73"/>
      <c r="F424" s="74"/>
      <c r="G424" s="72"/>
      <c r="H424" s="186" t="str">
        <f>IF(COUNTA(D424:G424)=COLUMNS(D424:G424), IFERROR('Technical Sheet'!G22, "-"), "-")</f>
        <v>-</v>
      </c>
      <c r="I424" s="17" t="str">
        <f t="shared" si="7"/>
        <v/>
      </c>
      <c r="J424" s="192" t="str">
        <f>IF(AND(D424&lt;&gt;"", E424&lt;&gt;"", F424&lt;&gt;"", G424&lt;&gt;""),
    IFERROR(HYPERLINK("https://www.openstreetmap.org/search?lat=" &amp; 'Technical Sheet'!E22 &amp; "&amp;lon=" &amp; 'Technical Sheet'!F22, "OpenStreetMap Link"),
    ""),
"")</f>
        <v/>
      </c>
      <c r="K424" s="93" t="str">
        <f t="shared" si="6"/>
        <v>++++</v>
      </c>
    </row>
    <row r="425" spans="3:11" hidden="1" outlineLevel="1" x14ac:dyDescent="0.3">
      <c r="C425" s="207">
        <v>22</v>
      </c>
      <c r="D425" s="72"/>
      <c r="E425" s="73"/>
      <c r="F425" s="74"/>
      <c r="G425" s="72"/>
      <c r="H425" s="186" t="str">
        <f>IF(COUNTA(D425:G425)=COLUMNS(D425:G425), IFERROR('Technical Sheet'!G23, "-"), "-")</f>
        <v>-</v>
      </c>
      <c r="I425" s="17" t="str">
        <f t="shared" si="7"/>
        <v/>
      </c>
      <c r="J425" s="192" t="str">
        <f>IF(AND(D425&lt;&gt;"", E425&lt;&gt;"", F425&lt;&gt;"", G425&lt;&gt;""),
    IFERROR(HYPERLINK("https://www.openstreetmap.org/search?lat=" &amp; 'Technical Sheet'!E23 &amp; "&amp;lon=" &amp; 'Technical Sheet'!F23, "OpenStreetMap Link"),
    ""),
"")</f>
        <v/>
      </c>
      <c r="K425" s="93" t="str">
        <f t="shared" si="6"/>
        <v>++++</v>
      </c>
    </row>
    <row r="426" spans="3:11" hidden="1" outlineLevel="1" x14ac:dyDescent="0.3">
      <c r="C426" s="208">
        <v>23</v>
      </c>
      <c r="D426" s="72"/>
      <c r="E426" s="73"/>
      <c r="F426" s="74"/>
      <c r="G426" s="72"/>
      <c r="H426" s="186" t="str">
        <f>IF(COUNTA(D426:G426)=COLUMNS(D426:G426), IFERROR('Technical Sheet'!G24, "-"), "-")</f>
        <v>-</v>
      </c>
      <c r="I426" s="17" t="str">
        <f t="shared" si="7"/>
        <v/>
      </c>
      <c r="J426" s="192" t="str">
        <f>IF(AND(D426&lt;&gt;"", E426&lt;&gt;"", F426&lt;&gt;"", G426&lt;&gt;""),
    IFERROR(HYPERLINK("https://www.openstreetmap.org/search?lat=" &amp; 'Technical Sheet'!E24 &amp; "&amp;lon=" &amp; 'Technical Sheet'!F24, "OpenStreetMap Link"),
    ""),
"")</f>
        <v/>
      </c>
      <c r="K426" s="93" t="str">
        <f t="shared" si="6"/>
        <v>++++</v>
      </c>
    </row>
    <row r="427" spans="3:11" hidden="1" outlineLevel="1" x14ac:dyDescent="0.3">
      <c r="C427" s="207">
        <v>24</v>
      </c>
      <c r="D427" s="81"/>
      <c r="E427" s="82"/>
      <c r="F427" s="83"/>
      <c r="G427" s="81"/>
      <c r="H427" s="186" t="str">
        <f>IF(COUNTA(D427:G427)=COLUMNS(D427:G427), IFERROR('Technical Sheet'!G25, "-"), "-")</f>
        <v>-</v>
      </c>
      <c r="I427" s="17" t="str">
        <f t="shared" si="7"/>
        <v/>
      </c>
      <c r="J427" s="192"/>
      <c r="K427" s="93"/>
    </row>
    <row r="428" spans="3:11" hidden="1" outlineLevel="1" x14ac:dyDescent="0.3">
      <c r="C428" s="207">
        <v>25</v>
      </c>
      <c r="D428" s="81"/>
      <c r="E428" s="82"/>
      <c r="F428" s="83"/>
      <c r="G428" s="81"/>
      <c r="H428" s="186" t="str">
        <f>IF(COUNTA(D428:G428)=COLUMNS(D428:G428), IFERROR('Technical Sheet'!G26, "-"), "-")</f>
        <v>-</v>
      </c>
      <c r="I428" s="17" t="str">
        <f t="shared" si="7"/>
        <v/>
      </c>
      <c r="J428" s="192"/>
      <c r="K428" s="93"/>
    </row>
    <row r="429" spans="3:11" hidden="1" outlineLevel="1" x14ac:dyDescent="0.3">
      <c r="C429" s="208">
        <v>26</v>
      </c>
      <c r="D429" s="81"/>
      <c r="E429" s="82"/>
      <c r="F429" s="83"/>
      <c r="G429" s="81"/>
      <c r="H429" s="186" t="str">
        <f>IF(COUNTA(D429:G429)=COLUMNS(D429:G429), IFERROR('Technical Sheet'!G27, "-"), "-")</f>
        <v>-</v>
      </c>
      <c r="I429" s="17" t="str">
        <f t="shared" si="7"/>
        <v/>
      </c>
      <c r="J429" s="192"/>
      <c r="K429" s="93"/>
    </row>
    <row r="430" spans="3:11" hidden="1" outlineLevel="1" x14ac:dyDescent="0.3">
      <c r="C430" s="207">
        <v>27</v>
      </c>
      <c r="D430" s="81"/>
      <c r="E430" s="82"/>
      <c r="F430" s="83"/>
      <c r="G430" s="81"/>
      <c r="H430" s="186" t="str">
        <f>IF(COUNTA(D430:G430)=COLUMNS(D430:G430), IFERROR('Technical Sheet'!#REF!, "-"), "-")</f>
        <v>-</v>
      </c>
      <c r="I430" s="17" t="str">
        <f t="shared" si="7"/>
        <v/>
      </c>
      <c r="J430" s="192"/>
      <c r="K430" s="93"/>
    </row>
    <row r="431" spans="3:11" hidden="1" outlineLevel="1" x14ac:dyDescent="0.3">
      <c r="C431" s="207">
        <v>28</v>
      </c>
      <c r="D431" s="81"/>
      <c r="E431" s="82"/>
      <c r="F431" s="83"/>
      <c r="G431" s="81"/>
      <c r="H431" s="186" t="str">
        <f>IF(COUNTA(D431:G431)=COLUMNS(D431:G431), IFERROR('Technical Sheet'!G28, "-"), "-")</f>
        <v>-</v>
      </c>
      <c r="I431" s="17" t="str">
        <f t="shared" si="7"/>
        <v/>
      </c>
      <c r="J431" s="192"/>
      <c r="K431" s="93"/>
    </row>
    <row r="432" spans="3:11" hidden="1" outlineLevel="1" x14ac:dyDescent="0.3">
      <c r="C432" s="208">
        <v>29</v>
      </c>
      <c r="D432" s="81"/>
      <c r="E432" s="82"/>
      <c r="F432" s="83"/>
      <c r="G432" s="81"/>
      <c r="H432" s="186" t="str">
        <f>IF(COUNTA(D432:G432)=COLUMNS(D432:G432), IFERROR('Technical Sheet'!G29, "-"), "-")</f>
        <v>-</v>
      </c>
      <c r="I432" s="17" t="str">
        <f t="shared" si="7"/>
        <v/>
      </c>
      <c r="J432" s="192"/>
      <c r="K432" s="93"/>
    </row>
    <row r="433" spans="3:11" hidden="1" outlineLevel="1" x14ac:dyDescent="0.3">
      <c r="C433" s="207">
        <v>30</v>
      </c>
      <c r="D433" s="81"/>
      <c r="E433" s="82"/>
      <c r="F433" s="83"/>
      <c r="G433" s="81"/>
      <c r="H433" s="186" t="str">
        <f>IF(COUNTA(D433:G433)=COLUMNS(D433:G433), IFERROR('Technical Sheet'!G30, "-"), "-")</f>
        <v>-</v>
      </c>
      <c r="I433" s="17" t="str">
        <f t="shared" si="7"/>
        <v/>
      </c>
      <c r="J433" s="192"/>
      <c r="K433" s="93"/>
    </row>
    <row r="434" spans="3:11" hidden="1" outlineLevel="1" x14ac:dyDescent="0.3">
      <c r="C434" s="207">
        <v>31</v>
      </c>
      <c r="D434" s="81"/>
      <c r="E434" s="82"/>
      <c r="F434" s="83"/>
      <c r="G434" s="81"/>
      <c r="H434" s="186" t="str">
        <f>IF(COUNTA(D434:G434)=COLUMNS(D434:G434), IFERROR('Technical Sheet'!G31, "-"), "-")</f>
        <v>-</v>
      </c>
      <c r="I434" s="17" t="str">
        <f t="shared" si="7"/>
        <v/>
      </c>
      <c r="J434" s="192"/>
      <c r="K434" s="93"/>
    </row>
    <row r="435" spans="3:11" hidden="1" outlineLevel="1" x14ac:dyDescent="0.3">
      <c r="C435" s="208">
        <v>32</v>
      </c>
      <c r="D435" s="81"/>
      <c r="E435" s="82"/>
      <c r="F435" s="83"/>
      <c r="G435" s="81"/>
      <c r="H435" s="186" t="str">
        <f>IF(COUNTA(D435:G435)=COLUMNS(D435:G435), IFERROR('Technical Sheet'!G32, "-"), "-")</f>
        <v>-</v>
      </c>
      <c r="I435" s="17" t="str">
        <f t="shared" si="7"/>
        <v/>
      </c>
      <c r="J435" s="192"/>
      <c r="K435" s="93"/>
    </row>
    <row r="436" spans="3:11" hidden="1" outlineLevel="1" x14ac:dyDescent="0.3">
      <c r="C436" s="207">
        <v>33</v>
      </c>
      <c r="D436" s="81"/>
      <c r="E436" s="82"/>
      <c r="F436" s="83"/>
      <c r="G436" s="81"/>
      <c r="H436" s="186" t="str">
        <f>IF(COUNTA(D436:G436)=COLUMNS(D436:G436), IFERROR('Technical Sheet'!G33, "-"), "-")</f>
        <v>-</v>
      </c>
      <c r="I436" s="17" t="str">
        <f t="shared" si="7"/>
        <v/>
      </c>
      <c r="J436" s="192"/>
      <c r="K436" s="93"/>
    </row>
    <row r="437" spans="3:11" hidden="1" outlineLevel="1" x14ac:dyDescent="0.3">
      <c r="C437" s="207">
        <v>34</v>
      </c>
      <c r="D437" s="81"/>
      <c r="E437" s="82"/>
      <c r="F437" s="83"/>
      <c r="G437" s="81"/>
      <c r="H437" s="186" t="str">
        <f>IF(COUNTA(D437:G437)=COLUMNS(D437:G437), IFERROR('Technical Sheet'!G34, "-"), "-")</f>
        <v>-</v>
      </c>
      <c r="I437" s="17" t="str">
        <f t="shared" si="7"/>
        <v/>
      </c>
      <c r="J437" s="192"/>
      <c r="K437" s="93"/>
    </row>
    <row r="438" spans="3:11" hidden="1" outlineLevel="1" x14ac:dyDescent="0.3">
      <c r="C438" s="208">
        <v>35</v>
      </c>
      <c r="D438" s="81"/>
      <c r="E438" s="82"/>
      <c r="F438" s="83"/>
      <c r="G438" s="81"/>
      <c r="H438" s="186" t="str">
        <f>IF(COUNTA(D438:G438)=COLUMNS(D438:G438), IFERROR('Technical Sheet'!G35, "-"), "-")</f>
        <v>-</v>
      </c>
      <c r="I438" s="17" t="str">
        <f t="shared" si="7"/>
        <v/>
      </c>
      <c r="J438" s="192"/>
      <c r="K438" s="93"/>
    </row>
    <row r="439" spans="3:11" hidden="1" outlineLevel="1" x14ac:dyDescent="0.3">
      <c r="C439" s="207">
        <v>36</v>
      </c>
      <c r="D439" s="81"/>
      <c r="E439" s="82"/>
      <c r="F439" s="83"/>
      <c r="G439" s="81"/>
      <c r="H439" s="186" t="str">
        <f>IF(COUNTA(D439:G439)=COLUMNS(D439:G439), IFERROR('Technical Sheet'!G36, "-"), "-")</f>
        <v>-</v>
      </c>
      <c r="I439" s="17" t="str">
        <f t="shared" si="7"/>
        <v/>
      </c>
      <c r="J439" s="192"/>
      <c r="K439" s="93"/>
    </row>
    <row r="440" spans="3:11" hidden="1" outlineLevel="1" x14ac:dyDescent="0.3">
      <c r="C440" s="207">
        <v>37</v>
      </c>
      <c r="D440" s="81"/>
      <c r="E440" s="82"/>
      <c r="F440" s="83"/>
      <c r="G440" s="81"/>
      <c r="H440" s="186" t="str">
        <f>IF(COUNTA(D440:G440)=COLUMNS(D440:G440), IFERROR('Technical Sheet'!G37, "-"), "-")</f>
        <v>-</v>
      </c>
      <c r="I440" s="17" t="str">
        <f t="shared" si="7"/>
        <v/>
      </c>
      <c r="J440" s="192"/>
      <c r="K440" s="93"/>
    </row>
    <row r="441" spans="3:11" hidden="1" outlineLevel="1" x14ac:dyDescent="0.3">
      <c r="C441" s="208">
        <v>38</v>
      </c>
      <c r="D441" s="81"/>
      <c r="E441" s="82"/>
      <c r="F441" s="83"/>
      <c r="G441" s="81"/>
      <c r="H441" s="186" t="str">
        <f>IF(COUNTA(D441:G441)=COLUMNS(D441:G441), IFERROR('Technical Sheet'!G38, "-"), "-")</f>
        <v>-</v>
      </c>
      <c r="I441" s="17" t="str">
        <f t="shared" si="7"/>
        <v/>
      </c>
      <c r="J441" s="192"/>
      <c r="K441" s="93"/>
    </row>
    <row r="442" spans="3:11" hidden="1" outlineLevel="1" x14ac:dyDescent="0.3">
      <c r="C442" s="207">
        <v>39</v>
      </c>
      <c r="D442" s="81"/>
      <c r="E442" s="82"/>
      <c r="F442" s="83"/>
      <c r="G442" s="81"/>
      <c r="H442" s="186" t="str">
        <f>IF(COUNTA(D442:G442)=COLUMNS(D442:G442), IFERROR('Technical Sheet'!G39, "-"), "-")</f>
        <v>-</v>
      </c>
      <c r="I442" s="17" t="str">
        <f t="shared" si="7"/>
        <v/>
      </c>
      <c r="J442" s="192"/>
      <c r="K442" s="93"/>
    </row>
    <row r="443" spans="3:11" hidden="1" outlineLevel="1" x14ac:dyDescent="0.3">
      <c r="C443" s="207">
        <v>40</v>
      </c>
      <c r="D443" s="81"/>
      <c r="E443" s="82"/>
      <c r="F443" s="83"/>
      <c r="G443" s="81"/>
      <c r="H443" s="186" t="str">
        <f>IF(COUNTA(D443:G443)=COLUMNS(D443:G443), IFERROR('Technical Sheet'!G40, "-"), "-")</f>
        <v>-</v>
      </c>
      <c r="I443" s="17" t="str">
        <f t="shared" si="7"/>
        <v/>
      </c>
      <c r="J443" s="192"/>
      <c r="K443" s="93"/>
    </row>
    <row r="444" spans="3:11" hidden="1" outlineLevel="1" x14ac:dyDescent="0.3">
      <c r="C444" s="208">
        <v>41</v>
      </c>
      <c r="D444" s="81"/>
      <c r="E444" s="82"/>
      <c r="F444" s="83"/>
      <c r="G444" s="81"/>
      <c r="H444" s="186" t="str">
        <f>IF(COUNTA(D444:G444)=COLUMNS(D444:G444), IFERROR('Technical Sheet'!G41, "-"), "-")</f>
        <v>-</v>
      </c>
      <c r="I444" s="17" t="str">
        <f t="shared" si="7"/>
        <v/>
      </c>
      <c r="J444" s="192"/>
      <c r="K444" s="93"/>
    </row>
    <row r="445" spans="3:11" hidden="1" outlineLevel="1" x14ac:dyDescent="0.3">
      <c r="C445" s="207">
        <v>42</v>
      </c>
      <c r="D445" s="81"/>
      <c r="E445" s="82"/>
      <c r="F445" s="83"/>
      <c r="G445" s="81"/>
      <c r="H445" s="186" t="str">
        <f>IF(COUNTA(D445:G445)=COLUMNS(D445:G445), IFERROR('Technical Sheet'!G42, "-"), "-")</f>
        <v>-</v>
      </c>
      <c r="I445" s="17" t="str">
        <f t="shared" si="7"/>
        <v/>
      </c>
      <c r="J445" s="192"/>
      <c r="K445" s="93"/>
    </row>
    <row r="446" spans="3:11" hidden="1" outlineLevel="1" x14ac:dyDescent="0.3">
      <c r="C446" s="207">
        <v>43</v>
      </c>
      <c r="D446" s="81"/>
      <c r="E446" s="82"/>
      <c r="F446" s="83"/>
      <c r="G446" s="81"/>
      <c r="H446" s="186" t="str">
        <f>IF(COUNTA(D446:G446)=COLUMNS(D446:G446), IFERROR('Technical Sheet'!G43, "-"), "-")</f>
        <v>-</v>
      </c>
      <c r="I446" s="17" t="str">
        <f t="shared" si="7"/>
        <v/>
      </c>
      <c r="J446" s="192"/>
      <c r="K446" s="93"/>
    </row>
    <row r="447" spans="3:11" hidden="1" outlineLevel="1" x14ac:dyDescent="0.3">
      <c r="C447" s="208">
        <v>44</v>
      </c>
      <c r="D447" s="81"/>
      <c r="E447" s="82"/>
      <c r="F447" s="83"/>
      <c r="G447" s="81"/>
      <c r="H447" s="186" t="str">
        <f>IF(COUNTA(D447:G447)=COLUMNS(D447:G447), IFERROR('Technical Sheet'!G44, "-"), "-")</f>
        <v>-</v>
      </c>
      <c r="I447" s="17" t="str">
        <f t="shared" si="7"/>
        <v/>
      </c>
      <c r="J447" s="192"/>
      <c r="K447" s="93"/>
    </row>
    <row r="448" spans="3:11" hidden="1" outlineLevel="1" x14ac:dyDescent="0.3">
      <c r="C448" s="207">
        <v>45</v>
      </c>
      <c r="D448" s="81"/>
      <c r="E448" s="82"/>
      <c r="F448" s="83"/>
      <c r="G448" s="81"/>
      <c r="H448" s="186" t="str">
        <f>IF(COUNTA(D448:G448)=COLUMNS(D448:G448), IFERROR('Technical Sheet'!G45, "-"), "-")</f>
        <v>-</v>
      </c>
      <c r="I448" s="17" t="str">
        <f t="shared" si="7"/>
        <v/>
      </c>
      <c r="J448" s="192"/>
      <c r="K448" s="93"/>
    </row>
    <row r="449" spans="3:11" hidden="1" outlineLevel="1" x14ac:dyDescent="0.3">
      <c r="C449" s="207">
        <v>46</v>
      </c>
      <c r="D449" s="81"/>
      <c r="E449" s="82"/>
      <c r="F449" s="83"/>
      <c r="G449" s="81"/>
      <c r="H449" s="186" t="str">
        <f>IF(COUNTA(D449:G449)=COLUMNS(D449:G449), IFERROR('Technical Sheet'!G46, "-"), "-")</f>
        <v>-</v>
      </c>
      <c r="I449" s="17" t="str">
        <f t="shared" si="7"/>
        <v/>
      </c>
      <c r="J449" s="192"/>
      <c r="K449" s="93"/>
    </row>
    <row r="450" spans="3:11" hidden="1" outlineLevel="1" x14ac:dyDescent="0.3">
      <c r="C450" s="208">
        <v>47</v>
      </c>
      <c r="D450" s="81"/>
      <c r="E450" s="82"/>
      <c r="F450" s="83"/>
      <c r="G450" s="81"/>
      <c r="H450" s="186" t="str">
        <f>IF(COUNTA(D450:G450)=COLUMNS(D450:G450), IFERROR('Technical Sheet'!G47, "-"), "-")</f>
        <v>-</v>
      </c>
      <c r="I450" s="17" t="str">
        <f t="shared" si="7"/>
        <v/>
      </c>
      <c r="J450" s="192"/>
      <c r="K450" s="93"/>
    </row>
    <row r="451" spans="3:11" hidden="1" outlineLevel="1" x14ac:dyDescent="0.3">
      <c r="C451" s="207">
        <v>48</v>
      </c>
      <c r="D451" s="81"/>
      <c r="E451" s="82"/>
      <c r="F451" s="83"/>
      <c r="G451" s="81"/>
      <c r="H451" s="186" t="str">
        <f>IF(COUNTA(D451:G451)=COLUMNS(D451:G451), IFERROR('Technical Sheet'!G48, "-"), "-")</f>
        <v>-</v>
      </c>
      <c r="I451" s="17" t="str">
        <f t="shared" si="7"/>
        <v/>
      </c>
      <c r="J451" s="192"/>
      <c r="K451" s="93"/>
    </row>
    <row r="452" spans="3:11" hidden="1" outlineLevel="1" x14ac:dyDescent="0.3">
      <c r="C452" s="207">
        <v>49</v>
      </c>
      <c r="D452" s="81"/>
      <c r="E452" s="82"/>
      <c r="F452" s="83"/>
      <c r="G452" s="81"/>
      <c r="H452" s="186" t="str">
        <f>IF(COUNTA(D452:G452)=COLUMNS(D452:G452), IFERROR('Technical Sheet'!G49, "-"), "-")</f>
        <v>-</v>
      </c>
      <c r="I452" s="17" t="str">
        <f t="shared" si="7"/>
        <v/>
      </c>
      <c r="J452" s="192"/>
      <c r="K452" s="93"/>
    </row>
    <row r="453" spans="3:11" hidden="1" outlineLevel="1" x14ac:dyDescent="0.3">
      <c r="C453" s="208">
        <v>50</v>
      </c>
      <c r="D453" s="81"/>
      <c r="E453" s="82"/>
      <c r="F453" s="83"/>
      <c r="G453" s="81"/>
      <c r="H453" s="186" t="str">
        <f>IF(COUNTA(D453:G453)=COLUMNS(D453:G453), IFERROR('Technical Sheet'!G50, "-"), "-")</f>
        <v>-</v>
      </c>
      <c r="I453" s="17" t="str">
        <f t="shared" si="7"/>
        <v/>
      </c>
      <c r="J453" s="192"/>
      <c r="K453" s="93"/>
    </row>
    <row r="454" spans="3:11" hidden="1" outlineLevel="1" x14ac:dyDescent="0.3">
      <c r="C454" s="207">
        <v>51</v>
      </c>
      <c r="D454" s="81"/>
      <c r="E454" s="82"/>
      <c r="F454" s="83"/>
      <c r="G454" s="81"/>
      <c r="H454" s="186" t="str">
        <f>IF(COUNTA(D454:G454)=COLUMNS(D454:G454), IFERROR('Technical Sheet'!G51, "-"), "-")</f>
        <v>-</v>
      </c>
      <c r="I454" s="17" t="str">
        <f t="shared" si="7"/>
        <v/>
      </c>
      <c r="J454" s="192"/>
      <c r="K454" s="93"/>
    </row>
    <row r="455" spans="3:11" hidden="1" outlineLevel="1" x14ac:dyDescent="0.3">
      <c r="C455" s="207">
        <v>52</v>
      </c>
      <c r="D455" s="81"/>
      <c r="E455" s="82"/>
      <c r="F455" s="83"/>
      <c r="G455" s="81"/>
      <c r="H455" s="186" t="str">
        <f>IF(COUNTA(D455:G455)=COLUMNS(D455:G455), IFERROR('Technical Sheet'!G52, "-"), "-")</f>
        <v>-</v>
      </c>
      <c r="I455" s="17" t="str">
        <f t="shared" si="7"/>
        <v/>
      </c>
      <c r="J455" s="192"/>
      <c r="K455" s="93"/>
    </row>
    <row r="456" spans="3:11" hidden="1" outlineLevel="1" x14ac:dyDescent="0.3">
      <c r="C456" s="208">
        <v>53</v>
      </c>
      <c r="D456" s="81"/>
      <c r="E456" s="82"/>
      <c r="F456" s="83"/>
      <c r="G456" s="81"/>
      <c r="H456" s="186" t="str">
        <f>IF(COUNTA(D456:G456)=COLUMNS(D456:G456), IFERROR('Technical Sheet'!G53, "-"), "-")</f>
        <v>-</v>
      </c>
      <c r="I456" s="17" t="str">
        <f t="shared" si="7"/>
        <v/>
      </c>
      <c r="J456" s="192"/>
      <c r="K456" s="93"/>
    </row>
    <row r="457" spans="3:11" hidden="1" outlineLevel="1" x14ac:dyDescent="0.3">
      <c r="C457" s="207">
        <v>54</v>
      </c>
      <c r="D457" s="81"/>
      <c r="E457" s="82"/>
      <c r="F457" s="83"/>
      <c r="G457" s="81"/>
      <c r="H457" s="186" t="str">
        <f>IF(COUNTA(D457:G457)=COLUMNS(D457:G457), IFERROR('Technical Sheet'!G54, "-"), "-")</f>
        <v>-</v>
      </c>
      <c r="I457" s="17" t="str">
        <f t="shared" si="7"/>
        <v/>
      </c>
      <c r="J457" s="192"/>
      <c r="K457" s="93"/>
    </row>
    <row r="458" spans="3:11" hidden="1" outlineLevel="1" x14ac:dyDescent="0.3">
      <c r="C458" s="207">
        <v>55</v>
      </c>
      <c r="D458" s="81"/>
      <c r="E458" s="82"/>
      <c r="F458" s="83"/>
      <c r="G458" s="81"/>
      <c r="H458" s="186" t="str">
        <f>IF(COUNTA(D458:G458)=COLUMNS(D458:G458), IFERROR('Technical Sheet'!G55, "-"), "-")</f>
        <v>-</v>
      </c>
      <c r="I458" s="17" t="str">
        <f t="shared" si="7"/>
        <v/>
      </c>
      <c r="J458" s="192"/>
      <c r="K458" s="93"/>
    </row>
    <row r="459" spans="3:11" hidden="1" outlineLevel="1" x14ac:dyDescent="0.3">
      <c r="C459" s="208">
        <v>56</v>
      </c>
      <c r="D459" s="81"/>
      <c r="E459" s="82"/>
      <c r="F459" s="83"/>
      <c r="G459" s="81"/>
      <c r="H459" s="186" t="str">
        <f>IF(COUNTA(D459:G459)=COLUMNS(D459:G459), IFERROR('Technical Sheet'!G56, "-"), "-")</f>
        <v>-</v>
      </c>
      <c r="I459" s="17" t="str">
        <f t="shared" si="7"/>
        <v/>
      </c>
      <c r="J459" s="192"/>
      <c r="K459" s="93"/>
    </row>
    <row r="460" spans="3:11" hidden="1" outlineLevel="1" x14ac:dyDescent="0.3">
      <c r="C460" s="207">
        <v>57</v>
      </c>
      <c r="D460" s="81"/>
      <c r="E460" s="82"/>
      <c r="F460" s="83"/>
      <c r="G460" s="81"/>
      <c r="H460" s="186" t="str">
        <f>IF(COUNTA(D460:G460)=COLUMNS(D460:G460), IFERROR('Technical Sheet'!G57, "-"), "-")</f>
        <v>-</v>
      </c>
      <c r="I460" s="17" t="str">
        <f t="shared" si="7"/>
        <v/>
      </c>
      <c r="J460" s="192"/>
      <c r="K460" s="93"/>
    </row>
    <row r="461" spans="3:11" hidden="1" outlineLevel="1" x14ac:dyDescent="0.3">
      <c r="C461" s="207">
        <v>58</v>
      </c>
      <c r="D461" s="81"/>
      <c r="E461" s="82"/>
      <c r="F461" s="83"/>
      <c r="G461" s="81"/>
      <c r="H461" s="186" t="str">
        <f>IF(COUNTA(D461:G461)=COLUMNS(D461:G461), IFERROR('Technical Sheet'!G58, "-"), "-")</f>
        <v>-</v>
      </c>
      <c r="I461" s="17" t="str">
        <f t="shared" si="7"/>
        <v/>
      </c>
      <c r="J461" s="192"/>
      <c r="K461" s="93"/>
    </row>
    <row r="462" spans="3:11" hidden="1" outlineLevel="1" x14ac:dyDescent="0.3">
      <c r="C462" s="208">
        <v>59</v>
      </c>
      <c r="D462" s="81"/>
      <c r="E462" s="82"/>
      <c r="F462" s="83"/>
      <c r="G462" s="81"/>
      <c r="H462" s="186" t="str">
        <f>IF(COUNTA(D462:G462)=COLUMNS(D462:G462), IFERROR('Technical Sheet'!G59, "-"), "-")</f>
        <v>-</v>
      </c>
      <c r="I462" s="17" t="str">
        <f t="shared" si="7"/>
        <v/>
      </c>
      <c r="J462" s="192"/>
      <c r="K462" s="93"/>
    </row>
    <row r="463" spans="3:11" hidden="1" outlineLevel="1" x14ac:dyDescent="0.3">
      <c r="C463" s="207">
        <v>60</v>
      </c>
      <c r="D463" s="81"/>
      <c r="E463" s="82"/>
      <c r="F463" s="83"/>
      <c r="G463" s="81"/>
      <c r="H463" s="186" t="str">
        <f>IF(COUNTA(D463:G463)=COLUMNS(D463:G463), IFERROR('Technical Sheet'!G60, "-"), "-")</f>
        <v>-</v>
      </c>
      <c r="I463" s="17" t="str">
        <f t="shared" si="7"/>
        <v/>
      </c>
      <c r="J463" s="192"/>
      <c r="K463" s="93"/>
    </row>
    <row r="464" spans="3:11" hidden="1" outlineLevel="1" x14ac:dyDescent="0.3">
      <c r="C464" s="207">
        <v>61</v>
      </c>
      <c r="D464" s="81"/>
      <c r="E464" s="82"/>
      <c r="F464" s="83"/>
      <c r="G464" s="81"/>
      <c r="H464" s="186" t="str">
        <f>IF(COUNTA(D464:G464)=COLUMNS(D464:G464), IFERROR('Technical Sheet'!G61, "-"), "-")</f>
        <v>-</v>
      </c>
      <c r="I464" s="17" t="str">
        <f t="shared" si="7"/>
        <v/>
      </c>
      <c r="J464" s="192"/>
      <c r="K464" s="93"/>
    </row>
    <row r="465" spans="3:11" hidden="1" outlineLevel="1" x14ac:dyDescent="0.3">
      <c r="C465" s="208">
        <v>62</v>
      </c>
      <c r="D465" s="81"/>
      <c r="E465" s="82"/>
      <c r="F465" s="83"/>
      <c r="G465" s="81"/>
      <c r="H465" s="186" t="str">
        <f>IF(COUNTA(D465:G465)=COLUMNS(D465:G465), IFERROR('Technical Sheet'!G62, "-"), "-")</f>
        <v>-</v>
      </c>
      <c r="I465" s="17" t="str">
        <f t="shared" si="7"/>
        <v/>
      </c>
      <c r="J465" s="192"/>
      <c r="K465" s="93"/>
    </row>
    <row r="466" spans="3:11" hidden="1" outlineLevel="1" x14ac:dyDescent="0.3">
      <c r="C466" s="207">
        <v>63</v>
      </c>
      <c r="D466" s="81"/>
      <c r="E466" s="82"/>
      <c r="F466" s="83"/>
      <c r="G466" s="81"/>
      <c r="H466" s="186" t="str">
        <f>IF(COUNTA(D466:G466)=COLUMNS(D466:G466), IFERROR('Technical Sheet'!G63, "-"), "-")</f>
        <v>-</v>
      </c>
      <c r="I466" s="17" t="str">
        <f t="shared" si="7"/>
        <v/>
      </c>
      <c r="J466" s="192"/>
      <c r="K466" s="93"/>
    </row>
    <row r="467" spans="3:11" hidden="1" outlineLevel="1" x14ac:dyDescent="0.3">
      <c r="C467" s="207">
        <v>64</v>
      </c>
      <c r="D467" s="81"/>
      <c r="E467" s="82"/>
      <c r="F467" s="83"/>
      <c r="G467" s="81"/>
      <c r="H467" s="186" t="str">
        <f>IF(COUNTA(D467:G467)=COLUMNS(D467:G467), IFERROR('Technical Sheet'!G64, "-"), "-")</f>
        <v>-</v>
      </c>
      <c r="I467" s="17" t="str">
        <f t="shared" si="7"/>
        <v/>
      </c>
      <c r="J467" s="192"/>
      <c r="K467" s="93"/>
    </row>
    <row r="468" spans="3:11" hidden="1" outlineLevel="1" x14ac:dyDescent="0.3">
      <c r="C468" s="208">
        <v>65</v>
      </c>
      <c r="D468" s="81"/>
      <c r="E468" s="82"/>
      <c r="F468" s="83"/>
      <c r="G468" s="81"/>
      <c r="H468" s="186" t="str">
        <f>IF(COUNTA(D468:G468)=COLUMNS(D468:G468), IFERROR('Technical Sheet'!G65, "-"), "-")</f>
        <v>-</v>
      </c>
      <c r="I468" s="17" t="str">
        <f t="shared" si="7"/>
        <v/>
      </c>
      <c r="J468" s="192"/>
      <c r="K468" s="93"/>
    </row>
    <row r="469" spans="3:11" hidden="1" outlineLevel="1" x14ac:dyDescent="0.3">
      <c r="C469" s="207">
        <v>66</v>
      </c>
      <c r="D469" s="81"/>
      <c r="E469" s="82"/>
      <c r="F469" s="83"/>
      <c r="G469" s="81"/>
      <c r="H469" s="186" t="str">
        <f>IF(COUNTA(D469:G469)=COLUMNS(D469:G469), IFERROR('Technical Sheet'!G66, "-"), "-")</f>
        <v>-</v>
      </c>
      <c r="I469" s="17" t="str">
        <f t="shared" si="7"/>
        <v/>
      </c>
      <c r="J469" s="192"/>
      <c r="K469" s="93"/>
    </row>
    <row r="470" spans="3:11" hidden="1" outlineLevel="1" x14ac:dyDescent="0.3">
      <c r="C470" s="207">
        <v>67</v>
      </c>
      <c r="D470" s="81"/>
      <c r="E470" s="82"/>
      <c r="F470" s="83"/>
      <c r="G470" s="81"/>
      <c r="H470" s="186" t="str">
        <f>IF(COUNTA(D470:G470)=COLUMNS(D470:G470), IFERROR('Technical Sheet'!G67, "-"), "-")</f>
        <v>-</v>
      </c>
      <c r="I470" s="17" t="str">
        <f t="shared" si="7"/>
        <v/>
      </c>
      <c r="J470" s="192"/>
      <c r="K470" s="93"/>
    </row>
    <row r="471" spans="3:11" hidden="1" outlineLevel="1" x14ac:dyDescent="0.3">
      <c r="C471" s="208">
        <v>68</v>
      </c>
      <c r="D471" s="81"/>
      <c r="E471" s="82"/>
      <c r="F471" s="83"/>
      <c r="G471" s="81"/>
      <c r="H471" s="186" t="str">
        <f>IF(COUNTA(D471:G471)=COLUMNS(D471:G471), IFERROR('Technical Sheet'!G68, "-"), "-")</f>
        <v>-</v>
      </c>
      <c r="I471" s="17" t="str">
        <f t="shared" si="7"/>
        <v/>
      </c>
      <c r="J471" s="192"/>
      <c r="K471" s="93"/>
    </row>
    <row r="472" spans="3:11" hidden="1" outlineLevel="1" x14ac:dyDescent="0.3">
      <c r="C472" s="207">
        <v>69</v>
      </c>
      <c r="D472" s="81"/>
      <c r="E472" s="82"/>
      <c r="F472" s="83"/>
      <c r="G472" s="81"/>
      <c r="H472" s="186" t="str">
        <f>IF(COUNTA(D472:G472)=COLUMNS(D472:G472), IFERROR('Technical Sheet'!G69, "-"), "-")</f>
        <v>-</v>
      </c>
      <c r="I472" s="17" t="str">
        <f t="shared" si="7"/>
        <v/>
      </c>
      <c r="J472" s="192"/>
      <c r="K472" s="93"/>
    </row>
    <row r="473" spans="3:11" hidden="1" outlineLevel="1" x14ac:dyDescent="0.3">
      <c r="C473" s="207">
        <v>70</v>
      </c>
      <c r="D473" s="81"/>
      <c r="E473" s="82"/>
      <c r="F473" s="83"/>
      <c r="G473" s="81"/>
      <c r="H473" s="186" t="str">
        <f>IF(COUNTA(D473:G473)=COLUMNS(D473:G473), IFERROR('Technical Sheet'!G70, "-"), "-")</f>
        <v>-</v>
      </c>
      <c r="I473" s="17" t="str">
        <f t="shared" si="7"/>
        <v/>
      </c>
      <c r="J473" s="192"/>
      <c r="K473" s="93"/>
    </row>
    <row r="474" spans="3:11" hidden="1" outlineLevel="1" x14ac:dyDescent="0.3">
      <c r="C474" s="208">
        <v>71</v>
      </c>
      <c r="D474" s="81"/>
      <c r="E474" s="82"/>
      <c r="F474" s="83"/>
      <c r="G474" s="81"/>
      <c r="H474" s="186" t="str">
        <f>IF(COUNTA(D474:G474)=COLUMNS(D474:G474), IFERROR('Technical Sheet'!G71, "-"), "-")</f>
        <v>-</v>
      </c>
      <c r="I474" s="17" t="str">
        <f t="shared" si="7"/>
        <v/>
      </c>
      <c r="J474" s="192"/>
      <c r="K474" s="93"/>
    </row>
    <row r="475" spans="3:11" hidden="1" outlineLevel="1" x14ac:dyDescent="0.3">
      <c r="C475" s="207">
        <v>72</v>
      </c>
      <c r="D475" s="81"/>
      <c r="E475" s="82"/>
      <c r="F475" s="83"/>
      <c r="G475" s="81"/>
      <c r="H475" s="186" t="str">
        <f>IF(COUNTA(D475:G475)=COLUMNS(D475:G475), IFERROR('Technical Sheet'!G72, "-"), "-")</f>
        <v>-</v>
      </c>
      <c r="I475" s="17" t="str">
        <f t="shared" si="7"/>
        <v/>
      </c>
      <c r="J475" s="192"/>
      <c r="K475" s="93"/>
    </row>
    <row r="476" spans="3:11" hidden="1" outlineLevel="1" x14ac:dyDescent="0.3">
      <c r="C476" s="207">
        <v>73</v>
      </c>
      <c r="D476" s="81"/>
      <c r="E476" s="82"/>
      <c r="F476" s="83"/>
      <c r="G476" s="81"/>
      <c r="H476" s="186" t="str">
        <f>IF(COUNTA(D476:G476)=COLUMNS(D476:G476), IFERROR('Technical Sheet'!G73, "-"), "-")</f>
        <v>-</v>
      </c>
      <c r="I476" s="17" t="str">
        <f t="shared" si="7"/>
        <v/>
      </c>
      <c r="J476" s="192"/>
      <c r="K476" s="93"/>
    </row>
    <row r="477" spans="3:11" hidden="1" outlineLevel="1" x14ac:dyDescent="0.3">
      <c r="C477" s="208">
        <v>74</v>
      </c>
      <c r="D477" s="81"/>
      <c r="E477" s="82"/>
      <c r="F477" s="83"/>
      <c r="G477" s="81"/>
      <c r="H477" s="186" t="str">
        <f>IF(COUNTA(D477:G477)=COLUMNS(D477:G477), IFERROR('Technical Sheet'!G74, "-"), "-")</f>
        <v>-</v>
      </c>
      <c r="I477" s="17" t="str">
        <f t="shared" si="7"/>
        <v/>
      </c>
      <c r="J477" s="192"/>
      <c r="K477" s="93"/>
    </row>
    <row r="478" spans="3:11" hidden="1" outlineLevel="1" x14ac:dyDescent="0.3">
      <c r="C478" s="207">
        <v>75</v>
      </c>
      <c r="D478" s="81"/>
      <c r="E478" s="82"/>
      <c r="F478" s="83"/>
      <c r="G478" s="81"/>
      <c r="H478" s="186" t="str">
        <f>IF(COUNTA(D478:G478)=COLUMNS(D478:G478), IFERROR('Technical Sheet'!G75, "-"), "-")</f>
        <v>-</v>
      </c>
      <c r="I478" s="17" t="str">
        <f t="shared" si="7"/>
        <v/>
      </c>
      <c r="J478" s="192"/>
      <c r="K478" s="93"/>
    </row>
    <row r="479" spans="3:11" hidden="1" outlineLevel="1" x14ac:dyDescent="0.3">
      <c r="C479" s="207">
        <v>76</v>
      </c>
      <c r="D479" s="81"/>
      <c r="E479" s="82"/>
      <c r="F479" s="83"/>
      <c r="G479" s="81"/>
      <c r="H479" s="186" t="str">
        <f>IF(COUNTA(D479:G479)=COLUMNS(D479:G479), IFERROR('Technical Sheet'!G76, "-"), "-")</f>
        <v>-</v>
      </c>
      <c r="I479" s="17" t="str">
        <f t="shared" si="7"/>
        <v/>
      </c>
      <c r="J479" s="192"/>
      <c r="K479" s="93"/>
    </row>
    <row r="480" spans="3:11" hidden="1" outlineLevel="1" x14ac:dyDescent="0.3">
      <c r="C480" s="208">
        <v>77</v>
      </c>
      <c r="D480" s="81"/>
      <c r="E480" s="82"/>
      <c r="F480" s="83"/>
      <c r="G480" s="81"/>
      <c r="H480" s="186" t="str">
        <f>IF(COUNTA(D480:G480)=COLUMNS(D480:G480), IFERROR('Technical Sheet'!G77, "-"), "-")</f>
        <v>-</v>
      </c>
      <c r="I480" s="17" t="str">
        <f t="shared" si="7"/>
        <v/>
      </c>
      <c r="J480" s="192"/>
      <c r="K480" s="93"/>
    </row>
    <row r="481" spans="3:11" hidden="1" outlineLevel="1" x14ac:dyDescent="0.3">
      <c r="C481" s="207">
        <v>78</v>
      </c>
      <c r="D481" s="81"/>
      <c r="E481" s="82"/>
      <c r="F481" s="83"/>
      <c r="G481" s="81"/>
      <c r="H481" s="186" t="str">
        <f>IF(COUNTA(D481:G481)=COLUMNS(D481:G481), IFERROR('Technical Sheet'!G78, "-"), "-")</f>
        <v>-</v>
      </c>
      <c r="I481" s="17" t="str">
        <f t="shared" si="7"/>
        <v/>
      </c>
      <c r="J481" s="192"/>
      <c r="K481" s="93"/>
    </row>
    <row r="482" spans="3:11" hidden="1" outlineLevel="1" x14ac:dyDescent="0.3">
      <c r="C482" s="207">
        <v>79</v>
      </c>
      <c r="D482" s="81"/>
      <c r="E482" s="82"/>
      <c r="F482" s="83"/>
      <c r="G482" s="81"/>
      <c r="H482" s="186" t="str">
        <f>IF(COUNTA(D482:G482)=COLUMNS(D482:G482), IFERROR('Technical Sheet'!G79, "-"), "-")</f>
        <v>-</v>
      </c>
      <c r="I482" s="17" t="str">
        <f t="shared" si="7"/>
        <v/>
      </c>
      <c r="J482" s="192"/>
      <c r="K482" s="93"/>
    </row>
    <row r="483" spans="3:11" hidden="1" outlineLevel="1" x14ac:dyDescent="0.3">
      <c r="C483" s="208">
        <v>80</v>
      </c>
      <c r="D483" s="81"/>
      <c r="E483" s="82"/>
      <c r="F483" s="83"/>
      <c r="G483" s="81"/>
      <c r="H483" s="186" t="str">
        <f>IF(COUNTA(D483:G483)=COLUMNS(D483:G483), IFERROR('Technical Sheet'!G80, "-"), "-")</f>
        <v>-</v>
      </c>
      <c r="I483" s="17" t="str">
        <f t="shared" si="7"/>
        <v/>
      </c>
      <c r="J483" s="192"/>
      <c r="K483" s="93"/>
    </row>
    <row r="484" spans="3:11" hidden="1" outlineLevel="1" x14ac:dyDescent="0.3">
      <c r="C484" s="207">
        <v>81</v>
      </c>
      <c r="D484" s="81"/>
      <c r="E484" s="82"/>
      <c r="F484" s="83"/>
      <c r="G484" s="81"/>
      <c r="H484" s="186" t="str">
        <f>IF(COUNTA(D484:G484)=COLUMNS(D484:G484), IFERROR('Technical Sheet'!G81, "-"), "-")</f>
        <v>-</v>
      </c>
      <c r="I484" s="17" t="str">
        <f t="shared" si="7"/>
        <v/>
      </c>
      <c r="J484" s="192"/>
      <c r="K484" s="93"/>
    </row>
    <row r="485" spans="3:11" hidden="1" outlineLevel="1" x14ac:dyDescent="0.3">
      <c r="C485" s="207">
        <v>82</v>
      </c>
      <c r="D485" s="81"/>
      <c r="E485" s="82"/>
      <c r="F485" s="83"/>
      <c r="G485" s="81"/>
      <c r="H485" s="186" t="str">
        <f>IF(COUNTA(D485:G485)=COLUMNS(D485:G485), IFERROR('Technical Sheet'!G82, "-"), "-")</f>
        <v>-</v>
      </c>
      <c r="I485" s="17" t="str">
        <f t="shared" si="7"/>
        <v/>
      </c>
      <c r="J485" s="192"/>
      <c r="K485" s="93"/>
    </row>
    <row r="486" spans="3:11" hidden="1" outlineLevel="1" x14ac:dyDescent="0.3">
      <c r="C486" s="208">
        <v>83</v>
      </c>
      <c r="D486" s="81"/>
      <c r="E486" s="82"/>
      <c r="F486" s="83"/>
      <c r="G486" s="81"/>
      <c r="H486" s="186" t="str">
        <f>IF(COUNTA(D486:G486)=COLUMNS(D486:G486), IFERROR('Technical Sheet'!G83, "-"), "-")</f>
        <v>-</v>
      </c>
      <c r="I486" s="17" t="str">
        <f t="shared" si="7"/>
        <v/>
      </c>
      <c r="J486" s="192"/>
      <c r="K486" s="93"/>
    </row>
    <row r="487" spans="3:11" hidden="1" outlineLevel="1" x14ac:dyDescent="0.3">
      <c r="C487" s="207">
        <v>84</v>
      </c>
      <c r="D487" s="81"/>
      <c r="E487" s="82"/>
      <c r="F487" s="83"/>
      <c r="G487" s="81"/>
      <c r="H487" s="186" t="str">
        <f>IF(COUNTA(D487:G487)=COLUMNS(D487:G487), IFERROR('Technical Sheet'!G84, "-"), "-")</f>
        <v>-</v>
      </c>
      <c r="I487" s="17" t="str">
        <f t="shared" si="7"/>
        <v/>
      </c>
      <c r="J487" s="192"/>
      <c r="K487" s="93"/>
    </row>
    <row r="488" spans="3:11" hidden="1" outlineLevel="1" x14ac:dyDescent="0.3">
      <c r="C488" s="207">
        <v>85</v>
      </c>
      <c r="D488" s="81"/>
      <c r="E488" s="82"/>
      <c r="F488" s="83"/>
      <c r="G488" s="81"/>
      <c r="H488" s="186" t="str">
        <f>IF(COUNTA(D488:G488)=COLUMNS(D488:G488), IFERROR('Technical Sheet'!G85, "-"), "-")</f>
        <v>-</v>
      </c>
      <c r="I488" s="17" t="str">
        <f t="shared" si="7"/>
        <v/>
      </c>
      <c r="J488" s="192"/>
      <c r="K488" s="93"/>
    </row>
    <row r="489" spans="3:11" hidden="1" outlineLevel="1" x14ac:dyDescent="0.3">
      <c r="C489" s="208">
        <v>86</v>
      </c>
      <c r="D489" s="81"/>
      <c r="E489" s="82"/>
      <c r="F489" s="83"/>
      <c r="G489" s="81"/>
      <c r="H489" s="186" t="str">
        <f>IF(COUNTA(D489:G489)=COLUMNS(D489:G489), IFERROR('Technical Sheet'!G86, "-"), "-")</f>
        <v>-</v>
      </c>
      <c r="I489" s="17" t="str">
        <f t="shared" si="7"/>
        <v/>
      </c>
      <c r="J489" s="192"/>
      <c r="K489" s="93"/>
    </row>
    <row r="490" spans="3:11" hidden="1" outlineLevel="1" x14ac:dyDescent="0.3">
      <c r="C490" s="207">
        <v>87</v>
      </c>
      <c r="D490" s="81"/>
      <c r="E490" s="82"/>
      <c r="F490" s="83"/>
      <c r="G490" s="81"/>
      <c r="H490" s="186" t="str">
        <f>IF(COUNTA(D490:G490)=COLUMNS(D490:G490), IFERROR('Technical Sheet'!G87, "-"), "-")</f>
        <v>-</v>
      </c>
      <c r="I490" s="17" t="str">
        <f t="shared" si="7"/>
        <v/>
      </c>
      <c r="J490" s="192"/>
      <c r="K490" s="93"/>
    </row>
    <row r="491" spans="3:11" hidden="1" outlineLevel="1" x14ac:dyDescent="0.3">
      <c r="C491" s="207">
        <v>88</v>
      </c>
      <c r="D491" s="81"/>
      <c r="E491" s="82"/>
      <c r="F491" s="83"/>
      <c r="G491" s="81"/>
      <c r="H491" s="186" t="str">
        <f>IF(COUNTA(D491:G491)=COLUMNS(D491:G491), IFERROR('Technical Sheet'!G88, "-"), "-")</f>
        <v>-</v>
      </c>
      <c r="I491" s="17" t="str">
        <f t="shared" si="7"/>
        <v/>
      </c>
      <c r="J491" s="192"/>
      <c r="K491" s="93"/>
    </row>
    <row r="492" spans="3:11" hidden="1" outlineLevel="1" x14ac:dyDescent="0.3">
      <c r="C492" s="208">
        <v>89</v>
      </c>
      <c r="D492" s="81"/>
      <c r="E492" s="82"/>
      <c r="F492" s="83"/>
      <c r="G492" s="81"/>
      <c r="H492" s="186" t="str">
        <f>IF(COUNTA(D492:G492)=COLUMNS(D492:G492), IFERROR('Technical Sheet'!G89, "-"), "-")</f>
        <v>-</v>
      </c>
      <c r="I492" s="17" t="str">
        <f t="shared" si="7"/>
        <v/>
      </c>
      <c r="J492" s="192"/>
      <c r="K492" s="93"/>
    </row>
    <row r="493" spans="3:11" hidden="1" outlineLevel="1" x14ac:dyDescent="0.3">
      <c r="C493" s="207">
        <v>90</v>
      </c>
      <c r="D493" s="81"/>
      <c r="E493" s="82"/>
      <c r="F493" s="83"/>
      <c r="G493" s="81"/>
      <c r="H493" s="186" t="str">
        <f>IF(COUNTA(D493:G493)=COLUMNS(D493:G493), IFERROR('Technical Sheet'!G90, "-"), "-")</f>
        <v>-</v>
      </c>
      <c r="I493" s="17" t="str">
        <f t="shared" si="7"/>
        <v/>
      </c>
      <c r="J493" s="192"/>
      <c r="K493" s="93"/>
    </row>
    <row r="494" spans="3:11" hidden="1" outlineLevel="1" x14ac:dyDescent="0.3">
      <c r="C494" s="207">
        <v>91</v>
      </c>
      <c r="D494" s="81"/>
      <c r="E494" s="82"/>
      <c r="F494" s="83"/>
      <c r="G494" s="81"/>
      <c r="H494" s="186" t="str">
        <f>IF(COUNTA(D494:G494)=COLUMNS(D494:G494), IFERROR('Technical Sheet'!G91, "-"), "-")</f>
        <v>-</v>
      </c>
      <c r="I494" s="17" t="str">
        <f t="shared" si="7"/>
        <v/>
      </c>
      <c r="J494" s="192"/>
      <c r="K494" s="93"/>
    </row>
    <row r="495" spans="3:11" hidden="1" outlineLevel="1" x14ac:dyDescent="0.3">
      <c r="C495" s="208">
        <v>92</v>
      </c>
      <c r="D495" s="81"/>
      <c r="E495" s="82"/>
      <c r="F495" s="83"/>
      <c r="G495" s="81"/>
      <c r="H495" s="186" t="str">
        <f>IF(COUNTA(D495:G495)=COLUMNS(D495:G495), IFERROR('Technical Sheet'!G92, "-"), "-")</f>
        <v>-</v>
      </c>
      <c r="I495" s="17" t="str">
        <f t="shared" si="7"/>
        <v/>
      </c>
      <c r="J495" s="192"/>
      <c r="K495" s="93"/>
    </row>
    <row r="496" spans="3:11" hidden="1" outlineLevel="1" x14ac:dyDescent="0.3">
      <c r="C496" s="207">
        <v>93</v>
      </c>
      <c r="D496" s="81"/>
      <c r="E496" s="82"/>
      <c r="F496" s="83"/>
      <c r="G496" s="81"/>
      <c r="H496" s="186" t="str">
        <f>IF(COUNTA(D496:G496)=COLUMNS(D496:G496), IFERROR('Technical Sheet'!G93, "-"), "-")</f>
        <v>-</v>
      </c>
      <c r="I496" s="17" t="str">
        <f t="shared" si="7"/>
        <v/>
      </c>
      <c r="J496" s="192"/>
      <c r="K496" s="93"/>
    </row>
    <row r="497" spans="3:17" hidden="1" outlineLevel="1" x14ac:dyDescent="0.3">
      <c r="C497" s="207">
        <v>94</v>
      </c>
      <c r="D497" s="81"/>
      <c r="E497" s="82"/>
      <c r="F497" s="83"/>
      <c r="G497" s="81"/>
      <c r="H497" s="186" t="str">
        <f>IF(COUNTA(D497:G497)=COLUMNS(D497:G497), IFERROR('Technical Sheet'!G94, "-"), "-")</f>
        <v>-</v>
      </c>
      <c r="I497" s="17" t="str">
        <f t="shared" si="7"/>
        <v/>
      </c>
      <c r="J497" s="192"/>
      <c r="K497" s="93"/>
    </row>
    <row r="498" spans="3:17" hidden="1" outlineLevel="1" x14ac:dyDescent="0.3">
      <c r="C498" s="208">
        <v>95</v>
      </c>
      <c r="D498" s="81"/>
      <c r="E498" s="82"/>
      <c r="F498" s="83"/>
      <c r="G498" s="81"/>
      <c r="H498" s="186" t="str">
        <f>IF(COUNTA(D498:G498)=COLUMNS(D498:G498), IFERROR('Technical Sheet'!G95, "-"), "-")</f>
        <v>-</v>
      </c>
      <c r="I498" s="17" t="str">
        <f t="shared" si="7"/>
        <v/>
      </c>
      <c r="J498" s="192"/>
      <c r="K498" s="93"/>
    </row>
    <row r="499" spans="3:17" hidden="1" outlineLevel="1" x14ac:dyDescent="0.3">
      <c r="C499" s="207">
        <v>96</v>
      </c>
      <c r="D499" s="81"/>
      <c r="E499" s="82"/>
      <c r="F499" s="83"/>
      <c r="G499" s="81"/>
      <c r="H499" s="186" t="str">
        <f>IF(COUNTA(D499:G499)=COLUMNS(D499:G499), IFERROR('Technical Sheet'!G96, "-"), "-")</f>
        <v>-</v>
      </c>
      <c r="I499" s="17" t="str">
        <f t="shared" si="7"/>
        <v/>
      </c>
      <c r="J499" s="192"/>
      <c r="K499" s="93"/>
    </row>
    <row r="500" spans="3:17" hidden="1" outlineLevel="1" x14ac:dyDescent="0.3">
      <c r="C500" s="207">
        <v>97</v>
      </c>
      <c r="D500" s="81"/>
      <c r="E500" s="82"/>
      <c r="F500" s="83"/>
      <c r="G500" s="81"/>
      <c r="H500" s="186" t="str">
        <f>IF(COUNTA(D500:G500)=COLUMNS(D500:G500), IFERROR('Technical Sheet'!G97, "-"), "-")</f>
        <v>-</v>
      </c>
      <c r="I500" s="17" t="str">
        <f t="shared" si="7"/>
        <v/>
      </c>
      <c r="J500" s="192"/>
      <c r="K500" s="93"/>
    </row>
    <row r="501" spans="3:17" hidden="1" outlineLevel="1" x14ac:dyDescent="0.3">
      <c r="C501" s="208">
        <v>98</v>
      </c>
      <c r="D501" s="81"/>
      <c r="E501" s="82"/>
      <c r="F501" s="83"/>
      <c r="G501" s="81"/>
      <c r="H501" s="186" t="str">
        <f>IF(COUNTA(D501:G501)=COLUMNS(D501:G501), IFERROR('Technical Sheet'!#REF!, "-"), "-")</f>
        <v>-</v>
      </c>
      <c r="I501" s="17" t="str">
        <f t="shared" si="7"/>
        <v/>
      </c>
      <c r="J501" s="192"/>
      <c r="K501" s="93"/>
    </row>
    <row r="502" spans="3:17" hidden="1" outlineLevel="1" x14ac:dyDescent="0.3">
      <c r="C502" s="207">
        <v>99</v>
      </c>
      <c r="D502" s="81"/>
      <c r="E502" s="82"/>
      <c r="F502" s="83"/>
      <c r="G502" s="81"/>
      <c r="H502" s="186" t="str">
        <f>IF(COUNTA(D502:G502)=COLUMNS(D502:G502), IFERROR('Technical Sheet'!G98, "-"), "-")</f>
        <v>-</v>
      </c>
      <c r="I502" s="17" t="str">
        <f t="shared" si="7"/>
        <v/>
      </c>
      <c r="J502" s="192" t="str">
        <f>IF(AND(D502&lt;&gt;"", E502&lt;&gt;"", F502&lt;&gt;"", G502&lt;&gt;""),
    IFERROR(HYPERLINK("https://www.openstreetmap.org/search?lat=" &amp; 'Technical Sheet'!E25 &amp; "&amp;lon=" &amp; 'Technical Sheet'!F25, "OpenStreetMap Link"),
    ""),
"")</f>
        <v/>
      </c>
      <c r="K502" s="93" t="str">
        <f t="shared" si="6"/>
        <v>++++</v>
      </c>
    </row>
    <row r="503" spans="3:17" ht="15" hidden="1" outlineLevel="1" thickBot="1" x14ac:dyDescent="0.35">
      <c r="C503" s="209">
        <v>100</v>
      </c>
      <c r="D503" s="78"/>
      <c r="E503" s="79"/>
      <c r="F503" s="80"/>
      <c r="G503" s="78"/>
      <c r="H503" s="360" t="str">
        <f>IF(COUNTA(D503:G503)=COLUMNS(D503:G503), IFERROR('Technical Sheet'!G99, "-"), "-")</f>
        <v>-</v>
      </c>
      <c r="I503" s="17" t="str">
        <f t="shared" si="7"/>
        <v/>
      </c>
      <c r="J503" s="192" t="str">
        <f>IF(AND(D503&lt;&gt;"", E503&lt;&gt;"", F503&lt;&gt;"", G503&lt;&gt;""),
    IFERROR(HYPERLINK("https://www.openstreetmap.org/search?lat=" &amp; 'Technical Sheet'!E26 &amp; "&amp;lon=" &amp; 'Technical Sheet'!F26, "OpenStreetMap Link"),
    ""),
"")</f>
        <v/>
      </c>
      <c r="K503" s="93" t="str">
        <f t="shared" si="6"/>
        <v>++++</v>
      </c>
    </row>
    <row r="504" spans="3:17" ht="15" customHeight="1" collapsed="1" thickBot="1" x14ac:dyDescent="0.35"/>
    <row r="505" spans="3:17" ht="38.1" customHeight="1" thickBot="1" x14ac:dyDescent="0.35">
      <c r="C505" s="597"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2025-01-01 to 2025-12-31 [If applicable]</v>
      </c>
      <c r="D505" s="597"/>
      <c r="E505" s="597"/>
      <c r="F505" s="597"/>
      <c r="G505" s="597"/>
      <c r="H505" s="597"/>
      <c r="I505" s="597"/>
      <c r="J505" s="597"/>
      <c r="K505" s="597"/>
      <c r="L505" s="597"/>
      <c r="M505" s="597"/>
      <c r="N505" s="597"/>
      <c r="O505" s="598"/>
    </row>
    <row r="506" spans="3:17" s="10" customFormat="1" x14ac:dyDescent="0.3">
      <c r="C506" s="592" t="s">
        <v>40</v>
      </c>
      <c r="D506" s="592"/>
      <c r="E506" s="592"/>
      <c r="F506" s="592"/>
      <c r="G506" s="592"/>
      <c r="H506" s="592"/>
      <c r="I506" s="592"/>
      <c r="J506" s="592"/>
      <c r="K506" s="592"/>
      <c r="L506" s="592"/>
      <c r="M506" s="592"/>
      <c r="N506" s="592"/>
      <c r="O506" s="593"/>
      <c r="P506"/>
      <c r="Q506"/>
    </row>
    <row r="507" spans="3:17" x14ac:dyDescent="0.3">
      <c r="C507" s="662" t="s">
        <v>41</v>
      </c>
      <c r="D507" s="663"/>
      <c r="E507" s="663"/>
      <c r="F507" s="663"/>
      <c r="G507" s="663"/>
      <c r="H507" s="663"/>
      <c r="I507" s="663"/>
      <c r="J507" s="663"/>
      <c r="K507" s="663"/>
      <c r="L507" s="663"/>
      <c r="M507" s="663"/>
      <c r="N507" s="663"/>
      <c r="O507" s="664"/>
    </row>
    <row r="508" spans="3:17" ht="14.4" customHeight="1" x14ac:dyDescent="0.3">
      <c r="C508" s="661" t="str">
        <f>template_label_has_the_undertaking_put_in_place_specific_practices_policies_and_or_future</f>
        <v>Has the undertaking put in place specific practices policies and or future initiatives for transitioning towards a more sustainable economy?</v>
      </c>
      <c r="D508" s="594" t="str">
        <f>template_label_sustainability_issues_addressed_by_a_practice_policy_and_or_future_initiatives_put_in_place</f>
        <v>Sustainability issues addressed by a practice policy and or future initiatives that the undertaking has put in place</v>
      </c>
      <c r="E508" s="594"/>
      <c r="F508" s="594"/>
      <c r="G508" s="594"/>
      <c r="H508" s="594"/>
      <c r="I508" s="594"/>
      <c r="J508" s="594"/>
      <c r="K508" s="594"/>
      <c r="L508" s="594"/>
      <c r="M508" s="594"/>
      <c r="N508" s="594" t="str">
        <f>template_label_undertaking_has_a_practice_policy_and_or_future_initiative_that_is_publicly_available</f>
        <v>Undertaking has a practice policy and or future initiative that is publicly available</v>
      </c>
      <c r="O508" s="656" t="str">
        <f>template_label_undertaking_has_set_a_target_which_is_related_to_a_policy</f>
        <v>Undertaking has set a target which is related to a policy</v>
      </c>
    </row>
    <row r="509" spans="3:17" ht="41.4" customHeight="1" x14ac:dyDescent="0.3">
      <c r="C509" s="661"/>
      <c r="D509" s="85" t="str">
        <f>template_label_climate_change</f>
        <v>Climate change</v>
      </c>
      <c r="E509" s="85" t="str">
        <f>template_label_pollution</f>
        <v>Pollution</v>
      </c>
      <c r="F509" s="85" t="str">
        <f>template_label_water_and_marine_resources</f>
        <v>Water and marine resources</v>
      </c>
      <c r="G509" s="85" t="str">
        <f>template_label_biodiversity_and_ecosystems</f>
        <v>Biodiversity and ecosystems</v>
      </c>
      <c r="H509" s="85" t="str">
        <f>template_label_circular_economy</f>
        <v>Circular economy</v>
      </c>
      <c r="I509" s="85" t="str">
        <f>template_label_own_workforce</f>
        <v>Own workforce</v>
      </c>
      <c r="J509" s="85" t="str">
        <f>template_label_workers_in_the_value_chain</f>
        <v>Workers in the value chain</v>
      </c>
      <c r="K509" s="85" t="str">
        <f>template_label_affected_communities</f>
        <v>Affected communities</v>
      </c>
      <c r="L509" s="85" t="str">
        <f>template_label_consumers_and_endusers_validation</f>
        <v>Consumers and end-users</v>
      </c>
      <c r="M509" s="85" t="str">
        <f>template_label_business_conduct</f>
        <v>Business conduct</v>
      </c>
      <c r="N509" s="594"/>
      <c r="O509" s="656"/>
    </row>
    <row r="510" spans="3:17" ht="15" thickBot="1" x14ac:dyDescent="0.35">
      <c r="C510" s="185" t="b">
        <v>1</v>
      </c>
      <c r="D510" s="184" t="b">
        <v>1</v>
      </c>
      <c r="E510" s="184" t="b">
        <v>0</v>
      </c>
      <c r="F510" s="184" t="b">
        <v>0</v>
      </c>
      <c r="G510" s="184" t="b">
        <v>0</v>
      </c>
      <c r="H510" s="184" t="b">
        <v>1</v>
      </c>
      <c r="I510" s="184" t="b">
        <v>0</v>
      </c>
      <c r="J510" s="184" t="b">
        <v>0</v>
      </c>
      <c r="K510" s="184" t="b">
        <v>0</v>
      </c>
      <c r="L510" s="184" t="b">
        <v>1</v>
      </c>
      <c r="M510" s="184" t="b">
        <v>0</v>
      </c>
      <c r="N510" s="490"/>
      <c r="O510" s="491" t="b">
        <v>1</v>
      </c>
      <c r="P510" s="16" t="str">
        <f>IF(C510=TRUE, IF(COUNTIF(D510:M510, TRUE)&gt;0, template_label_ok, template_label_missing_value), "")</f>
        <v>OK</v>
      </c>
    </row>
    <row r="511" spans="3:17" ht="57.45" customHeight="1" thickBot="1" x14ac:dyDescent="0.35">
      <c r="F511"/>
    </row>
    <row r="512" spans="3:17" ht="15" thickBot="1" x14ac:dyDescent="0.35">
      <c r="C512" s="624"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2025-01-01 to 2025-12-31 [If applicable]</v>
      </c>
      <c r="D512" s="625"/>
      <c r="F512"/>
    </row>
    <row r="513" spans="1:8" x14ac:dyDescent="0.3">
      <c r="C513" s="592">
        <v>15</v>
      </c>
      <c r="D513" s="593"/>
      <c r="F513"/>
    </row>
    <row r="514" spans="1:8" ht="30.6" customHeight="1" x14ac:dyDescent="0.3">
      <c r="C514" s="117" t="str">
        <f>template_label_effective_participation_of_workers_users_or_other_interested_parties_or_communities_in_governance</f>
        <v>Effective participation of workers users or other interested parties or communities in governance</v>
      </c>
      <c r="D514" s="258"/>
      <c r="E514" s="16" t="str">
        <f>IF(AND(D514&lt;&gt;"", UndertakingsLegalForm="cooperative"), template_label_ok, "")</f>
        <v/>
      </c>
      <c r="F514"/>
    </row>
    <row r="515" spans="1:8" ht="57" customHeight="1" x14ac:dyDescent="0.3">
      <c r="C515" s="117"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5" s="259"/>
      <c r="E515" s="16" t="str">
        <f>IF(AND(D515&lt;&gt;"", UndertakingsLegalForm="cooperative"), template_label_ok, "")</f>
        <v/>
      </c>
      <c r="F515"/>
    </row>
    <row r="516" spans="1:8" ht="47.4" customHeight="1" thickBot="1" x14ac:dyDescent="0.35">
      <c r="C516" s="106" t="str">
        <f>template_label_limits_to_the_distribution_of_profits</f>
        <v>Any limits to the distribution of profits connected to the mutualistic nature or to the nature of the activities consisting in services of general economic interest (SGEI)</v>
      </c>
      <c r="D516" s="479"/>
      <c r="E516" s="16" t="str">
        <f>IF(AND(D516&lt;&gt;"", UndertakingsLegalForm="cooperative"), template_label_ok, "")</f>
        <v/>
      </c>
      <c r="F516"/>
    </row>
    <row r="517" spans="1:8" ht="49.95" customHeight="1" thickBot="1" x14ac:dyDescent="0.35">
      <c r="C517" s="12"/>
      <c r="F517"/>
    </row>
    <row r="518" spans="1:8" ht="87.6" customHeight="1" thickBot="1" x14ac:dyDescent="0.35">
      <c r="A518" s="658" t="str">
        <f>template_label_supporting_guidance_c2</f>
        <v>ℹ️ VSME Supporting Guidance on Disclosure C2 - Comprehensive Module (Practices, Policies, and Future Initiatives)</v>
      </c>
      <c r="B518" s="658"/>
      <c r="C518" s="659"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2025-01-01 to 2025-12-31 [If applicable linked with B2]</v>
      </c>
      <c r="D518" s="659"/>
      <c r="E518" s="659"/>
      <c r="F518" s="659"/>
      <c r="G518" s="660"/>
    </row>
    <row r="519" spans="1:8" ht="37.950000000000003" customHeight="1" x14ac:dyDescent="0.3">
      <c r="A519" s="391">
        <v>48</v>
      </c>
      <c r="B519" s="392">
        <v>149</v>
      </c>
      <c r="C519" s="683"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19" s="683"/>
      <c r="E519" s="677" t="s">
        <v>33</v>
      </c>
      <c r="F519" s="677"/>
      <c r="G519" s="678"/>
      <c r="H519" s="16" t="str">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OK</v>
      </c>
    </row>
    <row r="520" spans="1:8" x14ac:dyDescent="0.3">
      <c r="A520" s="222" t="s">
        <v>10</v>
      </c>
      <c r="B520" s="392">
        <v>149</v>
      </c>
      <c r="C520" s="602" t="str">
        <f>template_label_description_of_target_related_to_a_policy</f>
        <v>Description of target related to a policy</v>
      </c>
      <c r="D520" s="602"/>
      <c r="E520" s="681" t="s">
        <v>33</v>
      </c>
      <c r="F520" s="681"/>
      <c r="G520" s="682"/>
      <c r="H520" s="16" t="str">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OK</v>
      </c>
    </row>
    <row r="521" spans="1:8" ht="15" thickBot="1" x14ac:dyDescent="0.35">
      <c r="A521" s="391">
        <v>49</v>
      </c>
      <c r="B521" s="392">
        <v>149</v>
      </c>
      <c r="C521" s="619" t="str">
        <f>template_label_most_senior_level_accountable_for_implementing_practices_policies_and_or_future_initiatives</f>
        <v>Most senior level within its employees that is accountable for implementing the policies when this has been determined by the undertaking</v>
      </c>
      <c r="D521" s="619"/>
      <c r="E521" s="679" t="s">
        <v>33</v>
      </c>
      <c r="F521" s="679"/>
      <c r="G521" s="680"/>
      <c r="H521" s="16" t="str">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OK</v>
      </c>
    </row>
    <row r="522" spans="1:8" ht="14.7" customHeight="1" x14ac:dyDescent="0.3">
      <c r="B522" s="116"/>
      <c r="F522"/>
    </row>
    <row r="523" spans="1:8" ht="14.7" customHeight="1" thickBot="1" x14ac:dyDescent="0.35">
      <c r="B523" s="116"/>
      <c r="F523"/>
    </row>
    <row r="524" spans="1:8" ht="14.85" customHeight="1" thickBot="1" x14ac:dyDescent="0.35">
      <c r="B524" s="116"/>
      <c r="C524" s="659"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Strategy: Business Model and Sustainability - Related Initiatives from 2025-01-01 to 2025-12-31 [Always to be reported + If applicable]</v>
      </c>
      <c r="D524" s="659"/>
      <c r="E524" s="659"/>
      <c r="F524" s="659"/>
      <c r="G524" s="660"/>
    </row>
    <row r="525" spans="1:8" x14ac:dyDescent="0.3">
      <c r="A525" s="391" t="s">
        <v>42</v>
      </c>
      <c r="B525" s="221" t="s">
        <v>10</v>
      </c>
      <c r="C525" s="622" t="str">
        <f>template_label_description_of_significant_groups_of_products_and_or_services_offered</f>
        <v>Description of significant groups of products and or services offered</v>
      </c>
      <c r="D525" s="622"/>
      <c r="E525" s="613" t="s">
        <v>33</v>
      </c>
      <c r="F525" s="613"/>
      <c r="G525" s="614"/>
      <c r="H525" s="16" t="str">
        <f>IF(
'Table of Contents &amp; Validation'!D49=TRUE,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OK</v>
      </c>
    </row>
    <row r="526" spans="1:8" x14ac:dyDescent="0.3">
      <c r="A526" s="391" t="s">
        <v>43</v>
      </c>
      <c r="B526" s="221" t="s">
        <v>10</v>
      </c>
      <c r="C526" s="623" t="str">
        <f>template_label_description_of_significant_market_the_undertaking_operates_in</f>
        <v>Description of significant market(s) the undertaking operates in (e.g. B2B, wholesale, retail, countries)</v>
      </c>
      <c r="D526" s="623"/>
      <c r="E526" s="615" t="s">
        <v>33</v>
      </c>
      <c r="F526" s="615"/>
      <c r="G526" s="616"/>
      <c r="H526" s="16" t="str">
        <f>IF(
'Table of Contents &amp; Validation'!D49=TRUE,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OK</v>
      </c>
    </row>
    <row r="527" spans="1:8" ht="15" thickBot="1" x14ac:dyDescent="0.35">
      <c r="A527" s="391" t="s">
        <v>44</v>
      </c>
      <c r="B527" s="392">
        <v>148</v>
      </c>
      <c r="C527" s="621" t="str">
        <f>template_label_description_of_main_business_relationships</f>
        <v>Description of main business relationships (such as key suppliers, customers, distribution channels)</v>
      </c>
      <c r="D527" s="621"/>
      <c r="E527" s="605" t="s">
        <v>33</v>
      </c>
      <c r="F527" s="605"/>
      <c r="G527" s="606"/>
      <c r="H527" s="16" t="str">
        <f>IF(
'Table of Contents &amp; Validation'!D49=TRUE,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OK</v>
      </c>
    </row>
    <row r="528" spans="1:8" x14ac:dyDescent="0.3">
      <c r="B528" s="116"/>
      <c r="C528" s="673" t="str">
        <f>template_label_has_the_strategy_key_elements_that_relate_to_or_affect_sustainability_issues</f>
        <v>Has the strategy key elements that relate to or affect sustainability issues?</v>
      </c>
      <c r="D528" s="674"/>
      <c r="E528" s="675" t="b">
        <v>1</v>
      </c>
      <c r="F528" s="675"/>
      <c r="G528" s="676"/>
    </row>
    <row r="529" spans="1:15" ht="15" thickBot="1" x14ac:dyDescent="0.35">
      <c r="A529" s="391" t="s">
        <v>45</v>
      </c>
      <c r="B529" s="221" t="s">
        <v>10</v>
      </c>
      <c r="C529" s="619" t="str">
        <f>template_label_description_of_those_key_elements_in_the_strategy_that_relate_or_affect_sustainability_issues</f>
        <v>Description of those key elements in the strategy that relate or affect sustainability issues</v>
      </c>
      <c r="D529" s="620"/>
      <c r="E529" s="617" t="s">
        <v>33</v>
      </c>
      <c r="F529" s="617"/>
      <c r="G529" s="618"/>
      <c r="H529" s="16" t="str">
        <f>IF(AND($E$122="Option B (Basic Module and Comprehensive Module)", E529="", E528=TRUE), template_label_missing_value,
   IF(AND($E$122="Option A (Basic Module only)", E529&lt;&gt;"", E528=TRUE), template_label_ok,
   IF(AND($E$122="Option B (Basic Module and Comprehensive Module)", E529&lt;&gt;"", E528=TRUE), template_label_ok, "")))</f>
        <v>OK</v>
      </c>
    </row>
    <row r="530" spans="1:15" ht="15" thickBot="1" x14ac:dyDescent="0.35"/>
    <row r="531" spans="1:15" ht="14.85" customHeight="1" thickBot="1" x14ac:dyDescent="0.35">
      <c r="C531" s="610"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and/or entity specific information on the reporting period from 2025-01-01 to 2025-12-31 [May (optional)]</v>
      </c>
      <c r="D531" s="611"/>
      <c r="E531" s="611"/>
      <c r="F531" s="611"/>
      <c r="G531" s="611"/>
      <c r="H531" s="612"/>
      <c r="I531" s="10"/>
      <c r="J531" s="10"/>
      <c r="K531" s="10"/>
      <c r="L531" s="10"/>
      <c r="M531" s="10"/>
      <c r="N531" s="10"/>
      <c r="O531" s="10"/>
    </row>
    <row r="532" spans="1:15" ht="14.85" customHeight="1" x14ac:dyDescent="0.3">
      <c r="C532" s="592">
        <v>10</v>
      </c>
      <c r="D532" s="608"/>
      <c r="E532" s="608"/>
      <c r="F532" s="608"/>
      <c r="G532" s="608"/>
      <c r="H532" s="609"/>
      <c r="I532" s="10"/>
      <c r="J532" s="10"/>
      <c r="K532" s="10"/>
      <c r="L532" s="10"/>
      <c r="M532" s="10"/>
      <c r="N532" s="10"/>
      <c r="O532" s="10"/>
    </row>
    <row r="533" spans="1:15" ht="15" thickBot="1" x14ac:dyDescent="0.35">
      <c r="C533" s="604" t="s">
        <v>33</v>
      </c>
      <c r="D533" s="605"/>
      <c r="E533" s="605"/>
      <c r="F533" s="605"/>
      <c r="G533" s="605"/>
      <c r="H533" s="606"/>
      <c r="I533" s="15" t="str">
        <f>IF(C533&lt;&gt;"", template_label_ok, "")</f>
        <v>OK</v>
      </c>
    </row>
  </sheetData>
  <sheetProtection algorithmName="SHA-512" hashValue="I8mKWmAuj6XgKcUpmKNoyphllmB4BIZUDYg9NJr0/VtpzuRYBuHg1tBBaYj6Eu+acArrI17GB1vL8pIRZCh8VQ==" saltValue="Uu6+BbfSiob9VQyYtoglCw==" spinCount="100000" sheet="1" formatColumns="0" formatRows="0" insertRows="0"/>
  <mergeCells count="89">
    <mergeCell ref="A123:A174"/>
    <mergeCell ref="B123:B174"/>
    <mergeCell ref="C176:E176"/>
    <mergeCell ref="C528:D528"/>
    <mergeCell ref="E528:G528"/>
    <mergeCell ref="C521:D521"/>
    <mergeCell ref="E519:G519"/>
    <mergeCell ref="E521:G521"/>
    <mergeCell ref="E520:G520"/>
    <mergeCell ref="C519:D519"/>
    <mergeCell ref="C520:D520"/>
    <mergeCell ref="C524:G524"/>
    <mergeCell ref="C394:D394"/>
    <mergeCell ref="E394:H394"/>
    <mergeCell ref="C399:H399"/>
    <mergeCell ref="C398:H398"/>
    <mergeCell ref="N508:N509"/>
    <mergeCell ref="O508:O509"/>
    <mergeCell ref="C400:C403"/>
    <mergeCell ref="G400:G403"/>
    <mergeCell ref="A518:B518"/>
    <mergeCell ref="C518:G518"/>
    <mergeCell ref="C513:D513"/>
    <mergeCell ref="C508:C509"/>
    <mergeCell ref="D508:M508"/>
    <mergeCell ref="C507:O507"/>
    <mergeCell ref="C397:H397"/>
    <mergeCell ref="C2:E2"/>
    <mergeCell ref="C395:D395"/>
    <mergeCell ref="C16:E16"/>
    <mergeCell ref="C122:D122"/>
    <mergeCell ref="C18:D18"/>
    <mergeCell ref="C281:D281"/>
    <mergeCell ref="C282:D282"/>
    <mergeCell ref="C17:E17"/>
    <mergeCell ref="C177:D177"/>
    <mergeCell ref="C287:E287"/>
    <mergeCell ref="D3:E3"/>
    <mergeCell ref="D5:E5"/>
    <mergeCell ref="D6:E6"/>
    <mergeCell ref="D7:E7"/>
    <mergeCell ref="D8:E8"/>
    <mergeCell ref="G6:K8"/>
    <mergeCell ref="C180:D279"/>
    <mergeCell ref="B178:B179"/>
    <mergeCell ref="C179:D179"/>
    <mergeCell ref="C178:D178"/>
    <mergeCell ref="D9:E9"/>
    <mergeCell ref="D10:E10"/>
    <mergeCell ref="D11:E11"/>
    <mergeCell ref="D12:E12"/>
    <mergeCell ref="D13:E13"/>
    <mergeCell ref="C121:E121"/>
    <mergeCell ref="C19:D118"/>
    <mergeCell ref="F6:F8"/>
    <mergeCell ref="F10:F12"/>
    <mergeCell ref="C123:D174"/>
    <mergeCell ref="C533:H533"/>
    <mergeCell ref="C119:D119"/>
    <mergeCell ref="C532:H532"/>
    <mergeCell ref="C531:H531"/>
    <mergeCell ref="E525:G525"/>
    <mergeCell ref="E526:G526"/>
    <mergeCell ref="E527:G527"/>
    <mergeCell ref="E529:G529"/>
    <mergeCell ref="C529:D529"/>
    <mergeCell ref="C527:D527"/>
    <mergeCell ref="C525:D525"/>
    <mergeCell ref="C526:D526"/>
    <mergeCell ref="C392:H392"/>
    <mergeCell ref="C512:D512"/>
    <mergeCell ref="C393:H393"/>
    <mergeCell ref="C391:H391"/>
    <mergeCell ref="A178:A179"/>
    <mergeCell ref="A180:A279"/>
    <mergeCell ref="G10:K12"/>
    <mergeCell ref="C506:O506"/>
    <mergeCell ref="F400:F403"/>
    <mergeCell ref="E400:E403"/>
    <mergeCell ref="D400:D403"/>
    <mergeCell ref="C288:E288"/>
    <mergeCell ref="E395:H395"/>
    <mergeCell ref="C505:O505"/>
    <mergeCell ref="B180:B279"/>
    <mergeCell ref="C284:D284"/>
    <mergeCell ref="C285:D285"/>
    <mergeCell ref="C280:D280"/>
    <mergeCell ref="C283:D283"/>
    <mergeCell ref="F123:F173"/>
  </mergeCells>
  <phoneticPr fontId="3" type="noConversion"/>
  <conditionalFormatting sqref="C19 E19:E119 C119:D119">
    <cfRule type="expression" dxfId="374" priority="89">
      <formula>$E$18=TRUE</formula>
    </cfRule>
  </conditionalFormatting>
  <conditionalFormatting sqref="C179">
    <cfRule type="expression" dxfId="373" priority="105">
      <formula>$E$178="other (please specify the legal form in the row below)"</formula>
    </cfRule>
  </conditionalFormatting>
  <conditionalFormatting sqref="D514:D516">
    <cfRule type="expression" dxfId="372" priority="10">
      <formula>$E$178="cooperative"</formula>
    </cfRule>
  </conditionalFormatting>
  <conditionalFormatting sqref="D290:E389">
    <cfRule type="expression" dxfId="371" priority="57">
      <formula>$E$177="Sustainability report prepared on a consolidated basis"</formula>
    </cfRule>
  </conditionalFormatting>
  <conditionalFormatting sqref="D510:O510 E519 E521">
    <cfRule type="expression" dxfId="370" priority="19">
      <formula>$C$510=TRUE</formula>
    </cfRule>
  </conditionalFormatting>
  <conditionalFormatting sqref="D510:O510">
    <cfRule type="expression" dxfId="369" priority="29">
      <formula>$C$510=TRUE</formula>
    </cfRule>
  </conditionalFormatting>
  <conditionalFormatting sqref="E19:E118">
    <cfRule type="expression" dxfId="368" priority="143">
      <formula>AND(ISBLANK(#REF!), $E$18=TRUE)</formula>
    </cfRule>
  </conditionalFormatting>
  <conditionalFormatting sqref="E123:E174">
    <cfRule type="expression" dxfId="367" priority="1">
      <formula>ISNUMBER(MATCH(E123, enum_ListOmittedDisclosures, 0))</formula>
    </cfRule>
    <cfRule type="expression" dxfId="366" priority="2">
      <formula>$F$123="Disclosure completely omitted"</formula>
    </cfRule>
  </conditionalFormatting>
  <conditionalFormatting sqref="E179">
    <cfRule type="expression" dxfId="365" priority="104">
      <formula>$E$178="other (please specify the legal form in the row below)"</formula>
    </cfRule>
  </conditionalFormatting>
  <conditionalFormatting sqref="E394">
    <cfRule type="expression" dxfId="364" priority="55">
      <formula>$D$301="YES"</formula>
    </cfRule>
  </conditionalFormatting>
  <conditionalFormatting sqref="E514:E516">
    <cfRule type="expression" dxfId="363" priority="13">
      <formula>$E514=template_label_ok</formula>
    </cfRule>
  </conditionalFormatting>
  <conditionalFormatting sqref="E520:G520">
    <cfRule type="expression" dxfId="362" priority="373">
      <formula>AND($C$510=TRUE,$O$510=TRUE)</formula>
    </cfRule>
  </conditionalFormatting>
  <conditionalFormatting sqref="E529:G529">
    <cfRule type="expression" dxfId="361" priority="46">
      <formula>$E$528=TRUE</formula>
    </cfRule>
  </conditionalFormatting>
  <conditionalFormatting sqref="E395:H395">
    <cfRule type="expression" dxfId="360" priority="54">
      <formula>$E$394=TRUE</formula>
    </cfRule>
  </conditionalFormatting>
  <conditionalFormatting sqref="F3:F5 F290:F389">
    <cfRule type="expression" dxfId="359" priority="149">
      <formula>$F3=template_label_missing_value</formula>
    </cfRule>
    <cfRule type="expression" dxfId="358" priority="148">
      <formula>$F3=template_label_ok</formula>
    </cfRule>
  </conditionalFormatting>
  <conditionalFormatting sqref="F6:F8">
    <cfRule type="expression" dxfId="357" priority="4">
      <formula>$F$6=template_label_error</formula>
    </cfRule>
    <cfRule type="expression" dxfId="356" priority="59">
      <formula>$F$6=template_label_value_inconsistency</formula>
    </cfRule>
    <cfRule type="expression" dxfId="355" priority="61">
      <formula>$F$6=template_label_ok</formula>
    </cfRule>
    <cfRule type="expression" dxfId="354" priority="62">
      <formula>$F$6=template_label_missing_value</formula>
    </cfRule>
  </conditionalFormatting>
  <conditionalFormatting sqref="F10">
    <cfRule type="expression" dxfId="353" priority="58">
      <formula>$F$10=template_label_error</formula>
    </cfRule>
    <cfRule type="expression" dxfId="352" priority="63">
      <formula>$F$10=template_label_missing_value</formula>
    </cfRule>
    <cfRule type="expression" dxfId="351" priority="64">
      <formula>$F$10=template_label_value_inconsistency</formula>
    </cfRule>
    <cfRule type="expression" dxfId="350" priority="65">
      <formula>$F$10=template_label_ok</formula>
    </cfRule>
  </conditionalFormatting>
  <conditionalFormatting sqref="F13:F14">
    <cfRule type="expression" dxfId="349" priority="66">
      <formula>$F13="MISSING VALUE"</formula>
    </cfRule>
    <cfRule type="expression" dxfId="348" priority="67">
      <formula>$F13="OK"</formula>
    </cfRule>
  </conditionalFormatting>
  <conditionalFormatting sqref="F18">
    <cfRule type="expression" dxfId="347" priority="90">
      <formula>$F$18=template_label_ok</formula>
    </cfRule>
  </conditionalFormatting>
  <conditionalFormatting sqref="F19:F119">
    <cfRule type="expression" dxfId="346" priority="87">
      <formula>$F19=template_label_missing_value</formula>
    </cfRule>
    <cfRule type="expression" dxfId="345" priority="9">
      <formula>$F19=template_label_value_inconsistency</formula>
    </cfRule>
    <cfRule type="expression" dxfId="344" priority="88">
      <formula>$F19=template_label_ok</formula>
    </cfRule>
  </conditionalFormatting>
  <conditionalFormatting sqref="F119">
    <cfRule type="expression" dxfId="343" priority="14">
      <formula>$F$119=template_label_invalid_url</formula>
    </cfRule>
  </conditionalFormatting>
  <conditionalFormatting sqref="F122">
    <cfRule type="expression" dxfId="342" priority="71">
      <formula>$F122=template_label_ok</formula>
    </cfRule>
    <cfRule type="expression" dxfId="341" priority="70">
      <formula>$F122=template_label_missing_value</formula>
    </cfRule>
  </conditionalFormatting>
  <conditionalFormatting sqref="F123">
    <cfRule type="expression" dxfId="340" priority="7">
      <formula>$F$123=template_label_value_inconsistency</formula>
    </cfRule>
    <cfRule type="expression" dxfId="339" priority="121">
      <formula>$F$123=template_label_ok</formula>
    </cfRule>
    <cfRule type="expression" dxfId="338" priority="120">
      <formula>$F$123=template_label_missing_value</formula>
    </cfRule>
  </conditionalFormatting>
  <conditionalFormatting sqref="F174">
    <cfRule type="expression" dxfId="337" priority="75">
      <formula>$F174="MISSING VALUE"</formula>
    </cfRule>
    <cfRule type="expression" dxfId="336" priority="8">
      <formula>$F174="VALUE INCONSISTENCY"</formula>
    </cfRule>
    <cfRule type="expression" dxfId="335" priority="76">
      <formula>$F174="OK"</formula>
    </cfRule>
  </conditionalFormatting>
  <conditionalFormatting sqref="F177">
    <cfRule type="expression" dxfId="334" priority="130">
      <formula>$F$177=template_label_ok</formula>
    </cfRule>
    <cfRule type="expression" dxfId="333" priority="153">
      <formula>$F$177=template_label_missing_value</formula>
    </cfRule>
  </conditionalFormatting>
  <conditionalFormatting sqref="F178">
    <cfRule type="expression" dxfId="332" priority="128">
      <formula>$F$178=template_label_missing_value</formula>
    </cfRule>
    <cfRule type="expression" dxfId="331" priority="129">
      <formula>$F$178=template_label_ok</formula>
    </cfRule>
  </conditionalFormatting>
  <conditionalFormatting sqref="F179">
    <cfRule type="expression" dxfId="330" priority="91">
      <formula>$F$179=template_label_missing_value</formula>
    </cfRule>
    <cfRule type="expression" dxfId="329" priority="92">
      <formula>$F$179=template_label_ok</formula>
    </cfRule>
  </conditionalFormatting>
  <conditionalFormatting sqref="F180">
    <cfRule type="expression" dxfId="328" priority="151">
      <formula>$F$180=template_label_missing_value</formula>
    </cfRule>
    <cfRule type="expression" dxfId="327" priority="43">
      <formula>$F$180=template_label_error</formula>
    </cfRule>
    <cfRule type="expression" dxfId="326" priority="6">
      <formula>$F$180=template_label_value_inconsistency</formula>
    </cfRule>
    <cfRule type="expression" dxfId="325" priority="150">
      <formula>$F$180=template_label_ok</formula>
    </cfRule>
  </conditionalFormatting>
  <conditionalFormatting sqref="F181:F279">
    <cfRule type="expression" dxfId="324" priority="5">
      <formula>$F181=template_label_value_inconsistency</formula>
    </cfRule>
    <cfRule type="expression" dxfId="323" priority="40">
      <formula>$F181=template_label_missing_value</formula>
    </cfRule>
    <cfRule type="expression" dxfId="322" priority="41">
      <formula>$F181=template_label_ok</formula>
    </cfRule>
    <cfRule type="expression" dxfId="321" priority="42">
      <formula>$F181=template_label_error</formula>
    </cfRule>
  </conditionalFormatting>
  <conditionalFormatting sqref="F280">
    <cfRule type="expression" dxfId="320" priority="137">
      <formula>$F$280=template_label_ok</formula>
    </cfRule>
    <cfRule type="expression" dxfId="319" priority="138">
      <formula>$F$280=template_label_missing_value</formula>
    </cfRule>
  </conditionalFormatting>
  <conditionalFormatting sqref="F281:F285">
    <cfRule type="expression" dxfId="318" priority="135">
      <formula>$F281=template_label_ok</formula>
    </cfRule>
    <cfRule type="expression" dxfId="317" priority="136">
      <formula>$F281=template_label_missing_value</formula>
    </cfRule>
  </conditionalFormatting>
  <conditionalFormatting sqref="F389">
    <cfRule type="expression" dxfId="316" priority="274">
      <formula>$F400="MISSING VALUE"</formula>
    </cfRule>
    <cfRule type="expression" dxfId="315" priority="275">
      <formula>$F400="OK"</formula>
    </cfRule>
  </conditionalFormatting>
  <conditionalFormatting sqref="G178">
    <cfRule type="expression" dxfId="314" priority="134">
      <formula>$G$178="Please specify the legal form in the row below"</formula>
    </cfRule>
  </conditionalFormatting>
  <conditionalFormatting sqref="H404:H503">
    <cfRule type="expression" dxfId="313" priority="15">
      <formula>$H$403=FALSE</formula>
    </cfRule>
  </conditionalFormatting>
  <conditionalFormatting sqref="H519:H521">
    <cfRule type="expression" dxfId="312" priority="16">
      <formula>$H519=template_label_missing_value</formula>
    </cfRule>
    <cfRule type="expression" dxfId="311" priority="17">
      <formula>$H519=template_label_ok</formula>
    </cfRule>
  </conditionalFormatting>
  <conditionalFormatting sqref="H525:H527 H529">
    <cfRule type="expression" dxfId="310" priority="103">
      <formula>$H525=template_label_missing_value</formula>
    </cfRule>
    <cfRule type="expression" dxfId="309" priority="102">
      <formula>$H525=template_label_ok</formula>
    </cfRule>
  </conditionalFormatting>
  <conditionalFormatting sqref="I395">
    <cfRule type="expression" dxfId="308" priority="86">
      <formula>$I$395=template_label_ok</formula>
    </cfRule>
    <cfRule type="expression" dxfId="307" priority="45">
      <formula>$I$395=template_label_missing_value</formula>
    </cfRule>
  </conditionalFormatting>
  <conditionalFormatting sqref="I404:I503">
    <cfRule type="expression" dxfId="306" priority="93">
      <formula>$I404=template_label_ok</formula>
    </cfRule>
    <cfRule type="expression" dxfId="305" priority="94">
      <formula>$I404=template_label_missing_value</formula>
    </cfRule>
  </conditionalFormatting>
  <conditionalFormatting sqref="I533">
    <cfRule type="expression" dxfId="304" priority="85">
      <formula>$I$533=template_label_ok</formula>
    </cfRule>
  </conditionalFormatting>
  <conditionalFormatting sqref="P510">
    <cfRule type="expression" dxfId="303" priority="26">
      <formula>$P$510=template_label_ok</formula>
    </cfRule>
    <cfRule type="expression" dxfId="302" priority="25">
      <formula>$P$510=template_label_missing_value</formula>
    </cfRule>
  </conditionalFormatting>
  <dataValidations xWindow="1485" yWindow="311" count="19">
    <dataValidation type="list" allowBlank="1" showInputMessage="1" showErrorMessage="1" sqref="E177" xr:uid="{4F13A5F9-E736-4E05-A233-B9B112EBE6A1}">
      <formula1>"Sustainability report prepared on an individual basis, Sustainability report prepared on a consolidated basis"</formula1>
    </dataValidation>
    <dataValidation type="list" allowBlank="1" showInputMessage="1" showErrorMessage="1" sqref="E284" xr:uid="{1DA6DC5E-36CE-4C4E-942D-7DCF7644718A}">
      <formula1>"Headcount, Full-time equivalent (FTE)"</formula1>
    </dataValidation>
    <dataValidation type="list" allowBlank="1" showInputMessage="1" showErrorMessage="1" sqref="G404:G503" xr:uid="{BE8F6A12-5C78-4D48-9F63-01FCA7AABD87}">
      <formula1>enum_ListCountriesName</formula1>
    </dataValidation>
    <dataValidation type="list" allowBlank="1" showInputMessage="1" showErrorMessage="1" sqref="E19:E118" xr:uid="{544D34CA-1630-49D5-B390-0FD7794F8530}">
      <formula1>enum_ListOmittedDisclosures</formula1>
    </dataValidation>
    <dataValidation type="decimal" operator="equal" allowBlank="1" showInputMessage="1" showErrorMessage="1" sqref="D515 E280:E282" xr:uid="{546D8560-FA10-4E3C-8848-2A7A25B13150}">
      <formula1>D280</formula1>
    </dataValidation>
    <dataValidation type="custom" showInputMessage="1" showErrorMessage="1" sqref="E528 I517:O523 E394 I394 C522:H523 C517:H517 H403 E18 C510:M511 N511 O511"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4"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3" xr:uid="{144F4C96-EADD-4F0D-816D-09334348F775}">
      <formula1>enum_employee_methodology</formula1>
    </dataValidation>
    <dataValidation type="custom" showInputMessage="1" showErrorMessage="1" sqref="K404:K503" xr:uid="{87B45667-2565-4DEE-8FB7-7B0AF6539C1C}">
      <formula1>LOWER(SUBSTITUTE(D404," ","+" )) &amp; "+" &amp; LOWER(SUBSTITUTE(E404," ","+" )) &amp; "+" &amp; LOWER(SUBSTITUTE(F404," ","+" )) &amp; "+" &amp; LOWER(SUBSTITUTE(G404,"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80:E279" xr:uid="{EDCACB96-AA7D-42B4-A79D-8DE45409D62B}">
      <formula1>enum_ListNACETechnicalName</formula1>
    </dataValidation>
    <dataValidation type="list" allowBlank="1" showInputMessage="1" showErrorMessage="1" sqref="E122" xr:uid="{A53B3E48-2249-4EB2-9109-724985498E91}">
      <formula1>enum_list_options</formula1>
    </dataValidation>
    <dataValidation type="list" showInputMessage="1" showErrorMessage="1" sqref="N510 O510" xr:uid="{5DF04EA5-4448-4B3D-8846-FBF18CEE3669}">
      <formula1>enum_list_true_false</formula1>
    </dataValidation>
  </dataValidations>
  <hyperlinks>
    <hyperlink ref="C17:E17" r:id="rId1" display="https://knowledgehub.efrag.org/eng/interactive/vsme/vsme-standard-annex-i/2025-07-30-ec-rec/16" xr:uid="{C6288B83-38FD-4709-9B33-F0054DEC3724}"/>
    <hyperlink ref="C288:E288" r:id="rId2" display="24(d)" xr:uid="{866DC784-0A33-4296-94DE-730486B814EB}"/>
    <hyperlink ref="C392:H392" r:id="rId3" display="https://knowledgehub.efrag.org/eng/interactive/vsme/vsme-standard-annex-i/2025-07-30-ec-rec/25" xr:uid="{54DF6562-5AB5-4BA2-84D3-3DDE9832AD7E}"/>
    <hyperlink ref="C393:H393" r:id="rId4" display="https://knowledgehub.efrag.org/eng/interactive/vsme/vsme-standard-annex-i/2025-07-30-ec-rec/13" xr:uid="{0A519FD0-994C-434D-97B2-E4682198F70F}"/>
    <hyperlink ref="C398:H398" r:id="rId5" display="24(e)(vii)" xr:uid="{B3308BD5-CB62-4F0C-87A6-146AA483697A}"/>
    <hyperlink ref="C506:O506" r:id="rId6" display="26-28" xr:uid="{63C6537F-D116-45BA-A6BC-D28D40439E04}"/>
    <hyperlink ref="C513:D513" r:id="rId7" display="https://knowledgehub.efrag.org/eng/interactive/vsme/vsme-standard-annex-i/2025-07-30-ec-rec/15" xr:uid="{09323354-C4EA-4502-9D95-6A9FF1C876C5}"/>
    <hyperlink ref="A519" r:id="rId8" display="https://knowledgehub.efrag.org/eng/interactive/vsme/vsme-standard-annex-i/2025-07-30-ec-rec/48" xr:uid="{C2A82C28-96C3-4BB8-BB11-D6F8F8783300}"/>
    <hyperlink ref="A521" r:id="rId9" display="https://knowledgehub.efrag.org/eng/interactive/vsme/vsme-standard-annex-i/2025-07-30-ec-rec/49" xr:uid="{BEFF9414-B88D-4969-AC2C-7198F9BF54DF}"/>
    <hyperlink ref="A525" r:id="rId10" xr:uid="{1807F717-62C6-49F3-AAA4-CBD56B0E8817}"/>
    <hyperlink ref="A526" r:id="rId11" xr:uid="{68E2248F-8336-4B33-93BE-B6AFC4D8A606}"/>
    <hyperlink ref="A527" r:id="rId12" xr:uid="{B2C9ED42-61E9-4195-BE3D-D938ABECECC0}"/>
    <hyperlink ref="A529" r:id="rId13" xr:uid="{FD94F833-4E92-4157-A52C-B66DD33CFE3F}"/>
    <hyperlink ref="B519" r:id="rId14" display="https://knowledgehub.efrag.org/eng/interactive/vsme/vsme-guidance-annex-ii/2025-07-30-ec-rec/149" xr:uid="{125D959B-6578-430D-BF85-54C9B2704275}"/>
    <hyperlink ref="B520" r:id="rId15" display="https://knowledgehub.efrag.org/eng/interactive/vsme/vsme-guidance-annex-ii/2025-07-30-ec-rec/149" xr:uid="{D656A360-3D1C-4FFD-A719-E6B3C37BD877}"/>
    <hyperlink ref="B521" r:id="rId16" display="https://knowledgehub.efrag.org/eng/interactive/vsme/vsme-guidance-annex-ii/2025-07-30-ec-rec/149" xr:uid="{1AA5D739-576A-432D-A91C-D7CC1E61F30C}"/>
    <hyperlink ref="B527" r:id="rId17" display="https://knowledgehub.efrag.org/eng/interactive/vsme/vsme-guidance-annex-ii/2025-07-30-ec-rec/148" xr:uid="{249A661B-7669-4870-801E-A4CBC1FDC22E}"/>
    <hyperlink ref="C532:H532" r:id="rId18" display="https://knowledgehub.efrag.org/eng/interactive/vsme/vsme-standard-annex-i/2025-07-30-ec-rec/10" xr:uid="{DBB21CE3-B530-4B4A-B29D-56B6FB6D3EC3}"/>
    <hyperlink ref="A122" r:id="rId19" xr:uid="{8EBCDC24-36DB-46B3-8D1D-9DCD530C843C}"/>
    <hyperlink ref="A123:A172" r:id="rId20" display="24(b)" xr:uid="{B917842C-2C60-41E9-89D2-8A2DBA36B4E9}"/>
    <hyperlink ref="A177" r:id="rId21" xr:uid="{ADECC625-0B55-465C-B2BD-5EFECF880BBA}"/>
    <hyperlink ref="A178:A179" r:id="rId22" display="24(e)(i)" xr:uid="{E1C27733-152F-4179-8EFF-F34BECD1BCEF}"/>
    <hyperlink ref="A180:A279" r:id="rId23" display="24(e)(ii)" xr:uid="{E2BB88AA-B51C-4158-88AB-A424BF457282}"/>
    <hyperlink ref="A280" r:id="rId24" xr:uid="{444C8ED6-E5B2-4BE8-B76D-993144E145B7}"/>
    <hyperlink ref="A281" r:id="rId25" xr:uid="{21550F72-CFC7-4DB9-A670-5EE464EE7763}"/>
    <hyperlink ref="A282" r:id="rId26" xr:uid="{7D723C6C-17E9-498C-9CAE-CA500D7388A6}"/>
    <hyperlink ref="A283:A284" r:id="rId27" display="24(e)(v)" xr:uid="{F0CC4088-4FB7-4D95-8911-C9DD4115210B}"/>
    <hyperlink ref="A285" r:id="rId28" xr:uid="{42045304-FF87-4AAF-A8C4-0F94F3B97279}"/>
    <hyperlink ref="C507:O507" r:id="rId29" display="14-16" xr:uid="{B4CE6D09-7A17-4026-9EDC-271388677413}"/>
    <hyperlink ref="B178:B179" r:id="rId30" display="https://knowledgehub.efrag.org/eng/interactive/vsme/vsme-guidance-annex-ii/2025-07-30-ec-rec/4" xr:uid="{2723B501-F4FB-472D-BAD1-E43FC3629F1A}"/>
    <hyperlink ref="B180:B279" r:id="rId31" display="5-6" xr:uid="{524BCD23-3896-4850-A5C9-870A36C4220C}"/>
    <hyperlink ref="B282" r:id="rId32" xr:uid="{C8D30604-CD9E-4853-A443-DF19EF5CE9A4}"/>
    <hyperlink ref="B283" r:id="rId33" xr:uid="{23FED8FD-34D7-43BB-AFA1-9337C851EB7D}"/>
    <hyperlink ref="B284" r:id="rId34" xr:uid="{14AA45CB-9EC4-40F8-9E9B-AD82EB25208E}"/>
    <hyperlink ref="B285" r:id="rId35" xr:uid="{A48D046E-7425-470E-9D49-B1203CD825B8}"/>
    <hyperlink ref="C399:H399" r:id="rId36" display=" 9-12" xr:uid="{22B60030-FAA1-4ACE-8EC1-D718C6969A55}"/>
    <hyperlink ref="A518:B518" r:id="rId37" display="https://www.efrag.org/en/vsme-supporting-guide-on-disclosure-c2-comprehensive-module-practices-policies-and-future" xr:uid="{D2E4A3E9-6027-4469-A94E-9710EE9048D6}"/>
  </hyperlinks>
  <pageMargins left="0.7" right="0.7" top="0.75" bottom="0.75" header="0.3" footer="0.3"/>
  <pageSetup paperSize="9" orientation="portrait" horizontalDpi="4294967293" verticalDpi="4294967293" r:id="rId38"/>
  <drawing r:id="rId39"/>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E285</xm:sqref>
        </x14:dataValidation>
        <x14:dataValidation type="list" allowBlank="1" showInputMessage="1" showErrorMessage="1" xr:uid="{386E27C7-13F7-4F0C-8DF1-6A82CC469E13}">
          <x14:formula1>
            <xm:f>'Enumeration Lists'!$J$2:$J$6</xm:f>
          </x14:formula1>
          <xm:sqref>E178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23.8867187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26" t="str">
        <f>template_label_paragraph_reference</f>
        <v>Paragraph Reference</v>
      </c>
      <c r="B1" s="226" t="str">
        <f>template_label_paragraph_guidance_reference</f>
        <v>Paragraph Guidance Reference</v>
      </c>
    </row>
    <row r="2" spans="1:13" ht="15" thickBot="1" x14ac:dyDescent="0.35">
      <c r="C2" s="627" t="str">
        <f>template_label_b3_total_energy_consumption&amp;" "&amp;template_label_from&amp;" "&amp;template_starting_date_display&amp;" "&amp;template_label_to&amp;" "&amp;template_ending_date_display&amp;" "&amp;template_label_always_to_be_reported</f>
        <v>B3 - Total Energy Consumption (in MWh) from 2025-01-01 to 2025-12-31 [Always to be reported]</v>
      </c>
      <c r="D2" s="740"/>
      <c r="E2" s="740"/>
      <c r="F2" s="740"/>
      <c r="G2" s="740"/>
      <c r="H2" s="740"/>
      <c r="I2" s="740"/>
      <c r="J2" s="740"/>
      <c r="K2" s="741"/>
    </row>
    <row r="3" spans="1:13" x14ac:dyDescent="0.3">
      <c r="C3" s="592">
        <v>29</v>
      </c>
      <c r="D3" s="608"/>
      <c r="E3" s="608"/>
      <c r="F3" s="608"/>
      <c r="G3" s="608"/>
      <c r="H3" s="608"/>
      <c r="I3" s="608"/>
      <c r="J3" s="608"/>
      <c r="K3" s="609"/>
    </row>
    <row r="4" spans="1:13" x14ac:dyDescent="0.3">
      <c r="C4" s="626" t="s">
        <v>46</v>
      </c>
      <c r="D4" s="590"/>
      <c r="E4" s="590"/>
      <c r="F4" s="590"/>
      <c r="G4" s="590"/>
      <c r="H4" s="590"/>
      <c r="I4" s="590"/>
      <c r="J4" s="590"/>
      <c r="K4" s="700"/>
    </row>
    <row r="5" spans="1:13" ht="15" thickBot="1" x14ac:dyDescent="0.35">
      <c r="C5" s="751" t="str">
        <f>template_label_total_energy_consumption</f>
        <v>Total Energy Consumption</v>
      </c>
      <c r="D5" s="752"/>
      <c r="E5" s="752"/>
      <c r="F5" s="752"/>
      <c r="G5" s="769">
        <v>250</v>
      </c>
      <c r="H5" s="769"/>
      <c r="I5" s="769"/>
      <c r="J5" s="769"/>
      <c r="K5" s="770"/>
      <c r="L5" s="16" t="str">
        <f>IF(OR(
'Table of Contents &amp; Validation'!D20=TRUE, 'Table of Contents &amp; Validation'!D19=TRUE),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OK</v>
      </c>
    </row>
    <row r="6" spans="1:13" ht="15" thickBot="1" x14ac:dyDescent="0.35"/>
    <row r="7" spans="1:13" ht="15" thickBot="1" x14ac:dyDescent="0.35">
      <c r="C7" s="634" t="str">
        <f>template_label_b3_breakdown_of_energy_consumption&amp;" "&amp;template_label_from&amp;" "&amp;template_starting_date_display&amp;" "&amp;template_label_to&amp;" "&amp;template_ending_date_display&amp;" "&amp;template_label_if_applicable</f>
        <v>B3 - Breakdown of energy consumption (in MWh) from 2025-01-01 to 2025-12-31 [If applicable]</v>
      </c>
      <c r="D7" s="671"/>
      <c r="E7" s="671"/>
      <c r="F7" s="671"/>
      <c r="G7" s="671"/>
      <c r="H7" s="671"/>
      <c r="I7" s="671"/>
      <c r="J7" s="671"/>
      <c r="K7" s="672"/>
    </row>
    <row r="8" spans="1:13" x14ac:dyDescent="0.3">
      <c r="C8" s="592">
        <v>29</v>
      </c>
      <c r="D8" s="608"/>
      <c r="E8" s="608"/>
      <c r="F8" s="608"/>
      <c r="G8" s="608"/>
      <c r="H8" s="608"/>
      <c r="I8" s="608"/>
      <c r="J8" s="608"/>
      <c r="K8" s="609"/>
    </row>
    <row r="9" spans="1:13" x14ac:dyDescent="0.3">
      <c r="C9" s="626" t="s">
        <v>46</v>
      </c>
      <c r="D9" s="590"/>
      <c r="E9" s="590"/>
      <c r="F9" s="590"/>
      <c r="G9" s="590"/>
      <c r="H9" s="590"/>
      <c r="I9" s="590"/>
      <c r="J9" s="590"/>
      <c r="K9" s="700"/>
    </row>
    <row r="10" spans="1:13" x14ac:dyDescent="0.3">
      <c r="C10" s="727" t="str">
        <f>template_label_has_the_undertaking_obtained_the_necessary_information_to_provide_an_energy_consumption_breakdown</f>
        <v>Has the undertaking obtained the necessary information to provide an energy consumption breakdown?</v>
      </c>
      <c r="D10" s="728"/>
      <c r="E10" s="728"/>
      <c r="F10" s="728"/>
      <c r="G10" s="729" t="b">
        <v>1</v>
      </c>
      <c r="H10" s="729"/>
      <c r="I10" s="729"/>
      <c r="J10" s="729"/>
      <c r="K10" s="730"/>
    </row>
    <row r="11" spans="1:13" ht="38.700000000000003" customHeight="1" x14ac:dyDescent="0.3">
      <c r="C11" s="784"/>
      <c r="D11" s="785"/>
      <c r="E11" s="785"/>
      <c r="F11" s="785"/>
      <c r="G11" s="765" t="str">
        <f>template_label_renewable</f>
        <v>Renewable</v>
      </c>
      <c r="H11" s="766"/>
      <c r="I11" s="766"/>
      <c r="J11" s="98" t="str">
        <f>template_label_non_renewable</f>
        <v>Non-renewable</v>
      </c>
      <c r="K11" s="99" t="str">
        <f>template_label_total_renewable_and_nonrenewable</f>
        <v>Total renewable and non-renewable</v>
      </c>
      <c r="L11" s="16"/>
    </row>
    <row r="12" spans="1:13" x14ac:dyDescent="0.3">
      <c r="C12" s="753" t="str">
        <f>template_label_electricity</f>
        <v>Electricity (as reflected in utility billings)</v>
      </c>
      <c r="D12" s="754"/>
      <c r="E12" s="754"/>
      <c r="F12" s="755"/>
      <c r="G12" s="759">
        <v>0</v>
      </c>
      <c r="H12" s="760"/>
      <c r="I12" s="761"/>
      <c r="J12" s="229">
        <v>100</v>
      </c>
      <c r="K12" s="260">
        <f>IF(AND(G12="",J12=""),"-",SUM(G12:J12))</f>
        <v>100</v>
      </c>
      <c r="L12" s="714" t="str" cm="1">
        <f t="array" ref="L12">IF(G10=TRUE,
    IF(SUMPRODUCT(--(G12:J14&lt;&gt;"-"), --(G12:J14&lt;&gt;""))&gt;0,
        IF(SUM(G12:J14) &gt; TotalEnergyConsumption, template_label_value_inconsistency, template_label_ok),
        template_label_missing_value),
"")</f>
        <v>OK</v>
      </c>
    </row>
    <row r="13" spans="1:13" x14ac:dyDescent="0.3">
      <c r="C13" s="756" t="str">
        <f>template_label_selfgenerated_electricity</f>
        <v>Self-generated electricity</v>
      </c>
      <c r="D13" s="757"/>
      <c r="E13" s="757"/>
      <c r="F13" s="758"/>
      <c r="G13" s="759">
        <v>23</v>
      </c>
      <c r="H13" s="760"/>
      <c r="I13" s="761"/>
      <c r="J13" s="229">
        <v>20</v>
      </c>
      <c r="K13" s="260">
        <f>IF(AND(G13="",J13=""),"-",SUM(G13:J13))</f>
        <v>43</v>
      </c>
      <c r="L13" s="714"/>
    </row>
    <row r="14" spans="1:13" ht="15" thickBot="1" x14ac:dyDescent="0.35">
      <c r="C14" s="786" t="str">
        <f>template_label_fuels</f>
        <v>Fuels (see Fuel Converter on Fuels worksheet)</v>
      </c>
      <c r="D14" s="787"/>
      <c r="E14" s="787"/>
      <c r="F14" s="788"/>
      <c r="G14" s="762">
        <f>IF('Fuel Converter'!D23=TRUE, 'Fuel Converter'!A32, "-")</f>
        <v>6.3750051000000001</v>
      </c>
      <c r="H14" s="763"/>
      <c r="I14" s="764"/>
      <c r="J14" s="230">
        <f>IF('Fuel Converter'!D23=TRUE, 'Fuel Converter'!B32, "-")</f>
        <v>10.03334136</v>
      </c>
      <c r="K14" s="261">
        <f>IF(AND(G14="-",J14="-"),"-",SUM(G14:J14))</f>
        <v>16.408346460000001</v>
      </c>
      <c r="L14" s="714"/>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thickBot="1" x14ac:dyDescent="0.35">
      <c r="C16" s="597" t="str">
        <f>template_label_b3_estimated_greenhouse_gas_emissions&amp; " "&amp;template_label_always_to_be_reported</f>
        <v>B3 - Estimated Greenhouse Gas Emissions considering the GHG Protocol Version 2004 (in tCO2e) [Always to be reported]</v>
      </c>
      <c r="D16" s="746"/>
      <c r="E16" s="746"/>
      <c r="F16" s="747"/>
      <c r="G16" s="748" t="str">
        <f>template_label_c3_ghg_reduction_targets&amp;" "&amp;template_label_if_applicable</f>
        <v>C3 - GHG reduction targets (in tC02e) [If applicable]</v>
      </c>
      <c r="H16" s="749"/>
      <c r="I16" s="749"/>
      <c r="J16" s="749"/>
      <c r="K16" s="750"/>
    </row>
    <row r="17" spans="1:21" x14ac:dyDescent="0.3">
      <c r="C17" s="592">
        <v>30</v>
      </c>
      <c r="D17" s="608"/>
      <c r="E17" s="608"/>
      <c r="F17" s="609"/>
      <c r="G17" s="767" t="s">
        <v>47</v>
      </c>
      <c r="H17" s="608"/>
      <c r="I17" s="608"/>
      <c r="J17" s="403" t="s">
        <v>48</v>
      </c>
      <c r="K17" s="404" t="s">
        <v>49</v>
      </c>
    </row>
    <row r="18" spans="1:21" x14ac:dyDescent="0.3">
      <c r="C18" s="406" t="s">
        <v>10</v>
      </c>
      <c r="D18" s="590" t="s">
        <v>50</v>
      </c>
      <c r="E18" s="590"/>
      <c r="F18" s="700"/>
      <c r="G18" s="768" t="s">
        <v>51</v>
      </c>
      <c r="H18" s="590"/>
      <c r="I18" s="590"/>
      <c r="J18" s="391" t="s">
        <v>51</v>
      </c>
      <c r="K18" s="393" t="s">
        <v>51</v>
      </c>
    </row>
    <row r="19" spans="1:21" ht="30" customHeight="1" x14ac:dyDescent="0.3">
      <c r="C19" s="789"/>
      <c r="D19" s="790"/>
      <c r="E19" s="790"/>
      <c r="F19" s="791"/>
      <c r="G19" s="725" t="str">
        <f>template_label_has_the_undertaking_has_established_ghg_emission_reduction_targets</f>
        <v>Has  the undertaking has established GHG emission reduction targets?</v>
      </c>
      <c r="H19" s="726"/>
      <c r="I19" s="726"/>
      <c r="J19" s="155" t="b">
        <v>1</v>
      </c>
      <c r="K19" s="102"/>
    </row>
    <row r="20" spans="1:21" ht="28.8" x14ac:dyDescent="0.3">
      <c r="C20" s="100"/>
      <c r="D20" s="772" t="str">
        <f>template_label_current_reporting_period</f>
        <v>Current Reporting Period</v>
      </c>
      <c r="E20" s="772"/>
      <c r="F20" s="795"/>
      <c r="G20" s="771" t="str">
        <f>template_label_base_year</f>
        <v>Base Year</v>
      </c>
      <c r="H20" s="772"/>
      <c r="I20" s="772"/>
      <c r="J20" s="6" t="str">
        <f>template_label_target_year</f>
        <v>Target Year</v>
      </c>
      <c r="K20" s="53" t="str">
        <f>template_label_percentage_reduction_from_base_year</f>
        <v>Percentage reduction from base year</v>
      </c>
    </row>
    <row r="21" spans="1:21" x14ac:dyDescent="0.3">
      <c r="A21" s="702" t="str">
        <f>template_label_GHG_calculator</f>
        <v>ℹ️ Check EFRAG website for a non-exhaustive list of GHG calculators.</v>
      </c>
      <c r="B21" s="702"/>
      <c r="C21" s="4" t="str">
        <f>template_label_year_date</f>
        <v>Year (date)</v>
      </c>
      <c r="D21" s="796" t="str">
        <f>IF('General Information'!$D$9="", "-", 'General Information'!$D$9) &amp; "  -  " &amp; IF('General Information'!$D$13="", "-", 'General Information'!$D$13)</f>
        <v>2025-01-01  -  2025-12-31</v>
      </c>
      <c r="E21" s="796"/>
      <c r="F21" s="797"/>
      <c r="G21" s="773">
        <v>2020</v>
      </c>
      <c r="H21" s="774"/>
      <c r="I21" s="774"/>
      <c r="J21" s="129">
        <v>2030</v>
      </c>
      <c r="K21" s="102"/>
      <c r="L21" s="16" t="str">
        <f>IF(AND(J19=TRUE, G21&lt;&gt;"", J21&lt;&gt;""), template_label_ok,
IF(AND(J19=TRUE, G21="", J21=""), template_label_missing_value,
IF(AND(J19=FALSE, G21="", J21=""), "",
IF(AND(J19=TRUE, OR(G21="", J21="")), template_label_missing_value, ""))))</f>
        <v>OK</v>
      </c>
    </row>
    <row r="22" spans="1:21" x14ac:dyDescent="0.3">
      <c r="A22" s="702"/>
      <c r="B22" s="702"/>
      <c r="C22" s="4" t="str">
        <f>template_label_gross_scope_1_ghg_emissions</f>
        <v>Gross Scope 1 GHG Emissions</v>
      </c>
      <c r="D22" s="718">
        <v>100</v>
      </c>
      <c r="E22" s="718"/>
      <c r="F22" s="719"/>
      <c r="G22" s="761">
        <v>150</v>
      </c>
      <c r="H22" s="775"/>
      <c r="I22" s="775"/>
      <c r="J22" s="229">
        <v>75</v>
      </c>
      <c r="K22" s="103">
        <f>IF(AND(G22="", J22=""), "-", IFERROR(-(1 - (J22 / G22)), "-"))</f>
        <v>-0.5</v>
      </c>
      <c r="L22" s="16" t="str">
        <f>IF(OR(
'Table of Contents &amp; Validation'!D22=TRUE,'Table of Contents &amp; Validation'!D19=TRUE),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OK</v>
      </c>
    </row>
    <row r="23" spans="1:21" x14ac:dyDescent="0.3">
      <c r="A23" s="702"/>
      <c r="B23" s="702"/>
      <c r="C23" s="4" t="str">
        <f>template_label_gross_scope_2_location_based_ghg_emissions</f>
        <v>Gross Scope 2 location-based GHG Emissions</v>
      </c>
      <c r="D23" s="718">
        <v>50</v>
      </c>
      <c r="E23" s="718"/>
      <c r="F23" s="719"/>
      <c r="G23" s="761">
        <v>75</v>
      </c>
      <c r="H23" s="775"/>
      <c r="I23" s="775"/>
      <c r="J23" s="229">
        <v>15</v>
      </c>
      <c r="K23" s="103">
        <f t="shared" ref="K23:K26" si="0">IF(AND(G23="", J23=""), "-", IFERROR(-(1 - (J23 / G23)), "-"))</f>
        <v>-0.8</v>
      </c>
      <c r="L23" s="16" t="str">
        <f>IF(OR(
'Table of Contents &amp; Validation'!D22=TRUE,'Table of Contents &amp; Validation'!D19=TRUE),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OK</v>
      </c>
    </row>
    <row r="24" spans="1:21" x14ac:dyDescent="0.3">
      <c r="A24" s="702"/>
      <c r="B24" s="702"/>
      <c r="C24" s="4" t="str">
        <f>template_label_gross_scope_2_market_based_ghg_emissions &amp; " - " &amp; template_label_may_not_headline</f>
        <v>Gross scope 2 market-based GHG Emissions - May (optional)</v>
      </c>
      <c r="D24" s="718"/>
      <c r="E24" s="718"/>
      <c r="F24" s="719"/>
      <c r="G24" s="761"/>
      <c r="H24" s="775"/>
      <c r="I24" s="775"/>
      <c r="J24" s="229"/>
      <c r="K24" s="103" t="str">
        <f t="shared" si="0"/>
        <v>-</v>
      </c>
      <c r="L24" s="16" t="str">
        <f>IF(D24&lt;&gt;"",
    IF(AND(G24="", J24=""), template_label_ok,
       IF(AND(G24&lt;&gt;"", J24=""), template_label_missing_value, template_label_ok)
    ),
"")</f>
        <v/>
      </c>
    </row>
    <row r="25" spans="1:21" x14ac:dyDescent="0.3">
      <c r="A25" s="702"/>
      <c r="B25" s="702"/>
      <c r="C25" s="4" t="str">
        <f>template_label_total_scope_1_and_scope_2_ghg_emissions_location_based</f>
        <v>Total Scope 1 and Scope 2 GHG Emissions (location-based)</v>
      </c>
      <c r="D25" s="721">
        <f>IF(AND(D22="",D23=""),"-",SUM(D22,D23))</f>
        <v>150</v>
      </c>
      <c r="E25" s="721"/>
      <c r="F25" s="722"/>
      <c r="G25" s="866">
        <f>IF(AND(G22="",G23=""),"-",SUM(G22,G23))</f>
        <v>225</v>
      </c>
      <c r="H25" s="721"/>
      <c r="I25" s="721"/>
      <c r="J25" s="405">
        <f>IF(AND(J22="",J23=""),"-",SUM(J22,J23))</f>
        <v>90</v>
      </c>
      <c r="K25" s="103">
        <f t="shared" si="0"/>
        <v>-0.6</v>
      </c>
    </row>
    <row r="26" spans="1:21" ht="15" thickBot="1" x14ac:dyDescent="0.35">
      <c r="A26" s="702"/>
      <c r="B26" s="702"/>
      <c r="C26" s="55" t="str">
        <f>template_label_total_scope_1_and_scope_2_ghg_emissions_market_based &amp; " - " &amp; template_label_may_not_headline</f>
        <v>Total Scope 1 and Scope 2 GHG emissions  (market-based) - May (optional)</v>
      </c>
      <c r="D26" s="723" t="str">
        <f>IF(OR(D22="",D24=""),"-",SUM(D22,D24))</f>
        <v>-</v>
      </c>
      <c r="E26" s="723"/>
      <c r="F26" s="724"/>
      <c r="G26" s="867" t="str">
        <f>IF(OR(G22="",G24=""),"-",SUM(G22,G24))</f>
        <v>-</v>
      </c>
      <c r="H26" s="723"/>
      <c r="I26" s="723"/>
      <c r="J26" s="407" t="str">
        <f>IF(OR(J22="",J24=""),"-",SUM(J22,J24))</f>
        <v>-</v>
      </c>
      <c r="K26" s="408" t="str">
        <f t="shared" si="0"/>
        <v>-</v>
      </c>
    </row>
    <row r="27" spans="1:21" x14ac:dyDescent="0.3">
      <c r="C27" s="847" t="s">
        <v>52</v>
      </c>
      <c r="D27" s="777"/>
      <c r="E27" s="777"/>
      <c r="F27" s="848"/>
      <c r="G27" s="776">
        <v>54</v>
      </c>
      <c r="H27" s="777"/>
      <c r="I27" s="777"/>
      <c r="J27" s="777"/>
      <c r="K27" s="104"/>
    </row>
    <row r="28" spans="1:21" x14ac:dyDescent="0.3">
      <c r="C28" s="406" t="s">
        <v>10</v>
      </c>
      <c r="D28" s="590" t="s">
        <v>53</v>
      </c>
      <c r="E28" s="590"/>
      <c r="F28" s="700"/>
      <c r="G28" s="779" t="s">
        <v>10</v>
      </c>
      <c r="H28" s="780"/>
      <c r="I28" s="780"/>
      <c r="J28" s="390" t="s">
        <v>10</v>
      </c>
      <c r="K28" s="409"/>
    </row>
    <row r="29" spans="1:21" ht="22.2" customHeight="1" x14ac:dyDescent="0.3">
      <c r="C29" s="792" t="str">
        <f>template_label_is_the_undertaking_disclosing_entity_specific_information_on_scope_3_emissions</f>
        <v>Is the undertaking disclosing entity-specific information on Scope 3 emissions (in tCO2e)?</v>
      </c>
      <c r="D29" s="793"/>
      <c r="E29" s="793"/>
      <c r="F29" s="794"/>
      <c r="G29" s="778" t="b">
        <v>1</v>
      </c>
      <c r="H29" s="729"/>
      <c r="I29" s="729"/>
      <c r="J29" s="729"/>
      <c r="K29" s="730"/>
    </row>
    <row r="30" spans="1:21" ht="14.7" customHeight="1" x14ac:dyDescent="0.3">
      <c r="C30" s="97" t="str">
        <f>template_label_1_purchased_goods_and_services</f>
        <v>1. Purchased Goods and Services</v>
      </c>
      <c r="D30" s="689">
        <v>200</v>
      </c>
      <c r="E30" s="689"/>
      <c r="F30" s="717"/>
      <c r="G30" s="713">
        <v>300</v>
      </c>
      <c r="H30" s="689"/>
      <c r="I30" s="689"/>
      <c r="J30" s="233">
        <v>100</v>
      </c>
      <c r="K30" s="256">
        <f>IF(OR(G30="", J30=""), "-", IFERROR(-(1 - (J30 / G30)), "-"))</f>
        <v>-0.66666666666666674</v>
      </c>
      <c r="L30" s="714" t="str" cm="1">
        <f t="array" ref="L30">IF(
   OR(
      SUMPRODUCT((G30:G44&lt;&gt;"")*(J30:J44="")) &gt; 0,
      SUMPRODUCT((J30:J44&lt;&gt;"")*(G30:G44="")) &gt; 0
   ),
   template_label_missing_value,
   IF(
      AND(G29=TRUE, COUNTA(D30:F44)=0),
      template_label_missing_value,
      IF(G29=FALSE, "", template_label_ok)
   )
)</f>
        <v>OK</v>
      </c>
      <c r="M30" s="603"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603"/>
      <c r="O30" s="603"/>
      <c r="P30" s="603"/>
      <c r="Q30" s="603"/>
      <c r="R30" s="603"/>
      <c r="S30" s="603"/>
      <c r="T30" s="603"/>
      <c r="U30" s="603"/>
    </row>
    <row r="31" spans="1:21" x14ac:dyDescent="0.3">
      <c r="C31" s="97" t="str">
        <f>template_label_2_capital_goods</f>
        <v>2. Capital Goods</v>
      </c>
      <c r="D31" s="689"/>
      <c r="E31" s="689"/>
      <c r="F31" s="717"/>
      <c r="G31" s="713"/>
      <c r="H31" s="689"/>
      <c r="I31" s="689"/>
      <c r="J31" s="233"/>
      <c r="K31" s="256" t="str">
        <f t="shared" ref="K31:K44" si="1">IF(OR(G31="", J31=""), "-", IFERROR(-(1 - (J31 / G31)), "-"))</f>
        <v>-</v>
      </c>
      <c r="L31" s="714"/>
      <c r="M31" s="603"/>
      <c r="N31" s="603"/>
      <c r="O31" s="603"/>
      <c r="P31" s="603"/>
      <c r="Q31" s="603"/>
      <c r="R31" s="603"/>
      <c r="S31" s="603"/>
      <c r="T31" s="603"/>
      <c r="U31" s="603"/>
    </row>
    <row r="32" spans="1:21" x14ac:dyDescent="0.3">
      <c r="C32" s="97" t="str">
        <f>template_label_3_fuel__and_energy_related_activities</f>
        <v>3. Fuel- and Energy-Related Activities (Not Included in Scope 1 or Scope 2)</v>
      </c>
      <c r="D32" s="689"/>
      <c r="E32" s="689"/>
      <c r="F32" s="717"/>
      <c r="G32" s="713"/>
      <c r="H32" s="689"/>
      <c r="I32" s="689"/>
      <c r="J32" s="233"/>
      <c r="K32" s="256" t="str">
        <f t="shared" si="1"/>
        <v>-</v>
      </c>
      <c r="L32" s="714"/>
      <c r="M32" s="603"/>
      <c r="N32" s="603"/>
      <c r="O32" s="603"/>
      <c r="P32" s="603"/>
      <c r="Q32" s="603"/>
      <c r="R32" s="603"/>
      <c r="S32" s="603"/>
      <c r="T32" s="603"/>
      <c r="U32" s="603"/>
    </row>
    <row r="33" spans="3:21" x14ac:dyDescent="0.3">
      <c r="C33" s="97" t="str">
        <f>template_label_4_upstream_transportation_and_distribution</f>
        <v>4. Upstream Transportation and Distribution</v>
      </c>
      <c r="D33" s="689"/>
      <c r="E33" s="689"/>
      <c r="F33" s="717"/>
      <c r="G33" s="713"/>
      <c r="H33" s="689"/>
      <c r="I33" s="689"/>
      <c r="J33" s="233"/>
      <c r="K33" s="256" t="str">
        <f t="shared" si="1"/>
        <v>-</v>
      </c>
      <c r="L33" s="714"/>
      <c r="M33" s="603"/>
      <c r="N33" s="603"/>
      <c r="O33" s="603"/>
      <c r="P33" s="603"/>
      <c r="Q33" s="603"/>
      <c r="R33" s="603"/>
      <c r="S33" s="603"/>
      <c r="T33" s="603"/>
      <c r="U33" s="603"/>
    </row>
    <row r="34" spans="3:21" x14ac:dyDescent="0.3">
      <c r="C34" s="97" t="str">
        <f>template_label_5_waste_generated_in_operations</f>
        <v>5. Waste Generated in Operations</v>
      </c>
      <c r="D34" s="689"/>
      <c r="E34" s="689"/>
      <c r="F34" s="717"/>
      <c r="G34" s="713"/>
      <c r="H34" s="689"/>
      <c r="I34" s="689"/>
      <c r="J34" s="233"/>
      <c r="K34" s="256" t="str">
        <f t="shared" si="1"/>
        <v>-</v>
      </c>
      <c r="L34" s="714"/>
      <c r="M34" s="603"/>
      <c r="N34" s="603"/>
      <c r="O34" s="603"/>
      <c r="P34" s="603"/>
      <c r="Q34" s="603"/>
      <c r="R34" s="603"/>
      <c r="S34" s="603"/>
      <c r="T34" s="603"/>
      <c r="U34" s="603"/>
    </row>
    <row r="35" spans="3:21" x14ac:dyDescent="0.3">
      <c r="C35" s="97" t="str">
        <f>template_label_6_business_travel</f>
        <v>6. Business Travel</v>
      </c>
      <c r="D35" s="689"/>
      <c r="E35" s="689"/>
      <c r="F35" s="717"/>
      <c r="G35" s="713"/>
      <c r="H35" s="689"/>
      <c r="I35" s="689"/>
      <c r="J35" s="233"/>
      <c r="K35" s="256" t="str">
        <f t="shared" si="1"/>
        <v>-</v>
      </c>
      <c r="L35" s="714"/>
      <c r="M35" s="603"/>
      <c r="N35" s="603"/>
      <c r="O35" s="603"/>
      <c r="P35" s="603"/>
      <c r="Q35" s="603"/>
      <c r="R35" s="603"/>
      <c r="S35" s="603"/>
      <c r="T35" s="603"/>
      <c r="U35" s="603"/>
    </row>
    <row r="36" spans="3:21" x14ac:dyDescent="0.3">
      <c r="C36" s="97" t="str">
        <f>template_label_7_employee_commuting</f>
        <v>7. Employee Commuting</v>
      </c>
      <c r="D36" s="689"/>
      <c r="E36" s="689"/>
      <c r="F36" s="717"/>
      <c r="G36" s="713"/>
      <c r="H36" s="689"/>
      <c r="I36" s="689"/>
      <c r="J36" s="233"/>
      <c r="K36" s="256" t="str">
        <f t="shared" si="1"/>
        <v>-</v>
      </c>
      <c r="L36" s="714"/>
      <c r="M36" s="603"/>
      <c r="N36" s="603"/>
      <c r="O36" s="603"/>
      <c r="P36" s="603"/>
      <c r="Q36" s="603"/>
      <c r="R36" s="603"/>
      <c r="S36" s="603"/>
      <c r="T36" s="603"/>
      <c r="U36" s="603"/>
    </row>
    <row r="37" spans="3:21" x14ac:dyDescent="0.3">
      <c r="C37" s="97" t="str">
        <f>template_label_8_upstream_leased_assets</f>
        <v>8. Upstream Leased Assets</v>
      </c>
      <c r="D37" s="689"/>
      <c r="E37" s="689"/>
      <c r="F37" s="717"/>
      <c r="G37" s="713"/>
      <c r="H37" s="689"/>
      <c r="I37" s="689"/>
      <c r="J37" s="233"/>
      <c r="K37" s="256" t="str">
        <f t="shared" si="1"/>
        <v>-</v>
      </c>
      <c r="L37" s="714"/>
      <c r="M37" s="603"/>
      <c r="N37" s="603"/>
      <c r="O37" s="603"/>
      <c r="P37" s="603"/>
      <c r="Q37" s="603"/>
      <c r="R37" s="603"/>
      <c r="S37" s="603"/>
      <c r="T37" s="603"/>
      <c r="U37" s="603"/>
    </row>
    <row r="38" spans="3:21" x14ac:dyDescent="0.3">
      <c r="C38" s="97" t="str">
        <f>template_label_9_downstream_transportation_and_distribution</f>
        <v>9. Downstream Transportation and Distribution</v>
      </c>
      <c r="D38" s="689"/>
      <c r="E38" s="689"/>
      <c r="F38" s="717"/>
      <c r="G38" s="713"/>
      <c r="H38" s="689"/>
      <c r="I38" s="689"/>
      <c r="J38" s="233"/>
      <c r="K38" s="256" t="str">
        <f t="shared" si="1"/>
        <v>-</v>
      </c>
      <c r="L38" s="714"/>
      <c r="M38" s="603"/>
      <c r="N38" s="603"/>
      <c r="O38" s="603"/>
      <c r="P38" s="603"/>
      <c r="Q38" s="603"/>
      <c r="R38" s="603"/>
      <c r="S38" s="603"/>
      <c r="T38" s="603"/>
      <c r="U38" s="603"/>
    </row>
    <row r="39" spans="3:21" x14ac:dyDescent="0.3">
      <c r="C39" s="97" t="str">
        <f>template_label_10_processing_of_sold_products</f>
        <v>10. Processing of Sold Products</v>
      </c>
      <c r="D39" s="689"/>
      <c r="E39" s="689"/>
      <c r="F39" s="717"/>
      <c r="G39" s="713"/>
      <c r="H39" s="689"/>
      <c r="I39" s="689"/>
      <c r="J39" s="233"/>
      <c r="K39" s="256" t="str">
        <f t="shared" si="1"/>
        <v>-</v>
      </c>
      <c r="L39" s="714"/>
      <c r="M39" s="603"/>
      <c r="N39" s="603"/>
      <c r="O39" s="603"/>
      <c r="P39" s="603"/>
      <c r="Q39" s="603"/>
      <c r="R39" s="603"/>
      <c r="S39" s="603"/>
      <c r="T39" s="603"/>
      <c r="U39" s="603"/>
    </row>
    <row r="40" spans="3:21" x14ac:dyDescent="0.3">
      <c r="C40" s="97" t="str">
        <f>template_label_11_use_of_sold_products</f>
        <v>11. Use of Sold Products</v>
      </c>
      <c r="D40" s="689"/>
      <c r="E40" s="689"/>
      <c r="F40" s="717"/>
      <c r="G40" s="713"/>
      <c r="H40" s="689"/>
      <c r="I40" s="689"/>
      <c r="J40" s="233"/>
      <c r="K40" s="256" t="str">
        <f t="shared" si="1"/>
        <v>-</v>
      </c>
      <c r="L40" s="714"/>
      <c r="M40" s="603"/>
      <c r="N40" s="603"/>
      <c r="O40" s="603"/>
      <c r="P40" s="603"/>
      <c r="Q40" s="603"/>
      <c r="R40" s="603"/>
      <c r="S40" s="603"/>
      <c r="T40" s="603"/>
      <c r="U40" s="603"/>
    </row>
    <row r="41" spans="3:21" x14ac:dyDescent="0.3">
      <c r="C41" s="97" t="str">
        <f>template_label_12_end_of_life_treatment_of_sold_products</f>
        <v>12. End-of-Life Treatment of Sold Products</v>
      </c>
      <c r="D41" s="689"/>
      <c r="E41" s="689"/>
      <c r="F41" s="717"/>
      <c r="G41" s="713"/>
      <c r="H41" s="689"/>
      <c r="I41" s="689"/>
      <c r="J41" s="233"/>
      <c r="K41" s="256" t="str">
        <f t="shared" si="1"/>
        <v>-</v>
      </c>
      <c r="L41" s="714"/>
      <c r="M41" s="603"/>
      <c r="N41" s="603"/>
      <c r="O41" s="603"/>
      <c r="P41" s="603"/>
      <c r="Q41" s="603"/>
      <c r="R41" s="603"/>
      <c r="S41" s="603"/>
      <c r="T41" s="603"/>
      <c r="U41" s="603"/>
    </row>
    <row r="42" spans="3:21" x14ac:dyDescent="0.3">
      <c r="C42" s="97" t="str">
        <f>template_label_13_downstream_leased_assets</f>
        <v>13. Downstream Leased Assets</v>
      </c>
      <c r="D42" s="689"/>
      <c r="E42" s="689"/>
      <c r="F42" s="717"/>
      <c r="G42" s="713"/>
      <c r="H42" s="689"/>
      <c r="I42" s="689"/>
      <c r="J42" s="233"/>
      <c r="K42" s="256" t="str">
        <f t="shared" si="1"/>
        <v>-</v>
      </c>
      <c r="L42" s="714"/>
      <c r="M42" s="603"/>
      <c r="N42" s="603"/>
      <c r="O42" s="603"/>
      <c r="P42" s="603"/>
      <c r="Q42" s="603"/>
      <c r="R42" s="603"/>
      <c r="S42" s="603"/>
      <c r="T42" s="603"/>
      <c r="U42" s="603"/>
    </row>
    <row r="43" spans="3:21" x14ac:dyDescent="0.3">
      <c r="C43" s="97" t="str">
        <f>template_label_14_franchises</f>
        <v>14. Franchises</v>
      </c>
      <c r="D43" s="689"/>
      <c r="E43" s="689"/>
      <c r="F43" s="717"/>
      <c r="G43" s="713"/>
      <c r="H43" s="689"/>
      <c r="I43" s="689"/>
      <c r="J43" s="233"/>
      <c r="K43" s="256" t="str">
        <f t="shared" si="1"/>
        <v>-</v>
      </c>
      <c r="L43" s="714"/>
      <c r="M43" s="603"/>
      <c r="N43" s="603"/>
      <c r="O43" s="603"/>
      <c r="P43" s="603"/>
      <c r="Q43" s="603"/>
      <c r="R43" s="603"/>
      <c r="S43" s="603"/>
      <c r="T43" s="603"/>
      <c r="U43" s="603"/>
    </row>
    <row r="44" spans="3:21" x14ac:dyDescent="0.3">
      <c r="C44" s="97" t="str">
        <f>template_label_15_investments</f>
        <v>15. Investments</v>
      </c>
      <c r="D44" s="689"/>
      <c r="E44" s="689"/>
      <c r="F44" s="717"/>
      <c r="G44" s="713"/>
      <c r="H44" s="689"/>
      <c r="I44" s="689"/>
      <c r="J44" s="233"/>
      <c r="K44" s="256" t="str">
        <f t="shared" si="1"/>
        <v>-</v>
      </c>
      <c r="L44" s="714"/>
      <c r="M44" s="603"/>
      <c r="N44" s="603"/>
      <c r="O44" s="603"/>
      <c r="P44" s="603"/>
      <c r="Q44" s="603"/>
      <c r="R44" s="603"/>
      <c r="S44" s="603"/>
      <c r="T44" s="603"/>
      <c r="U44" s="603"/>
    </row>
    <row r="45" spans="3:21" ht="15" thickBot="1" x14ac:dyDescent="0.35">
      <c r="C45" s="105" t="str">
        <f>template_label_total_scope_3_ghg_emissions</f>
        <v>Total Scope 3 GHG  emissions</v>
      </c>
      <c r="D45" s="716">
        <f>IF(AND(G29=FALSE, COUNTA(D30:F44)=0), "-", IF(G29=TRUE, IF(SUM(D30:F44)=0, "-", SUM(D30:F44)), "-"))</f>
        <v>200</v>
      </c>
      <c r="E45" s="716"/>
      <c r="F45" s="720"/>
      <c r="G45" s="715">
        <f>IF(AND(G29=FALSE, COUNTA(G30:I44)=0), "-", IF(G29=TRUE, IF(SUM(G30:I44)=0, "-", SUM(G30:I44)), "-"))</f>
        <v>300</v>
      </c>
      <c r="H45" s="716"/>
      <c r="I45" s="716"/>
      <c r="J45" s="234">
        <f>IF(AND(G29=FALSE, COUNTA(J30:J44)=0), "-", IF(G29=TRUE, IF(SUM(J30:J44)=0, "-", SUM(J30:J44)), "-"))</f>
        <v>100</v>
      </c>
      <c r="K45" s="205">
        <f t="shared" ref="K45:K47" si="2">IF(AND(G45="", J45=""), "-", IFERROR(-(1 - (J45 / G45)), "-"))</f>
        <v>-0.66666666666666674</v>
      </c>
      <c r="L45" s="16"/>
      <c r="M45" s="603"/>
      <c r="N45" s="603"/>
      <c r="O45" s="603"/>
      <c r="P45" s="603"/>
      <c r="Q45" s="603"/>
      <c r="R45" s="603"/>
      <c r="S45" s="603"/>
      <c r="T45" s="603"/>
      <c r="U45" s="603"/>
    </row>
    <row r="46" spans="3:21" x14ac:dyDescent="0.3">
      <c r="C46" s="13" t="str">
        <f>template_label_total_scope_1_scope_2_and_scope_3_ghg_emissions_location_based</f>
        <v>Total Scope 1 Scope 2 and Scope 3 GHG Emissions (location-based)</v>
      </c>
      <c r="D46" s="828">
        <f>IF(G29=FALSE, "-", IF(AND(D22="", D23="", D45=""), "-", IF(SUM(D22, D23, D45)=0, "-", SUM(D22, D23, D45))))</f>
        <v>350</v>
      </c>
      <c r="E46" s="828"/>
      <c r="F46" s="868"/>
      <c r="G46" s="827">
        <f>IF(G29=FALSE, "-", IF(AND(G22="", G23="", G45=""), "-", IF(SUM(G22, G23, G45)=0, "-", SUM(G22, G23, G45))))</f>
        <v>525</v>
      </c>
      <c r="H46" s="828"/>
      <c r="I46" s="828"/>
      <c r="J46" s="231">
        <f>IF(G29=FALSE, "-", IF(AND(J22="", J23="", J45=""), "-", IF(SUM(J22, J23, J45)=0, "-", SUM(J22, J23, J45))))</f>
        <v>190</v>
      </c>
      <c r="K46" s="206">
        <f t="shared" si="2"/>
        <v>-0.63809523809523805</v>
      </c>
      <c r="M46" s="355"/>
      <c r="N46" s="355"/>
      <c r="O46" s="355"/>
      <c r="P46" s="355"/>
      <c r="Q46" s="355"/>
      <c r="R46" s="355"/>
      <c r="S46" s="355"/>
      <c r="T46" s="355"/>
    </row>
    <row r="47" spans="3:21" ht="15" thickBot="1" x14ac:dyDescent="0.35">
      <c r="C47" s="106" t="str">
        <f>template_label_total_scope_1_scope_2_and_scope_3_ghg_emissions_market_based &amp; " - " &amp; template_label_may_not_headline</f>
        <v>Total Scope 1 Scope 2 and Scope 3 GHG Emissions (market-based) - May (optional)</v>
      </c>
      <c r="D47" s="829" t="str">
        <f>IF(G29=FALSE,"-",IF(OR(D22="",D24="",D45=""),"-",SUM(D22,D24,D45)))</f>
        <v>-</v>
      </c>
      <c r="E47" s="830"/>
      <c r="F47" s="831"/>
      <c r="G47" s="832" t="str">
        <f>IF(G29=FALSE, "-", IF(OR(G22="", G24="", G45=""), "-", IF(SUM(G22, G24, G45)=0, "-", SUM(G22, G24, G45))))</f>
        <v>-</v>
      </c>
      <c r="H47" s="830"/>
      <c r="I47" s="833"/>
      <c r="J47" s="232" t="str">
        <f>IF(G29=FALSE, "-", IF(OR(J22="", J24="", J45=""), "-", IF(SUM(J22, J24, J45)=0, "-", SUM(J22, J24, J45))))</f>
        <v>-</v>
      </c>
      <c r="K47" s="205" t="str">
        <f t="shared" si="2"/>
        <v>-</v>
      </c>
      <c r="M47" s="355"/>
      <c r="N47" s="355"/>
      <c r="O47" s="355"/>
      <c r="P47" s="355"/>
      <c r="Q47" s="355"/>
      <c r="R47" s="355"/>
      <c r="S47" s="355"/>
      <c r="T47" s="355"/>
    </row>
    <row r="48" spans="3:21" ht="15" thickBot="1" x14ac:dyDescent="0.35">
      <c r="C48" s="107"/>
      <c r="D48" s="107"/>
      <c r="E48" s="107"/>
      <c r="F48" s="107"/>
      <c r="G48" s="107"/>
      <c r="H48" s="107"/>
      <c r="I48" s="107"/>
      <c r="J48" s="107"/>
      <c r="K48" s="107"/>
    </row>
    <row r="49" spans="1:12" ht="15" thickBot="1" x14ac:dyDescent="0.35">
      <c r="C49" s="875"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2025-01-01 to 2025-12-31 [If applicable]</v>
      </c>
      <c r="D49" s="876"/>
      <c r="E49" s="876"/>
      <c r="F49" s="876"/>
      <c r="G49" s="876"/>
      <c r="H49" s="876"/>
      <c r="I49" s="876"/>
      <c r="J49" s="876"/>
      <c r="K49" s="877"/>
    </row>
    <row r="50" spans="1:12" x14ac:dyDescent="0.3">
      <c r="C50" s="592" t="s">
        <v>54</v>
      </c>
      <c r="D50" s="608"/>
      <c r="E50" s="608"/>
      <c r="F50" s="608"/>
      <c r="G50" s="608"/>
      <c r="H50" s="608"/>
      <c r="I50" s="608"/>
      <c r="J50" s="608"/>
      <c r="K50" s="609"/>
    </row>
    <row r="51" spans="1:12" x14ac:dyDescent="0.3">
      <c r="C51" s="626">
        <v>159</v>
      </c>
      <c r="D51" s="590"/>
      <c r="E51" s="590"/>
      <c r="F51" s="590"/>
      <c r="G51" s="590"/>
      <c r="H51" s="590"/>
      <c r="I51" s="590"/>
      <c r="J51" s="590"/>
      <c r="K51" s="700"/>
    </row>
    <row r="52" spans="1:12" ht="15" thickBot="1" x14ac:dyDescent="0.35">
      <c r="C52" s="874" t="s">
        <v>33</v>
      </c>
      <c r="D52" s="617"/>
      <c r="E52" s="617"/>
      <c r="F52" s="617"/>
      <c r="G52" s="617"/>
      <c r="H52" s="617"/>
      <c r="I52" s="617"/>
      <c r="J52" s="617"/>
      <c r="K52" s="618"/>
      <c r="L52" s="16" t="str">
        <f>IF(AND(J19=TRUE, C52&lt;&gt;""), template_label_ok, IF(AND(J19=TRUE, C52=""), template_label_missing_value, ""))</f>
        <v>OK</v>
      </c>
    </row>
    <row r="54" spans="1:12" ht="15" thickBot="1" x14ac:dyDescent="0.35">
      <c r="C54" s="9"/>
      <c r="D54" s="9"/>
      <c r="E54" s="9"/>
      <c r="F54" s="9"/>
      <c r="G54" s="9"/>
      <c r="H54" s="9"/>
      <c r="I54" s="9"/>
      <c r="J54" s="9"/>
      <c r="K54" s="9"/>
    </row>
    <row r="55" spans="1:12" ht="89.4" customHeight="1" thickBot="1" x14ac:dyDescent="0.35">
      <c r="A55" s="658" t="str">
        <f>template_label_supporting_guidance_c3</f>
        <v>ℹ️ VSME Supporting guide on Disclosure C3 - Comprehensive Module (GHG reduction targets and climate transition)</v>
      </c>
      <c r="B55" s="920"/>
      <c r="C55" s="744"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2025-01-01 to 2025-12-31 [If applicable]</v>
      </c>
      <c r="D55" s="744"/>
      <c r="E55" s="744"/>
      <c r="F55" s="744"/>
      <c r="G55" s="744"/>
      <c r="H55" s="744"/>
      <c r="I55" s="744"/>
      <c r="J55" s="744"/>
      <c r="K55" s="745"/>
    </row>
    <row r="56" spans="1:12" ht="38.4" customHeight="1" x14ac:dyDescent="0.3">
      <c r="A56" s="391">
        <v>55</v>
      </c>
      <c r="B56" s="392" t="s">
        <v>55</v>
      </c>
      <c r="C56" s="416" t="str">
        <f>template_label_is_the_undertaking_operating_in_high_impact_sectors</f>
        <v>Is the undertaking operating in high impact sectors?</v>
      </c>
      <c r="D56" s="838" t="b">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1</v>
      </c>
      <c r="E56" s="839"/>
      <c r="F56" s="839"/>
      <c r="G56" s="839"/>
      <c r="H56" s="839"/>
      <c r="I56" s="839"/>
      <c r="J56" s="839"/>
      <c r="K56" s="840"/>
      <c r="L56" s="16"/>
    </row>
    <row r="57" spans="1:12" x14ac:dyDescent="0.3">
      <c r="A57" s="391">
        <v>55</v>
      </c>
      <c r="B57" s="392" t="s">
        <v>55</v>
      </c>
      <c r="C57" s="97" t="str">
        <f>template_label_status_of_implementation_of_a_transition_plan_in_relation_to_climate_change_mitigation</f>
        <v>Status of implementation of a transition plan in relation to climate change mitigation</v>
      </c>
      <c r="D57" s="869" t="s">
        <v>56</v>
      </c>
      <c r="E57" s="870"/>
      <c r="F57" s="870"/>
      <c r="G57" s="870"/>
      <c r="H57" s="870"/>
      <c r="I57" s="870"/>
      <c r="J57" s="870"/>
      <c r="K57" s="871"/>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28.8" x14ac:dyDescent="0.3">
      <c r="A58" s="391">
        <v>55</v>
      </c>
      <c r="B58" s="392" t="s">
        <v>55</v>
      </c>
      <c r="C58" s="108"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72"/>
      <c r="E58" s="872"/>
      <c r="F58" s="872"/>
      <c r="G58" s="872"/>
      <c r="H58" s="872"/>
      <c r="I58" s="872"/>
      <c r="J58" s="872"/>
      <c r="K58" s="873"/>
      <c r="L58" s="16" t="str">
        <f>IF(AND(D57="A transition plan has already been adopted", DescriptionOfATransitionPlanForClimateChangeMitigationIncludingAnExplanationOfHowItIsContributingToReduceGhgEmissions&lt;&gt;""), template_label_ok, "")</f>
        <v/>
      </c>
    </row>
    <row r="59" spans="1:12" x14ac:dyDescent="0.3">
      <c r="A59" s="590">
        <v>56</v>
      </c>
      <c r="B59" s="599" t="s">
        <v>55</v>
      </c>
      <c r="C59" s="704" t="str">
        <f>template_label_date_of_foreseen_adoption_of_transition_plan_for_undertaking_not_having_adopted_transition_plan_yet</f>
        <v>Date of foreseen adoption of transition plan for undertaking not having adopted transition plan yet</v>
      </c>
      <c r="D59" s="707" t="str">
        <f>template_label_year</f>
        <v>Year</v>
      </c>
      <c r="E59" s="708"/>
      <c r="F59" s="708"/>
      <c r="G59" s="708"/>
      <c r="H59" s="709"/>
      <c r="I59" s="710">
        <v>2028</v>
      </c>
      <c r="J59" s="711"/>
      <c r="K59" s="712"/>
      <c r="L59" s="703"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590"/>
      <c r="B60" s="599"/>
      <c r="C60" s="705"/>
      <c r="D60" s="707" t="str">
        <f>template_label_month</f>
        <v>Month</v>
      </c>
      <c r="E60" s="708"/>
      <c r="F60" s="708"/>
      <c r="G60" s="708"/>
      <c r="H60" s="709"/>
      <c r="I60" s="710">
        <v>1</v>
      </c>
      <c r="J60" s="711"/>
      <c r="K60" s="712"/>
      <c r="L60" s="703"/>
    </row>
    <row r="61" spans="1:12" x14ac:dyDescent="0.3">
      <c r="A61" s="590"/>
      <c r="B61" s="599"/>
      <c r="C61" s="705"/>
      <c r="D61" s="707" t="str">
        <f>template_label_day</f>
        <v>Day</v>
      </c>
      <c r="E61" s="708"/>
      <c r="F61" s="708"/>
      <c r="G61" s="708"/>
      <c r="H61" s="709"/>
      <c r="I61" s="710">
        <v>1</v>
      </c>
      <c r="J61" s="711"/>
      <c r="K61" s="712"/>
      <c r="L61" s="703"/>
    </row>
    <row r="62" spans="1:12" ht="15" thickBot="1" x14ac:dyDescent="0.35">
      <c r="A62" s="590"/>
      <c r="B62" s="599"/>
      <c r="C62" s="706"/>
      <c r="D62" s="836" t="str">
        <f>IF(OR(ISBLANK(I59), ISBLANK(I60), ISBLANK(I61)), "-", I59 &amp; "-" &amp; TEXT(I60, "00") &amp; "-" &amp; TEXT(I61, "00"))</f>
        <v>2028-01-01</v>
      </c>
      <c r="E62" s="836"/>
      <c r="F62" s="836"/>
      <c r="G62" s="836"/>
      <c r="H62" s="836"/>
      <c r="I62" s="836"/>
      <c r="J62" s="836"/>
      <c r="K62" s="837"/>
      <c r="L62" s="322"/>
    </row>
    <row r="63" spans="1:12" ht="15" thickBot="1" x14ac:dyDescent="0.35"/>
    <row r="64" spans="1:12" ht="14.85" customHeight="1" thickBot="1" x14ac:dyDescent="0.35">
      <c r="C64" s="627"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2025-01-01 to 2025-12-31 [Always to be reported]</v>
      </c>
      <c r="D64" s="740"/>
      <c r="E64" s="740"/>
      <c r="F64" s="740"/>
      <c r="G64" s="740"/>
      <c r="H64" s="740"/>
      <c r="I64" s="740"/>
      <c r="J64" s="740"/>
      <c r="K64" s="741"/>
    </row>
    <row r="65" spans="3:12" ht="14.85" customHeight="1" x14ac:dyDescent="0.3">
      <c r="C65" s="592">
        <v>31</v>
      </c>
      <c r="D65" s="608"/>
      <c r="E65" s="608"/>
      <c r="F65" s="608"/>
      <c r="G65" s="608"/>
      <c r="H65" s="608"/>
      <c r="I65" s="608"/>
      <c r="J65" s="608"/>
      <c r="K65" s="609"/>
    </row>
    <row r="66" spans="3:12" x14ac:dyDescent="0.3">
      <c r="C66" s="649" t="str">
        <f>template_label_scope_1_and_scope_2_ghg_emissions_intensity_location_based</f>
        <v>Scope 1 and Scope 2 GHG Emissions intensity (location-based)</v>
      </c>
      <c r="D66" s="798"/>
      <c r="E66" s="798"/>
      <c r="F66" s="798"/>
      <c r="G66" s="742" t="str">
        <f>IF(G29=TRUE,
   "-",
   IFERROR(
      IF(OR(D25="", Turnover=""), "-", D25/Turnover),
      "-"
   )
)</f>
        <v>-</v>
      </c>
      <c r="H66" s="742"/>
      <c r="I66" s="742"/>
      <c r="J66" s="742"/>
      <c r="K66" s="743"/>
    </row>
    <row r="67" spans="3:12" x14ac:dyDescent="0.3">
      <c r="C67" s="649" t="str">
        <f>template_label_scope_1_and_scope_2_ghg_emissions_intensity_market_based &amp; " - " &amp; template_label_may_not_headline</f>
        <v>Scope 1 and Scope 2 GHG Emissions intensity (market-based) - May (optional)</v>
      </c>
      <c r="D67" s="798"/>
      <c r="E67" s="798"/>
      <c r="F67" s="798"/>
      <c r="G67" s="834" t="str">
        <f>IF(G29=TRUE,
   "-",
   IFERROR(
      IF(OR(D26="", Turnover=""), "-", D26/Turnover),
      "-"
   )
)</f>
        <v>-</v>
      </c>
      <c r="H67" s="834"/>
      <c r="I67" s="834"/>
      <c r="J67" s="834"/>
      <c r="K67" s="835"/>
    </row>
    <row r="68" spans="3:12" x14ac:dyDescent="0.3">
      <c r="C68" s="649" t="str">
        <f>template_label_total_scope_1_scope_2_and_scope_3_ghg_emissions_intensity_location_based</f>
        <v>Total Scope 1 Scope 2 and Scope 3 GHG Emissions intensity (location-based)</v>
      </c>
      <c r="D68" s="798"/>
      <c r="E68" s="798"/>
      <c r="F68" s="798"/>
      <c r="G68" s="834">
        <f>IF(G29=FALSE,
   "-",
   IFERROR(
      IF(OR(D46="", Turnover=""), "-", D46/Turnover),
      "-"
   )
)</f>
        <v>1.4893617021276596E-3</v>
      </c>
      <c r="H68" s="834"/>
      <c r="I68" s="834"/>
      <c r="J68" s="834"/>
      <c r="K68" s="835"/>
    </row>
    <row r="69" spans="3:12" ht="15" thickBot="1" x14ac:dyDescent="0.35">
      <c r="C69" s="619" t="str">
        <f>template_label_total_scope_1_scope_2_and_scope_3_ghg_emissions_intensity_market_based &amp; " - " &amp; template_label_may_not_headline</f>
        <v>Total Scope 1 Scope 2 and Scope 3 GHG Emissions intensity (market-based) - May (optional)</v>
      </c>
      <c r="D69" s="620"/>
      <c r="E69" s="620"/>
      <c r="F69" s="620"/>
      <c r="G69" s="843" t="str">
        <f>IF(G29=FALSE,
   "-",
   IFERROR(
      IF(OR(D47="", Turnover=""), "-", D47/Turnover),
      "-"
   )
)</f>
        <v>-</v>
      </c>
      <c r="H69" s="843"/>
      <c r="I69" s="843"/>
      <c r="J69" s="843"/>
      <c r="K69" s="844"/>
    </row>
    <row r="70" spans="3:12" ht="15" thickBot="1" x14ac:dyDescent="0.35"/>
    <row r="71" spans="3:12" ht="15" thickBot="1" x14ac:dyDescent="0.35">
      <c r="C71" s="597" t="str">
        <f>template_label_b4_pollution_of_air_water_and_soil&amp;" "&amp;template_label_from&amp;" "&amp;template_starting_date_display&amp;" "&amp;template_label_to&amp;" "&amp;template_ending_date_display&amp;" "&amp;template_label_if_applicable</f>
        <v>B4 - Pollution of air water and soil from 2025-01-01 to 2025-12-31 [If applicable]</v>
      </c>
      <c r="D71" s="746"/>
      <c r="E71" s="746"/>
      <c r="F71" s="746"/>
      <c r="G71" s="746"/>
      <c r="H71" s="746"/>
      <c r="I71" s="746"/>
      <c r="J71" s="746"/>
      <c r="K71" s="747"/>
    </row>
    <row r="72" spans="3:12" x14ac:dyDescent="0.3">
      <c r="C72" s="592">
        <v>32</v>
      </c>
      <c r="D72" s="608"/>
      <c r="E72" s="608"/>
      <c r="F72" s="608"/>
      <c r="G72" s="608"/>
      <c r="H72" s="608"/>
      <c r="I72" s="608"/>
      <c r="J72" s="608"/>
      <c r="K72" s="609"/>
    </row>
    <row r="73" spans="3:12" x14ac:dyDescent="0.3">
      <c r="C73" s="626" t="s">
        <v>57</v>
      </c>
      <c r="D73" s="590"/>
      <c r="E73" s="590"/>
      <c r="F73" s="590"/>
      <c r="G73" s="590"/>
      <c r="H73" s="590"/>
      <c r="I73" s="590"/>
      <c r="J73" s="590"/>
      <c r="K73" s="700"/>
    </row>
    <row r="74" spans="3:12" ht="30" customHeight="1" x14ac:dyDescent="0.3">
      <c r="C74" s="661"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46"/>
      <c r="E74" s="846"/>
      <c r="F74" s="846"/>
      <c r="G74" s="841" t="b">
        <v>1</v>
      </c>
      <c r="H74" s="841"/>
      <c r="I74" s="841"/>
      <c r="J74" s="841"/>
      <c r="K74" s="842"/>
      <c r="L74" s="16"/>
    </row>
    <row r="75" spans="3:12" x14ac:dyDescent="0.3">
      <c r="C75" s="649" t="str">
        <f>template_label_is_this_disclosure_already_publicly_available</f>
        <v>Is this disclosure already publicly available?</v>
      </c>
      <c r="D75" s="798"/>
      <c r="E75" s="798"/>
      <c r="F75" s="798"/>
      <c r="G75" s="824" t="b">
        <v>0</v>
      </c>
      <c r="H75" s="824"/>
      <c r="I75" s="824"/>
      <c r="J75" s="824"/>
      <c r="K75" s="825"/>
      <c r="L75" s="16" t="str" cm="1">
        <f t="array" ref="L75">IF(AND(G75=TRUE,D80:K179=""),
template_label_ok,IF(AND(G74=TRUE,G75=""),template_label_missing_value,IF(AND(G74=TRUE,PubliclyAvailableDisclosure=FALSE),template_label_ok,
IF(AND(OR(D80:K179&lt;&gt;""),G75=TRUE),
template_label_value_inconsistency,
""
)
)))</f>
        <v>OK</v>
      </c>
    </row>
    <row r="76" spans="3:12" x14ac:dyDescent="0.3">
      <c r="C76" s="649" t="str">
        <f>template_label_please_provide_the_relevant_url_link_or_hyperlink_of_where_this_information_is_reported</f>
        <v>Please provide the relevant URL link or hyperlink of where this information is reported</v>
      </c>
      <c r="D76" s="798"/>
      <c r="E76" s="798"/>
      <c r="F76" s="798"/>
      <c r="G76" s="845"/>
      <c r="H76" s="701"/>
      <c r="I76" s="701"/>
      <c r="J76" s="701"/>
      <c r="K76" s="823"/>
      <c r="L76" s="16" t="str">
        <f>IF(G75=TRUE,
   IF(G76="",
      template_label_missing_value,
      IF(OR(LEFT(G76,7)="http://", LEFT(G76,8)="https://", LEFT(G76,4)="www."),
         template_label_ok,
         template_label_invalid_url
      )
   ),
"")</f>
        <v/>
      </c>
    </row>
    <row r="77" spans="3:12" x14ac:dyDescent="0.3">
      <c r="C77" s="819" t="str">
        <f>template_label_please_select_the_unit_used_for_reporting_the_amount</f>
        <v>Please select the unit used for reporting the amount (i.e. either kg or tonne)</v>
      </c>
      <c r="D77" s="820"/>
      <c r="E77" s="820"/>
      <c r="F77" s="820"/>
      <c r="G77" s="820"/>
      <c r="H77" s="820"/>
      <c r="I77" s="820"/>
      <c r="J77" s="820"/>
      <c r="K77" s="821"/>
    </row>
    <row r="78" spans="3:12" x14ac:dyDescent="0.3">
      <c r="C78" s="822" t="s">
        <v>58</v>
      </c>
      <c r="D78" s="701"/>
      <c r="E78" s="701"/>
      <c r="F78" s="701"/>
      <c r="G78" s="701"/>
      <c r="H78" s="701"/>
      <c r="I78" s="701"/>
      <c r="J78" s="701"/>
      <c r="K78" s="823"/>
      <c r="L78" s="17" t="str" cm="1">
        <f t="array" ref="L78">IF(PubliclyAvailableDisclosure="","",IF(AND(OR(D80:F179&lt;&gt;"",G80:I179&lt;&gt;"",J80:J179&lt;&gt;"",G296&lt;&gt;"",K80:K179&lt;&gt;""),C78&lt;&gt;"",G74=TRUE,G75=FALSE),
template_label_ok,
IF(AND(OR(D80:F179&lt;&gt;"",G80:I179&lt;&gt;"",J80:J179&lt;&gt;"",G296&lt;&gt;"",K80:K179&lt;&gt;""),C78&lt;&gt;"",G74=TRUE,G75=TRUE),
template_label_value_inconsistency,
IF(AND(OR(D80:D179="",G80:G179="",J80:J179="",K80:K179=""),C78&lt;&gt;"",G74=TRUE,G75=FALSE),
template_label_ok,
IF(AND(OR(D80:D179="",G80:G179="",J80:J179="",K80:K179=""),C78&lt;&gt;"",G74=TRUE,G75=TRUE),
template_label_value_inconsistency,
IF(AND(C78="",G74=TRUE,G75=FALSE),
template_label_missing_value,
""
)
)
)
)
))</f>
        <v>OK</v>
      </c>
    </row>
    <row r="79" spans="3:12" x14ac:dyDescent="0.3">
      <c r="C79" s="110" t="str">
        <f>template_label_row_id</f>
        <v>Row ID</v>
      </c>
      <c r="D79" s="772" t="str">
        <f>template_label_pollutant</f>
        <v>Pollutant</v>
      </c>
      <c r="E79" s="772"/>
      <c r="F79" s="772"/>
      <c r="G79" s="772" t="str">
        <f>template_label_emission_to_air</f>
        <v>Emission to air</v>
      </c>
      <c r="H79" s="772"/>
      <c r="I79" s="772"/>
      <c r="J79" s="6" t="str">
        <f>template_label_emission_to_water</f>
        <v>Emission to water</v>
      </c>
      <c r="K79" s="101" t="str">
        <f>template_label_emission_to_soil</f>
        <v>Emission to soil</v>
      </c>
    </row>
    <row r="80" spans="3:12" x14ac:dyDescent="0.3">
      <c r="C80" s="207">
        <v>1</v>
      </c>
      <c r="D80" s="701" t="s">
        <v>59</v>
      </c>
      <c r="E80" s="701"/>
      <c r="F80" s="701"/>
      <c r="G80" s="689">
        <v>10</v>
      </c>
      <c r="H80" s="689"/>
      <c r="I80" s="689"/>
      <c r="J80" s="233">
        <v>5</v>
      </c>
      <c r="K80" s="235">
        <v>3</v>
      </c>
      <c r="L80" s="16" t="str">
        <f>IF(PubliclyAvailableDisclosure="","",IF(AND($G$74=TRUE,$G$75=TRUE,OR(D80&lt;&gt;"",G80&lt;&gt;"",J80&lt;&gt;"",K80&lt;&gt;"")),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207">
        <v>2</v>
      </c>
      <c r="D81" s="701" t="s">
        <v>60</v>
      </c>
      <c r="E81" s="701"/>
      <c r="F81" s="701"/>
      <c r="G81" s="689">
        <v>10</v>
      </c>
      <c r="H81" s="689"/>
      <c r="I81" s="689"/>
      <c r="J81" s="233">
        <v>3</v>
      </c>
      <c r="K81" s="235">
        <v>5</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thickBot="1" x14ac:dyDescent="0.35">
      <c r="C82" s="209">
        <v>3</v>
      </c>
      <c r="D82" s="739"/>
      <c r="E82" s="739"/>
      <c r="F82" s="739"/>
      <c r="G82" s="737"/>
      <c r="H82" s="737"/>
      <c r="I82" s="737"/>
      <c r="J82" s="236"/>
      <c r="K82" s="237"/>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t="15" hidden="1" outlineLevel="1" thickBot="1" x14ac:dyDescent="0.35">
      <c r="C83" s="208">
        <v>4</v>
      </c>
      <c r="D83" s="826"/>
      <c r="E83" s="826"/>
      <c r="F83" s="826"/>
      <c r="G83" s="738"/>
      <c r="H83" s="738"/>
      <c r="I83" s="738"/>
      <c r="J83" s="238"/>
      <c r="K83" s="239"/>
      <c r="L83" s="16" t="str">
        <f t="shared" si="3"/>
        <v/>
      </c>
    </row>
    <row r="84" spans="3:13" hidden="1" outlineLevel="1" x14ac:dyDescent="0.3">
      <c r="C84" s="207">
        <v>5</v>
      </c>
      <c r="D84" s="701"/>
      <c r="E84" s="701"/>
      <c r="F84" s="701"/>
      <c r="G84" s="689"/>
      <c r="H84" s="689"/>
      <c r="I84" s="689"/>
      <c r="J84" s="233"/>
      <c r="K84" s="235"/>
      <c r="L84" s="16" t="str">
        <f t="shared" si="3"/>
        <v/>
      </c>
    </row>
    <row r="85" spans="3:13" hidden="1" outlineLevel="1" x14ac:dyDescent="0.3">
      <c r="C85" s="207">
        <v>6</v>
      </c>
      <c r="D85" s="701"/>
      <c r="E85" s="701"/>
      <c r="F85" s="701"/>
      <c r="G85" s="689"/>
      <c r="H85" s="689"/>
      <c r="I85" s="689"/>
      <c r="J85" s="233"/>
      <c r="K85" s="235"/>
      <c r="L85" s="16" t="str">
        <f t="shared" si="3"/>
        <v/>
      </c>
    </row>
    <row r="86" spans="3:13" hidden="1" outlineLevel="1" x14ac:dyDescent="0.3">
      <c r="C86" s="207">
        <v>7</v>
      </c>
      <c r="D86" s="701"/>
      <c r="E86" s="701"/>
      <c r="F86" s="701"/>
      <c r="G86" s="689"/>
      <c r="H86" s="689"/>
      <c r="I86" s="689"/>
      <c r="J86" s="233"/>
      <c r="K86" s="235"/>
      <c r="L86" s="16" t="str">
        <f t="shared" si="3"/>
        <v/>
      </c>
    </row>
    <row r="87" spans="3:13" hidden="1" outlineLevel="1" x14ac:dyDescent="0.3">
      <c r="C87" s="207">
        <v>8</v>
      </c>
      <c r="D87" s="701"/>
      <c r="E87" s="701"/>
      <c r="F87" s="701"/>
      <c r="G87" s="689"/>
      <c r="H87" s="689"/>
      <c r="I87" s="689"/>
      <c r="J87" s="233"/>
      <c r="K87" s="235"/>
      <c r="L87" s="16" t="str">
        <f t="shared" si="3"/>
        <v/>
      </c>
    </row>
    <row r="88" spans="3:13" hidden="1" outlineLevel="1" x14ac:dyDescent="0.3">
      <c r="C88" s="207">
        <v>9</v>
      </c>
      <c r="D88" s="701"/>
      <c r="E88" s="701"/>
      <c r="F88" s="701"/>
      <c r="G88" s="689"/>
      <c r="H88" s="689"/>
      <c r="I88" s="689"/>
      <c r="J88" s="233"/>
      <c r="K88" s="235"/>
      <c r="L88" s="16" t="str">
        <f t="shared" si="3"/>
        <v/>
      </c>
    </row>
    <row r="89" spans="3:13" hidden="1" outlineLevel="1" x14ac:dyDescent="0.3">
      <c r="C89" s="207">
        <v>10</v>
      </c>
      <c r="D89" s="701"/>
      <c r="E89" s="701"/>
      <c r="F89" s="701"/>
      <c r="G89" s="689"/>
      <c r="H89" s="689"/>
      <c r="I89" s="689"/>
      <c r="J89" s="233"/>
      <c r="K89" s="235"/>
      <c r="L89" s="16" t="str">
        <f t="shared" si="3"/>
        <v/>
      </c>
    </row>
    <row r="90" spans="3:13" hidden="1" outlineLevel="1" x14ac:dyDescent="0.3">
      <c r="C90" s="207">
        <v>11</v>
      </c>
      <c r="D90" s="701"/>
      <c r="E90" s="701"/>
      <c r="F90" s="701"/>
      <c r="G90" s="689"/>
      <c r="H90" s="689"/>
      <c r="I90" s="689"/>
      <c r="J90" s="233"/>
      <c r="K90" s="235"/>
      <c r="L90" s="16" t="str">
        <f t="shared" si="3"/>
        <v/>
      </c>
    </row>
    <row r="91" spans="3:13" hidden="1" outlineLevel="1" x14ac:dyDescent="0.3">
      <c r="C91" s="207">
        <v>12</v>
      </c>
      <c r="D91" s="701"/>
      <c r="E91" s="701"/>
      <c r="F91" s="701"/>
      <c r="G91" s="689"/>
      <c r="H91" s="689"/>
      <c r="I91" s="689"/>
      <c r="J91" s="233"/>
      <c r="K91" s="235"/>
      <c r="L91" s="16" t="str">
        <f t="shared" si="3"/>
        <v/>
      </c>
    </row>
    <row r="92" spans="3:13" hidden="1" outlineLevel="1" x14ac:dyDescent="0.3">
      <c r="C92" s="207">
        <v>13</v>
      </c>
      <c r="D92" s="701"/>
      <c r="E92" s="701"/>
      <c r="F92" s="701"/>
      <c r="G92" s="689"/>
      <c r="H92" s="689"/>
      <c r="I92" s="689"/>
      <c r="J92" s="233"/>
      <c r="K92" s="235"/>
      <c r="L92" s="16" t="str">
        <f t="shared" si="3"/>
        <v/>
      </c>
    </row>
    <row r="93" spans="3:13" hidden="1" outlineLevel="1" x14ac:dyDescent="0.3">
      <c r="C93" s="207">
        <v>14</v>
      </c>
      <c r="D93" s="701"/>
      <c r="E93" s="701"/>
      <c r="F93" s="701"/>
      <c r="G93" s="689"/>
      <c r="H93" s="689"/>
      <c r="I93" s="689"/>
      <c r="J93" s="233"/>
      <c r="K93" s="235"/>
      <c r="L93" s="16" t="str">
        <f t="shared" si="3"/>
        <v/>
      </c>
    </row>
    <row r="94" spans="3:13" hidden="1" outlineLevel="1" x14ac:dyDescent="0.3">
      <c r="C94" s="207">
        <v>15</v>
      </c>
      <c r="D94" s="701"/>
      <c r="E94" s="701"/>
      <c r="F94" s="701"/>
      <c r="G94" s="689"/>
      <c r="H94" s="689"/>
      <c r="I94" s="689"/>
      <c r="J94" s="233"/>
      <c r="K94" s="235"/>
      <c r="L94" s="16" t="str">
        <f t="shared" si="3"/>
        <v/>
      </c>
    </row>
    <row r="95" spans="3:13" hidden="1" outlineLevel="1" x14ac:dyDescent="0.3">
      <c r="C95" s="207">
        <v>16</v>
      </c>
      <c r="D95" s="701"/>
      <c r="E95" s="701"/>
      <c r="F95" s="701"/>
      <c r="G95" s="689"/>
      <c r="H95" s="689"/>
      <c r="I95" s="689"/>
      <c r="J95" s="233"/>
      <c r="K95" s="235"/>
      <c r="L95" s="16" t="str">
        <f t="shared" si="3"/>
        <v/>
      </c>
    </row>
    <row r="96" spans="3:13" hidden="1" outlineLevel="1" x14ac:dyDescent="0.3">
      <c r="C96" s="207">
        <v>17</v>
      </c>
      <c r="D96" s="701"/>
      <c r="E96" s="701"/>
      <c r="F96" s="701"/>
      <c r="G96" s="689"/>
      <c r="H96" s="689"/>
      <c r="I96" s="689"/>
      <c r="J96" s="233"/>
      <c r="K96" s="235"/>
      <c r="L96" s="16" t="str">
        <f t="shared" si="3"/>
        <v/>
      </c>
    </row>
    <row r="97" spans="3:13" hidden="1" outlineLevel="1" x14ac:dyDescent="0.3">
      <c r="C97" s="207">
        <v>18</v>
      </c>
      <c r="D97" s="701"/>
      <c r="E97" s="701"/>
      <c r="F97" s="701"/>
      <c r="G97" s="689"/>
      <c r="H97" s="689"/>
      <c r="I97" s="689"/>
      <c r="J97" s="233"/>
      <c r="K97" s="235"/>
      <c r="L97" s="16" t="str">
        <f t="shared" si="3"/>
        <v/>
      </c>
    </row>
    <row r="98" spans="3:13" hidden="1" outlineLevel="1" x14ac:dyDescent="0.3">
      <c r="C98" s="207">
        <v>19</v>
      </c>
      <c r="D98" s="701"/>
      <c r="E98" s="701"/>
      <c r="F98" s="701"/>
      <c r="G98" s="689"/>
      <c r="H98" s="689"/>
      <c r="I98" s="689"/>
      <c r="J98" s="233"/>
      <c r="K98" s="235"/>
      <c r="L98" s="16" t="str">
        <f t="shared" si="3"/>
        <v/>
      </c>
    </row>
    <row r="99" spans="3:13" hidden="1" outlineLevel="1" x14ac:dyDescent="0.3">
      <c r="C99" s="207">
        <v>20</v>
      </c>
      <c r="D99" s="701"/>
      <c r="E99" s="701"/>
      <c r="F99" s="701"/>
      <c r="G99" s="689"/>
      <c r="H99" s="689"/>
      <c r="I99" s="689"/>
      <c r="J99" s="233"/>
      <c r="K99" s="235"/>
      <c r="L99" s="16" t="str">
        <f t="shared" si="3"/>
        <v/>
      </c>
    </row>
    <row r="100" spans="3:13" hidden="1" outlineLevel="1" x14ac:dyDescent="0.3">
      <c r="C100" s="207">
        <v>21</v>
      </c>
      <c r="D100" s="701"/>
      <c r="E100" s="701"/>
      <c r="F100" s="701"/>
      <c r="G100" s="689"/>
      <c r="H100" s="689"/>
      <c r="I100" s="689"/>
      <c r="J100" s="233"/>
      <c r="K100" s="235"/>
      <c r="L100" s="16" t="str">
        <f t="shared" si="3"/>
        <v/>
      </c>
    </row>
    <row r="101" spans="3:13" hidden="1" outlineLevel="1" x14ac:dyDescent="0.3">
      <c r="C101" s="207">
        <v>22</v>
      </c>
      <c r="D101" s="701"/>
      <c r="E101" s="701"/>
      <c r="F101" s="701"/>
      <c r="G101" s="689"/>
      <c r="H101" s="689"/>
      <c r="I101" s="689"/>
      <c r="J101" s="233"/>
      <c r="K101" s="235"/>
      <c r="L101" s="16" t="str">
        <f t="shared" si="3"/>
        <v/>
      </c>
    </row>
    <row r="102" spans="3:13" hidden="1" outlineLevel="1" x14ac:dyDescent="0.3">
      <c r="C102" s="207">
        <v>23</v>
      </c>
      <c r="D102" s="701"/>
      <c r="E102" s="701"/>
      <c r="F102" s="701"/>
      <c r="G102" s="689"/>
      <c r="H102" s="689"/>
      <c r="I102" s="689"/>
      <c r="J102" s="233"/>
      <c r="K102" s="235"/>
      <c r="L102" s="16" t="str">
        <f t="shared" si="3"/>
        <v/>
      </c>
    </row>
    <row r="103" spans="3:13" hidden="1" outlineLevel="1" x14ac:dyDescent="0.3">
      <c r="C103" s="207">
        <v>24</v>
      </c>
      <c r="D103" s="701"/>
      <c r="E103" s="701"/>
      <c r="F103" s="701"/>
      <c r="G103" s="689"/>
      <c r="H103" s="689"/>
      <c r="I103" s="689"/>
      <c r="J103" s="233"/>
      <c r="K103" s="235"/>
      <c r="L103" s="16" t="str">
        <f t="shared" si="3"/>
        <v/>
      </c>
    </row>
    <row r="104" spans="3:13" hidden="1" outlineLevel="1" x14ac:dyDescent="0.3">
      <c r="C104" s="207">
        <v>25</v>
      </c>
      <c r="D104" s="701"/>
      <c r="E104" s="701"/>
      <c r="F104" s="701"/>
      <c r="G104" s="689"/>
      <c r="H104" s="689"/>
      <c r="I104" s="689"/>
      <c r="J104" s="233"/>
      <c r="K104" s="235"/>
      <c r="L104" s="16" t="str">
        <f t="shared" si="3"/>
        <v/>
      </c>
    </row>
    <row r="105" spans="3:13" hidden="1" outlineLevel="1" x14ac:dyDescent="0.3">
      <c r="C105" s="207">
        <v>26</v>
      </c>
      <c r="D105" s="701"/>
      <c r="E105" s="701"/>
      <c r="F105" s="701"/>
      <c r="G105" s="689"/>
      <c r="H105" s="689"/>
      <c r="I105" s="689"/>
      <c r="J105" s="233"/>
      <c r="K105" s="235"/>
      <c r="L105" s="16" t="str">
        <f t="shared" si="3"/>
        <v/>
      </c>
    </row>
    <row r="106" spans="3:13" hidden="1" outlineLevel="1" x14ac:dyDescent="0.3">
      <c r="C106" s="207">
        <v>27</v>
      </c>
      <c r="D106" s="701"/>
      <c r="E106" s="701"/>
      <c r="F106" s="701"/>
      <c r="G106" s="689"/>
      <c r="H106" s="689"/>
      <c r="I106" s="689"/>
      <c r="J106" s="233"/>
      <c r="K106" s="235"/>
      <c r="L106" s="16" t="str">
        <f t="shared" si="3"/>
        <v/>
      </c>
    </row>
    <row r="107" spans="3:13" hidden="1" outlineLevel="1" x14ac:dyDescent="0.3">
      <c r="C107" s="207">
        <v>28</v>
      </c>
      <c r="D107" s="701"/>
      <c r="E107" s="701"/>
      <c r="F107" s="701"/>
      <c r="G107" s="689"/>
      <c r="H107" s="689"/>
      <c r="I107" s="689"/>
      <c r="J107" s="233"/>
      <c r="K107" s="235"/>
      <c r="L107" s="16" t="str">
        <f t="shared" si="3"/>
        <v/>
      </c>
    </row>
    <row r="108" spans="3:13" hidden="1" outlineLevel="1" x14ac:dyDescent="0.3">
      <c r="C108" s="207">
        <v>29</v>
      </c>
      <c r="D108" s="701"/>
      <c r="E108" s="701"/>
      <c r="F108" s="701"/>
      <c r="G108" s="689"/>
      <c r="H108" s="689"/>
      <c r="I108" s="689"/>
      <c r="J108" s="233"/>
      <c r="K108" s="235"/>
      <c r="L108" s="16" t="str">
        <f t="shared" si="3"/>
        <v/>
      </c>
      <c r="M108" s="111"/>
    </row>
    <row r="109" spans="3:13" hidden="1" outlineLevel="1" x14ac:dyDescent="0.3">
      <c r="C109" s="207">
        <v>30</v>
      </c>
      <c r="D109" s="701"/>
      <c r="E109" s="701"/>
      <c r="F109" s="701"/>
      <c r="G109" s="689"/>
      <c r="H109" s="689"/>
      <c r="I109" s="689"/>
      <c r="J109" s="233"/>
      <c r="K109" s="235"/>
      <c r="L109" s="16" t="str">
        <f t="shared" si="3"/>
        <v/>
      </c>
    </row>
    <row r="110" spans="3:13" hidden="1" outlineLevel="1" x14ac:dyDescent="0.3">
      <c r="C110" s="207">
        <v>31</v>
      </c>
      <c r="D110" s="701"/>
      <c r="E110" s="701"/>
      <c r="F110" s="701"/>
      <c r="G110" s="689"/>
      <c r="H110" s="689"/>
      <c r="I110" s="689"/>
      <c r="J110" s="233"/>
      <c r="K110" s="235"/>
      <c r="L110" s="16" t="str">
        <f t="shared" si="3"/>
        <v/>
      </c>
    </row>
    <row r="111" spans="3:13" hidden="1" outlineLevel="1" x14ac:dyDescent="0.3">
      <c r="C111" s="207">
        <v>32</v>
      </c>
      <c r="D111" s="701"/>
      <c r="E111" s="701"/>
      <c r="F111" s="701"/>
      <c r="G111" s="689"/>
      <c r="H111" s="689"/>
      <c r="I111" s="689"/>
      <c r="J111" s="233"/>
      <c r="K111" s="235"/>
      <c r="L111" s="16" t="str">
        <f t="shared" si="3"/>
        <v/>
      </c>
    </row>
    <row r="112" spans="3:13" hidden="1" outlineLevel="1" x14ac:dyDescent="0.3">
      <c r="C112" s="207">
        <v>33</v>
      </c>
      <c r="D112" s="701"/>
      <c r="E112" s="701"/>
      <c r="F112" s="701"/>
      <c r="G112" s="689"/>
      <c r="H112" s="689"/>
      <c r="I112" s="689"/>
      <c r="J112" s="233"/>
      <c r="K112" s="235"/>
      <c r="L112" s="16" t="str">
        <f t="shared" si="3"/>
        <v/>
      </c>
    </row>
    <row r="113" spans="3:12" hidden="1" outlineLevel="1" x14ac:dyDescent="0.3">
      <c r="C113" s="207">
        <v>34</v>
      </c>
      <c r="D113" s="701"/>
      <c r="E113" s="701"/>
      <c r="F113" s="701"/>
      <c r="G113" s="689"/>
      <c r="H113" s="689"/>
      <c r="I113" s="689"/>
      <c r="J113" s="233"/>
      <c r="K113" s="235"/>
      <c r="L113" s="16" t="str">
        <f t="shared" si="3"/>
        <v/>
      </c>
    </row>
    <row r="114" spans="3:12" hidden="1" outlineLevel="1" x14ac:dyDescent="0.3">
      <c r="C114" s="207">
        <v>35</v>
      </c>
      <c r="D114" s="701"/>
      <c r="E114" s="701"/>
      <c r="F114" s="701"/>
      <c r="G114" s="689"/>
      <c r="H114" s="689"/>
      <c r="I114" s="689"/>
      <c r="J114" s="233"/>
      <c r="K114" s="235"/>
      <c r="L114" s="16" t="str">
        <f t="shared" si="3"/>
        <v/>
      </c>
    </row>
    <row r="115" spans="3:12" hidden="1" outlineLevel="1" x14ac:dyDescent="0.3">
      <c r="C115" s="207">
        <v>36</v>
      </c>
      <c r="D115" s="701"/>
      <c r="E115" s="701"/>
      <c r="F115" s="701"/>
      <c r="G115" s="689"/>
      <c r="H115" s="689"/>
      <c r="I115" s="689"/>
      <c r="J115" s="233"/>
      <c r="K115" s="235"/>
      <c r="L115" s="16" t="str">
        <f t="shared" si="3"/>
        <v/>
      </c>
    </row>
    <row r="116" spans="3:12" hidden="1" outlineLevel="1" x14ac:dyDescent="0.3">
      <c r="C116" s="207">
        <v>37</v>
      </c>
      <c r="D116" s="701"/>
      <c r="E116" s="701"/>
      <c r="F116" s="701"/>
      <c r="G116" s="689"/>
      <c r="H116" s="689"/>
      <c r="I116" s="689"/>
      <c r="J116" s="233"/>
      <c r="K116" s="235"/>
      <c r="L116" s="16" t="str">
        <f t="shared" si="3"/>
        <v/>
      </c>
    </row>
    <row r="117" spans="3:12" hidden="1" outlineLevel="1" x14ac:dyDescent="0.3">
      <c r="C117" s="207">
        <v>38</v>
      </c>
      <c r="D117" s="701"/>
      <c r="E117" s="701"/>
      <c r="F117" s="701"/>
      <c r="G117" s="689"/>
      <c r="H117" s="689"/>
      <c r="I117" s="689"/>
      <c r="J117" s="233"/>
      <c r="K117" s="235"/>
      <c r="L117" s="16" t="str">
        <f t="shared" si="3"/>
        <v/>
      </c>
    </row>
    <row r="118" spans="3:12" hidden="1" outlineLevel="1" x14ac:dyDescent="0.3">
      <c r="C118" s="207">
        <v>39</v>
      </c>
      <c r="D118" s="701"/>
      <c r="E118" s="701"/>
      <c r="F118" s="701"/>
      <c r="G118" s="689"/>
      <c r="H118" s="689"/>
      <c r="I118" s="689"/>
      <c r="J118" s="233"/>
      <c r="K118" s="235"/>
      <c r="L118" s="16" t="str">
        <f t="shared" si="3"/>
        <v/>
      </c>
    </row>
    <row r="119" spans="3:12" hidden="1" outlineLevel="1" x14ac:dyDescent="0.3">
      <c r="C119" s="207">
        <v>40</v>
      </c>
      <c r="D119" s="701"/>
      <c r="E119" s="701"/>
      <c r="F119" s="701"/>
      <c r="G119" s="689"/>
      <c r="H119" s="689"/>
      <c r="I119" s="689"/>
      <c r="J119" s="233"/>
      <c r="K119" s="235"/>
      <c r="L119" s="16" t="str">
        <f t="shared" si="3"/>
        <v/>
      </c>
    </row>
    <row r="120" spans="3:12" hidden="1" outlineLevel="1" x14ac:dyDescent="0.3">
      <c r="C120" s="207">
        <v>41</v>
      </c>
      <c r="D120" s="701"/>
      <c r="E120" s="701"/>
      <c r="F120" s="701"/>
      <c r="G120" s="689"/>
      <c r="H120" s="689"/>
      <c r="I120" s="689"/>
      <c r="J120" s="233"/>
      <c r="K120" s="235"/>
      <c r="L120" s="16" t="str">
        <f t="shared" si="3"/>
        <v/>
      </c>
    </row>
    <row r="121" spans="3:12" hidden="1" outlineLevel="1" x14ac:dyDescent="0.3">
      <c r="C121" s="207">
        <v>42</v>
      </c>
      <c r="D121" s="701"/>
      <c r="E121" s="701"/>
      <c r="F121" s="701"/>
      <c r="G121" s="689"/>
      <c r="H121" s="689"/>
      <c r="I121" s="689"/>
      <c r="J121" s="233"/>
      <c r="K121" s="235"/>
      <c r="L121" s="16" t="str">
        <f t="shared" si="3"/>
        <v/>
      </c>
    </row>
    <row r="122" spans="3:12" hidden="1" outlineLevel="1" x14ac:dyDescent="0.3">
      <c r="C122" s="207">
        <v>43</v>
      </c>
      <c r="D122" s="701"/>
      <c r="E122" s="701"/>
      <c r="F122" s="701"/>
      <c r="G122" s="689"/>
      <c r="H122" s="689"/>
      <c r="I122" s="689"/>
      <c r="J122" s="233"/>
      <c r="K122" s="235"/>
      <c r="L122" s="16" t="str">
        <f t="shared" si="3"/>
        <v/>
      </c>
    </row>
    <row r="123" spans="3:12" hidden="1" outlineLevel="1" x14ac:dyDescent="0.3">
      <c r="C123" s="207">
        <v>44</v>
      </c>
      <c r="D123" s="701"/>
      <c r="E123" s="701"/>
      <c r="F123" s="701"/>
      <c r="G123" s="689"/>
      <c r="H123" s="689"/>
      <c r="I123" s="689"/>
      <c r="J123" s="233"/>
      <c r="K123" s="235"/>
      <c r="L123" s="16" t="str">
        <f t="shared" si="3"/>
        <v/>
      </c>
    </row>
    <row r="124" spans="3:12" hidden="1" outlineLevel="1" x14ac:dyDescent="0.3">
      <c r="C124" s="207">
        <v>45</v>
      </c>
      <c r="D124" s="701"/>
      <c r="E124" s="701"/>
      <c r="F124" s="701"/>
      <c r="G124" s="689"/>
      <c r="H124" s="689"/>
      <c r="I124" s="689"/>
      <c r="J124" s="233"/>
      <c r="K124" s="235"/>
      <c r="L124" s="16" t="str">
        <f t="shared" si="3"/>
        <v/>
      </c>
    </row>
    <row r="125" spans="3:12" hidden="1" outlineLevel="1" x14ac:dyDescent="0.3">
      <c r="C125" s="207">
        <v>46</v>
      </c>
      <c r="D125" s="701"/>
      <c r="E125" s="701"/>
      <c r="F125" s="701"/>
      <c r="G125" s="689"/>
      <c r="H125" s="689"/>
      <c r="I125" s="689"/>
      <c r="J125" s="233"/>
      <c r="K125" s="235"/>
      <c r="L125" s="16" t="str">
        <f t="shared" si="3"/>
        <v/>
      </c>
    </row>
    <row r="126" spans="3:12" hidden="1" outlineLevel="1" x14ac:dyDescent="0.3">
      <c r="C126" s="207">
        <v>47</v>
      </c>
      <c r="D126" s="701"/>
      <c r="E126" s="701"/>
      <c r="F126" s="701"/>
      <c r="G126" s="689"/>
      <c r="H126" s="689"/>
      <c r="I126" s="689"/>
      <c r="J126" s="233"/>
      <c r="K126" s="235"/>
      <c r="L126" s="16" t="str">
        <f t="shared" si="3"/>
        <v/>
      </c>
    </row>
    <row r="127" spans="3:12" hidden="1" outlineLevel="1" x14ac:dyDescent="0.3">
      <c r="C127" s="207">
        <v>48</v>
      </c>
      <c r="D127" s="701"/>
      <c r="E127" s="701"/>
      <c r="F127" s="701"/>
      <c r="G127" s="689"/>
      <c r="H127" s="689"/>
      <c r="I127" s="689"/>
      <c r="J127" s="233"/>
      <c r="K127" s="235"/>
      <c r="L127" s="16" t="str">
        <f t="shared" si="3"/>
        <v/>
      </c>
    </row>
    <row r="128" spans="3:12" hidden="1" outlineLevel="1" x14ac:dyDescent="0.3">
      <c r="C128" s="207">
        <v>49</v>
      </c>
      <c r="D128" s="701"/>
      <c r="E128" s="701"/>
      <c r="F128" s="701"/>
      <c r="G128" s="689"/>
      <c r="H128" s="689"/>
      <c r="I128" s="689"/>
      <c r="J128" s="233"/>
      <c r="K128" s="235"/>
      <c r="L128" s="16" t="str">
        <f t="shared" si="3"/>
        <v/>
      </c>
    </row>
    <row r="129" spans="3:12" hidden="1" outlineLevel="1" x14ac:dyDescent="0.3">
      <c r="C129" s="207">
        <v>50</v>
      </c>
      <c r="D129" s="701"/>
      <c r="E129" s="701"/>
      <c r="F129" s="701"/>
      <c r="G129" s="689"/>
      <c r="H129" s="689"/>
      <c r="I129" s="689"/>
      <c r="J129" s="233"/>
      <c r="K129" s="235"/>
      <c r="L129" s="16" t="str">
        <f t="shared" si="3"/>
        <v/>
      </c>
    </row>
    <row r="130" spans="3:12" hidden="1" outlineLevel="1" x14ac:dyDescent="0.3">
      <c r="C130" s="207">
        <v>51</v>
      </c>
      <c r="D130" s="701"/>
      <c r="E130" s="701"/>
      <c r="F130" s="701"/>
      <c r="G130" s="689"/>
      <c r="H130" s="689"/>
      <c r="I130" s="689"/>
      <c r="J130" s="233"/>
      <c r="K130" s="235"/>
      <c r="L130" s="16" t="str">
        <f t="shared" si="3"/>
        <v/>
      </c>
    </row>
    <row r="131" spans="3:12" hidden="1" outlineLevel="1" x14ac:dyDescent="0.3">
      <c r="C131" s="207">
        <v>52</v>
      </c>
      <c r="D131" s="701"/>
      <c r="E131" s="701"/>
      <c r="F131" s="701"/>
      <c r="G131" s="689"/>
      <c r="H131" s="689"/>
      <c r="I131" s="689"/>
      <c r="J131" s="233"/>
      <c r="K131" s="235"/>
      <c r="L131" s="16" t="str">
        <f t="shared" si="3"/>
        <v/>
      </c>
    </row>
    <row r="132" spans="3:12" hidden="1" outlineLevel="1" x14ac:dyDescent="0.3">
      <c r="C132" s="207">
        <v>53</v>
      </c>
      <c r="D132" s="701"/>
      <c r="E132" s="701"/>
      <c r="F132" s="701"/>
      <c r="G132" s="689"/>
      <c r="H132" s="689"/>
      <c r="I132" s="689"/>
      <c r="J132" s="233"/>
      <c r="K132" s="235"/>
      <c r="L132" s="16" t="str">
        <f t="shared" si="3"/>
        <v/>
      </c>
    </row>
    <row r="133" spans="3:12" hidden="1" outlineLevel="1" x14ac:dyDescent="0.3">
      <c r="C133" s="207">
        <v>54</v>
      </c>
      <c r="D133" s="701"/>
      <c r="E133" s="701"/>
      <c r="F133" s="701"/>
      <c r="G133" s="689"/>
      <c r="H133" s="689"/>
      <c r="I133" s="689"/>
      <c r="J133" s="233"/>
      <c r="K133" s="235"/>
      <c r="L133" s="16" t="str">
        <f t="shared" si="3"/>
        <v/>
      </c>
    </row>
    <row r="134" spans="3:12" hidden="1" outlineLevel="1" x14ac:dyDescent="0.3">
      <c r="C134" s="207">
        <v>55</v>
      </c>
      <c r="D134" s="701"/>
      <c r="E134" s="701"/>
      <c r="F134" s="701"/>
      <c r="G134" s="689"/>
      <c r="H134" s="689"/>
      <c r="I134" s="689"/>
      <c r="J134" s="233"/>
      <c r="K134" s="235"/>
      <c r="L134" s="16" t="str">
        <f t="shared" si="3"/>
        <v/>
      </c>
    </row>
    <row r="135" spans="3:12" hidden="1" outlineLevel="1" x14ac:dyDescent="0.3">
      <c r="C135" s="207">
        <v>56</v>
      </c>
      <c r="D135" s="701"/>
      <c r="E135" s="701"/>
      <c r="F135" s="701"/>
      <c r="G135" s="689"/>
      <c r="H135" s="689"/>
      <c r="I135" s="689"/>
      <c r="J135" s="233"/>
      <c r="K135" s="235"/>
      <c r="L135" s="16" t="str">
        <f t="shared" si="3"/>
        <v/>
      </c>
    </row>
    <row r="136" spans="3:12" hidden="1" outlineLevel="1" x14ac:dyDescent="0.3">
      <c r="C136" s="207">
        <v>57</v>
      </c>
      <c r="D136" s="701"/>
      <c r="E136" s="701"/>
      <c r="F136" s="701"/>
      <c r="G136" s="689"/>
      <c r="H136" s="689"/>
      <c r="I136" s="689"/>
      <c r="J136" s="233"/>
      <c r="K136" s="235"/>
      <c r="L136" s="16" t="str">
        <f t="shared" si="3"/>
        <v/>
      </c>
    </row>
    <row r="137" spans="3:12" hidden="1" outlineLevel="1" x14ac:dyDescent="0.3">
      <c r="C137" s="207">
        <v>58</v>
      </c>
      <c r="D137" s="701"/>
      <c r="E137" s="701"/>
      <c r="F137" s="701"/>
      <c r="G137" s="689"/>
      <c r="H137" s="689"/>
      <c r="I137" s="689"/>
      <c r="J137" s="233"/>
      <c r="K137" s="235"/>
      <c r="L137" s="16" t="str">
        <f t="shared" si="3"/>
        <v/>
      </c>
    </row>
    <row r="138" spans="3:12" hidden="1" outlineLevel="1" x14ac:dyDescent="0.3">
      <c r="C138" s="207">
        <v>59</v>
      </c>
      <c r="D138" s="701"/>
      <c r="E138" s="701"/>
      <c r="F138" s="701"/>
      <c r="G138" s="689"/>
      <c r="H138" s="689"/>
      <c r="I138" s="689"/>
      <c r="J138" s="233"/>
      <c r="K138" s="235"/>
      <c r="L138" s="16" t="str">
        <f t="shared" si="3"/>
        <v/>
      </c>
    </row>
    <row r="139" spans="3:12" hidden="1" outlineLevel="1" x14ac:dyDescent="0.3">
      <c r="C139" s="207">
        <v>60</v>
      </c>
      <c r="D139" s="701"/>
      <c r="E139" s="701"/>
      <c r="F139" s="701"/>
      <c r="G139" s="689"/>
      <c r="H139" s="689"/>
      <c r="I139" s="689"/>
      <c r="J139" s="233"/>
      <c r="K139" s="235"/>
      <c r="L139" s="16" t="str">
        <f t="shared" si="3"/>
        <v/>
      </c>
    </row>
    <row r="140" spans="3:12" hidden="1" outlineLevel="1" x14ac:dyDescent="0.3">
      <c r="C140" s="207">
        <v>61</v>
      </c>
      <c r="D140" s="701"/>
      <c r="E140" s="701"/>
      <c r="F140" s="701"/>
      <c r="G140" s="689"/>
      <c r="H140" s="689"/>
      <c r="I140" s="689"/>
      <c r="J140" s="233"/>
      <c r="K140" s="235"/>
      <c r="L140" s="16" t="str">
        <f t="shared" si="3"/>
        <v/>
      </c>
    </row>
    <row r="141" spans="3:12" hidden="1" outlineLevel="1" x14ac:dyDescent="0.3">
      <c r="C141" s="207">
        <v>62</v>
      </c>
      <c r="D141" s="701"/>
      <c r="E141" s="701"/>
      <c r="F141" s="701"/>
      <c r="G141" s="689"/>
      <c r="H141" s="689"/>
      <c r="I141" s="689"/>
      <c r="J141" s="233"/>
      <c r="K141" s="235"/>
      <c r="L141" s="16" t="str">
        <f t="shared" si="3"/>
        <v/>
      </c>
    </row>
    <row r="142" spans="3:12" hidden="1" outlineLevel="1" x14ac:dyDescent="0.3">
      <c r="C142" s="207">
        <v>63</v>
      </c>
      <c r="D142" s="701"/>
      <c r="E142" s="701"/>
      <c r="F142" s="701"/>
      <c r="G142" s="689"/>
      <c r="H142" s="689"/>
      <c r="I142" s="689"/>
      <c r="J142" s="233"/>
      <c r="K142" s="235"/>
      <c r="L142" s="16" t="str">
        <f t="shared" si="3"/>
        <v/>
      </c>
    </row>
    <row r="143" spans="3:12" hidden="1" outlineLevel="1" x14ac:dyDescent="0.3">
      <c r="C143" s="207">
        <v>64</v>
      </c>
      <c r="D143" s="701"/>
      <c r="E143" s="701"/>
      <c r="F143" s="701"/>
      <c r="G143" s="689"/>
      <c r="H143" s="689"/>
      <c r="I143" s="689"/>
      <c r="J143" s="233"/>
      <c r="K143" s="235"/>
      <c r="L143" s="16" t="str">
        <f t="shared" si="3"/>
        <v/>
      </c>
    </row>
    <row r="144" spans="3:12" hidden="1" outlineLevel="1" x14ac:dyDescent="0.3">
      <c r="C144" s="207">
        <v>65</v>
      </c>
      <c r="D144" s="701"/>
      <c r="E144" s="701"/>
      <c r="F144" s="701"/>
      <c r="G144" s="689"/>
      <c r="H144" s="689"/>
      <c r="I144" s="689"/>
      <c r="J144" s="233"/>
      <c r="K144" s="235"/>
      <c r="L144" s="16" t="str">
        <f t="shared" si="3"/>
        <v/>
      </c>
    </row>
    <row r="145" spans="3:12" hidden="1" outlineLevel="1" x14ac:dyDescent="0.3">
      <c r="C145" s="207">
        <v>66</v>
      </c>
      <c r="D145" s="701"/>
      <c r="E145" s="701"/>
      <c r="F145" s="701"/>
      <c r="G145" s="689"/>
      <c r="H145" s="689"/>
      <c r="I145" s="689"/>
      <c r="J145" s="233"/>
      <c r="K145" s="235"/>
      <c r="L145" s="16" t="str">
        <f t="shared" si="3"/>
        <v/>
      </c>
    </row>
    <row r="146" spans="3:12" hidden="1" outlineLevel="1" x14ac:dyDescent="0.3">
      <c r="C146" s="207">
        <v>67</v>
      </c>
      <c r="D146" s="701"/>
      <c r="E146" s="701"/>
      <c r="F146" s="701"/>
      <c r="G146" s="689"/>
      <c r="H146" s="689"/>
      <c r="I146" s="689"/>
      <c r="J146" s="233"/>
      <c r="K146" s="235"/>
      <c r="L146" s="16" t="str">
        <f t="shared" si="3"/>
        <v/>
      </c>
    </row>
    <row r="147" spans="3:12" hidden="1" outlineLevel="1" x14ac:dyDescent="0.3">
      <c r="C147" s="207">
        <v>68</v>
      </c>
      <c r="D147" s="701"/>
      <c r="E147" s="701"/>
      <c r="F147" s="701"/>
      <c r="G147" s="689"/>
      <c r="H147" s="689"/>
      <c r="I147" s="689"/>
      <c r="J147" s="233"/>
      <c r="K147" s="235"/>
      <c r="L147" s="16" t="str">
        <f t="shared" si="3"/>
        <v/>
      </c>
    </row>
    <row r="148" spans="3:12" hidden="1" outlineLevel="1" x14ac:dyDescent="0.3">
      <c r="C148" s="207">
        <v>69</v>
      </c>
      <c r="D148" s="701"/>
      <c r="E148" s="701"/>
      <c r="F148" s="701"/>
      <c r="G148" s="689"/>
      <c r="H148" s="689"/>
      <c r="I148" s="689"/>
      <c r="J148" s="233"/>
      <c r="K148" s="235"/>
      <c r="L148" s="16" t="str">
        <f t="shared" si="3"/>
        <v/>
      </c>
    </row>
    <row r="149" spans="3:12" hidden="1" outlineLevel="1" x14ac:dyDescent="0.3">
      <c r="C149" s="207">
        <v>70</v>
      </c>
      <c r="D149" s="701"/>
      <c r="E149" s="701"/>
      <c r="F149" s="701"/>
      <c r="G149" s="689"/>
      <c r="H149" s="689"/>
      <c r="I149" s="689"/>
      <c r="J149" s="233"/>
      <c r="K149" s="235"/>
      <c r="L149" s="16" t="str">
        <f t="shared" si="3"/>
        <v/>
      </c>
    </row>
    <row r="150" spans="3:12" hidden="1" outlineLevel="1" x14ac:dyDescent="0.3">
      <c r="C150" s="207">
        <v>71</v>
      </c>
      <c r="D150" s="701"/>
      <c r="E150" s="701"/>
      <c r="F150" s="701"/>
      <c r="G150" s="689"/>
      <c r="H150" s="689"/>
      <c r="I150" s="689"/>
      <c r="J150" s="233"/>
      <c r="K150" s="235"/>
      <c r="L150" s="16" t="str">
        <f t="shared" si="3"/>
        <v/>
      </c>
    </row>
    <row r="151" spans="3:12" hidden="1" outlineLevel="1" x14ac:dyDescent="0.3">
      <c r="C151" s="207">
        <v>72</v>
      </c>
      <c r="D151" s="701"/>
      <c r="E151" s="701"/>
      <c r="F151" s="701"/>
      <c r="G151" s="689"/>
      <c r="H151" s="689"/>
      <c r="I151" s="689"/>
      <c r="J151" s="233"/>
      <c r="K151" s="235"/>
      <c r="L151" s="16" t="str">
        <f t="shared" si="3"/>
        <v/>
      </c>
    </row>
    <row r="152" spans="3:12" hidden="1" outlineLevel="1" x14ac:dyDescent="0.3">
      <c r="C152" s="207">
        <v>73</v>
      </c>
      <c r="D152" s="701"/>
      <c r="E152" s="701"/>
      <c r="F152" s="701"/>
      <c r="G152" s="689"/>
      <c r="H152" s="689"/>
      <c r="I152" s="689"/>
      <c r="J152" s="233"/>
      <c r="K152" s="235"/>
      <c r="L152" s="16" t="str">
        <f t="shared" si="3"/>
        <v/>
      </c>
    </row>
    <row r="153" spans="3:12" hidden="1" outlineLevel="1" x14ac:dyDescent="0.3">
      <c r="C153" s="207">
        <v>74</v>
      </c>
      <c r="D153" s="701"/>
      <c r="E153" s="701"/>
      <c r="F153" s="701"/>
      <c r="G153" s="689"/>
      <c r="H153" s="689"/>
      <c r="I153" s="689"/>
      <c r="J153" s="233"/>
      <c r="K153" s="235"/>
      <c r="L153" s="16" t="str">
        <f t="shared" si="3"/>
        <v/>
      </c>
    </row>
    <row r="154" spans="3:12" hidden="1" outlineLevel="1" x14ac:dyDescent="0.3">
      <c r="C154" s="207">
        <v>75</v>
      </c>
      <c r="D154" s="701"/>
      <c r="E154" s="701"/>
      <c r="F154" s="701"/>
      <c r="G154" s="689"/>
      <c r="H154" s="689"/>
      <c r="I154" s="689"/>
      <c r="J154" s="233"/>
      <c r="K154" s="235"/>
      <c r="L154" s="16" t="str">
        <f t="shared" si="3"/>
        <v/>
      </c>
    </row>
    <row r="155" spans="3:12" hidden="1" outlineLevel="1" x14ac:dyDescent="0.3">
      <c r="C155" s="207">
        <v>76</v>
      </c>
      <c r="D155" s="701"/>
      <c r="E155" s="701"/>
      <c r="F155" s="701"/>
      <c r="G155" s="689"/>
      <c r="H155" s="689"/>
      <c r="I155" s="689"/>
      <c r="J155" s="233"/>
      <c r="K155" s="235"/>
      <c r="L155" s="16" t="str">
        <f t="shared" si="3"/>
        <v/>
      </c>
    </row>
    <row r="156" spans="3:12" hidden="1" outlineLevel="1" x14ac:dyDescent="0.3">
      <c r="C156" s="207">
        <v>77</v>
      </c>
      <c r="D156" s="701"/>
      <c r="E156" s="701"/>
      <c r="F156" s="701"/>
      <c r="G156" s="689"/>
      <c r="H156" s="689"/>
      <c r="I156" s="689"/>
      <c r="J156" s="233"/>
      <c r="K156" s="235"/>
      <c r="L156" s="16" t="str">
        <f t="shared" si="3"/>
        <v/>
      </c>
    </row>
    <row r="157" spans="3:12" hidden="1" outlineLevel="1" x14ac:dyDescent="0.3">
      <c r="C157" s="207">
        <v>78</v>
      </c>
      <c r="D157" s="701"/>
      <c r="E157" s="701"/>
      <c r="F157" s="701"/>
      <c r="G157" s="689"/>
      <c r="H157" s="689"/>
      <c r="I157" s="689"/>
      <c r="J157" s="233"/>
      <c r="K157" s="235"/>
      <c r="L157" s="16" t="str">
        <f t="shared" si="3"/>
        <v/>
      </c>
    </row>
    <row r="158" spans="3:12" hidden="1" outlineLevel="1" x14ac:dyDescent="0.3">
      <c r="C158" s="207">
        <v>79</v>
      </c>
      <c r="D158" s="701"/>
      <c r="E158" s="701"/>
      <c r="F158" s="701"/>
      <c r="G158" s="689"/>
      <c r="H158" s="689"/>
      <c r="I158" s="689"/>
      <c r="J158" s="233"/>
      <c r="K158" s="235"/>
      <c r="L158" s="16" t="str">
        <f t="shared" si="3"/>
        <v/>
      </c>
    </row>
    <row r="159" spans="3:12" hidden="1" outlineLevel="1" x14ac:dyDescent="0.3">
      <c r="C159" s="207">
        <v>80</v>
      </c>
      <c r="D159" s="701"/>
      <c r="E159" s="701"/>
      <c r="F159" s="701"/>
      <c r="G159" s="689"/>
      <c r="H159" s="689"/>
      <c r="I159" s="689"/>
      <c r="J159" s="233"/>
      <c r="K159" s="235"/>
      <c r="L159" s="16" t="str">
        <f t="shared" si="3"/>
        <v/>
      </c>
    </row>
    <row r="160" spans="3:12" hidden="1" outlineLevel="1" x14ac:dyDescent="0.3">
      <c r="C160" s="207">
        <v>81</v>
      </c>
      <c r="D160" s="701"/>
      <c r="E160" s="701"/>
      <c r="F160" s="701"/>
      <c r="G160" s="689"/>
      <c r="H160" s="689"/>
      <c r="I160" s="689"/>
      <c r="J160" s="233"/>
      <c r="K160" s="235"/>
      <c r="L160" s="16" t="str">
        <f t="shared" si="3"/>
        <v/>
      </c>
    </row>
    <row r="161" spans="3:12" hidden="1" outlineLevel="1" x14ac:dyDescent="0.3">
      <c r="C161" s="207">
        <v>82</v>
      </c>
      <c r="D161" s="701"/>
      <c r="E161" s="701"/>
      <c r="F161" s="701"/>
      <c r="G161" s="689"/>
      <c r="H161" s="689"/>
      <c r="I161" s="689"/>
      <c r="J161" s="233"/>
      <c r="K161" s="235"/>
      <c r="L161" s="16" t="str">
        <f t="shared" si="3"/>
        <v/>
      </c>
    </row>
    <row r="162" spans="3:12" hidden="1" outlineLevel="1" x14ac:dyDescent="0.3">
      <c r="C162" s="207">
        <v>83</v>
      </c>
      <c r="D162" s="701"/>
      <c r="E162" s="701"/>
      <c r="F162" s="701"/>
      <c r="G162" s="689"/>
      <c r="H162" s="689"/>
      <c r="I162" s="689"/>
      <c r="J162" s="233"/>
      <c r="K162" s="235"/>
      <c r="L162" s="16" t="str">
        <f t="shared" si="3"/>
        <v/>
      </c>
    </row>
    <row r="163" spans="3:12" hidden="1" outlineLevel="1" x14ac:dyDescent="0.3">
      <c r="C163" s="207">
        <v>84</v>
      </c>
      <c r="D163" s="701"/>
      <c r="E163" s="701"/>
      <c r="F163" s="701"/>
      <c r="G163" s="689"/>
      <c r="H163" s="689"/>
      <c r="I163" s="689"/>
      <c r="J163" s="233"/>
      <c r="K163" s="235"/>
      <c r="L163" s="16" t="str">
        <f t="shared" si="3"/>
        <v/>
      </c>
    </row>
    <row r="164" spans="3:12" hidden="1" outlineLevel="1" x14ac:dyDescent="0.3">
      <c r="C164" s="207">
        <v>85</v>
      </c>
      <c r="D164" s="701"/>
      <c r="E164" s="701"/>
      <c r="F164" s="701"/>
      <c r="G164" s="689"/>
      <c r="H164" s="689"/>
      <c r="I164" s="689"/>
      <c r="J164" s="233"/>
      <c r="K164" s="235"/>
      <c r="L164" s="16" t="str">
        <f t="shared" si="3"/>
        <v/>
      </c>
    </row>
    <row r="165" spans="3:12" hidden="1" outlineLevel="1" x14ac:dyDescent="0.3">
      <c r="C165" s="207">
        <v>86</v>
      </c>
      <c r="D165" s="701"/>
      <c r="E165" s="701"/>
      <c r="F165" s="701"/>
      <c r="G165" s="689"/>
      <c r="H165" s="689"/>
      <c r="I165" s="689"/>
      <c r="J165" s="233"/>
      <c r="K165" s="235"/>
      <c r="L165" s="16" t="str">
        <f t="shared" si="3"/>
        <v/>
      </c>
    </row>
    <row r="166" spans="3:12" hidden="1" outlineLevel="1" x14ac:dyDescent="0.3">
      <c r="C166" s="207">
        <v>87</v>
      </c>
      <c r="D166" s="701"/>
      <c r="E166" s="701"/>
      <c r="F166" s="701"/>
      <c r="G166" s="689"/>
      <c r="H166" s="689"/>
      <c r="I166" s="689"/>
      <c r="J166" s="233"/>
      <c r="K166" s="235"/>
      <c r="L166" s="16" t="str">
        <f t="shared" si="3"/>
        <v/>
      </c>
    </row>
    <row r="167" spans="3:12" hidden="1" outlineLevel="1" x14ac:dyDescent="0.3">
      <c r="C167" s="207">
        <v>88</v>
      </c>
      <c r="D167" s="701"/>
      <c r="E167" s="701"/>
      <c r="F167" s="701"/>
      <c r="G167" s="689"/>
      <c r="H167" s="689"/>
      <c r="I167" s="689"/>
      <c r="J167" s="233"/>
      <c r="K167" s="235"/>
      <c r="L167" s="16" t="str">
        <f t="shared" si="3"/>
        <v/>
      </c>
    </row>
    <row r="168" spans="3:12" hidden="1" outlineLevel="1" x14ac:dyDescent="0.3">
      <c r="C168" s="207">
        <v>89</v>
      </c>
      <c r="D168" s="701"/>
      <c r="E168" s="701"/>
      <c r="F168" s="701"/>
      <c r="G168" s="689"/>
      <c r="H168" s="689"/>
      <c r="I168" s="689"/>
      <c r="J168" s="233"/>
      <c r="K168" s="235"/>
      <c r="L168" s="16" t="str">
        <f t="shared" si="3"/>
        <v/>
      </c>
    </row>
    <row r="169" spans="3:12" hidden="1" outlineLevel="1" x14ac:dyDescent="0.3">
      <c r="C169" s="207">
        <v>90</v>
      </c>
      <c r="D169" s="701"/>
      <c r="E169" s="701"/>
      <c r="F169" s="701"/>
      <c r="G169" s="689"/>
      <c r="H169" s="689"/>
      <c r="I169" s="689"/>
      <c r="J169" s="233"/>
      <c r="K169" s="235"/>
      <c r="L169" s="16" t="str">
        <f t="shared" si="3"/>
        <v/>
      </c>
    </row>
    <row r="170" spans="3:12" hidden="1" outlineLevel="1" x14ac:dyDescent="0.3">
      <c r="C170" s="207">
        <v>91</v>
      </c>
      <c r="D170" s="701"/>
      <c r="E170" s="701"/>
      <c r="F170" s="701"/>
      <c r="G170" s="689"/>
      <c r="H170" s="689"/>
      <c r="I170" s="689"/>
      <c r="J170" s="233"/>
      <c r="K170" s="235"/>
      <c r="L170" s="16" t="str">
        <f t="shared" si="3"/>
        <v/>
      </c>
    </row>
    <row r="171" spans="3:12" hidden="1" outlineLevel="1" x14ac:dyDescent="0.3">
      <c r="C171" s="207">
        <v>92</v>
      </c>
      <c r="D171" s="701"/>
      <c r="E171" s="701"/>
      <c r="F171" s="701"/>
      <c r="G171" s="689"/>
      <c r="H171" s="689"/>
      <c r="I171" s="689"/>
      <c r="J171" s="233"/>
      <c r="K171" s="235"/>
      <c r="L171" s="16" t="str">
        <f t="shared" si="3"/>
        <v/>
      </c>
    </row>
    <row r="172" spans="3:12" hidden="1" outlineLevel="1" x14ac:dyDescent="0.3">
      <c r="C172" s="207">
        <v>93</v>
      </c>
      <c r="D172" s="701"/>
      <c r="E172" s="701"/>
      <c r="F172" s="701"/>
      <c r="G172" s="689"/>
      <c r="H172" s="689"/>
      <c r="I172" s="689"/>
      <c r="J172" s="233"/>
      <c r="K172" s="235"/>
      <c r="L172" s="16" t="str">
        <f t="shared" si="3"/>
        <v/>
      </c>
    </row>
    <row r="173" spans="3:12" hidden="1" outlineLevel="1" x14ac:dyDescent="0.3">
      <c r="C173" s="207">
        <v>94</v>
      </c>
      <c r="D173" s="701"/>
      <c r="E173" s="701"/>
      <c r="F173" s="701"/>
      <c r="G173" s="689"/>
      <c r="H173" s="689"/>
      <c r="I173" s="689"/>
      <c r="J173" s="233"/>
      <c r="K173" s="235"/>
      <c r="L173" s="16" t="str">
        <f t="shared" si="3"/>
        <v/>
      </c>
    </row>
    <row r="174" spans="3:12" hidden="1" outlineLevel="1" x14ac:dyDescent="0.3">
      <c r="C174" s="207">
        <v>95</v>
      </c>
      <c r="D174" s="701"/>
      <c r="E174" s="701"/>
      <c r="F174" s="701"/>
      <c r="G174" s="689"/>
      <c r="H174" s="689"/>
      <c r="I174" s="689"/>
      <c r="J174" s="233"/>
      <c r="K174" s="235"/>
      <c r="L174" s="16" t="str">
        <f t="shared" si="3"/>
        <v/>
      </c>
    </row>
    <row r="175" spans="3:12" hidden="1" outlineLevel="1" x14ac:dyDescent="0.3">
      <c r="C175" s="207">
        <v>96</v>
      </c>
      <c r="D175" s="701"/>
      <c r="E175" s="701"/>
      <c r="F175" s="701"/>
      <c r="G175" s="689"/>
      <c r="H175" s="689"/>
      <c r="I175" s="689"/>
      <c r="J175" s="233"/>
      <c r="K175" s="235"/>
      <c r="L175" s="16" t="str">
        <f t="shared" si="3"/>
        <v/>
      </c>
    </row>
    <row r="176" spans="3:12" hidden="1" outlineLevel="1" x14ac:dyDescent="0.3">
      <c r="C176" s="207">
        <v>97</v>
      </c>
      <c r="D176" s="701"/>
      <c r="E176" s="701"/>
      <c r="F176" s="701"/>
      <c r="G176" s="689"/>
      <c r="H176" s="689"/>
      <c r="I176" s="689"/>
      <c r="J176" s="233"/>
      <c r="K176" s="235"/>
      <c r="L176" s="16" t="str">
        <f t="shared" si="3"/>
        <v/>
      </c>
    </row>
    <row r="177" spans="3:17" hidden="1" outlineLevel="1" x14ac:dyDescent="0.3">
      <c r="C177" s="207">
        <v>98</v>
      </c>
      <c r="D177" s="701"/>
      <c r="E177" s="701"/>
      <c r="F177" s="701"/>
      <c r="G177" s="689"/>
      <c r="H177" s="689"/>
      <c r="I177" s="689"/>
      <c r="J177" s="233"/>
      <c r="K177" s="235"/>
      <c r="L177" s="16" t="str">
        <f t="shared" si="3"/>
        <v/>
      </c>
    </row>
    <row r="178" spans="3:17" hidden="1" outlineLevel="1" x14ac:dyDescent="0.3">
      <c r="C178" s="207">
        <v>99</v>
      </c>
      <c r="D178" s="701"/>
      <c r="E178" s="701"/>
      <c r="F178" s="701"/>
      <c r="G178" s="689"/>
      <c r="H178" s="689"/>
      <c r="I178" s="689"/>
      <c r="J178" s="233"/>
      <c r="K178" s="235"/>
      <c r="L178" s="16" t="str">
        <f t="shared" si="3"/>
        <v/>
      </c>
    </row>
    <row r="179" spans="3:17" ht="15" hidden="1" outlineLevel="1" thickBot="1" x14ac:dyDescent="0.35">
      <c r="C179" s="207">
        <v>100</v>
      </c>
      <c r="D179" s="701"/>
      <c r="E179" s="701"/>
      <c r="F179" s="701"/>
      <c r="G179" s="737"/>
      <c r="H179" s="737"/>
      <c r="I179" s="737"/>
      <c r="J179" s="236"/>
      <c r="K179" s="240"/>
      <c r="L179" s="16" t="str">
        <f t="shared" si="3"/>
        <v/>
      </c>
    </row>
    <row r="180" spans="3:17" ht="15" collapsed="1" thickBot="1" x14ac:dyDescent="0.35">
      <c r="C180" s="14"/>
      <c r="D180" s="14"/>
      <c r="E180" s="14"/>
      <c r="F180" s="14"/>
      <c r="G180" s="14"/>
      <c r="H180" s="14"/>
      <c r="I180" s="14"/>
      <c r="J180" s="14"/>
      <c r="K180" s="14"/>
    </row>
    <row r="181" spans="3:17" ht="15" thickBot="1" x14ac:dyDescent="0.35">
      <c r="C181" s="597" t="str">
        <f>template_label_b5_sites_in_biodiversity_sensitive_areas&amp;" "&amp;template_label_from&amp;" "&amp;template_starting_date_display&amp;" "&amp;template_label_to&amp;" "&amp;template_ending_date_display&amp;" "&amp;template_label_if_applicable</f>
        <v>B5 - Sites in biodiversity sensitive areas from 2025-01-01 to 2025-12-31 [If applicable]</v>
      </c>
      <c r="D181" s="746"/>
      <c r="E181" s="746"/>
      <c r="F181" s="746"/>
      <c r="G181" s="746"/>
      <c r="H181" s="746"/>
      <c r="I181" s="746"/>
      <c r="J181" s="746"/>
      <c r="K181" s="747"/>
    </row>
    <row r="182" spans="3:17" x14ac:dyDescent="0.3">
      <c r="C182" s="592">
        <v>33</v>
      </c>
      <c r="D182" s="608"/>
      <c r="E182" s="608"/>
      <c r="F182" s="608"/>
      <c r="G182" s="608"/>
      <c r="H182" s="608"/>
      <c r="I182" s="608"/>
      <c r="J182" s="608"/>
      <c r="K182" s="609"/>
    </row>
    <row r="183" spans="3:17" x14ac:dyDescent="0.3">
      <c r="C183" s="626" t="s">
        <v>61</v>
      </c>
      <c r="D183" s="590"/>
      <c r="E183" s="590"/>
      <c r="F183" s="590"/>
      <c r="G183" s="590"/>
      <c r="H183" s="590"/>
      <c r="I183" s="590"/>
      <c r="J183" s="590"/>
      <c r="K183" s="700"/>
    </row>
    <row r="184" spans="3:17" x14ac:dyDescent="0.3">
      <c r="C184" s="727" t="str">
        <f>template_label_does_the_undertaking_have_sites_that_are_located_in_or_near_biodiversity_sensitive_areas</f>
        <v>Does the undertaking have sites that are located in or near biodiversity sensitive areas?</v>
      </c>
      <c r="D184" s="728"/>
      <c r="E184" s="728"/>
      <c r="F184" s="728"/>
      <c r="G184" s="878" t="b">
        <v>1</v>
      </c>
      <c r="H184" s="878"/>
      <c r="I184" s="878"/>
      <c r="J184" s="878"/>
      <c r="K184" s="879"/>
    </row>
    <row r="185" spans="3:17" x14ac:dyDescent="0.3">
      <c r="C185" s="880" t="str">
        <f>template_label_please_select_the_unit_used_for_the_area</f>
        <v>Please select the unit used for the area (i.e. either hectares or m²):</v>
      </c>
      <c r="D185" s="881"/>
      <c r="E185" s="881"/>
      <c r="F185" s="881"/>
      <c r="G185" s="881"/>
      <c r="H185" s="881"/>
      <c r="I185" s="881"/>
      <c r="J185" s="881"/>
      <c r="K185" s="882"/>
    </row>
    <row r="186" spans="3:17" ht="15" thickBot="1" x14ac:dyDescent="0.35">
      <c r="C186" s="855" t="s">
        <v>62</v>
      </c>
      <c r="D186" s="739"/>
      <c r="E186" s="739"/>
      <c r="F186" s="739"/>
      <c r="G186" s="739"/>
      <c r="H186" s="739"/>
      <c r="I186" s="739"/>
      <c r="J186" s="739"/>
      <c r="K186" s="856"/>
      <c r="L186" s="17" t="str">
        <f>IF(AND(G184=TRUE,C186=""), template_label_missing_value, IF(AND(G184=TRUE,C186&lt;&gt;""), template_label_ok, ""))</f>
        <v>OK</v>
      </c>
    </row>
    <row r="187" spans="3:17" ht="57.6" customHeight="1" x14ac:dyDescent="0.3">
      <c r="C187" s="410" t="str">
        <f>template_label_related_site_id</f>
        <v>Related Site ID (select an ID from a site location reported in B1)</v>
      </c>
      <c r="D187" s="852" t="str">
        <f>template_label_site_location_in_near_a_biodiversity_area</f>
        <v>Site Location in near a biodiversity area - auto filled from B1</v>
      </c>
      <c r="E187" s="853"/>
      <c r="F187" s="854"/>
      <c r="G187" s="852" t="str">
        <f>template_label_area_hectares_or_m2</f>
        <v>Area (hectares or m² based on the selection above)</v>
      </c>
      <c r="H187" s="853"/>
      <c r="I187" s="854"/>
      <c r="J187" s="282" t="str">
        <f>template_label_site_located_in_a_biodiversity_sensitive_area</f>
        <v>Site located in a biodiversity sensitive area</v>
      </c>
      <c r="K187" s="411" t="str">
        <f>template_label_site_located_near_a_biodiversity_sensitive_area</f>
        <v>Site located near a biodiversity sensitive area</v>
      </c>
    </row>
    <row r="188" spans="3:17" x14ac:dyDescent="0.3">
      <c r="C188" s="207">
        <v>1</v>
      </c>
      <c r="D188" s="781" t="str">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Italy Milan Duomo Square</v>
      </c>
      <c r="E188" s="782"/>
      <c r="F188" s="783"/>
      <c r="G188" s="686">
        <v>1200</v>
      </c>
      <c r="H188" s="687"/>
      <c r="I188" s="687"/>
      <c r="J188" s="214" t="b">
        <v>1</v>
      </c>
      <c r="K188" s="212"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3">
      <c r="C189" s="207"/>
      <c r="D189" s="734" t="str">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735"/>
      <c r="F189" s="736"/>
      <c r="G189" s="686"/>
      <c r="H189" s="687"/>
      <c r="I189" s="687"/>
      <c r="J189" s="214" t="b">
        <v>0</v>
      </c>
      <c r="K189" s="212" t="b">
        <v>0</v>
      </c>
      <c r="L189" s="17" t="str">
        <f t="shared" si="4"/>
        <v/>
      </c>
    </row>
    <row r="190" spans="3:17" ht="15" thickBot="1" x14ac:dyDescent="0.35">
      <c r="C190" s="209"/>
      <c r="D190" s="799" t="str">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800"/>
      <c r="F190" s="801"/>
      <c r="G190" s="861"/>
      <c r="H190" s="861"/>
      <c r="I190" s="861"/>
      <c r="J190" s="215" t="b">
        <v>0</v>
      </c>
      <c r="K190" s="213"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08"/>
      <c r="D191" s="731" t="str">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732"/>
      <c r="F191" s="733"/>
      <c r="G191" s="908"/>
      <c r="H191" s="909"/>
      <c r="I191" s="910"/>
      <c r="J191" s="216" t="b">
        <v>0</v>
      </c>
      <c r="K191" s="211" t="b">
        <v>0</v>
      </c>
      <c r="L191" s="17" t="str">
        <f t="shared" si="4"/>
        <v/>
      </c>
      <c r="M191" s="10"/>
      <c r="N191" s="10"/>
      <c r="O191" s="10"/>
      <c r="P191" s="10"/>
      <c r="Q191" s="10"/>
    </row>
    <row r="192" spans="3:17" hidden="1" outlineLevel="1" x14ac:dyDescent="0.3">
      <c r="C192" s="208"/>
      <c r="D192" s="734" t="str">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735"/>
      <c r="F192" s="736"/>
      <c r="G192" s="686"/>
      <c r="H192" s="687"/>
      <c r="I192" s="688"/>
      <c r="J192" s="217" t="b">
        <v>0</v>
      </c>
      <c r="K192" s="212" t="b">
        <v>0</v>
      </c>
      <c r="L192" s="17" t="str">
        <f t="shared" si="4"/>
        <v/>
      </c>
      <c r="M192" s="10"/>
      <c r="N192" s="10"/>
      <c r="O192" s="10"/>
      <c r="P192" s="10"/>
      <c r="Q192" s="10"/>
    </row>
    <row r="193" spans="3:17" hidden="1" outlineLevel="1" x14ac:dyDescent="0.3">
      <c r="C193" s="207"/>
      <c r="D193" s="734" t="str">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735"/>
      <c r="F193" s="736"/>
      <c r="G193" s="686"/>
      <c r="H193" s="687"/>
      <c r="I193" s="688"/>
      <c r="J193" s="217" t="b">
        <v>0</v>
      </c>
      <c r="K193" s="212" t="b">
        <v>0</v>
      </c>
      <c r="L193" s="17" t="str">
        <f t="shared" si="4"/>
        <v/>
      </c>
      <c r="M193" s="10"/>
      <c r="N193" s="10"/>
      <c r="O193" s="10"/>
      <c r="P193" s="10"/>
      <c r="Q193" s="10"/>
    </row>
    <row r="194" spans="3:17" hidden="1" outlineLevel="1" x14ac:dyDescent="0.3">
      <c r="C194" s="207"/>
      <c r="D194" s="734" t="str">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735"/>
      <c r="F194" s="736"/>
      <c r="G194" s="686"/>
      <c r="H194" s="687"/>
      <c r="I194" s="688"/>
      <c r="J194" s="217" t="b">
        <v>0</v>
      </c>
      <c r="K194" s="212" t="b">
        <v>0</v>
      </c>
      <c r="L194" s="17" t="str">
        <f t="shared" si="4"/>
        <v/>
      </c>
      <c r="M194" s="10"/>
      <c r="N194" s="10"/>
      <c r="O194" s="10"/>
      <c r="P194" s="10"/>
      <c r="Q194" s="10"/>
    </row>
    <row r="195" spans="3:17" hidden="1" outlineLevel="1" x14ac:dyDescent="0.3">
      <c r="C195" s="207"/>
      <c r="D195" s="734" t="str">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735"/>
      <c r="F195" s="736"/>
      <c r="G195" s="686"/>
      <c r="H195" s="687"/>
      <c r="I195" s="688"/>
      <c r="J195" s="217" t="b">
        <v>0</v>
      </c>
      <c r="K195" s="212" t="b">
        <v>0</v>
      </c>
      <c r="L195" s="17" t="str">
        <f t="shared" si="4"/>
        <v/>
      </c>
      <c r="M195" s="10"/>
      <c r="N195" s="10"/>
      <c r="O195" s="10"/>
      <c r="P195" s="10"/>
      <c r="Q195" s="10"/>
    </row>
    <row r="196" spans="3:17" hidden="1" outlineLevel="1" x14ac:dyDescent="0.3">
      <c r="C196" s="207"/>
      <c r="D196" s="734" t="str">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735"/>
      <c r="F196" s="736"/>
      <c r="G196" s="686"/>
      <c r="H196" s="687"/>
      <c r="I196" s="688"/>
      <c r="J196" s="217" t="b">
        <v>0</v>
      </c>
      <c r="K196" s="212" t="b">
        <v>0</v>
      </c>
      <c r="L196" s="17" t="str">
        <f t="shared" si="4"/>
        <v/>
      </c>
      <c r="M196" s="10"/>
      <c r="N196" s="10"/>
      <c r="O196" s="10"/>
      <c r="P196" s="10"/>
      <c r="Q196" s="10"/>
    </row>
    <row r="197" spans="3:17" hidden="1" outlineLevel="1" x14ac:dyDescent="0.3">
      <c r="C197" s="207"/>
      <c r="D197" s="734" t="str">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735"/>
      <c r="F197" s="736"/>
      <c r="G197" s="686"/>
      <c r="H197" s="687"/>
      <c r="I197" s="688"/>
      <c r="J197" s="217" t="b">
        <v>0</v>
      </c>
      <c r="K197" s="212" t="b">
        <v>0</v>
      </c>
      <c r="L197" s="17" t="str">
        <f t="shared" si="4"/>
        <v/>
      </c>
      <c r="M197" s="10"/>
      <c r="N197" s="10"/>
      <c r="O197" s="10"/>
      <c r="P197" s="10"/>
      <c r="Q197" s="10"/>
    </row>
    <row r="198" spans="3:17" hidden="1" outlineLevel="1" x14ac:dyDescent="0.3">
      <c r="C198" s="207"/>
      <c r="D198" s="734" t="str">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735"/>
      <c r="F198" s="736"/>
      <c r="G198" s="686"/>
      <c r="H198" s="687"/>
      <c r="I198" s="688"/>
      <c r="J198" s="217" t="b">
        <v>0</v>
      </c>
      <c r="K198" s="212" t="b">
        <v>0</v>
      </c>
      <c r="L198" s="17" t="str">
        <f t="shared" si="4"/>
        <v/>
      </c>
      <c r="M198" s="10"/>
      <c r="N198" s="10"/>
      <c r="O198" s="10"/>
      <c r="P198" s="10"/>
      <c r="Q198" s="10"/>
    </row>
    <row r="199" spans="3:17" hidden="1" outlineLevel="1" x14ac:dyDescent="0.3">
      <c r="C199" s="207"/>
      <c r="D199" s="734" t="str">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735"/>
      <c r="F199" s="736"/>
      <c r="G199" s="686"/>
      <c r="H199" s="687"/>
      <c r="I199" s="688"/>
      <c r="J199" s="217" t="b">
        <v>0</v>
      </c>
      <c r="K199" s="212" t="b">
        <v>0</v>
      </c>
      <c r="L199" s="17" t="str">
        <f t="shared" si="4"/>
        <v/>
      </c>
      <c r="M199" s="10"/>
      <c r="N199" s="10"/>
      <c r="O199" s="10"/>
      <c r="P199" s="10"/>
      <c r="Q199" s="10"/>
    </row>
    <row r="200" spans="3:17" hidden="1" outlineLevel="1" x14ac:dyDescent="0.3">
      <c r="C200" s="207"/>
      <c r="D200" s="734" t="str">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735"/>
      <c r="F200" s="736"/>
      <c r="G200" s="686"/>
      <c r="H200" s="687"/>
      <c r="I200" s="688"/>
      <c r="J200" s="217" t="b">
        <v>0</v>
      </c>
      <c r="K200" s="212" t="b">
        <v>0</v>
      </c>
      <c r="L200" s="17" t="str">
        <f t="shared" si="4"/>
        <v/>
      </c>
      <c r="M200" s="10"/>
      <c r="N200" s="10"/>
      <c r="O200" s="10"/>
      <c r="P200" s="10"/>
      <c r="Q200" s="10"/>
    </row>
    <row r="201" spans="3:17" hidden="1" outlineLevel="1" x14ac:dyDescent="0.3">
      <c r="C201" s="207"/>
      <c r="D201" s="734" t="str">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735"/>
      <c r="F201" s="736"/>
      <c r="G201" s="686"/>
      <c r="H201" s="687"/>
      <c r="I201" s="688"/>
      <c r="J201" s="217" t="b">
        <v>0</v>
      </c>
      <c r="K201" s="212" t="b">
        <v>0</v>
      </c>
      <c r="L201" s="17" t="str">
        <f t="shared" si="4"/>
        <v/>
      </c>
      <c r="M201" s="10"/>
      <c r="N201" s="10"/>
      <c r="O201" s="10"/>
      <c r="P201" s="10"/>
      <c r="Q201" s="10"/>
    </row>
    <row r="202" spans="3:17" hidden="1" outlineLevel="1" x14ac:dyDescent="0.3">
      <c r="C202" s="207"/>
      <c r="D202" s="734" t="str">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735"/>
      <c r="F202" s="736"/>
      <c r="G202" s="686"/>
      <c r="H202" s="687"/>
      <c r="I202" s="688"/>
      <c r="J202" s="217" t="b">
        <v>0</v>
      </c>
      <c r="K202" s="212" t="b">
        <v>0</v>
      </c>
      <c r="L202" s="17" t="str">
        <f t="shared" si="4"/>
        <v/>
      </c>
      <c r="M202" s="10"/>
      <c r="N202" s="10"/>
      <c r="O202" s="10"/>
      <c r="P202" s="10"/>
      <c r="Q202" s="10"/>
    </row>
    <row r="203" spans="3:17" hidden="1" outlineLevel="1" x14ac:dyDescent="0.3">
      <c r="C203" s="207"/>
      <c r="D203" s="734" t="str">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735"/>
      <c r="F203" s="736"/>
      <c r="G203" s="686"/>
      <c r="H203" s="687"/>
      <c r="I203" s="688"/>
      <c r="J203" s="217" t="b">
        <v>0</v>
      </c>
      <c r="K203" s="212" t="b">
        <v>0</v>
      </c>
      <c r="L203" s="17" t="str">
        <f t="shared" si="4"/>
        <v/>
      </c>
      <c r="M203" s="10"/>
      <c r="N203" s="10"/>
      <c r="O203" s="10"/>
      <c r="P203" s="10"/>
      <c r="Q203" s="10"/>
    </row>
    <row r="204" spans="3:17" hidden="1" outlineLevel="1" x14ac:dyDescent="0.3">
      <c r="C204" s="207"/>
      <c r="D204" s="734" t="str">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735"/>
      <c r="F204" s="736"/>
      <c r="G204" s="686"/>
      <c r="H204" s="687"/>
      <c r="I204" s="688"/>
      <c r="J204" s="217" t="b">
        <v>0</v>
      </c>
      <c r="K204" s="212" t="b">
        <v>0</v>
      </c>
      <c r="L204" s="17" t="str">
        <f t="shared" si="4"/>
        <v/>
      </c>
      <c r="M204" s="10"/>
      <c r="N204" s="10"/>
      <c r="O204" s="10"/>
      <c r="P204" s="10"/>
      <c r="Q204" s="10"/>
    </row>
    <row r="205" spans="3:17" hidden="1" outlineLevel="1" x14ac:dyDescent="0.3">
      <c r="C205" s="207"/>
      <c r="D205" s="734" t="str">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735"/>
      <c r="F205" s="736"/>
      <c r="G205" s="686"/>
      <c r="H205" s="687"/>
      <c r="I205" s="688"/>
      <c r="J205" s="217" t="b">
        <v>0</v>
      </c>
      <c r="K205" s="212" t="b">
        <v>0</v>
      </c>
      <c r="L205" s="17" t="str">
        <f t="shared" si="4"/>
        <v/>
      </c>
      <c r="M205" s="10"/>
      <c r="N205" s="10"/>
      <c r="O205" s="10"/>
      <c r="P205" s="10"/>
      <c r="Q205" s="10"/>
    </row>
    <row r="206" spans="3:17" hidden="1" outlineLevel="1" x14ac:dyDescent="0.3">
      <c r="C206" s="207"/>
      <c r="D206" s="734" t="str">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735"/>
      <c r="F206" s="736"/>
      <c r="G206" s="686"/>
      <c r="H206" s="687"/>
      <c r="I206" s="688"/>
      <c r="J206" s="217" t="b">
        <v>0</v>
      </c>
      <c r="K206" s="212" t="b">
        <v>0</v>
      </c>
      <c r="L206" s="17" t="str">
        <f t="shared" si="4"/>
        <v/>
      </c>
      <c r="M206" s="10"/>
      <c r="N206" s="10"/>
      <c r="O206" s="10"/>
      <c r="P206" s="10"/>
      <c r="Q206" s="10"/>
    </row>
    <row r="207" spans="3:17" hidden="1" outlineLevel="1" x14ac:dyDescent="0.3">
      <c r="C207" s="207"/>
      <c r="D207" s="734" t="str">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735"/>
      <c r="F207" s="736"/>
      <c r="G207" s="686"/>
      <c r="H207" s="687"/>
      <c r="I207" s="688"/>
      <c r="J207" s="217" t="b">
        <v>0</v>
      </c>
      <c r="K207" s="212" t="b">
        <v>0</v>
      </c>
      <c r="L207" s="17" t="str">
        <f t="shared" si="4"/>
        <v/>
      </c>
      <c r="M207" s="10"/>
      <c r="N207" s="10"/>
      <c r="O207" s="10"/>
      <c r="P207" s="10"/>
      <c r="Q207" s="10"/>
    </row>
    <row r="208" spans="3:17" hidden="1" outlineLevel="1" x14ac:dyDescent="0.3">
      <c r="C208" s="207"/>
      <c r="D208" s="734" t="str">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735"/>
      <c r="F208" s="736"/>
      <c r="G208" s="686"/>
      <c r="H208" s="687"/>
      <c r="I208" s="688"/>
      <c r="J208" s="217" t="b">
        <v>0</v>
      </c>
      <c r="K208" s="212" t="b">
        <v>0</v>
      </c>
      <c r="L208" s="17" t="str">
        <f t="shared" si="4"/>
        <v/>
      </c>
      <c r="M208" s="10"/>
      <c r="N208" s="10"/>
      <c r="O208" s="10"/>
      <c r="P208" s="10"/>
      <c r="Q208" s="10"/>
    </row>
    <row r="209" spans="3:17" hidden="1" outlineLevel="1" x14ac:dyDescent="0.3">
      <c r="C209" s="207"/>
      <c r="D209" s="734" t="str">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735"/>
      <c r="F209" s="736"/>
      <c r="G209" s="686"/>
      <c r="H209" s="687"/>
      <c r="I209" s="688"/>
      <c r="J209" s="217" t="b">
        <v>0</v>
      </c>
      <c r="K209" s="212" t="b">
        <v>0</v>
      </c>
      <c r="L209" s="17" t="str">
        <f t="shared" si="4"/>
        <v/>
      </c>
      <c r="M209" s="10"/>
      <c r="N209" s="10"/>
      <c r="O209" s="10"/>
      <c r="P209" s="10"/>
      <c r="Q209" s="10"/>
    </row>
    <row r="210" spans="3:17" hidden="1" outlineLevel="1" x14ac:dyDescent="0.3">
      <c r="C210" s="207"/>
      <c r="D210" s="734" t="str">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735"/>
      <c r="F210" s="736"/>
      <c r="G210" s="686"/>
      <c r="H210" s="687"/>
      <c r="I210" s="688"/>
      <c r="J210" s="217" t="b">
        <v>0</v>
      </c>
      <c r="K210" s="212" t="b">
        <v>0</v>
      </c>
      <c r="L210" s="17" t="str">
        <f t="shared" si="4"/>
        <v/>
      </c>
      <c r="M210" s="10"/>
      <c r="N210" s="10"/>
      <c r="O210" s="10"/>
      <c r="P210" s="10"/>
      <c r="Q210" s="10"/>
    </row>
    <row r="211" spans="3:17" hidden="1" outlineLevel="1" x14ac:dyDescent="0.3">
      <c r="C211" s="207"/>
      <c r="D211" s="734" t="str">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735"/>
      <c r="F211" s="736"/>
      <c r="G211" s="686"/>
      <c r="H211" s="687"/>
      <c r="I211" s="688"/>
      <c r="J211" s="217" t="b">
        <v>0</v>
      </c>
      <c r="K211" s="212" t="b">
        <v>0</v>
      </c>
      <c r="L211" s="17" t="str">
        <f t="shared" si="4"/>
        <v/>
      </c>
      <c r="M211" s="10"/>
      <c r="N211" s="10"/>
      <c r="O211" s="10"/>
      <c r="P211" s="10"/>
      <c r="Q211" s="10"/>
    </row>
    <row r="212" spans="3:17" hidden="1" outlineLevel="1" x14ac:dyDescent="0.3">
      <c r="C212" s="207"/>
      <c r="D212" s="734" t="str">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735"/>
      <c r="F212" s="736"/>
      <c r="G212" s="686"/>
      <c r="H212" s="687"/>
      <c r="I212" s="688"/>
      <c r="J212" s="217" t="b">
        <v>0</v>
      </c>
      <c r="K212" s="212" t="b">
        <v>0</v>
      </c>
      <c r="L212" s="17" t="str">
        <f t="shared" si="4"/>
        <v/>
      </c>
      <c r="M212" s="10"/>
      <c r="N212" s="10"/>
      <c r="O212" s="10"/>
      <c r="P212" s="10"/>
      <c r="Q212" s="10"/>
    </row>
    <row r="213" spans="3:17" hidden="1" outlineLevel="1" x14ac:dyDescent="0.3">
      <c r="C213" s="207"/>
      <c r="D213" s="734" t="str">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735"/>
      <c r="F213" s="736"/>
      <c r="G213" s="686"/>
      <c r="H213" s="687"/>
      <c r="I213" s="688"/>
      <c r="J213" s="217" t="b">
        <v>0</v>
      </c>
      <c r="K213" s="212" t="b">
        <v>0</v>
      </c>
      <c r="L213" s="17" t="str">
        <f t="shared" si="4"/>
        <v/>
      </c>
      <c r="M213" s="10"/>
      <c r="N213" s="10"/>
      <c r="O213" s="10"/>
      <c r="P213" s="10"/>
      <c r="Q213" s="10"/>
    </row>
    <row r="214" spans="3:17" hidden="1" outlineLevel="1" x14ac:dyDescent="0.3">
      <c r="C214" s="207"/>
      <c r="D214" s="734" t="str">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735"/>
      <c r="F214" s="736"/>
      <c r="G214" s="686"/>
      <c r="H214" s="687"/>
      <c r="I214" s="688"/>
      <c r="J214" s="217" t="b">
        <v>0</v>
      </c>
      <c r="K214" s="212" t="b">
        <v>0</v>
      </c>
      <c r="L214" s="17" t="str">
        <f t="shared" si="4"/>
        <v/>
      </c>
      <c r="M214" s="10"/>
      <c r="N214" s="10"/>
      <c r="O214" s="10"/>
      <c r="P214" s="10"/>
      <c r="Q214" s="10"/>
    </row>
    <row r="215" spans="3:17" hidden="1" outlineLevel="1" x14ac:dyDescent="0.3">
      <c r="C215" s="207"/>
      <c r="D215" s="734" t="str">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735"/>
      <c r="F215" s="736"/>
      <c r="G215" s="686"/>
      <c r="H215" s="687"/>
      <c r="I215" s="688"/>
      <c r="J215" s="217" t="b">
        <v>0</v>
      </c>
      <c r="K215" s="212" t="b">
        <v>0</v>
      </c>
      <c r="L215" s="17" t="str">
        <f t="shared" si="4"/>
        <v/>
      </c>
      <c r="M215" s="10"/>
      <c r="N215" s="10"/>
      <c r="O215" s="10"/>
      <c r="P215" s="10"/>
      <c r="Q215" s="10"/>
    </row>
    <row r="216" spans="3:17" hidden="1" outlineLevel="1" x14ac:dyDescent="0.3">
      <c r="C216" s="207"/>
      <c r="D216" s="734" t="str">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735"/>
      <c r="F216" s="736"/>
      <c r="G216" s="686"/>
      <c r="H216" s="687"/>
      <c r="I216" s="688"/>
      <c r="J216" s="217" t="b">
        <v>0</v>
      </c>
      <c r="K216" s="212" t="b">
        <v>0</v>
      </c>
      <c r="L216" s="17" t="str">
        <f t="shared" si="4"/>
        <v/>
      </c>
      <c r="M216" s="10"/>
      <c r="N216" s="10"/>
      <c r="O216" s="10"/>
      <c r="P216" s="10"/>
      <c r="Q216" s="10"/>
    </row>
    <row r="217" spans="3:17" hidden="1" outlineLevel="1" x14ac:dyDescent="0.3">
      <c r="C217" s="207"/>
      <c r="D217" s="734" t="str">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735"/>
      <c r="F217" s="736"/>
      <c r="G217" s="686"/>
      <c r="H217" s="687"/>
      <c r="I217" s="688"/>
      <c r="J217" s="217" t="b">
        <v>0</v>
      </c>
      <c r="K217" s="212" t="b">
        <v>0</v>
      </c>
      <c r="L217" s="17" t="str">
        <f t="shared" si="4"/>
        <v/>
      </c>
      <c r="M217" s="10"/>
      <c r="N217" s="10"/>
      <c r="O217" s="10"/>
      <c r="P217" s="10"/>
      <c r="Q217" s="10"/>
    </row>
    <row r="218" spans="3:17" hidden="1" outlineLevel="1" x14ac:dyDescent="0.3">
      <c r="C218" s="207"/>
      <c r="D218" s="734" t="str">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735"/>
      <c r="F218" s="736"/>
      <c r="G218" s="686"/>
      <c r="H218" s="687"/>
      <c r="I218" s="688"/>
      <c r="J218" s="217" t="b">
        <v>0</v>
      </c>
      <c r="K218" s="212" t="b">
        <v>0</v>
      </c>
      <c r="L218" s="17" t="str">
        <f t="shared" si="4"/>
        <v/>
      </c>
      <c r="M218" s="10"/>
      <c r="N218" s="10"/>
      <c r="O218" s="10"/>
      <c r="P218" s="10"/>
      <c r="Q218" s="10"/>
    </row>
    <row r="219" spans="3:17" hidden="1" outlineLevel="1" x14ac:dyDescent="0.3">
      <c r="C219" s="207"/>
      <c r="D219" s="734" t="str">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735"/>
      <c r="F219" s="736"/>
      <c r="G219" s="686"/>
      <c r="H219" s="687"/>
      <c r="I219" s="688"/>
      <c r="J219" s="217" t="b">
        <v>0</v>
      </c>
      <c r="K219" s="212" t="b">
        <v>0</v>
      </c>
      <c r="L219" s="17" t="str">
        <f t="shared" si="4"/>
        <v/>
      </c>
      <c r="M219" s="10"/>
      <c r="N219" s="10"/>
      <c r="O219" s="10"/>
      <c r="P219" s="10"/>
      <c r="Q219" s="10"/>
    </row>
    <row r="220" spans="3:17" hidden="1" outlineLevel="1" x14ac:dyDescent="0.3">
      <c r="C220" s="207"/>
      <c r="D220" s="734" t="str">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735"/>
      <c r="F220" s="736"/>
      <c r="G220" s="686"/>
      <c r="H220" s="687"/>
      <c r="I220" s="688"/>
      <c r="J220" s="217" t="b">
        <v>0</v>
      </c>
      <c r="K220" s="212" t="b">
        <v>0</v>
      </c>
      <c r="L220" s="17" t="str">
        <f t="shared" si="4"/>
        <v/>
      </c>
      <c r="M220" s="10"/>
      <c r="N220" s="10"/>
      <c r="O220" s="10"/>
      <c r="P220" s="10"/>
      <c r="Q220" s="10"/>
    </row>
    <row r="221" spans="3:17" hidden="1" outlineLevel="1" x14ac:dyDescent="0.3">
      <c r="C221" s="207"/>
      <c r="D221" s="734" t="str">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735"/>
      <c r="F221" s="736"/>
      <c r="G221" s="686"/>
      <c r="H221" s="687"/>
      <c r="I221" s="688"/>
      <c r="J221" s="217" t="b">
        <v>0</v>
      </c>
      <c r="K221" s="212" t="b">
        <v>0</v>
      </c>
      <c r="L221" s="17" t="str">
        <f t="shared" si="4"/>
        <v/>
      </c>
      <c r="M221" s="10"/>
      <c r="N221" s="10"/>
      <c r="O221" s="10"/>
      <c r="P221" s="10"/>
      <c r="Q221" s="10"/>
    </row>
    <row r="222" spans="3:17" hidden="1" outlineLevel="1" x14ac:dyDescent="0.3">
      <c r="C222" s="207"/>
      <c r="D222" s="734" t="str">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735"/>
      <c r="F222" s="736"/>
      <c r="G222" s="686"/>
      <c r="H222" s="687"/>
      <c r="I222" s="688"/>
      <c r="J222" s="217" t="b">
        <v>0</v>
      </c>
      <c r="K222" s="212" t="b">
        <v>0</v>
      </c>
      <c r="L222" s="17" t="str">
        <f t="shared" si="4"/>
        <v/>
      </c>
      <c r="M222" s="10"/>
      <c r="N222" s="10"/>
      <c r="O222" s="10"/>
      <c r="P222" s="10"/>
      <c r="Q222" s="10"/>
    </row>
    <row r="223" spans="3:17" hidden="1" outlineLevel="1" x14ac:dyDescent="0.3">
      <c r="C223" s="207"/>
      <c r="D223" s="734" t="str">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735"/>
      <c r="F223" s="736"/>
      <c r="G223" s="686"/>
      <c r="H223" s="687"/>
      <c r="I223" s="688"/>
      <c r="J223" s="217" t="b">
        <v>0</v>
      </c>
      <c r="K223" s="212" t="b">
        <v>0</v>
      </c>
      <c r="L223" s="17" t="str">
        <f t="shared" si="4"/>
        <v/>
      </c>
      <c r="M223" s="10"/>
      <c r="N223" s="10"/>
      <c r="O223" s="10"/>
      <c r="P223" s="10"/>
      <c r="Q223" s="10"/>
    </row>
    <row r="224" spans="3:17" hidden="1" outlineLevel="1" x14ac:dyDescent="0.3">
      <c r="C224" s="207"/>
      <c r="D224" s="734" t="str">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735"/>
      <c r="F224" s="736"/>
      <c r="G224" s="686"/>
      <c r="H224" s="687"/>
      <c r="I224" s="688"/>
      <c r="J224" s="217" t="b">
        <v>0</v>
      </c>
      <c r="K224" s="212" t="b">
        <v>0</v>
      </c>
      <c r="L224" s="17" t="str">
        <f t="shared" si="4"/>
        <v/>
      </c>
      <c r="M224" s="10"/>
      <c r="N224" s="10"/>
      <c r="O224" s="10"/>
      <c r="P224" s="10"/>
      <c r="Q224" s="10"/>
    </row>
    <row r="225" spans="3:17" hidden="1" outlineLevel="1" x14ac:dyDescent="0.3">
      <c r="C225" s="207"/>
      <c r="D225" s="734" t="str">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735"/>
      <c r="F225" s="736"/>
      <c r="G225" s="686"/>
      <c r="H225" s="687"/>
      <c r="I225" s="688"/>
      <c r="J225" s="217" t="b">
        <v>0</v>
      </c>
      <c r="K225" s="212" t="b">
        <v>0</v>
      </c>
      <c r="L225" s="17" t="str">
        <f t="shared" si="4"/>
        <v/>
      </c>
      <c r="M225" s="10"/>
      <c r="N225" s="10"/>
      <c r="O225" s="10"/>
      <c r="P225" s="10"/>
      <c r="Q225" s="10"/>
    </row>
    <row r="226" spans="3:17" hidden="1" outlineLevel="1" x14ac:dyDescent="0.3">
      <c r="C226" s="207"/>
      <c r="D226" s="734" t="str">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735"/>
      <c r="F226" s="736"/>
      <c r="G226" s="686"/>
      <c r="H226" s="687"/>
      <c r="I226" s="688"/>
      <c r="J226" s="217" t="b">
        <v>0</v>
      </c>
      <c r="K226" s="212" t="b">
        <v>0</v>
      </c>
      <c r="L226" s="17" t="str">
        <f t="shared" si="4"/>
        <v/>
      </c>
      <c r="M226" s="10"/>
      <c r="N226" s="10"/>
      <c r="O226" s="10"/>
      <c r="P226" s="10"/>
      <c r="Q226" s="10"/>
    </row>
    <row r="227" spans="3:17" hidden="1" outlineLevel="1" x14ac:dyDescent="0.3">
      <c r="C227" s="207"/>
      <c r="D227" s="734" t="str">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735"/>
      <c r="F227" s="736"/>
      <c r="G227" s="686"/>
      <c r="H227" s="687"/>
      <c r="I227" s="688"/>
      <c r="J227" s="217" t="b">
        <v>0</v>
      </c>
      <c r="K227" s="212" t="b">
        <v>0</v>
      </c>
      <c r="L227" s="17" t="str">
        <f t="shared" si="4"/>
        <v/>
      </c>
      <c r="M227" s="10"/>
      <c r="N227" s="10"/>
      <c r="O227" s="10"/>
      <c r="P227" s="10"/>
      <c r="Q227" s="10"/>
    </row>
    <row r="228" spans="3:17" hidden="1" outlineLevel="1" x14ac:dyDescent="0.3">
      <c r="C228" s="207"/>
      <c r="D228" s="734" t="str">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735"/>
      <c r="F228" s="736"/>
      <c r="G228" s="686"/>
      <c r="H228" s="687"/>
      <c r="I228" s="688"/>
      <c r="J228" s="217" t="b">
        <v>0</v>
      </c>
      <c r="K228" s="212" t="b">
        <v>0</v>
      </c>
      <c r="L228" s="17" t="str">
        <f t="shared" si="4"/>
        <v/>
      </c>
      <c r="M228" s="10"/>
      <c r="N228" s="10"/>
      <c r="O228" s="10"/>
      <c r="P228" s="10"/>
      <c r="Q228" s="10"/>
    </row>
    <row r="229" spans="3:17" hidden="1" outlineLevel="1" x14ac:dyDescent="0.3">
      <c r="C229" s="207"/>
      <c r="D229" s="734" t="str">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735"/>
      <c r="F229" s="736"/>
      <c r="G229" s="686"/>
      <c r="H229" s="687"/>
      <c r="I229" s="688"/>
      <c r="J229" s="217" t="b">
        <v>0</v>
      </c>
      <c r="K229" s="212" t="b">
        <v>0</v>
      </c>
      <c r="L229" s="17" t="str">
        <f t="shared" si="4"/>
        <v/>
      </c>
      <c r="M229" s="10"/>
      <c r="N229" s="10"/>
      <c r="O229" s="10"/>
      <c r="P229" s="10"/>
      <c r="Q229" s="10"/>
    </row>
    <row r="230" spans="3:17" hidden="1" outlineLevel="1" x14ac:dyDescent="0.3">
      <c r="C230" s="207"/>
      <c r="D230" s="734" t="str">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735"/>
      <c r="F230" s="736"/>
      <c r="G230" s="686"/>
      <c r="H230" s="687"/>
      <c r="I230" s="688"/>
      <c r="J230" s="217" t="b">
        <v>0</v>
      </c>
      <c r="K230" s="212" t="b">
        <v>0</v>
      </c>
      <c r="L230" s="17" t="str">
        <f t="shared" si="4"/>
        <v/>
      </c>
      <c r="M230" s="10"/>
      <c r="N230" s="10"/>
      <c r="O230" s="10"/>
      <c r="P230" s="10"/>
      <c r="Q230" s="10"/>
    </row>
    <row r="231" spans="3:17" hidden="1" outlineLevel="1" x14ac:dyDescent="0.3">
      <c r="C231" s="207"/>
      <c r="D231" s="734" t="str">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735"/>
      <c r="F231" s="736"/>
      <c r="G231" s="686"/>
      <c r="H231" s="687"/>
      <c r="I231" s="688"/>
      <c r="J231" s="217" t="b">
        <v>0</v>
      </c>
      <c r="K231" s="212" t="b">
        <v>0</v>
      </c>
      <c r="L231" s="17" t="str">
        <f t="shared" si="4"/>
        <v/>
      </c>
      <c r="M231" s="10"/>
      <c r="N231" s="10"/>
      <c r="O231" s="10"/>
      <c r="P231" s="10"/>
      <c r="Q231" s="10"/>
    </row>
    <row r="232" spans="3:17" hidden="1" outlineLevel="1" x14ac:dyDescent="0.3">
      <c r="C232" s="207"/>
      <c r="D232" s="734" t="str">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735"/>
      <c r="F232" s="736"/>
      <c r="G232" s="686"/>
      <c r="H232" s="687"/>
      <c r="I232" s="688"/>
      <c r="J232" s="217" t="b">
        <v>0</v>
      </c>
      <c r="K232" s="212" t="b">
        <v>0</v>
      </c>
      <c r="L232" s="17" t="str">
        <f t="shared" si="4"/>
        <v/>
      </c>
      <c r="M232" s="10"/>
      <c r="N232" s="10"/>
      <c r="O232" s="10"/>
      <c r="P232" s="10"/>
      <c r="Q232" s="10"/>
    </row>
    <row r="233" spans="3:17" hidden="1" outlineLevel="1" x14ac:dyDescent="0.3">
      <c r="C233" s="207"/>
      <c r="D233" s="734" t="str">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735"/>
      <c r="F233" s="736"/>
      <c r="G233" s="686"/>
      <c r="H233" s="687"/>
      <c r="I233" s="688"/>
      <c r="J233" s="217" t="b">
        <v>0</v>
      </c>
      <c r="K233" s="212" t="b">
        <v>0</v>
      </c>
      <c r="L233" s="17" t="str">
        <f t="shared" si="4"/>
        <v/>
      </c>
      <c r="M233" s="10"/>
      <c r="N233" s="10"/>
      <c r="O233" s="10"/>
      <c r="P233" s="10"/>
      <c r="Q233" s="10"/>
    </row>
    <row r="234" spans="3:17" hidden="1" outlineLevel="1" x14ac:dyDescent="0.3">
      <c r="C234" s="207"/>
      <c r="D234" s="734" t="str">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735"/>
      <c r="F234" s="736"/>
      <c r="G234" s="686"/>
      <c r="H234" s="687"/>
      <c r="I234" s="688"/>
      <c r="J234" s="217" t="b">
        <v>0</v>
      </c>
      <c r="K234" s="212" t="b">
        <v>0</v>
      </c>
      <c r="L234" s="17" t="str">
        <f t="shared" si="4"/>
        <v/>
      </c>
      <c r="M234" s="10"/>
      <c r="N234" s="10"/>
      <c r="O234" s="10"/>
      <c r="P234" s="10"/>
      <c r="Q234" s="10"/>
    </row>
    <row r="235" spans="3:17" hidden="1" outlineLevel="1" x14ac:dyDescent="0.3">
      <c r="C235" s="207"/>
      <c r="D235" s="734" t="str">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735"/>
      <c r="F235" s="736"/>
      <c r="G235" s="686"/>
      <c r="H235" s="687"/>
      <c r="I235" s="688"/>
      <c r="J235" s="217" t="b">
        <v>0</v>
      </c>
      <c r="K235" s="212" t="b">
        <v>0</v>
      </c>
      <c r="L235" s="17" t="str">
        <f t="shared" si="4"/>
        <v/>
      </c>
      <c r="M235" s="10"/>
      <c r="N235" s="10"/>
      <c r="O235" s="10"/>
      <c r="P235" s="10"/>
      <c r="Q235" s="10"/>
    </row>
    <row r="236" spans="3:17" hidden="1" outlineLevel="1" x14ac:dyDescent="0.3">
      <c r="C236" s="207"/>
      <c r="D236" s="734" t="str">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735"/>
      <c r="F236" s="736"/>
      <c r="G236" s="686"/>
      <c r="H236" s="687"/>
      <c r="I236" s="688"/>
      <c r="J236" s="217" t="b">
        <v>0</v>
      </c>
      <c r="K236" s="212" t="b">
        <v>0</v>
      </c>
      <c r="L236" s="17" t="str">
        <f t="shared" si="4"/>
        <v/>
      </c>
      <c r="M236" s="10"/>
      <c r="N236" s="10"/>
      <c r="O236" s="10"/>
      <c r="P236" s="10"/>
      <c r="Q236" s="10"/>
    </row>
    <row r="237" spans="3:17" hidden="1" outlineLevel="1" x14ac:dyDescent="0.3">
      <c r="C237" s="207"/>
      <c r="D237" s="734" t="str">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735"/>
      <c r="F237" s="736"/>
      <c r="G237" s="686"/>
      <c r="H237" s="687"/>
      <c r="I237" s="688"/>
      <c r="J237" s="217" t="b">
        <v>0</v>
      </c>
      <c r="K237" s="212" t="b">
        <v>0</v>
      </c>
      <c r="L237" s="17" t="str">
        <f t="shared" si="4"/>
        <v/>
      </c>
      <c r="M237" s="10"/>
      <c r="N237" s="10"/>
      <c r="O237" s="10"/>
      <c r="P237" s="10"/>
      <c r="Q237" s="10"/>
    </row>
    <row r="238" spans="3:17" hidden="1" outlineLevel="1" x14ac:dyDescent="0.3">
      <c r="C238" s="207"/>
      <c r="D238" s="734" t="str">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735"/>
      <c r="F238" s="736"/>
      <c r="G238" s="686"/>
      <c r="H238" s="687"/>
      <c r="I238" s="688"/>
      <c r="J238" s="217" t="b">
        <v>0</v>
      </c>
      <c r="K238" s="212" t="b">
        <v>0</v>
      </c>
      <c r="L238" s="17" t="str">
        <f t="shared" si="4"/>
        <v/>
      </c>
      <c r="M238" s="10"/>
      <c r="N238" s="10"/>
      <c r="O238" s="10"/>
      <c r="P238" s="10"/>
      <c r="Q238" s="10"/>
    </row>
    <row r="239" spans="3:17" hidden="1" outlineLevel="1" x14ac:dyDescent="0.3">
      <c r="C239" s="207"/>
      <c r="D239" s="734" t="str">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735"/>
      <c r="F239" s="736"/>
      <c r="G239" s="686"/>
      <c r="H239" s="687"/>
      <c r="I239" s="688"/>
      <c r="J239" s="217" t="b">
        <v>0</v>
      </c>
      <c r="K239" s="212" t="b">
        <v>0</v>
      </c>
      <c r="L239" s="17" t="str">
        <f t="shared" si="4"/>
        <v/>
      </c>
      <c r="M239" s="10"/>
      <c r="N239" s="10"/>
      <c r="O239" s="10"/>
      <c r="P239" s="10"/>
      <c r="Q239" s="10"/>
    </row>
    <row r="240" spans="3:17" hidden="1" outlineLevel="1" x14ac:dyDescent="0.3">
      <c r="C240" s="207"/>
      <c r="D240" s="734" t="str">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735"/>
      <c r="F240" s="736"/>
      <c r="G240" s="686"/>
      <c r="H240" s="687"/>
      <c r="I240" s="688"/>
      <c r="J240" s="217" t="b">
        <v>0</v>
      </c>
      <c r="K240" s="212" t="b">
        <v>0</v>
      </c>
      <c r="L240" s="17" t="str">
        <f t="shared" si="4"/>
        <v/>
      </c>
      <c r="M240" s="10"/>
      <c r="N240" s="10"/>
      <c r="O240" s="10"/>
      <c r="P240" s="10"/>
      <c r="Q240" s="10"/>
    </row>
    <row r="241" spans="3:17" hidden="1" outlineLevel="1" x14ac:dyDescent="0.3">
      <c r="C241" s="207"/>
      <c r="D241" s="734" t="str">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735"/>
      <c r="F241" s="736"/>
      <c r="G241" s="686"/>
      <c r="H241" s="687"/>
      <c r="I241" s="688"/>
      <c r="J241" s="217" t="b">
        <v>0</v>
      </c>
      <c r="K241" s="212" t="b">
        <v>0</v>
      </c>
      <c r="L241" s="17" t="str">
        <f t="shared" si="4"/>
        <v/>
      </c>
      <c r="M241" s="10"/>
      <c r="N241" s="10"/>
      <c r="O241" s="10"/>
      <c r="P241" s="10"/>
      <c r="Q241" s="10"/>
    </row>
    <row r="242" spans="3:17" hidden="1" outlineLevel="1" x14ac:dyDescent="0.3">
      <c r="C242" s="207"/>
      <c r="D242" s="734" t="str">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735"/>
      <c r="F242" s="736"/>
      <c r="G242" s="686"/>
      <c r="H242" s="687"/>
      <c r="I242" s="688"/>
      <c r="J242" s="217" t="b">
        <v>0</v>
      </c>
      <c r="K242" s="212" t="b">
        <v>0</v>
      </c>
      <c r="L242" s="17" t="str">
        <f t="shared" si="4"/>
        <v/>
      </c>
      <c r="M242" s="10"/>
      <c r="N242" s="10"/>
      <c r="O242" s="10"/>
      <c r="P242" s="10"/>
      <c r="Q242" s="10"/>
    </row>
    <row r="243" spans="3:17" hidden="1" outlineLevel="1" x14ac:dyDescent="0.3">
      <c r="C243" s="207"/>
      <c r="D243" s="734" t="str">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735"/>
      <c r="F243" s="736"/>
      <c r="G243" s="686"/>
      <c r="H243" s="687"/>
      <c r="I243" s="688"/>
      <c r="J243" s="217" t="b">
        <v>0</v>
      </c>
      <c r="K243" s="212" t="b">
        <v>0</v>
      </c>
      <c r="L243" s="17" t="str">
        <f t="shared" si="4"/>
        <v/>
      </c>
      <c r="M243" s="10"/>
      <c r="N243" s="10"/>
      <c r="O243" s="10"/>
      <c r="P243" s="10"/>
      <c r="Q243" s="10"/>
    </row>
    <row r="244" spans="3:17" hidden="1" outlineLevel="1" x14ac:dyDescent="0.3">
      <c r="C244" s="207"/>
      <c r="D244" s="734" t="str">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735"/>
      <c r="F244" s="736"/>
      <c r="G244" s="686"/>
      <c r="H244" s="687"/>
      <c r="I244" s="688"/>
      <c r="J244" s="217" t="b">
        <v>0</v>
      </c>
      <c r="K244" s="212" t="b">
        <v>0</v>
      </c>
      <c r="L244" s="17" t="str">
        <f t="shared" si="4"/>
        <v/>
      </c>
      <c r="M244" s="10"/>
      <c r="N244" s="10"/>
      <c r="O244" s="10"/>
      <c r="P244" s="10"/>
      <c r="Q244" s="10"/>
    </row>
    <row r="245" spans="3:17" hidden="1" outlineLevel="1" x14ac:dyDescent="0.3">
      <c r="C245" s="207"/>
      <c r="D245" s="734" t="str">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735"/>
      <c r="F245" s="736"/>
      <c r="G245" s="686"/>
      <c r="H245" s="687"/>
      <c r="I245" s="688"/>
      <c r="J245" s="217" t="b">
        <v>0</v>
      </c>
      <c r="K245" s="212" t="b">
        <v>0</v>
      </c>
      <c r="L245" s="17" t="str">
        <f t="shared" si="4"/>
        <v/>
      </c>
      <c r="M245" s="10"/>
      <c r="N245" s="10"/>
      <c r="O245" s="10"/>
      <c r="P245" s="10"/>
      <c r="Q245" s="10"/>
    </row>
    <row r="246" spans="3:17" hidden="1" outlineLevel="1" x14ac:dyDescent="0.3">
      <c r="C246" s="207"/>
      <c r="D246" s="734" t="str">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735"/>
      <c r="F246" s="736"/>
      <c r="G246" s="686"/>
      <c r="H246" s="687"/>
      <c r="I246" s="688"/>
      <c r="J246" s="217" t="b">
        <v>0</v>
      </c>
      <c r="K246" s="212" t="b">
        <v>0</v>
      </c>
      <c r="L246" s="17" t="str">
        <f t="shared" si="4"/>
        <v/>
      </c>
      <c r="M246" s="10"/>
      <c r="N246" s="10"/>
      <c r="O246" s="10"/>
      <c r="P246" s="10"/>
      <c r="Q246" s="10"/>
    </row>
    <row r="247" spans="3:17" hidden="1" outlineLevel="1" x14ac:dyDescent="0.3">
      <c r="C247" s="207"/>
      <c r="D247" s="734" t="str">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735"/>
      <c r="F247" s="736"/>
      <c r="G247" s="686"/>
      <c r="H247" s="687"/>
      <c r="I247" s="688"/>
      <c r="J247" s="217" t="b">
        <v>0</v>
      </c>
      <c r="K247" s="212" t="b">
        <v>0</v>
      </c>
      <c r="L247" s="17" t="str">
        <f t="shared" si="4"/>
        <v/>
      </c>
      <c r="M247" s="10"/>
      <c r="N247" s="10"/>
      <c r="O247" s="10"/>
      <c r="P247" s="10"/>
      <c r="Q247" s="10"/>
    </row>
    <row r="248" spans="3:17" hidden="1" outlineLevel="1" x14ac:dyDescent="0.3">
      <c r="C248" s="207"/>
      <c r="D248" s="734" t="str">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735"/>
      <c r="F248" s="736"/>
      <c r="G248" s="686"/>
      <c r="H248" s="687"/>
      <c r="I248" s="688"/>
      <c r="J248" s="217" t="b">
        <v>0</v>
      </c>
      <c r="K248" s="212" t="b">
        <v>0</v>
      </c>
      <c r="L248" s="17" t="str">
        <f t="shared" si="4"/>
        <v/>
      </c>
      <c r="M248" s="10"/>
      <c r="N248" s="10"/>
      <c r="O248" s="10"/>
      <c r="P248" s="10"/>
      <c r="Q248" s="10"/>
    </row>
    <row r="249" spans="3:17" hidden="1" outlineLevel="1" x14ac:dyDescent="0.3">
      <c r="C249" s="207"/>
      <c r="D249" s="734" t="str">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735"/>
      <c r="F249" s="736"/>
      <c r="G249" s="686"/>
      <c r="H249" s="687"/>
      <c r="I249" s="688"/>
      <c r="J249" s="217" t="b">
        <v>0</v>
      </c>
      <c r="K249" s="212" t="b">
        <v>0</v>
      </c>
      <c r="L249" s="17" t="str">
        <f t="shared" si="4"/>
        <v/>
      </c>
      <c r="M249" s="10"/>
      <c r="N249" s="10"/>
      <c r="O249" s="10"/>
      <c r="P249" s="10"/>
      <c r="Q249" s="10"/>
    </row>
    <row r="250" spans="3:17" hidden="1" outlineLevel="1" x14ac:dyDescent="0.3">
      <c r="C250" s="207"/>
      <c r="D250" s="734" t="str">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735"/>
      <c r="F250" s="736"/>
      <c r="G250" s="686"/>
      <c r="H250" s="687"/>
      <c r="I250" s="688"/>
      <c r="J250" s="217" t="b">
        <v>0</v>
      </c>
      <c r="K250" s="212" t="b">
        <v>0</v>
      </c>
      <c r="L250" s="17" t="str">
        <f t="shared" si="4"/>
        <v/>
      </c>
      <c r="M250" s="10"/>
      <c r="N250" s="10"/>
      <c r="O250" s="10"/>
      <c r="P250" s="10"/>
      <c r="Q250" s="10"/>
    </row>
    <row r="251" spans="3:17" hidden="1" outlineLevel="1" x14ac:dyDescent="0.3">
      <c r="C251" s="207"/>
      <c r="D251" s="734" t="str">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735"/>
      <c r="F251" s="736"/>
      <c r="G251" s="686"/>
      <c r="H251" s="687"/>
      <c r="I251" s="688"/>
      <c r="J251" s="217" t="b">
        <v>0</v>
      </c>
      <c r="K251" s="212" t="b">
        <v>0</v>
      </c>
      <c r="L251" s="17" t="str">
        <f t="shared" si="4"/>
        <v/>
      </c>
      <c r="M251" s="10"/>
      <c r="N251" s="10"/>
      <c r="O251" s="10"/>
      <c r="P251" s="10"/>
      <c r="Q251" s="10"/>
    </row>
    <row r="252" spans="3:17" hidden="1" outlineLevel="1" x14ac:dyDescent="0.3">
      <c r="C252" s="207"/>
      <c r="D252" s="734" t="str">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735"/>
      <c r="F252" s="736"/>
      <c r="G252" s="686"/>
      <c r="H252" s="687"/>
      <c r="I252" s="688"/>
      <c r="J252" s="217" t="b">
        <v>0</v>
      </c>
      <c r="K252" s="212" t="b">
        <v>0</v>
      </c>
      <c r="L252" s="17" t="str">
        <f t="shared" si="4"/>
        <v/>
      </c>
      <c r="M252" s="10"/>
      <c r="N252" s="10"/>
      <c r="O252" s="10"/>
      <c r="P252" s="10"/>
      <c r="Q252" s="10"/>
    </row>
    <row r="253" spans="3:17" hidden="1" outlineLevel="1" x14ac:dyDescent="0.3">
      <c r="C253" s="207"/>
      <c r="D253" s="734" t="str">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735"/>
      <c r="F253" s="736"/>
      <c r="G253" s="686"/>
      <c r="H253" s="687"/>
      <c r="I253" s="688"/>
      <c r="J253" s="217" t="b">
        <v>0</v>
      </c>
      <c r="K253" s="212" t="b">
        <v>0</v>
      </c>
      <c r="L253" s="17" t="str">
        <f t="shared" si="4"/>
        <v/>
      </c>
      <c r="M253" s="10"/>
      <c r="N253" s="10"/>
      <c r="O253" s="10"/>
      <c r="P253" s="10"/>
      <c r="Q253" s="10"/>
    </row>
    <row r="254" spans="3:17" hidden="1" outlineLevel="1" x14ac:dyDescent="0.3">
      <c r="C254" s="207"/>
      <c r="D254" s="734" t="str">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735"/>
      <c r="F254" s="736"/>
      <c r="G254" s="686"/>
      <c r="H254" s="687"/>
      <c r="I254" s="688"/>
      <c r="J254" s="217" t="b">
        <v>0</v>
      </c>
      <c r="K254" s="212" t="b">
        <v>0</v>
      </c>
      <c r="L254" s="17" t="str">
        <f t="shared" si="4"/>
        <v/>
      </c>
      <c r="M254" s="10"/>
      <c r="N254" s="10"/>
      <c r="O254" s="10"/>
      <c r="P254" s="10"/>
      <c r="Q254" s="10"/>
    </row>
    <row r="255" spans="3:17" hidden="1" outlineLevel="1" x14ac:dyDescent="0.3">
      <c r="C255" s="207"/>
      <c r="D255" s="734" t="str">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735"/>
      <c r="F255" s="736"/>
      <c r="G255" s="686"/>
      <c r="H255" s="687"/>
      <c r="I255" s="688"/>
      <c r="J255" s="217" t="b">
        <v>0</v>
      </c>
      <c r="K255" s="212" t="b">
        <v>0</v>
      </c>
      <c r="L255" s="17" t="str">
        <f t="shared" si="4"/>
        <v/>
      </c>
      <c r="M255" s="10"/>
      <c r="N255" s="10"/>
      <c r="O255" s="10"/>
      <c r="P255" s="10"/>
      <c r="Q255" s="10"/>
    </row>
    <row r="256" spans="3:17" hidden="1" outlineLevel="1" x14ac:dyDescent="0.3">
      <c r="C256" s="207"/>
      <c r="D256" s="734" t="str">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735"/>
      <c r="F256" s="736"/>
      <c r="G256" s="686"/>
      <c r="H256" s="687"/>
      <c r="I256" s="688"/>
      <c r="J256" s="217" t="b">
        <v>0</v>
      </c>
      <c r="K256" s="212" t="b">
        <v>0</v>
      </c>
      <c r="L256" s="17" t="str">
        <f t="shared" si="4"/>
        <v/>
      </c>
      <c r="M256" s="10"/>
      <c r="N256" s="10"/>
      <c r="O256" s="10"/>
      <c r="P256" s="10"/>
      <c r="Q256" s="10"/>
    </row>
    <row r="257" spans="3:17" hidden="1" outlineLevel="1" x14ac:dyDescent="0.3">
      <c r="C257" s="207"/>
      <c r="D257" s="734" t="str">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735"/>
      <c r="F257" s="736"/>
      <c r="G257" s="686"/>
      <c r="H257" s="687"/>
      <c r="I257" s="688"/>
      <c r="J257" s="217" t="b">
        <v>0</v>
      </c>
      <c r="K257" s="212" t="b">
        <v>0</v>
      </c>
      <c r="L257" s="17" t="str">
        <f t="shared" si="4"/>
        <v/>
      </c>
      <c r="M257" s="10"/>
      <c r="N257" s="10"/>
      <c r="O257" s="10"/>
      <c r="P257" s="10"/>
      <c r="Q257" s="10"/>
    </row>
    <row r="258" spans="3:17" hidden="1" outlineLevel="1" x14ac:dyDescent="0.3">
      <c r="C258" s="207"/>
      <c r="D258" s="734" t="str">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735"/>
      <c r="F258" s="736"/>
      <c r="G258" s="686"/>
      <c r="H258" s="687"/>
      <c r="I258" s="688"/>
      <c r="J258" s="217" t="b">
        <v>0</v>
      </c>
      <c r="K258" s="212" t="b">
        <v>0</v>
      </c>
      <c r="L258" s="17" t="str">
        <f t="shared" si="4"/>
        <v/>
      </c>
      <c r="M258" s="10"/>
      <c r="N258" s="10"/>
      <c r="O258" s="10"/>
      <c r="P258" s="10"/>
      <c r="Q258" s="10"/>
    </row>
    <row r="259" spans="3:17" hidden="1" outlineLevel="1" x14ac:dyDescent="0.3">
      <c r="C259" s="207"/>
      <c r="D259" s="734" t="str">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735"/>
      <c r="F259" s="736"/>
      <c r="G259" s="686"/>
      <c r="H259" s="687"/>
      <c r="I259" s="688"/>
      <c r="J259" s="217" t="b">
        <v>0</v>
      </c>
      <c r="K259" s="212" t="b">
        <v>0</v>
      </c>
      <c r="L259" s="17" t="str">
        <f t="shared" si="4"/>
        <v/>
      </c>
      <c r="M259" s="10"/>
      <c r="N259" s="10"/>
      <c r="O259" s="10"/>
      <c r="P259" s="10"/>
      <c r="Q259" s="10"/>
    </row>
    <row r="260" spans="3:17" hidden="1" outlineLevel="1" x14ac:dyDescent="0.3">
      <c r="C260" s="207"/>
      <c r="D260" s="734" t="str">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735"/>
      <c r="F260" s="736"/>
      <c r="G260" s="686"/>
      <c r="H260" s="687"/>
      <c r="I260" s="688"/>
      <c r="J260" s="217" t="b">
        <v>0</v>
      </c>
      <c r="K260" s="212" t="b">
        <v>0</v>
      </c>
      <c r="L260" s="17" t="str">
        <f t="shared" si="4"/>
        <v/>
      </c>
      <c r="M260" s="10"/>
      <c r="N260" s="10"/>
      <c r="O260" s="10"/>
      <c r="P260" s="10"/>
      <c r="Q260" s="10"/>
    </row>
    <row r="261" spans="3:17" hidden="1" outlineLevel="1" x14ac:dyDescent="0.3">
      <c r="C261" s="207"/>
      <c r="D261" s="734" t="str">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735"/>
      <c r="F261" s="736"/>
      <c r="G261" s="686"/>
      <c r="H261" s="687"/>
      <c r="I261" s="688"/>
      <c r="J261" s="217" t="b">
        <v>0</v>
      </c>
      <c r="K261" s="212" t="b">
        <v>0</v>
      </c>
      <c r="L261" s="17" t="str">
        <f t="shared" si="4"/>
        <v/>
      </c>
      <c r="M261" s="10"/>
      <c r="N261" s="10"/>
      <c r="O261" s="10"/>
      <c r="P261" s="10"/>
      <c r="Q261" s="10"/>
    </row>
    <row r="262" spans="3:17" hidden="1" outlineLevel="1" x14ac:dyDescent="0.3">
      <c r="C262" s="207"/>
      <c r="D262" s="734" t="str">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735"/>
      <c r="F262" s="736"/>
      <c r="G262" s="686"/>
      <c r="H262" s="687"/>
      <c r="I262" s="688"/>
      <c r="J262" s="217" t="b">
        <v>0</v>
      </c>
      <c r="K262" s="212" t="b">
        <v>0</v>
      </c>
      <c r="L262" s="17" t="str">
        <f t="shared" si="4"/>
        <v/>
      </c>
      <c r="M262" s="10"/>
      <c r="N262" s="10"/>
      <c r="O262" s="10"/>
      <c r="P262" s="10"/>
      <c r="Q262" s="10"/>
    </row>
    <row r="263" spans="3:17" hidden="1" outlineLevel="1" x14ac:dyDescent="0.3">
      <c r="C263" s="207"/>
      <c r="D263" s="734" t="str">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735"/>
      <c r="F263" s="736"/>
      <c r="G263" s="686"/>
      <c r="H263" s="687"/>
      <c r="I263" s="688"/>
      <c r="J263" s="217" t="b">
        <v>0</v>
      </c>
      <c r="K263" s="212" t="b">
        <v>0</v>
      </c>
      <c r="L263" s="17" t="str">
        <f t="shared" si="4"/>
        <v/>
      </c>
      <c r="M263" s="10"/>
      <c r="N263" s="10"/>
      <c r="O263" s="10"/>
      <c r="P263" s="10"/>
      <c r="Q263" s="10"/>
    </row>
    <row r="264" spans="3:17" hidden="1" outlineLevel="1" x14ac:dyDescent="0.3">
      <c r="C264" s="207"/>
      <c r="D264" s="734" t="str">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735"/>
      <c r="F264" s="736"/>
      <c r="G264" s="686"/>
      <c r="H264" s="687"/>
      <c r="I264" s="688"/>
      <c r="J264" s="217" t="b">
        <v>0</v>
      </c>
      <c r="K264" s="212" t="b">
        <v>0</v>
      </c>
      <c r="L264" s="17" t="str">
        <f t="shared" si="4"/>
        <v/>
      </c>
      <c r="M264" s="10"/>
      <c r="N264" s="10"/>
      <c r="O264" s="10"/>
      <c r="P264" s="10"/>
      <c r="Q264" s="10"/>
    </row>
    <row r="265" spans="3:17" hidden="1" outlineLevel="1" x14ac:dyDescent="0.3">
      <c r="C265" s="207"/>
      <c r="D265" s="734" t="str">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735"/>
      <c r="F265" s="736"/>
      <c r="G265" s="686"/>
      <c r="H265" s="687"/>
      <c r="I265" s="688"/>
      <c r="J265" s="217" t="b">
        <v>0</v>
      </c>
      <c r="K265" s="212" t="b">
        <v>0</v>
      </c>
      <c r="L265" s="17" t="str">
        <f t="shared" si="4"/>
        <v/>
      </c>
      <c r="M265" s="10"/>
      <c r="N265" s="10"/>
      <c r="O265" s="10"/>
      <c r="P265" s="10"/>
      <c r="Q265" s="10"/>
    </row>
    <row r="266" spans="3:17" hidden="1" outlineLevel="1" x14ac:dyDescent="0.3">
      <c r="C266" s="207"/>
      <c r="D266" s="734" t="str">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735"/>
      <c r="F266" s="736"/>
      <c r="G266" s="686"/>
      <c r="H266" s="687"/>
      <c r="I266" s="688"/>
      <c r="J266" s="217" t="b">
        <v>0</v>
      </c>
      <c r="K266" s="212" t="b">
        <v>0</v>
      </c>
      <c r="L266" s="17" t="str">
        <f t="shared" si="4"/>
        <v/>
      </c>
      <c r="M266" s="10"/>
      <c r="N266" s="10"/>
      <c r="O266" s="10"/>
      <c r="P266" s="10"/>
      <c r="Q266" s="10"/>
    </row>
    <row r="267" spans="3:17" hidden="1" outlineLevel="1" x14ac:dyDescent="0.3">
      <c r="C267" s="207"/>
      <c r="D267" s="734" t="str">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735"/>
      <c r="F267" s="736"/>
      <c r="G267" s="686"/>
      <c r="H267" s="687"/>
      <c r="I267" s="688"/>
      <c r="J267" s="217" t="b">
        <v>0</v>
      </c>
      <c r="K267" s="212" t="b">
        <v>0</v>
      </c>
      <c r="L267" s="17" t="str">
        <f t="shared" si="4"/>
        <v/>
      </c>
      <c r="M267" s="10"/>
      <c r="N267" s="10"/>
      <c r="O267" s="10"/>
      <c r="P267" s="10"/>
      <c r="Q267" s="10"/>
    </row>
    <row r="268" spans="3:17" hidden="1" outlineLevel="1" x14ac:dyDescent="0.3">
      <c r="C268" s="207"/>
      <c r="D268" s="734" t="str">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735"/>
      <c r="F268" s="736"/>
      <c r="G268" s="686"/>
      <c r="H268" s="687"/>
      <c r="I268" s="688"/>
      <c r="J268" s="217" t="b">
        <v>0</v>
      </c>
      <c r="K268" s="212" t="b">
        <v>0</v>
      </c>
      <c r="L268" s="17" t="str">
        <f t="shared" si="4"/>
        <v/>
      </c>
      <c r="M268" s="10"/>
      <c r="N268" s="10"/>
      <c r="O268" s="10"/>
      <c r="P268" s="10"/>
      <c r="Q268" s="10"/>
    </row>
    <row r="269" spans="3:17" hidden="1" outlineLevel="1" x14ac:dyDescent="0.3">
      <c r="C269" s="207"/>
      <c r="D269" s="734" t="str">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735"/>
      <c r="F269" s="736"/>
      <c r="G269" s="686"/>
      <c r="H269" s="687"/>
      <c r="I269" s="688"/>
      <c r="J269" s="217" t="b">
        <v>0</v>
      </c>
      <c r="K269" s="212" t="b">
        <v>0</v>
      </c>
      <c r="L269" s="17" t="str">
        <f t="shared" si="4"/>
        <v/>
      </c>
      <c r="M269" s="10"/>
      <c r="N269" s="10"/>
      <c r="O269" s="10"/>
      <c r="P269" s="10"/>
      <c r="Q269" s="10"/>
    </row>
    <row r="270" spans="3:17" hidden="1" outlineLevel="1" x14ac:dyDescent="0.3">
      <c r="C270" s="207"/>
      <c r="D270" s="734" t="str">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735"/>
      <c r="F270" s="736"/>
      <c r="G270" s="686"/>
      <c r="H270" s="687"/>
      <c r="I270" s="688"/>
      <c r="J270" s="217" t="b">
        <v>0</v>
      </c>
      <c r="K270" s="212" t="b">
        <v>0</v>
      </c>
      <c r="L270" s="17" t="str">
        <f t="shared" si="4"/>
        <v/>
      </c>
      <c r="M270" s="10"/>
      <c r="N270" s="10"/>
      <c r="O270" s="10"/>
      <c r="P270" s="10"/>
      <c r="Q270" s="10"/>
    </row>
    <row r="271" spans="3:17" hidden="1" outlineLevel="1" x14ac:dyDescent="0.3">
      <c r="C271" s="207"/>
      <c r="D271" s="734" t="str">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735"/>
      <c r="F271" s="736"/>
      <c r="G271" s="686"/>
      <c r="H271" s="687"/>
      <c r="I271" s="688"/>
      <c r="J271" s="217" t="b">
        <v>0</v>
      </c>
      <c r="K271" s="212" t="b">
        <v>0</v>
      </c>
      <c r="L271" s="17" t="str">
        <f t="shared" si="4"/>
        <v/>
      </c>
      <c r="M271" s="10"/>
      <c r="N271" s="10"/>
      <c r="O271" s="10"/>
      <c r="P271" s="10"/>
      <c r="Q271" s="10"/>
    </row>
    <row r="272" spans="3:17" hidden="1" outlineLevel="1" x14ac:dyDescent="0.3">
      <c r="C272" s="207"/>
      <c r="D272" s="734" t="str">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735"/>
      <c r="F272" s="736"/>
      <c r="G272" s="686"/>
      <c r="H272" s="687"/>
      <c r="I272" s="688"/>
      <c r="J272" s="217" t="b">
        <v>0</v>
      </c>
      <c r="K272" s="212" t="b">
        <v>0</v>
      </c>
      <c r="L272" s="17" t="str">
        <f t="shared" si="4"/>
        <v/>
      </c>
      <c r="M272" s="10"/>
      <c r="N272" s="10"/>
      <c r="O272" s="10"/>
      <c r="P272" s="10"/>
      <c r="Q272" s="10"/>
    </row>
    <row r="273" spans="3:17" hidden="1" outlineLevel="1" x14ac:dyDescent="0.3">
      <c r="C273" s="207"/>
      <c r="D273" s="734" t="str">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735"/>
      <c r="F273" s="736"/>
      <c r="G273" s="686"/>
      <c r="H273" s="687"/>
      <c r="I273" s="688"/>
      <c r="J273" s="217" t="b">
        <v>0</v>
      </c>
      <c r="K273" s="212" t="b">
        <v>0</v>
      </c>
      <c r="L273" s="17" t="str">
        <f t="shared" si="4"/>
        <v/>
      </c>
      <c r="M273" s="10"/>
      <c r="N273" s="10"/>
      <c r="O273" s="10"/>
      <c r="P273" s="10"/>
      <c r="Q273" s="10"/>
    </row>
    <row r="274" spans="3:17" hidden="1" outlineLevel="1" x14ac:dyDescent="0.3">
      <c r="C274" s="207"/>
      <c r="D274" s="734" t="str">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735"/>
      <c r="F274" s="736"/>
      <c r="G274" s="686"/>
      <c r="H274" s="687"/>
      <c r="I274" s="688"/>
      <c r="J274" s="217" t="b">
        <v>0</v>
      </c>
      <c r="K274" s="212" t="b">
        <v>0</v>
      </c>
      <c r="L274" s="17" t="str">
        <f t="shared" si="4"/>
        <v/>
      </c>
      <c r="M274" s="10"/>
      <c r="N274" s="10"/>
      <c r="O274" s="10"/>
      <c r="P274" s="10"/>
      <c r="Q274" s="10"/>
    </row>
    <row r="275" spans="3:17" hidden="1" outlineLevel="1" x14ac:dyDescent="0.3">
      <c r="C275" s="207"/>
      <c r="D275" s="734" t="str">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735"/>
      <c r="F275" s="736"/>
      <c r="G275" s="686"/>
      <c r="H275" s="687"/>
      <c r="I275" s="688"/>
      <c r="J275" s="217" t="b">
        <v>0</v>
      </c>
      <c r="K275" s="212" t="b">
        <v>0</v>
      </c>
      <c r="L275" s="17" t="str">
        <f t="shared" si="4"/>
        <v/>
      </c>
      <c r="M275" s="10"/>
      <c r="N275" s="10"/>
      <c r="O275" s="10"/>
      <c r="P275" s="10"/>
      <c r="Q275" s="10"/>
    </row>
    <row r="276" spans="3:17" hidden="1" outlineLevel="1" x14ac:dyDescent="0.3">
      <c r="C276" s="207"/>
      <c r="D276" s="734" t="str">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735"/>
      <c r="F276" s="736"/>
      <c r="G276" s="686"/>
      <c r="H276" s="687"/>
      <c r="I276" s="688"/>
      <c r="J276" s="217" t="b">
        <v>0</v>
      </c>
      <c r="K276" s="212" t="b">
        <v>0</v>
      </c>
      <c r="L276" s="17" t="str">
        <f t="shared" si="4"/>
        <v/>
      </c>
      <c r="M276" s="10"/>
      <c r="N276" s="10"/>
      <c r="O276" s="10"/>
      <c r="P276" s="10"/>
      <c r="Q276" s="10"/>
    </row>
    <row r="277" spans="3:17" hidden="1" outlineLevel="1" x14ac:dyDescent="0.3">
      <c r="C277" s="207"/>
      <c r="D277" s="734" t="str">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735"/>
      <c r="F277" s="736"/>
      <c r="G277" s="686"/>
      <c r="H277" s="687"/>
      <c r="I277" s="688"/>
      <c r="J277" s="217" t="b">
        <v>0</v>
      </c>
      <c r="K277" s="212" t="b">
        <v>0</v>
      </c>
      <c r="L277" s="17" t="str">
        <f t="shared" si="4"/>
        <v/>
      </c>
      <c r="M277" s="10"/>
      <c r="N277" s="10"/>
      <c r="O277" s="10"/>
      <c r="P277" s="10"/>
      <c r="Q277" s="10"/>
    </row>
    <row r="278" spans="3:17" hidden="1" outlineLevel="1" x14ac:dyDescent="0.3">
      <c r="C278" s="207"/>
      <c r="D278" s="734" t="str">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735"/>
      <c r="F278" s="736"/>
      <c r="G278" s="686"/>
      <c r="H278" s="687"/>
      <c r="I278" s="688"/>
      <c r="J278" s="217" t="b">
        <v>0</v>
      </c>
      <c r="K278" s="212" t="b">
        <v>0</v>
      </c>
      <c r="L278" s="17" t="str">
        <f t="shared" si="4"/>
        <v/>
      </c>
      <c r="M278" s="10"/>
      <c r="N278" s="10"/>
      <c r="O278" s="10"/>
      <c r="P278" s="10"/>
      <c r="Q278" s="10"/>
    </row>
    <row r="279" spans="3:17" hidden="1" outlineLevel="1" x14ac:dyDescent="0.3">
      <c r="C279" s="207"/>
      <c r="D279" s="734" t="str">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735"/>
      <c r="F279" s="736"/>
      <c r="G279" s="686"/>
      <c r="H279" s="687"/>
      <c r="I279" s="688"/>
      <c r="J279" s="217" t="b">
        <v>0</v>
      </c>
      <c r="K279" s="212" t="b">
        <v>0</v>
      </c>
      <c r="L279" s="17" t="str">
        <f t="shared" si="4"/>
        <v/>
      </c>
      <c r="M279" s="10"/>
      <c r="N279" s="10"/>
      <c r="O279" s="10"/>
      <c r="P279" s="10"/>
      <c r="Q279" s="10"/>
    </row>
    <row r="280" spans="3:17" hidden="1" outlineLevel="1" x14ac:dyDescent="0.3">
      <c r="C280" s="207"/>
      <c r="D280" s="734" t="str">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735"/>
      <c r="F280" s="736"/>
      <c r="G280" s="686"/>
      <c r="H280" s="687"/>
      <c r="I280" s="688"/>
      <c r="J280" s="217" t="b">
        <v>0</v>
      </c>
      <c r="K280" s="212" t="b">
        <v>0</v>
      </c>
      <c r="L280" s="17" t="str">
        <f t="shared" si="4"/>
        <v/>
      </c>
      <c r="M280" s="10"/>
      <c r="N280" s="10"/>
      <c r="O280" s="10"/>
      <c r="P280" s="10"/>
      <c r="Q280" s="10"/>
    </row>
    <row r="281" spans="3:17" hidden="1" outlineLevel="1" x14ac:dyDescent="0.3">
      <c r="C281" s="207"/>
      <c r="D281" s="734" t="str">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735"/>
      <c r="F281" s="736"/>
      <c r="G281" s="686"/>
      <c r="H281" s="687"/>
      <c r="I281" s="688"/>
      <c r="J281" s="217" t="b">
        <v>0</v>
      </c>
      <c r="K281" s="212" t="b">
        <v>0</v>
      </c>
      <c r="L281" s="17" t="str">
        <f t="shared" si="4"/>
        <v/>
      </c>
      <c r="M281" s="10"/>
      <c r="N281" s="10"/>
      <c r="O281" s="10"/>
      <c r="P281" s="10"/>
      <c r="Q281" s="10"/>
    </row>
    <row r="282" spans="3:17" hidden="1" outlineLevel="1" x14ac:dyDescent="0.3">
      <c r="C282" s="207"/>
      <c r="D282" s="734" t="str">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735"/>
      <c r="F282" s="736"/>
      <c r="G282" s="686"/>
      <c r="H282" s="687"/>
      <c r="I282" s="688"/>
      <c r="J282" s="217" t="b">
        <v>0</v>
      </c>
      <c r="K282" s="212" t="b">
        <v>0</v>
      </c>
      <c r="L282" s="17" t="str">
        <f t="shared" si="4"/>
        <v/>
      </c>
      <c r="M282" s="10"/>
      <c r="N282" s="10"/>
      <c r="O282" s="10"/>
      <c r="P282" s="10"/>
      <c r="Q282" s="10"/>
    </row>
    <row r="283" spans="3:17" hidden="1" outlineLevel="1" x14ac:dyDescent="0.3">
      <c r="C283" s="207"/>
      <c r="D283" s="734" t="str">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735"/>
      <c r="F283" s="736"/>
      <c r="G283" s="686"/>
      <c r="H283" s="687"/>
      <c r="I283" s="688"/>
      <c r="J283" s="217" t="b">
        <v>0</v>
      </c>
      <c r="K283" s="212" t="b">
        <v>0</v>
      </c>
      <c r="L283" s="17" t="str">
        <f t="shared" si="4"/>
        <v/>
      </c>
      <c r="M283" s="10"/>
      <c r="N283" s="10"/>
      <c r="O283" s="10"/>
      <c r="P283" s="10"/>
      <c r="Q283" s="10"/>
    </row>
    <row r="284" spans="3:17" hidden="1" outlineLevel="1" x14ac:dyDescent="0.3">
      <c r="C284" s="207"/>
      <c r="D284" s="734" t="str">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735"/>
      <c r="F284" s="736"/>
      <c r="G284" s="686"/>
      <c r="H284" s="687"/>
      <c r="I284" s="688"/>
      <c r="J284" s="217" t="b">
        <v>0</v>
      </c>
      <c r="K284" s="212" t="b">
        <v>0</v>
      </c>
      <c r="L284" s="17" t="str">
        <f t="shared" si="4"/>
        <v/>
      </c>
      <c r="M284" s="10"/>
      <c r="N284" s="10"/>
      <c r="O284" s="10"/>
      <c r="P284" s="10"/>
      <c r="Q284" s="10"/>
    </row>
    <row r="285" spans="3:17" hidden="1" outlineLevel="1" x14ac:dyDescent="0.3">
      <c r="C285" s="207"/>
      <c r="D285" s="734" t="str">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735"/>
      <c r="F285" s="736"/>
      <c r="G285" s="686"/>
      <c r="H285" s="687"/>
      <c r="I285" s="688"/>
      <c r="J285" s="217" t="b">
        <v>0</v>
      </c>
      <c r="K285" s="212" t="b">
        <v>0</v>
      </c>
      <c r="L285" s="17" t="str">
        <f t="shared" si="4"/>
        <v/>
      </c>
      <c r="M285" s="10"/>
      <c r="N285" s="10"/>
      <c r="O285" s="10"/>
      <c r="P285" s="10"/>
      <c r="Q285" s="10"/>
    </row>
    <row r="286" spans="3:17" hidden="1" outlineLevel="1" x14ac:dyDescent="0.3">
      <c r="C286" s="207"/>
      <c r="D286" s="734" t="str">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735"/>
      <c r="F286" s="736"/>
      <c r="G286" s="904"/>
      <c r="H286" s="687"/>
      <c r="I286" s="688"/>
      <c r="J286" s="217" t="b">
        <v>0</v>
      </c>
      <c r="K286" s="212" t="b">
        <v>0</v>
      </c>
      <c r="L286" s="17" t="str">
        <f t="shared" si="4"/>
        <v/>
      </c>
      <c r="M286" s="10"/>
      <c r="N286" s="10"/>
      <c r="O286" s="10"/>
      <c r="P286" s="10"/>
      <c r="Q286" s="10"/>
    </row>
    <row r="287" spans="3:17" ht="15" hidden="1" outlineLevel="1" thickBot="1" x14ac:dyDescent="0.35">
      <c r="C287" s="210"/>
      <c r="D287" s="734" t="str">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735"/>
      <c r="F287" s="736"/>
      <c r="G287" s="902"/>
      <c r="H287" s="861"/>
      <c r="I287" s="903"/>
      <c r="J287" s="218" t="b">
        <v>0</v>
      </c>
      <c r="K287" s="213"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ht="15" thickBot="1" x14ac:dyDescent="0.35">
      <c r="C289" s="597" t="str">
        <f>template_label_b5_biodiversity_land_use&amp;" "&amp;template_label_from&amp;" "&amp;template_starting_date_display&amp;" "&amp;template_label_to&amp;" "&amp;template_ending_date_display&amp;" " &amp; template_label_may</f>
        <v>B5 - Biodiversity - Land-use from 2025-01-01 to 2025-12-31 [May (optional)]</v>
      </c>
      <c r="D289" s="746"/>
      <c r="E289" s="746"/>
      <c r="F289" s="747"/>
    </row>
    <row r="290" spans="3:12" x14ac:dyDescent="0.3">
      <c r="C290" s="592">
        <v>34</v>
      </c>
      <c r="D290" s="608"/>
      <c r="E290" s="608"/>
      <c r="F290" s="609"/>
    </row>
    <row r="291" spans="3:12" x14ac:dyDescent="0.3">
      <c r="C291" s="626" t="s">
        <v>63</v>
      </c>
      <c r="D291" s="590"/>
      <c r="E291" s="590"/>
      <c r="F291" s="700"/>
    </row>
    <row r="292" spans="3:12" ht="16.95" customHeight="1" x14ac:dyDescent="0.3">
      <c r="C292" s="898" t="str">
        <f>template_label_please_select_the_unit_used_for_the_area</f>
        <v>Please select the unit used for the area (i.e. either hectares or m²):</v>
      </c>
      <c r="D292" s="818"/>
      <c r="E292" s="818"/>
      <c r="F292" s="887"/>
    </row>
    <row r="293" spans="3:12" x14ac:dyDescent="0.3">
      <c r="C293" s="899" t="s">
        <v>62</v>
      </c>
      <c r="D293" s="900"/>
      <c r="E293" s="900"/>
      <c r="F293" s="901"/>
      <c r="G293" s="16" t="str">
        <f>IF(C293&lt;&gt;"", template_label_ok, IF(AND(OR(D295&lt;&gt;"", D296&lt;&gt;"", D297&lt;&gt;"", D298&lt;&gt;""), C293=""), template_label_missing_value, ""))</f>
        <v>OK</v>
      </c>
      <c r="H293" s="113"/>
      <c r="K293" s="16"/>
    </row>
    <row r="294" spans="3:12" x14ac:dyDescent="0.3">
      <c r="C294" s="114" t="str">
        <f>template_label_land_use_type</f>
        <v>Land-use type</v>
      </c>
      <c r="D294" s="818" t="str">
        <f>template_label_area</f>
        <v>Area</v>
      </c>
      <c r="E294" s="818"/>
      <c r="F294" s="887"/>
      <c r="G294" s="16"/>
      <c r="H294" s="113"/>
      <c r="K294" s="16"/>
    </row>
    <row r="295" spans="3:12" x14ac:dyDescent="0.3">
      <c r="C295" s="117" t="str">
        <f>template_label_total_sealed_area</f>
        <v>Total sealed area</v>
      </c>
      <c r="D295" s="859">
        <v>25</v>
      </c>
      <c r="E295" s="859"/>
      <c r="F295" s="860"/>
      <c r="G295" s="714" t="str">
        <f>IF(AND(G293=template_label_ok, COUNTIF(D295:F298,"&lt;&gt;")&gt;0),
    template_label_ok,
    IF(AND(G293=template_label_ok, COUNTA(D295:F298)=0),
        template_label_missing_value,
        IF(AND(G293=template_label_missing_value, COUNTIF(D295:F298,"&lt;&gt;")&gt;0),
            template_label_value_inconsistency,
            ""
        )
    )
)</f>
        <v>OK</v>
      </c>
      <c r="H295" s="116"/>
      <c r="K295" s="16"/>
    </row>
    <row r="296" spans="3:12" x14ac:dyDescent="0.3">
      <c r="C296" s="117" t="str">
        <f>template_label_total_nature_oriented_area_on_site</f>
        <v>Total nature-oriented area on-site</v>
      </c>
      <c r="D296" s="859">
        <v>100</v>
      </c>
      <c r="E296" s="859"/>
      <c r="F296" s="860"/>
      <c r="G296" s="714"/>
      <c r="H296" s="116"/>
      <c r="K296" s="16"/>
    </row>
    <row r="297" spans="3:12" x14ac:dyDescent="0.3">
      <c r="C297" s="117" t="str">
        <f>template_label_total_nature_oriented_area_off_site</f>
        <v>Total nature-oriented area off-site</v>
      </c>
      <c r="D297" s="859">
        <v>35</v>
      </c>
      <c r="E297" s="859"/>
      <c r="F297" s="860"/>
      <c r="G297" s="714"/>
      <c r="H297" s="116"/>
      <c r="K297" s="16"/>
    </row>
    <row r="298" spans="3:12" ht="15" thickBot="1" x14ac:dyDescent="0.35">
      <c r="C298" s="106" t="str">
        <f>template_label_total_use_of_land</f>
        <v>Total use of land</v>
      </c>
      <c r="D298" s="895">
        <v>200</v>
      </c>
      <c r="E298" s="895"/>
      <c r="F298" s="896"/>
      <c r="G298" s="714"/>
      <c r="H298" s="116"/>
      <c r="K298" s="16"/>
    </row>
    <row r="299" spans="3:12" ht="15" thickBot="1" x14ac:dyDescent="0.35"/>
    <row r="300" spans="3:12" x14ac:dyDescent="0.3">
      <c r="C300" s="906" t="str">
        <f>template_label_b6_water_withdrawal&amp;" "&amp;template_label_from&amp;" "&amp;template_starting_date_display&amp;" "&amp;template_label_to&amp;" "&amp;template_ending_date_display&amp;" "&amp;template_label_always_to_be_reported</f>
        <v>B6 - Water Withdrawal from 2025-01-01 to 2025-12-31 [Always to be reported]</v>
      </c>
      <c r="D300" s="907"/>
      <c r="E300" s="15"/>
      <c r="F300" s="15"/>
      <c r="G300" s="16"/>
      <c r="H300" s="16"/>
      <c r="I300" s="16"/>
      <c r="K300" s="16"/>
    </row>
    <row r="301" spans="3:12" x14ac:dyDescent="0.3">
      <c r="C301" s="626">
        <v>35</v>
      </c>
      <c r="D301" s="700"/>
      <c r="E301" s="118"/>
      <c r="F301" s="118"/>
      <c r="G301" s="16"/>
      <c r="H301" s="16"/>
      <c r="I301" s="16"/>
    </row>
    <row r="302" spans="3:12" x14ac:dyDescent="0.3">
      <c r="C302" s="626" t="s">
        <v>64</v>
      </c>
      <c r="D302" s="700"/>
      <c r="E302" s="119"/>
      <c r="F302" s="119"/>
      <c r="G302" s="16"/>
      <c r="H302" s="16"/>
      <c r="I302" s="16"/>
      <c r="K302" s="52"/>
      <c r="L302" s="52"/>
    </row>
    <row r="303" spans="3:12" ht="22.2" customHeight="1" x14ac:dyDescent="0.3">
      <c r="C303" s="95" t="str">
        <f>template_label_total_amount_of_water_withdrawn_from_all_sites</f>
        <v>Total amount of water withdrawn from all sites (cubic meters m³)</v>
      </c>
      <c r="D303" s="241"/>
      <c r="E303" s="917" t="str">
        <f>IF(OR(
'Table of Contents &amp; Validation'!D29=TRUE,'Table of Contents &amp; Validation'!D28=TRUE),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F303" s="917"/>
      <c r="G303" s="16"/>
      <c r="H303" s="16"/>
      <c r="I303" s="16"/>
    </row>
    <row r="304" spans="3:12" ht="33.6" customHeight="1" thickBot="1" x14ac:dyDescent="0.35">
      <c r="C304" s="384" t="str">
        <f>template_label_amount_of_water_withdrawn_at_sites_located_in_areas_of_high_water_stress</f>
        <v>Amount of water withdrawn at sites located in areas of high water-stress (cubic meters m³)</v>
      </c>
      <c r="D304" s="242"/>
      <c r="E304" s="897" t="str">
        <f>IF(OR(
'Table of Contents &amp; Validation'!D29=TRUE,'Table of Contents &amp; Validation'!D28=TRUE),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F304" s="897"/>
      <c r="G304" s="16"/>
      <c r="H304" s="16"/>
      <c r="I304" s="16"/>
    </row>
    <row r="305" spans="3:12" ht="15" thickBot="1" x14ac:dyDescent="0.35">
      <c r="K305" s="38"/>
    </row>
    <row r="306" spans="3:12" ht="15" thickBot="1" x14ac:dyDescent="0.35">
      <c r="C306" s="597" t="str">
        <f>template_label_b6_water_consumption&amp;" "&amp;template_label_from&amp;" "&amp;template_starting_date_display&amp;" "&amp;template_label_to&amp;" "&amp;template_ending_date_display&amp;" "&amp;template_label_if_applicable</f>
        <v>B6 - Water Consumption from 2025-01-01 to 2025-12-31 [If applicable]</v>
      </c>
      <c r="D306" s="747"/>
      <c r="E306" s="15"/>
      <c r="F306" s="15"/>
    </row>
    <row r="307" spans="3:12" x14ac:dyDescent="0.3">
      <c r="C307" s="592">
        <v>36</v>
      </c>
      <c r="D307" s="609"/>
      <c r="E307" s="118"/>
      <c r="F307" s="118"/>
    </row>
    <row r="308" spans="3:12" x14ac:dyDescent="0.3">
      <c r="C308" s="626" t="s">
        <v>65</v>
      </c>
      <c r="D308" s="700"/>
      <c r="E308" s="119"/>
      <c r="F308" s="119"/>
    </row>
    <row r="309" spans="3:12" ht="50.7" customHeight="1" x14ac:dyDescent="0.3">
      <c r="C309" s="12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50" t="b">
        <v>0</v>
      </c>
      <c r="E309" s="120"/>
      <c r="F309" s="120"/>
      <c r="G309" s="16"/>
      <c r="H309" s="16"/>
      <c r="I309" s="16"/>
    </row>
    <row r="310" spans="3:12" x14ac:dyDescent="0.3">
      <c r="C310" s="95" t="str">
        <f>template_label_water_discharge_from_undertaking_production_processes</f>
        <v>Water discharge from undertaking production processes (m³)</v>
      </c>
      <c r="D310" s="251"/>
      <c r="E310" s="897" t="str">
        <f>IF(
    AND(D309=TRUE, D310=""),
    template_label_missing_value,
    IF(AND(D309=TRUE, D310&lt;&gt;""),
        template_label_ok,
        ""
    )
)</f>
        <v/>
      </c>
      <c r="F310" s="897"/>
      <c r="G310" s="16"/>
      <c r="H310" s="16"/>
      <c r="I310" s="16"/>
    </row>
    <row r="311" spans="3:12" ht="21" customHeight="1" thickBot="1" x14ac:dyDescent="0.35">
      <c r="C311" s="384" t="str">
        <f>template_label_total_water_consumption</f>
        <v>Total water consumption (m³)</v>
      </c>
      <c r="D311" s="412" t="str">
        <f>IF(D310&lt;&gt;"",$D$303-$D$310,"-")</f>
        <v>-</v>
      </c>
      <c r="E311" s="122"/>
      <c r="F311" s="122"/>
    </row>
    <row r="312" spans="3:12" ht="15" thickBot="1" x14ac:dyDescent="0.35"/>
    <row r="313" spans="3:12" ht="15" thickBot="1" x14ac:dyDescent="0.35">
      <c r="C313" s="597"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2025-01-01 to 2025-12-31 [Always to be reported]</v>
      </c>
      <c r="D313" s="746"/>
      <c r="E313" s="746"/>
      <c r="F313" s="746"/>
      <c r="G313" s="747"/>
      <c r="H313" s="16"/>
      <c r="I313" s="16"/>
    </row>
    <row r="314" spans="3:12" x14ac:dyDescent="0.3">
      <c r="C314" s="592">
        <v>37</v>
      </c>
      <c r="D314" s="608"/>
      <c r="E314" s="608"/>
      <c r="F314" s="608"/>
      <c r="G314" s="609"/>
      <c r="H314" s="123"/>
      <c r="I314" s="123"/>
    </row>
    <row r="315" spans="3:12" x14ac:dyDescent="0.3">
      <c r="C315" s="626">
        <v>94</v>
      </c>
      <c r="D315" s="590"/>
      <c r="E315" s="590"/>
      <c r="F315" s="590"/>
      <c r="G315" s="700"/>
      <c r="H315" s="124"/>
      <c r="I315" s="124"/>
    </row>
    <row r="316" spans="3:12" x14ac:dyDescent="0.3">
      <c r="C316" s="94" t="str">
        <f>template_label_undertaking_applies_circular_economy_principles</f>
        <v>Undertaking applies circular economy principles</v>
      </c>
      <c r="D316" s="857" t="s">
        <v>66</v>
      </c>
      <c r="E316" s="857"/>
      <c r="F316" s="857"/>
      <c r="G316" s="858"/>
      <c r="H316" s="637" t="str">
        <f>IF(OR(
'Table of Contents &amp; Validation'!D32=TRUE,'Table of Contents &amp; Validation'!D31=TRUE),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OK</v>
      </c>
      <c r="I316" s="637"/>
      <c r="J316" s="16"/>
    </row>
    <row r="317" spans="3:12" ht="15" thickBot="1" x14ac:dyDescent="0.35">
      <c r="C317" s="109" t="str">
        <f>template_label_description_of_how_it_applies_these_principles</f>
        <v>Description of how it applies these principles</v>
      </c>
      <c r="D317" s="617" t="s">
        <v>33</v>
      </c>
      <c r="E317" s="617"/>
      <c r="F317" s="617"/>
      <c r="G317" s="618"/>
      <c r="H317" s="637" t="str">
        <f>IF(
    AND(D316="YES", D317=""),
    template_label_missing_value,
    IF(
        AND(D316="YES", D317&lt;&gt;""),
        template_label_ok,
        IF(
            AND(D316="NO", D317&lt;&gt;""),
            template_label_value_inconsistency,
            ""
        )
    )
)</f>
        <v>OK</v>
      </c>
      <c r="I317" s="637"/>
      <c r="J317" s="16"/>
    </row>
    <row r="318" spans="3:12" ht="15" thickBot="1" x14ac:dyDescent="0.35"/>
    <row r="319" spans="3:12" ht="15" thickBot="1" x14ac:dyDescent="0.35">
      <c r="C319" s="597" t="str">
        <f>template_label_b7_waste_generated&amp;" "&amp;template_label_from&amp;" "&amp;template_starting_date_display&amp;" "&amp;template_label_to&amp;" "&amp;template_ending_date_display&amp;" "&amp;template_label_always_to_be_reported</f>
        <v>B7 - Waste generated from 2025-01-01 to 2025-12-31 [Always to be reported]</v>
      </c>
      <c r="D319" s="746"/>
      <c r="E319" s="746"/>
      <c r="F319" s="746"/>
      <c r="G319" s="746"/>
      <c r="H319" s="746"/>
      <c r="I319" s="746"/>
      <c r="J319" s="746"/>
      <c r="K319" s="746"/>
      <c r="L319" s="747"/>
    </row>
    <row r="320" spans="3:12" x14ac:dyDescent="0.3">
      <c r="C320" s="592" t="s">
        <v>67</v>
      </c>
      <c r="D320" s="608"/>
      <c r="E320" s="608"/>
      <c r="F320" s="608"/>
      <c r="G320" s="608"/>
      <c r="H320" s="608"/>
      <c r="I320" s="608"/>
      <c r="J320" s="608"/>
      <c r="K320" s="608"/>
      <c r="L320" s="609"/>
    </row>
    <row r="321" spans="3:14" x14ac:dyDescent="0.3">
      <c r="C321" s="626" t="s">
        <v>68</v>
      </c>
      <c r="D321" s="590"/>
      <c r="E321" s="590"/>
      <c r="F321" s="590"/>
      <c r="G321" s="590"/>
      <c r="H321" s="590"/>
      <c r="I321" s="590"/>
      <c r="J321" s="590"/>
      <c r="K321" s="590"/>
      <c r="L321" s="700"/>
    </row>
    <row r="322" spans="3:14" ht="49.2" customHeight="1" x14ac:dyDescent="0.3">
      <c r="C322" s="127" t="str">
        <f>template_label_row_id</f>
        <v>Row ID</v>
      </c>
      <c r="D322" s="818" t="str">
        <f>template_label_type_of_waste</f>
        <v>Type of waste</v>
      </c>
      <c r="E322" s="818"/>
      <c r="F322" s="818"/>
      <c r="G322" s="772" t="str">
        <f>template_label_unit_of_measurement</f>
        <v>Unit of measurement</v>
      </c>
      <c r="H322" s="772"/>
      <c r="I322" s="772"/>
      <c r="J322" s="257" t="str">
        <f>template_label_waste_diverted_to_recycle_or_reuse</f>
        <v>Waste diverted to recycle or reuse</v>
      </c>
      <c r="K322" s="257" t="str">
        <f>template_label_waste_directed_to_disposal</f>
        <v>Waste directed to disposal</v>
      </c>
      <c r="L322" s="53" t="str">
        <f>template_label_total_waste_recycled_reused_and_directed_to_disposal</f>
        <v>Amount of waste recycled reused and directed to disposal</v>
      </c>
    </row>
    <row r="323" spans="3:14" x14ac:dyDescent="0.3">
      <c r="C323" s="207">
        <v>1</v>
      </c>
      <c r="D323" s="699" t="s">
        <v>69</v>
      </c>
      <c r="E323" s="699"/>
      <c r="F323" s="699"/>
      <c r="G323" s="693" t="s">
        <v>70</v>
      </c>
      <c r="H323" s="693"/>
      <c r="I323" s="693"/>
      <c r="J323" s="243">
        <v>1200</v>
      </c>
      <c r="K323" s="243">
        <v>300</v>
      </c>
      <c r="L323" s="245">
        <f>IF(AND(D323="",J323="",K323=""),"-",SUM(J323:K323))</f>
        <v>1500</v>
      </c>
      <c r="M323" s="16" t="str">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OK</v>
      </c>
      <c r="N323" t="str">
        <f>template_label_type_of_waste_warning</f>
        <v>ℹ️  Please select a Type of waste (Hazardous or Non-Hazardous) rather than a category else an ERROR message will appear.</v>
      </c>
    </row>
    <row r="324" spans="3:14" x14ac:dyDescent="0.3">
      <c r="C324" s="207">
        <v>2</v>
      </c>
      <c r="D324" s="699" t="s">
        <v>71</v>
      </c>
      <c r="E324" s="699"/>
      <c r="F324" s="699"/>
      <c r="G324" s="693" t="s">
        <v>58</v>
      </c>
      <c r="H324" s="693"/>
      <c r="I324" s="693"/>
      <c r="J324" s="244">
        <v>800</v>
      </c>
      <c r="K324" s="244">
        <v>400</v>
      </c>
      <c r="L324" s="245">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thickBot="1" x14ac:dyDescent="0.35">
      <c r="C325" s="209">
        <v>3</v>
      </c>
      <c r="D325" s="863" t="s">
        <v>72</v>
      </c>
      <c r="E325" s="863"/>
      <c r="F325" s="863"/>
      <c r="G325" s="864" t="s">
        <v>70</v>
      </c>
      <c r="H325" s="864"/>
      <c r="I325" s="864"/>
      <c r="J325" s="246">
        <v>500</v>
      </c>
      <c r="K325" s="246">
        <v>200</v>
      </c>
      <c r="L325" s="247">
        <f>IF(AND(D325="",J325="",K325=""),"-",SUM(J325:K325))</f>
        <v>700</v>
      </c>
      <c r="M325" s="16" t="str">
        <f t="shared" si="6"/>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3">
      <c r="C326" s="323">
        <v>4</v>
      </c>
      <c r="D326" s="865" t="s">
        <v>73</v>
      </c>
      <c r="E326" s="865"/>
      <c r="F326" s="865"/>
      <c r="G326" s="905" t="s">
        <v>70</v>
      </c>
      <c r="H326" s="905"/>
      <c r="I326" s="905"/>
      <c r="J326" s="248">
        <v>300</v>
      </c>
      <c r="K326" s="248">
        <v>100</v>
      </c>
      <c r="L326" s="249">
        <f t="shared" si="5"/>
        <v>400</v>
      </c>
      <c r="M326" s="16" t="str">
        <f t="shared" si="6"/>
        <v>OK</v>
      </c>
    </row>
    <row r="327" spans="3:14" outlineLevel="1" x14ac:dyDescent="0.3">
      <c r="C327" s="324">
        <v>5</v>
      </c>
      <c r="D327" s="699" t="s">
        <v>74</v>
      </c>
      <c r="E327" s="699"/>
      <c r="F327" s="699"/>
      <c r="G327" s="693" t="s">
        <v>70</v>
      </c>
      <c r="H327" s="693"/>
      <c r="I327" s="693"/>
      <c r="J327" s="244">
        <v>100</v>
      </c>
      <c r="K327" s="244">
        <v>150</v>
      </c>
      <c r="L327" s="245">
        <f t="shared" si="5"/>
        <v>250</v>
      </c>
      <c r="M327" s="16" t="str">
        <f t="shared" si="6"/>
        <v>OK</v>
      </c>
    </row>
    <row r="328" spans="3:14" outlineLevel="1" x14ac:dyDescent="0.3">
      <c r="C328" s="324">
        <v>6</v>
      </c>
      <c r="D328" s="699" t="s">
        <v>75</v>
      </c>
      <c r="E328" s="699"/>
      <c r="F328" s="699"/>
      <c r="G328" s="693" t="s">
        <v>76</v>
      </c>
      <c r="H328" s="693"/>
      <c r="I328" s="693"/>
      <c r="J328" s="244">
        <v>4000</v>
      </c>
      <c r="K328" s="244">
        <v>1000</v>
      </c>
      <c r="L328" s="245">
        <f>IF(AND(D328="",J328="",K328=""),"-",SUM(J328:K328))</f>
        <v>5000</v>
      </c>
      <c r="M328" s="16" t="str">
        <f t="shared" si="6"/>
        <v>OK</v>
      </c>
    </row>
    <row r="329" spans="3:14" outlineLevel="1" x14ac:dyDescent="0.3">
      <c r="C329" s="324">
        <v>7</v>
      </c>
      <c r="D329" s="699" t="s">
        <v>77</v>
      </c>
      <c r="E329" s="699"/>
      <c r="F329" s="699"/>
      <c r="G329" s="693" t="s">
        <v>76</v>
      </c>
      <c r="H329" s="693"/>
      <c r="I329" s="693"/>
      <c r="J329" s="244">
        <v>30</v>
      </c>
      <c r="K329" s="244">
        <v>70</v>
      </c>
      <c r="L329" s="245">
        <f>IF(AND(D329="",J329="",K329=""),"-",SUM(J329:K329))</f>
        <v>100</v>
      </c>
      <c r="M329" s="16" t="str">
        <f t="shared" si="6"/>
        <v>OK</v>
      </c>
    </row>
    <row r="330" spans="3:14" outlineLevel="1" x14ac:dyDescent="0.3">
      <c r="C330" s="324">
        <v>8</v>
      </c>
      <c r="D330" s="699"/>
      <c r="E330" s="699"/>
      <c r="F330" s="699"/>
      <c r="G330" s="693"/>
      <c r="H330" s="693"/>
      <c r="I330" s="693"/>
      <c r="J330" s="244"/>
      <c r="K330" s="244"/>
      <c r="L330" s="245" t="str">
        <f t="shared" si="5"/>
        <v>-</v>
      </c>
      <c r="M330" s="16" t="str">
        <f t="shared" si="6"/>
        <v/>
      </c>
    </row>
    <row r="331" spans="3:14" outlineLevel="1" x14ac:dyDescent="0.3">
      <c r="C331" s="324">
        <v>9</v>
      </c>
      <c r="D331" s="699"/>
      <c r="E331" s="699"/>
      <c r="F331" s="699"/>
      <c r="G331" s="693"/>
      <c r="H331" s="693"/>
      <c r="I331" s="693"/>
      <c r="J331" s="244"/>
      <c r="K331" s="244"/>
      <c r="L331" s="245" t="str">
        <f t="shared" si="5"/>
        <v>-</v>
      </c>
      <c r="M331" s="16" t="str">
        <f t="shared" si="6"/>
        <v/>
      </c>
    </row>
    <row r="332" spans="3:14" outlineLevel="1" x14ac:dyDescent="0.3">
      <c r="C332" s="324">
        <v>10</v>
      </c>
      <c r="D332" s="699"/>
      <c r="E332" s="699"/>
      <c r="F332" s="699"/>
      <c r="G332" s="693"/>
      <c r="H332" s="693"/>
      <c r="I332" s="693"/>
      <c r="J332" s="244"/>
      <c r="K332" s="244"/>
      <c r="L332" s="245" t="str">
        <f t="shared" si="5"/>
        <v>-</v>
      </c>
      <c r="M332" s="16" t="str">
        <f t="shared" si="6"/>
        <v/>
      </c>
    </row>
    <row r="333" spans="3:14" outlineLevel="1" x14ac:dyDescent="0.3">
      <c r="C333" s="324">
        <v>11</v>
      </c>
      <c r="D333" s="699"/>
      <c r="E333" s="699"/>
      <c r="F333" s="699"/>
      <c r="G333" s="693"/>
      <c r="H333" s="693"/>
      <c r="I333" s="693"/>
      <c r="J333" s="244"/>
      <c r="K333" s="244"/>
      <c r="L333" s="245" t="str">
        <f t="shared" si="5"/>
        <v>-</v>
      </c>
      <c r="M333" s="16" t="str">
        <f t="shared" si="6"/>
        <v/>
      </c>
    </row>
    <row r="334" spans="3:14" outlineLevel="1" x14ac:dyDescent="0.3">
      <c r="C334" s="324">
        <v>12</v>
      </c>
      <c r="D334" s="699"/>
      <c r="E334" s="699"/>
      <c r="F334" s="699"/>
      <c r="G334" s="693"/>
      <c r="H334" s="693"/>
      <c r="I334" s="693"/>
      <c r="J334" s="244"/>
      <c r="K334" s="244"/>
      <c r="L334" s="245" t="str">
        <f t="shared" si="5"/>
        <v>-</v>
      </c>
      <c r="M334" s="16" t="str">
        <f t="shared" si="6"/>
        <v/>
      </c>
    </row>
    <row r="335" spans="3:14" outlineLevel="1" x14ac:dyDescent="0.3">
      <c r="C335" s="324">
        <v>13</v>
      </c>
      <c r="D335" s="699"/>
      <c r="E335" s="699"/>
      <c r="F335" s="699"/>
      <c r="G335" s="693"/>
      <c r="H335" s="693"/>
      <c r="I335" s="693"/>
      <c r="J335" s="244"/>
      <c r="K335" s="244"/>
      <c r="L335" s="245" t="str">
        <f t="shared" si="5"/>
        <v>-</v>
      </c>
      <c r="M335" s="16" t="str">
        <f t="shared" si="6"/>
        <v/>
      </c>
    </row>
    <row r="336" spans="3:14" outlineLevel="1" x14ac:dyDescent="0.3">
      <c r="C336" s="324">
        <v>14</v>
      </c>
      <c r="D336" s="699"/>
      <c r="E336" s="699"/>
      <c r="F336" s="699"/>
      <c r="G336" s="693"/>
      <c r="H336" s="693"/>
      <c r="I336" s="693"/>
      <c r="J336" s="244"/>
      <c r="K336" s="244"/>
      <c r="L336" s="245" t="str">
        <f t="shared" si="5"/>
        <v>-</v>
      </c>
      <c r="M336" s="16" t="str">
        <f t="shared" si="6"/>
        <v/>
      </c>
    </row>
    <row r="337" spans="3:13" outlineLevel="1" x14ac:dyDescent="0.3">
      <c r="C337" s="324">
        <v>15</v>
      </c>
      <c r="D337" s="699"/>
      <c r="E337" s="699"/>
      <c r="F337" s="699"/>
      <c r="G337" s="693"/>
      <c r="H337" s="693"/>
      <c r="I337" s="693"/>
      <c r="J337" s="361"/>
      <c r="K337" s="361"/>
      <c r="L337" s="245" t="str">
        <f t="shared" si="5"/>
        <v>-</v>
      </c>
      <c r="M337" s="16" t="str">
        <f t="shared" si="6"/>
        <v/>
      </c>
    </row>
    <row r="338" spans="3:13" outlineLevel="1" x14ac:dyDescent="0.3">
      <c r="C338" s="324">
        <v>16</v>
      </c>
      <c r="D338" s="699"/>
      <c r="E338" s="699"/>
      <c r="F338" s="699"/>
      <c r="G338" s="693"/>
      <c r="H338" s="693"/>
      <c r="I338" s="693"/>
      <c r="J338" s="361"/>
      <c r="K338" s="361"/>
      <c r="L338" s="245" t="str">
        <f t="shared" si="5"/>
        <v>-</v>
      </c>
      <c r="M338" s="16" t="str">
        <f t="shared" si="6"/>
        <v/>
      </c>
    </row>
    <row r="339" spans="3:13" outlineLevel="1" x14ac:dyDescent="0.3">
      <c r="C339" s="324">
        <v>17</v>
      </c>
      <c r="D339" s="699"/>
      <c r="E339" s="699"/>
      <c r="F339" s="699"/>
      <c r="G339" s="693"/>
      <c r="H339" s="693"/>
      <c r="I339" s="693"/>
      <c r="J339" s="361"/>
      <c r="K339" s="361"/>
      <c r="L339" s="245" t="str">
        <f t="shared" si="5"/>
        <v>-</v>
      </c>
      <c r="M339" s="16" t="str">
        <f t="shared" si="6"/>
        <v/>
      </c>
    </row>
    <row r="340" spans="3:13" outlineLevel="1" x14ac:dyDescent="0.3">
      <c r="C340" s="324">
        <v>18</v>
      </c>
      <c r="D340" s="699"/>
      <c r="E340" s="699"/>
      <c r="F340" s="699"/>
      <c r="G340" s="693"/>
      <c r="H340" s="693"/>
      <c r="I340" s="693"/>
      <c r="J340" s="361"/>
      <c r="K340" s="361"/>
      <c r="L340" s="245" t="str">
        <f t="shared" si="5"/>
        <v>-</v>
      </c>
      <c r="M340" s="16" t="str">
        <f t="shared" si="6"/>
        <v/>
      </c>
    </row>
    <row r="341" spans="3:13" outlineLevel="1" x14ac:dyDescent="0.3">
      <c r="C341" s="324">
        <v>19</v>
      </c>
      <c r="D341" s="699"/>
      <c r="E341" s="699"/>
      <c r="F341" s="699"/>
      <c r="G341" s="693"/>
      <c r="H341" s="693"/>
      <c r="I341" s="693"/>
      <c r="J341" s="361"/>
      <c r="K341" s="361"/>
      <c r="L341" s="245" t="str">
        <f t="shared" si="5"/>
        <v>-</v>
      </c>
      <c r="M341" s="16" t="str">
        <f t="shared" si="6"/>
        <v/>
      </c>
    </row>
    <row r="342" spans="3:13" outlineLevel="1" x14ac:dyDescent="0.3">
      <c r="C342" s="324">
        <v>20</v>
      </c>
      <c r="D342" s="699"/>
      <c r="E342" s="699"/>
      <c r="F342" s="699"/>
      <c r="G342" s="693"/>
      <c r="H342" s="693"/>
      <c r="I342" s="693"/>
      <c r="J342" s="361"/>
      <c r="K342" s="361"/>
      <c r="L342" s="245" t="str">
        <f t="shared" si="5"/>
        <v>-</v>
      </c>
      <c r="M342" s="16" t="str">
        <f t="shared" si="6"/>
        <v/>
      </c>
    </row>
    <row r="343" spans="3:13" outlineLevel="1" x14ac:dyDescent="0.3">
      <c r="C343" s="324">
        <v>21</v>
      </c>
      <c r="D343" s="699"/>
      <c r="E343" s="699"/>
      <c r="F343" s="699"/>
      <c r="G343" s="693"/>
      <c r="H343" s="693"/>
      <c r="I343" s="693"/>
      <c r="J343" s="361"/>
      <c r="K343" s="361"/>
      <c r="L343" s="245" t="str">
        <f t="shared" si="5"/>
        <v>-</v>
      </c>
      <c r="M343" s="16" t="str">
        <f t="shared" si="6"/>
        <v/>
      </c>
    </row>
    <row r="344" spans="3:13" outlineLevel="1" x14ac:dyDescent="0.3">
      <c r="C344" s="324">
        <v>22</v>
      </c>
      <c r="D344" s="699"/>
      <c r="E344" s="699"/>
      <c r="F344" s="699"/>
      <c r="G344" s="693"/>
      <c r="H344" s="693"/>
      <c r="I344" s="693"/>
      <c r="J344" s="361"/>
      <c r="K344" s="361"/>
      <c r="L344" s="245" t="str">
        <f t="shared" si="5"/>
        <v>-</v>
      </c>
      <c r="M344" s="16" t="str">
        <f t="shared" si="6"/>
        <v/>
      </c>
    </row>
    <row r="345" spans="3:13" outlineLevel="1" x14ac:dyDescent="0.3">
      <c r="C345" s="324">
        <v>23</v>
      </c>
      <c r="D345" s="699"/>
      <c r="E345" s="699"/>
      <c r="F345" s="699"/>
      <c r="G345" s="693"/>
      <c r="H345" s="693"/>
      <c r="I345" s="693"/>
      <c r="J345" s="361"/>
      <c r="K345" s="361"/>
      <c r="L345" s="245" t="str">
        <f t="shared" si="5"/>
        <v>-</v>
      </c>
      <c r="M345" s="16" t="str">
        <f t="shared" si="6"/>
        <v/>
      </c>
    </row>
    <row r="346" spans="3:13" outlineLevel="1" x14ac:dyDescent="0.3">
      <c r="C346" s="324">
        <v>24</v>
      </c>
      <c r="D346" s="699"/>
      <c r="E346" s="699"/>
      <c r="F346" s="699"/>
      <c r="G346" s="693"/>
      <c r="H346" s="693"/>
      <c r="I346" s="693"/>
      <c r="J346" s="361"/>
      <c r="K346" s="361"/>
      <c r="L346" s="245" t="str">
        <f t="shared" si="5"/>
        <v>-</v>
      </c>
      <c r="M346" s="16" t="str">
        <f t="shared" si="6"/>
        <v/>
      </c>
    </row>
    <row r="347" spans="3:13" outlineLevel="1" x14ac:dyDescent="0.3">
      <c r="C347" s="324">
        <v>25</v>
      </c>
      <c r="D347" s="699"/>
      <c r="E347" s="699"/>
      <c r="F347" s="699"/>
      <c r="G347" s="693"/>
      <c r="H347" s="693"/>
      <c r="I347" s="693"/>
      <c r="J347" s="361"/>
      <c r="K347" s="361"/>
      <c r="L347" s="245" t="str">
        <f t="shared" si="5"/>
        <v>-</v>
      </c>
      <c r="M347" s="16" t="str">
        <f t="shared" si="6"/>
        <v/>
      </c>
    </row>
    <row r="348" spans="3:13" outlineLevel="1" x14ac:dyDescent="0.3">
      <c r="C348" s="324">
        <v>26</v>
      </c>
      <c r="D348" s="699"/>
      <c r="E348" s="699"/>
      <c r="F348" s="699"/>
      <c r="G348" s="693"/>
      <c r="H348" s="693"/>
      <c r="I348" s="693"/>
      <c r="J348" s="361"/>
      <c r="K348" s="361"/>
      <c r="L348" s="245" t="str">
        <f t="shared" si="5"/>
        <v>-</v>
      </c>
      <c r="M348" s="16" t="str">
        <f t="shared" si="6"/>
        <v/>
      </c>
    </row>
    <row r="349" spans="3:13" outlineLevel="1" x14ac:dyDescent="0.3">
      <c r="C349" s="324">
        <v>27</v>
      </c>
      <c r="D349" s="699"/>
      <c r="E349" s="699"/>
      <c r="F349" s="699"/>
      <c r="G349" s="693"/>
      <c r="H349" s="693"/>
      <c r="I349" s="693"/>
      <c r="J349" s="361"/>
      <c r="K349" s="361"/>
      <c r="L349" s="245" t="str">
        <f t="shared" si="5"/>
        <v>-</v>
      </c>
      <c r="M349" s="16" t="str">
        <f t="shared" si="6"/>
        <v/>
      </c>
    </row>
    <row r="350" spans="3:13" outlineLevel="1" x14ac:dyDescent="0.3">
      <c r="C350" s="324">
        <v>28</v>
      </c>
      <c r="D350" s="699"/>
      <c r="E350" s="699"/>
      <c r="F350" s="699"/>
      <c r="G350" s="693"/>
      <c r="H350" s="693"/>
      <c r="I350" s="693"/>
      <c r="J350" s="361"/>
      <c r="K350" s="361"/>
      <c r="L350" s="245" t="str">
        <f t="shared" si="5"/>
        <v>-</v>
      </c>
      <c r="M350" s="16" t="str">
        <f t="shared" si="6"/>
        <v/>
      </c>
    </row>
    <row r="351" spans="3:13" outlineLevel="1" x14ac:dyDescent="0.3">
      <c r="C351" s="324">
        <v>29</v>
      </c>
      <c r="D351" s="699"/>
      <c r="E351" s="699"/>
      <c r="F351" s="699"/>
      <c r="G351" s="693"/>
      <c r="H351" s="693"/>
      <c r="I351" s="693"/>
      <c r="J351" s="361"/>
      <c r="K351" s="361"/>
      <c r="L351" s="245" t="str">
        <f t="shared" si="5"/>
        <v>-</v>
      </c>
      <c r="M351" s="16" t="str">
        <f t="shared" si="6"/>
        <v/>
      </c>
    </row>
    <row r="352" spans="3:13" outlineLevel="1" x14ac:dyDescent="0.3">
      <c r="C352" s="324">
        <v>30</v>
      </c>
      <c r="D352" s="699"/>
      <c r="E352" s="699"/>
      <c r="F352" s="699"/>
      <c r="G352" s="693"/>
      <c r="H352" s="693"/>
      <c r="I352" s="693"/>
      <c r="J352" s="361"/>
      <c r="K352" s="361"/>
      <c r="L352" s="245" t="str">
        <f t="shared" si="5"/>
        <v>-</v>
      </c>
      <c r="M352" s="16" t="str">
        <f t="shared" si="6"/>
        <v/>
      </c>
    </row>
    <row r="353" spans="3:13" outlineLevel="1" x14ac:dyDescent="0.3">
      <c r="C353" s="324">
        <v>31</v>
      </c>
      <c r="D353" s="699"/>
      <c r="E353" s="699"/>
      <c r="F353" s="699"/>
      <c r="G353" s="693"/>
      <c r="H353" s="693"/>
      <c r="I353" s="693"/>
      <c r="J353" s="361"/>
      <c r="K353" s="361"/>
      <c r="L353" s="245" t="str">
        <f t="shared" si="5"/>
        <v>-</v>
      </c>
      <c r="M353" s="16" t="str">
        <f t="shared" si="6"/>
        <v/>
      </c>
    </row>
    <row r="354" spans="3:13" outlineLevel="1" x14ac:dyDescent="0.3">
      <c r="C354" s="324">
        <v>32</v>
      </c>
      <c r="D354" s="699"/>
      <c r="E354" s="699"/>
      <c r="F354" s="699"/>
      <c r="G354" s="693"/>
      <c r="H354" s="693"/>
      <c r="I354" s="693"/>
      <c r="J354" s="361"/>
      <c r="K354" s="361"/>
      <c r="L354" s="245" t="str">
        <f t="shared" si="5"/>
        <v>-</v>
      </c>
      <c r="M354" s="16" t="str">
        <f t="shared" si="6"/>
        <v/>
      </c>
    </row>
    <row r="355" spans="3:13" outlineLevel="1" x14ac:dyDescent="0.3">
      <c r="C355" s="324">
        <v>33</v>
      </c>
      <c r="D355" s="699"/>
      <c r="E355" s="699"/>
      <c r="F355" s="699"/>
      <c r="G355" s="693"/>
      <c r="H355" s="693"/>
      <c r="I355" s="693"/>
      <c r="J355" s="361"/>
      <c r="K355" s="361"/>
      <c r="L355" s="245" t="str">
        <f t="shared" si="5"/>
        <v>-</v>
      </c>
      <c r="M355" s="16" t="str">
        <f t="shared" si="6"/>
        <v/>
      </c>
    </row>
    <row r="356" spans="3:13" outlineLevel="1" x14ac:dyDescent="0.3">
      <c r="C356" s="324">
        <v>34</v>
      </c>
      <c r="D356" s="699"/>
      <c r="E356" s="699"/>
      <c r="F356" s="699"/>
      <c r="G356" s="693"/>
      <c r="H356" s="693"/>
      <c r="I356" s="693"/>
      <c r="J356" s="361"/>
      <c r="K356" s="361"/>
      <c r="L356" s="245"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3">
      <c r="C357" s="324">
        <v>35</v>
      </c>
      <c r="D357" s="699"/>
      <c r="E357" s="699"/>
      <c r="F357" s="699"/>
      <c r="G357" s="693"/>
      <c r="H357" s="693"/>
      <c r="I357" s="693"/>
      <c r="J357" s="361"/>
      <c r="K357" s="361"/>
      <c r="L357" s="245" t="str">
        <f t="shared" si="5"/>
        <v>-</v>
      </c>
      <c r="M357" s="16" t="str">
        <f t="shared" si="7"/>
        <v/>
      </c>
    </row>
    <row r="358" spans="3:13" outlineLevel="1" x14ac:dyDescent="0.3">
      <c r="C358" s="324">
        <v>36</v>
      </c>
      <c r="D358" s="699"/>
      <c r="E358" s="699"/>
      <c r="F358" s="699"/>
      <c r="G358" s="693"/>
      <c r="H358" s="693"/>
      <c r="I358" s="693"/>
      <c r="J358" s="361"/>
      <c r="K358" s="361"/>
      <c r="L358" s="245" t="str">
        <f t="shared" si="5"/>
        <v>-</v>
      </c>
      <c r="M358" s="16" t="str">
        <f t="shared" si="7"/>
        <v/>
      </c>
    </row>
    <row r="359" spans="3:13" outlineLevel="1" x14ac:dyDescent="0.3">
      <c r="C359" s="324">
        <v>37</v>
      </c>
      <c r="D359" s="699"/>
      <c r="E359" s="699"/>
      <c r="F359" s="699"/>
      <c r="G359" s="693"/>
      <c r="H359" s="693"/>
      <c r="I359" s="693"/>
      <c r="J359" s="361"/>
      <c r="K359" s="361"/>
      <c r="L359" s="245" t="str">
        <f t="shared" si="5"/>
        <v>-</v>
      </c>
      <c r="M359" s="16" t="str">
        <f t="shared" si="7"/>
        <v/>
      </c>
    </row>
    <row r="360" spans="3:13" outlineLevel="1" x14ac:dyDescent="0.3">
      <c r="C360" s="324">
        <v>38</v>
      </c>
      <c r="D360" s="699"/>
      <c r="E360" s="699"/>
      <c r="F360" s="699"/>
      <c r="G360" s="693"/>
      <c r="H360" s="693"/>
      <c r="I360" s="693"/>
      <c r="J360" s="361"/>
      <c r="K360" s="361"/>
      <c r="L360" s="245" t="str">
        <f t="shared" si="5"/>
        <v>-</v>
      </c>
      <c r="M360" s="16" t="str">
        <f t="shared" si="7"/>
        <v/>
      </c>
    </row>
    <row r="361" spans="3:13" outlineLevel="1" x14ac:dyDescent="0.3">
      <c r="C361" s="324">
        <v>39</v>
      </c>
      <c r="D361" s="699"/>
      <c r="E361" s="699"/>
      <c r="F361" s="699"/>
      <c r="G361" s="693"/>
      <c r="H361" s="693"/>
      <c r="I361" s="693"/>
      <c r="J361" s="361"/>
      <c r="K361" s="361"/>
      <c r="L361" s="245" t="str">
        <f t="shared" si="5"/>
        <v>-</v>
      </c>
      <c r="M361" s="16" t="str">
        <f t="shared" si="7"/>
        <v/>
      </c>
    </row>
    <row r="362" spans="3:13" outlineLevel="1" x14ac:dyDescent="0.3">
      <c r="C362" s="324">
        <v>40</v>
      </c>
      <c r="D362" s="699"/>
      <c r="E362" s="699"/>
      <c r="F362" s="699"/>
      <c r="G362" s="693"/>
      <c r="H362" s="693"/>
      <c r="I362" s="693"/>
      <c r="J362" s="361"/>
      <c r="K362" s="361"/>
      <c r="L362" s="245" t="str">
        <f t="shared" si="5"/>
        <v>-</v>
      </c>
      <c r="M362" s="16" t="str">
        <f t="shared" si="7"/>
        <v/>
      </c>
    </row>
    <row r="363" spans="3:13" outlineLevel="1" x14ac:dyDescent="0.3">
      <c r="C363" s="324">
        <v>41</v>
      </c>
      <c r="D363" s="699"/>
      <c r="E363" s="699"/>
      <c r="F363" s="699"/>
      <c r="G363" s="693"/>
      <c r="H363" s="693"/>
      <c r="I363" s="693"/>
      <c r="J363" s="361"/>
      <c r="K363" s="361"/>
      <c r="L363" s="245" t="str">
        <f t="shared" si="5"/>
        <v>-</v>
      </c>
      <c r="M363" s="16" t="str">
        <f t="shared" si="7"/>
        <v/>
      </c>
    </row>
    <row r="364" spans="3:13" outlineLevel="1" x14ac:dyDescent="0.3">
      <c r="C364" s="324">
        <v>42</v>
      </c>
      <c r="D364" s="699"/>
      <c r="E364" s="699"/>
      <c r="F364" s="699"/>
      <c r="G364" s="693"/>
      <c r="H364" s="693"/>
      <c r="I364" s="693"/>
      <c r="J364" s="361"/>
      <c r="K364" s="361"/>
      <c r="L364" s="245" t="str">
        <f t="shared" si="5"/>
        <v>-</v>
      </c>
      <c r="M364" s="16" t="str">
        <f t="shared" si="7"/>
        <v/>
      </c>
    </row>
    <row r="365" spans="3:13" outlineLevel="1" x14ac:dyDescent="0.3">
      <c r="C365" s="324">
        <v>43</v>
      </c>
      <c r="D365" s="699"/>
      <c r="E365" s="699"/>
      <c r="F365" s="699"/>
      <c r="G365" s="693"/>
      <c r="H365" s="693"/>
      <c r="I365" s="693"/>
      <c r="J365" s="361"/>
      <c r="K365" s="361"/>
      <c r="L365" s="245" t="str">
        <f t="shared" si="5"/>
        <v>-</v>
      </c>
      <c r="M365" s="16" t="str">
        <f t="shared" si="7"/>
        <v/>
      </c>
    </row>
    <row r="366" spans="3:13" outlineLevel="1" x14ac:dyDescent="0.3">
      <c r="C366" s="324">
        <v>44</v>
      </c>
      <c r="D366" s="699"/>
      <c r="E366" s="699"/>
      <c r="F366" s="699"/>
      <c r="G366" s="693"/>
      <c r="H366" s="693"/>
      <c r="I366" s="693"/>
      <c r="J366" s="361"/>
      <c r="K366" s="361"/>
      <c r="L366" s="245" t="str">
        <f t="shared" si="5"/>
        <v>-</v>
      </c>
      <c r="M366" s="16" t="str">
        <f t="shared" si="7"/>
        <v/>
      </c>
    </row>
    <row r="367" spans="3:13" outlineLevel="1" x14ac:dyDescent="0.3">
      <c r="C367" s="324">
        <v>45</v>
      </c>
      <c r="D367" s="699"/>
      <c r="E367" s="699"/>
      <c r="F367" s="699"/>
      <c r="G367" s="693"/>
      <c r="H367" s="693"/>
      <c r="I367" s="693"/>
      <c r="J367" s="361"/>
      <c r="K367" s="361"/>
      <c r="L367" s="245" t="str">
        <f t="shared" si="5"/>
        <v>-</v>
      </c>
      <c r="M367" s="16" t="str">
        <f t="shared" si="7"/>
        <v/>
      </c>
    </row>
    <row r="368" spans="3:13" outlineLevel="1" x14ac:dyDescent="0.3">
      <c r="C368" s="324">
        <v>46</v>
      </c>
      <c r="D368" s="699"/>
      <c r="E368" s="699"/>
      <c r="F368" s="699"/>
      <c r="G368" s="693"/>
      <c r="H368" s="693"/>
      <c r="I368" s="693"/>
      <c r="J368" s="361"/>
      <c r="K368" s="361"/>
      <c r="L368" s="245" t="str">
        <f t="shared" si="5"/>
        <v>-</v>
      </c>
      <c r="M368" s="16" t="str">
        <f t="shared" si="7"/>
        <v/>
      </c>
    </row>
    <row r="369" spans="3:13" outlineLevel="1" x14ac:dyDescent="0.3">
      <c r="C369" s="324">
        <v>47</v>
      </c>
      <c r="D369" s="699"/>
      <c r="E369" s="699"/>
      <c r="F369" s="699"/>
      <c r="G369" s="693"/>
      <c r="H369" s="693"/>
      <c r="I369" s="693"/>
      <c r="J369" s="361"/>
      <c r="K369" s="361"/>
      <c r="L369" s="245" t="str">
        <f t="shared" si="5"/>
        <v>-</v>
      </c>
      <c r="M369" s="16" t="str">
        <f t="shared" si="7"/>
        <v/>
      </c>
    </row>
    <row r="370" spans="3:13" outlineLevel="1" x14ac:dyDescent="0.3">
      <c r="C370" s="324">
        <v>48</v>
      </c>
      <c r="D370" s="699"/>
      <c r="E370" s="699"/>
      <c r="F370" s="699"/>
      <c r="G370" s="693"/>
      <c r="H370" s="693"/>
      <c r="I370" s="693"/>
      <c r="J370" s="361"/>
      <c r="K370" s="361"/>
      <c r="L370" s="245" t="str">
        <f t="shared" si="5"/>
        <v>-</v>
      </c>
      <c r="M370" s="16" t="str">
        <f t="shared" si="7"/>
        <v/>
      </c>
    </row>
    <row r="371" spans="3:13" outlineLevel="1" x14ac:dyDescent="0.3">
      <c r="C371" s="324">
        <v>49</v>
      </c>
      <c r="D371" s="699"/>
      <c r="E371" s="699"/>
      <c r="F371" s="699"/>
      <c r="G371" s="693"/>
      <c r="H371" s="693"/>
      <c r="I371" s="693"/>
      <c r="J371" s="361"/>
      <c r="K371" s="361"/>
      <c r="L371" s="245" t="str">
        <f t="shared" si="5"/>
        <v>-</v>
      </c>
      <c r="M371" s="16" t="str">
        <f t="shared" si="7"/>
        <v/>
      </c>
    </row>
    <row r="372" spans="3:13" outlineLevel="1" x14ac:dyDescent="0.3">
      <c r="C372" s="324">
        <v>50</v>
      </c>
      <c r="D372" s="699"/>
      <c r="E372" s="699"/>
      <c r="F372" s="699"/>
      <c r="G372" s="693"/>
      <c r="H372" s="693"/>
      <c r="I372" s="693"/>
      <c r="J372" s="361"/>
      <c r="K372" s="361"/>
      <c r="L372" s="245" t="str">
        <f t="shared" si="5"/>
        <v>-</v>
      </c>
      <c r="M372" s="16" t="str">
        <f t="shared" si="7"/>
        <v/>
      </c>
    </row>
    <row r="373" spans="3:13" outlineLevel="1" x14ac:dyDescent="0.3">
      <c r="C373" s="324">
        <v>51</v>
      </c>
      <c r="D373" s="699"/>
      <c r="E373" s="699"/>
      <c r="F373" s="699"/>
      <c r="G373" s="693"/>
      <c r="H373" s="693"/>
      <c r="I373" s="693"/>
      <c r="J373" s="361"/>
      <c r="K373" s="361"/>
      <c r="L373" s="245" t="str">
        <f t="shared" si="5"/>
        <v>-</v>
      </c>
      <c r="M373" s="16" t="str">
        <f t="shared" si="7"/>
        <v/>
      </c>
    </row>
    <row r="374" spans="3:13" outlineLevel="1" x14ac:dyDescent="0.3">
      <c r="C374" s="324">
        <v>52</v>
      </c>
      <c r="D374" s="699"/>
      <c r="E374" s="699"/>
      <c r="F374" s="699"/>
      <c r="G374" s="693"/>
      <c r="H374" s="693"/>
      <c r="I374" s="693"/>
      <c r="J374" s="361"/>
      <c r="K374" s="361"/>
      <c r="L374" s="245" t="str">
        <f t="shared" si="5"/>
        <v>-</v>
      </c>
      <c r="M374" s="16" t="str">
        <f t="shared" si="7"/>
        <v/>
      </c>
    </row>
    <row r="375" spans="3:13" outlineLevel="1" x14ac:dyDescent="0.3">
      <c r="C375" s="324">
        <v>53</v>
      </c>
      <c r="D375" s="699"/>
      <c r="E375" s="699"/>
      <c r="F375" s="699"/>
      <c r="G375" s="693"/>
      <c r="H375" s="693"/>
      <c r="I375" s="693"/>
      <c r="J375" s="361"/>
      <c r="K375" s="361"/>
      <c r="L375" s="245" t="str">
        <f t="shared" si="5"/>
        <v>-</v>
      </c>
      <c r="M375" s="16" t="str">
        <f t="shared" si="7"/>
        <v/>
      </c>
    </row>
    <row r="376" spans="3:13" outlineLevel="1" x14ac:dyDescent="0.3">
      <c r="C376" s="324">
        <v>54</v>
      </c>
      <c r="D376" s="699"/>
      <c r="E376" s="699"/>
      <c r="F376" s="699"/>
      <c r="G376" s="693"/>
      <c r="H376" s="693"/>
      <c r="I376" s="693"/>
      <c r="J376" s="361"/>
      <c r="K376" s="361"/>
      <c r="L376" s="245" t="str">
        <f t="shared" si="5"/>
        <v>-</v>
      </c>
      <c r="M376" s="16" t="str">
        <f t="shared" si="7"/>
        <v/>
      </c>
    </row>
    <row r="377" spans="3:13" outlineLevel="1" x14ac:dyDescent="0.3">
      <c r="C377" s="324">
        <v>55</v>
      </c>
      <c r="D377" s="699"/>
      <c r="E377" s="699"/>
      <c r="F377" s="699"/>
      <c r="G377" s="693"/>
      <c r="H377" s="693"/>
      <c r="I377" s="693"/>
      <c r="J377" s="361"/>
      <c r="K377" s="361"/>
      <c r="L377" s="245" t="str">
        <f t="shared" si="5"/>
        <v>-</v>
      </c>
      <c r="M377" s="16" t="str">
        <f t="shared" si="7"/>
        <v/>
      </c>
    </row>
    <row r="378" spans="3:13" outlineLevel="1" x14ac:dyDescent="0.3">
      <c r="C378" s="324">
        <v>56</v>
      </c>
      <c r="D378" s="699"/>
      <c r="E378" s="699"/>
      <c r="F378" s="699"/>
      <c r="G378" s="693"/>
      <c r="H378" s="693"/>
      <c r="I378" s="693"/>
      <c r="J378" s="361"/>
      <c r="K378" s="361"/>
      <c r="L378" s="245" t="str">
        <f t="shared" si="5"/>
        <v>-</v>
      </c>
      <c r="M378" s="16" t="str">
        <f t="shared" si="7"/>
        <v/>
      </c>
    </row>
    <row r="379" spans="3:13" outlineLevel="1" x14ac:dyDescent="0.3">
      <c r="C379" s="324">
        <v>57</v>
      </c>
      <c r="D379" s="699"/>
      <c r="E379" s="699"/>
      <c r="F379" s="699"/>
      <c r="G379" s="693"/>
      <c r="H379" s="693"/>
      <c r="I379" s="693"/>
      <c r="J379" s="361"/>
      <c r="K379" s="361"/>
      <c r="L379" s="245" t="str">
        <f t="shared" si="5"/>
        <v>-</v>
      </c>
      <c r="M379" s="16" t="str">
        <f t="shared" si="7"/>
        <v/>
      </c>
    </row>
    <row r="380" spans="3:13" outlineLevel="1" x14ac:dyDescent="0.3">
      <c r="C380" s="324">
        <v>58</v>
      </c>
      <c r="D380" s="699"/>
      <c r="E380" s="699"/>
      <c r="F380" s="699"/>
      <c r="G380" s="693"/>
      <c r="H380" s="693"/>
      <c r="I380" s="693"/>
      <c r="J380" s="361"/>
      <c r="K380" s="361"/>
      <c r="L380" s="245" t="str">
        <f t="shared" si="5"/>
        <v>-</v>
      </c>
      <c r="M380" s="16" t="str">
        <f t="shared" si="7"/>
        <v/>
      </c>
    </row>
    <row r="381" spans="3:13" outlineLevel="1" x14ac:dyDescent="0.3">
      <c r="C381" s="324">
        <v>59</v>
      </c>
      <c r="D381" s="699"/>
      <c r="E381" s="699"/>
      <c r="F381" s="699"/>
      <c r="G381" s="693"/>
      <c r="H381" s="693"/>
      <c r="I381" s="693"/>
      <c r="J381" s="361"/>
      <c r="K381" s="361"/>
      <c r="L381" s="245" t="str">
        <f t="shared" si="5"/>
        <v>-</v>
      </c>
      <c r="M381" s="16" t="str">
        <f t="shared" si="7"/>
        <v/>
      </c>
    </row>
    <row r="382" spans="3:13" outlineLevel="1" x14ac:dyDescent="0.3">
      <c r="C382" s="324">
        <v>60</v>
      </c>
      <c r="D382" s="699"/>
      <c r="E382" s="699"/>
      <c r="F382" s="699"/>
      <c r="G382" s="693"/>
      <c r="H382" s="693"/>
      <c r="I382" s="693"/>
      <c r="J382" s="361"/>
      <c r="K382" s="361"/>
      <c r="L382" s="245" t="str">
        <f t="shared" si="5"/>
        <v>-</v>
      </c>
      <c r="M382" s="16" t="str">
        <f t="shared" si="7"/>
        <v/>
      </c>
    </row>
    <row r="383" spans="3:13" outlineLevel="1" x14ac:dyDescent="0.3">
      <c r="C383" s="324">
        <v>61</v>
      </c>
      <c r="D383" s="699"/>
      <c r="E383" s="699"/>
      <c r="F383" s="699"/>
      <c r="G383" s="693"/>
      <c r="H383" s="693"/>
      <c r="I383" s="693"/>
      <c r="J383" s="361"/>
      <c r="K383" s="361"/>
      <c r="L383" s="245" t="str">
        <f t="shared" si="5"/>
        <v>-</v>
      </c>
      <c r="M383" s="16" t="str">
        <f t="shared" si="7"/>
        <v/>
      </c>
    </row>
    <row r="384" spans="3:13" outlineLevel="1" x14ac:dyDescent="0.3">
      <c r="C384" s="324">
        <v>62</v>
      </c>
      <c r="D384" s="699"/>
      <c r="E384" s="699"/>
      <c r="F384" s="699"/>
      <c r="G384" s="693"/>
      <c r="H384" s="693"/>
      <c r="I384" s="693"/>
      <c r="J384" s="361"/>
      <c r="K384" s="361"/>
      <c r="L384" s="245" t="str">
        <f t="shared" si="5"/>
        <v>-</v>
      </c>
      <c r="M384" s="16" t="str">
        <f t="shared" si="7"/>
        <v/>
      </c>
    </row>
    <row r="385" spans="3:13" outlineLevel="1" x14ac:dyDescent="0.3">
      <c r="C385" s="324">
        <v>63</v>
      </c>
      <c r="D385" s="699"/>
      <c r="E385" s="699"/>
      <c r="F385" s="699"/>
      <c r="G385" s="693"/>
      <c r="H385" s="693"/>
      <c r="I385" s="693"/>
      <c r="J385" s="361"/>
      <c r="K385" s="361"/>
      <c r="L385" s="245" t="str">
        <f t="shared" si="5"/>
        <v>-</v>
      </c>
      <c r="M385" s="16" t="str">
        <f t="shared" si="7"/>
        <v/>
      </c>
    </row>
    <row r="386" spans="3:13" outlineLevel="1" x14ac:dyDescent="0.3">
      <c r="C386" s="324">
        <v>64</v>
      </c>
      <c r="D386" s="699"/>
      <c r="E386" s="699"/>
      <c r="F386" s="699"/>
      <c r="G386" s="693"/>
      <c r="H386" s="693"/>
      <c r="I386" s="693"/>
      <c r="J386" s="361"/>
      <c r="K386" s="361"/>
      <c r="L386" s="245" t="str">
        <f t="shared" si="5"/>
        <v>-</v>
      </c>
      <c r="M386" s="16" t="str">
        <f t="shared" si="7"/>
        <v/>
      </c>
    </row>
    <row r="387" spans="3:13" outlineLevel="1" x14ac:dyDescent="0.3">
      <c r="C387" s="324">
        <v>65</v>
      </c>
      <c r="D387" s="699"/>
      <c r="E387" s="699"/>
      <c r="F387" s="699"/>
      <c r="G387" s="693"/>
      <c r="H387" s="693"/>
      <c r="I387" s="693"/>
      <c r="J387" s="361"/>
      <c r="K387" s="361"/>
      <c r="L387" s="245" t="str">
        <f t="shared" si="5"/>
        <v>-</v>
      </c>
      <c r="M387" s="16" t="str">
        <f t="shared" si="7"/>
        <v/>
      </c>
    </row>
    <row r="388" spans="3:13" outlineLevel="1" x14ac:dyDescent="0.3">
      <c r="C388" s="324">
        <v>66</v>
      </c>
      <c r="D388" s="699"/>
      <c r="E388" s="699"/>
      <c r="F388" s="699"/>
      <c r="G388" s="693"/>
      <c r="H388" s="693"/>
      <c r="I388" s="693"/>
      <c r="J388" s="361"/>
      <c r="K388" s="361"/>
      <c r="L388" s="245"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3">
      <c r="C389" s="324">
        <v>67</v>
      </c>
      <c r="D389" s="699"/>
      <c r="E389" s="699"/>
      <c r="F389" s="699"/>
      <c r="G389" s="693"/>
      <c r="H389" s="693"/>
      <c r="I389" s="693"/>
      <c r="J389" s="361"/>
      <c r="K389" s="361"/>
      <c r="L389" s="245" t="str">
        <f t="shared" si="5"/>
        <v>-</v>
      </c>
      <c r="M389" s="16" t="str">
        <f t="shared" si="8"/>
        <v/>
      </c>
    </row>
    <row r="390" spans="3:13" outlineLevel="1" x14ac:dyDescent="0.3">
      <c r="C390" s="324">
        <v>68</v>
      </c>
      <c r="D390" s="699"/>
      <c r="E390" s="699"/>
      <c r="F390" s="699"/>
      <c r="G390" s="693"/>
      <c r="H390" s="693"/>
      <c r="I390" s="693"/>
      <c r="J390" s="361"/>
      <c r="K390" s="361"/>
      <c r="L390" s="245" t="str">
        <f t="shared" si="5"/>
        <v>-</v>
      </c>
      <c r="M390" s="16" t="str">
        <f t="shared" si="8"/>
        <v/>
      </c>
    </row>
    <row r="391" spans="3:13" outlineLevel="1" x14ac:dyDescent="0.3">
      <c r="C391" s="324">
        <v>69</v>
      </c>
      <c r="D391" s="699"/>
      <c r="E391" s="699"/>
      <c r="F391" s="699"/>
      <c r="G391" s="693"/>
      <c r="H391" s="693"/>
      <c r="I391" s="693"/>
      <c r="J391" s="361"/>
      <c r="K391" s="361"/>
      <c r="L391" s="245" t="str">
        <f t="shared" si="5"/>
        <v>-</v>
      </c>
      <c r="M391" s="16" t="str">
        <f t="shared" si="8"/>
        <v/>
      </c>
    </row>
    <row r="392" spans="3:13" outlineLevel="1" x14ac:dyDescent="0.3">
      <c r="C392" s="324">
        <v>70</v>
      </c>
      <c r="D392" s="699"/>
      <c r="E392" s="699"/>
      <c r="F392" s="699"/>
      <c r="G392" s="693"/>
      <c r="H392" s="693"/>
      <c r="I392" s="693"/>
      <c r="J392" s="361"/>
      <c r="K392" s="361"/>
      <c r="L392" s="245" t="str">
        <f t="shared" si="5"/>
        <v>-</v>
      </c>
      <c r="M392" s="16" t="str">
        <f t="shared" si="8"/>
        <v/>
      </c>
    </row>
    <row r="393" spans="3:13" outlineLevel="1" x14ac:dyDescent="0.3">
      <c r="C393" s="324">
        <v>71</v>
      </c>
      <c r="D393" s="699"/>
      <c r="E393" s="699"/>
      <c r="F393" s="699"/>
      <c r="G393" s="693"/>
      <c r="H393" s="693"/>
      <c r="I393" s="693"/>
      <c r="J393" s="361"/>
      <c r="K393" s="361"/>
      <c r="L393" s="245" t="str">
        <f t="shared" si="5"/>
        <v>-</v>
      </c>
      <c r="M393" s="16" t="str">
        <f t="shared" si="8"/>
        <v/>
      </c>
    </row>
    <row r="394" spans="3:13" outlineLevel="1" x14ac:dyDescent="0.3">
      <c r="C394" s="324">
        <v>72</v>
      </c>
      <c r="D394" s="699"/>
      <c r="E394" s="699"/>
      <c r="F394" s="699"/>
      <c r="G394" s="693"/>
      <c r="H394" s="693"/>
      <c r="I394" s="693"/>
      <c r="J394" s="361"/>
      <c r="K394" s="361"/>
      <c r="L394" s="245" t="str">
        <f t="shared" si="5"/>
        <v>-</v>
      </c>
      <c r="M394" s="16" t="str">
        <f t="shared" si="8"/>
        <v/>
      </c>
    </row>
    <row r="395" spans="3:13" outlineLevel="1" x14ac:dyDescent="0.3">
      <c r="C395" s="324">
        <v>73</v>
      </c>
      <c r="D395" s="699"/>
      <c r="E395" s="699"/>
      <c r="F395" s="699"/>
      <c r="G395" s="693"/>
      <c r="H395" s="693"/>
      <c r="I395" s="693"/>
      <c r="J395" s="361"/>
      <c r="K395" s="361"/>
      <c r="L395" s="245" t="str">
        <f t="shared" si="5"/>
        <v>-</v>
      </c>
      <c r="M395" s="16" t="str">
        <f t="shared" si="8"/>
        <v/>
      </c>
    </row>
    <row r="396" spans="3:13" outlineLevel="1" x14ac:dyDescent="0.3">
      <c r="C396" s="324">
        <v>74</v>
      </c>
      <c r="D396" s="699"/>
      <c r="E396" s="699"/>
      <c r="F396" s="699"/>
      <c r="G396" s="693"/>
      <c r="H396" s="693"/>
      <c r="I396" s="693"/>
      <c r="J396" s="361"/>
      <c r="K396" s="361"/>
      <c r="L396" s="245" t="str">
        <f t="shared" si="5"/>
        <v>-</v>
      </c>
      <c r="M396" s="16" t="str">
        <f t="shared" si="8"/>
        <v/>
      </c>
    </row>
    <row r="397" spans="3:13" outlineLevel="1" x14ac:dyDescent="0.3">
      <c r="C397" s="324">
        <v>75</v>
      </c>
      <c r="D397" s="699"/>
      <c r="E397" s="699"/>
      <c r="F397" s="699"/>
      <c r="G397" s="693"/>
      <c r="H397" s="693"/>
      <c r="I397" s="693"/>
      <c r="J397" s="361"/>
      <c r="K397" s="361"/>
      <c r="L397" s="245" t="str">
        <f t="shared" si="5"/>
        <v>-</v>
      </c>
      <c r="M397" s="16" t="str">
        <f t="shared" si="8"/>
        <v/>
      </c>
    </row>
    <row r="398" spans="3:13" outlineLevel="1" x14ac:dyDescent="0.3">
      <c r="C398" s="324">
        <v>76</v>
      </c>
      <c r="D398" s="699"/>
      <c r="E398" s="699"/>
      <c r="F398" s="699"/>
      <c r="G398" s="693"/>
      <c r="H398" s="693"/>
      <c r="I398" s="693"/>
      <c r="J398" s="361"/>
      <c r="K398" s="361"/>
      <c r="L398" s="245" t="str">
        <f t="shared" si="5"/>
        <v>-</v>
      </c>
      <c r="M398" s="16" t="str">
        <f t="shared" si="8"/>
        <v/>
      </c>
    </row>
    <row r="399" spans="3:13" outlineLevel="1" x14ac:dyDescent="0.3">
      <c r="C399" s="324">
        <v>77</v>
      </c>
      <c r="D399" s="699"/>
      <c r="E399" s="699"/>
      <c r="F399" s="699"/>
      <c r="G399" s="693"/>
      <c r="H399" s="693"/>
      <c r="I399" s="693"/>
      <c r="J399" s="361"/>
      <c r="K399" s="361"/>
      <c r="L399" s="245" t="str">
        <f t="shared" si="5"/>
        <v>-</v>
      </c>
      <c r="M399" s="16" t="str">
        <f t="shared" si="8"/>
        <v/>
      </c>
    </row>
    <row r="400" spans="3:13" outlineLevel="1" x14ac:dyDescent="0.3">
      <c r="C400" s="324">
        <v>78</v>
      </c>
      <c r="D400" s="699"/>
      <c r="E400" s="699"/>
      <c r="F400" s="699"/>
      <c r="G400" s="693"/>
      <c r="H400" s="693"/>
      <c r="I400" s="693"/>
      <c r="J400" s="361"/>
      <c r="K400" s="361"/>
      <c r="L400" s="245" t="str">
        <f t="shared" si="5"/>
        <v>-</v>
      </c>
      <c r="M400" s="16" t="str">
        <f t="shared" si="8"/>
        <v/>
      </c>
    </row>
    <row r="401" spans="3:13" outlineLevel="1" x14ac:dyDescent="0.3">
      <c r="C401" s="324">
        <v>79</v>
      </c>
      <c r="D401" s="699"/>
      <c r="E401" s="699"/>
      <c r="F401" s="699"/>
      <c r="G401" s="693"/>
      <c r="H401" s="693"/>
      <c r="I401" s="693"/>
      <c r="J401" s="361"/>
      <c r="K401" s="361"/>
      <c r="L401" s="245" t="str">
        <f t="shared" si="5"/>
        <v>-</v>
      </c>
      <c r="M401" s="16" t="str">
        <f t="shared" si="8"/>
        <v/>
      </c>
    </row>
    <row r="402" spans="3:13" outlineLevel="1" x14ac:dyDescent="0.3">
      <c r="C402" s="324">
        <v>80</v>
      </c>
      <c r="D402" s="699"/>
      <c r="E402" s="699"/>
      <c r="F402" s="699"/>
      <c r="G402" s="693"/>
      <c r="H402" s="693"/>
      <c r="I402" s="693"/>
      <c r="J402" s="361"/>
      <c r="K402" s="361"/>
      <c r="L402" s="245" t="str">
        <f t="shared" si="5"/>
        <v>-</v>
      </c>
      <c r="M402" s="16" t="str">
        <f t="shared" si="8"/>
        <v/>
      </c>
    </row>
    <row r="403" spans="3:13" outlineLevel="1" x14ac:dyDescent="0.3">
      <c r="C403" s="324">
        <v>81</v>
      </c>
      <c r="D403" s="699"/>
      <c r="E403" s="699"/>
      <c r="F403" s="699"/>
      <c r="G403" s="693"/>
      <c r="H403" s="693"/>
      <c r="I403" s="693"/>
      <c r="J403" s="361"/>
      <c r="K403" s="361"/>
      <c r="L403" s="245" t="str">
        <f t="shared" si="5"/>
        <v>-</v>
      </c>
      <c r="M403" s="16" t="str">
        <f t="shared" si="8"/>
        <v/>
      </c>
    </row>
    <row r="404" spans="3:13" outlineLevel="1" x14ac:dyDescent="0.3">
      <c r="C404" s="324">
        <v>82</v>
      </c>
      <c r="D404" s="699"/>
      <c r="E404" s="699"/>
      <c r="F404" s="699"/>
      <c r="G404" s="693"/>
      <c r="H404" s="693"/>
      <c r="I404" s="693"/>
      <c r="J404" s="361"/>
      <c r="K404" s="361"/>
      <c r="L404" s="245" t="str">
        <f t="shared" si="5"/>
        <v>-</v>
      </c>
      <c r="M404" s="16" t="str">
        <f t="shared" si="8"/>
        <v/>
      </c>
    </row>
    <row r="405" spans="3:13" outlineLevel="1" x14ac:dyDescent="0.3">
      <c r="C405" s="324">
        <v>83</v>
      </c>
      <c r="D405" s="699"/>
      <c r="E405" s="699"/>
      <c r="F405" s="699"/>
      <c r="G405" s="693"/>
      <c r="H405" s="693"/>
      <c r="I405" s="693"/>
      <c r="J405" s="361"/>
      <c r="K405" s="361"/>
      <c r="L405" s="245" t="str">
        <f t="shared" si="5"/>
        <v>-</v>
      </c>
      <c r="M405" s="16" t="str">
        <f t="shared" si="8"/>
        <v/>
      </c>
    </row>
    <row r="406" spans="3:13" outlineLevel="1" x14ac:dyDescent="0.3">
      <c r="C406" s="324">
        <v>84</v>
      </c>
      <c r="D406" s="699"/>
      <c r="E406" s="699"/>
      <c r="F406" s="699"/>
      <c r="G406" s="693"/>
      <c r="H406" s="693"/>
      <c r="I406" s="693"/>
      <c r="J406" s="361"/>
      <c r="K406" s="361"/>
      <c r="L406" s="245" t="str">
        <f t="shared" si="5"/>
        <v>-</v>
      </c>
      <c r="M406" s="16" t="str">
        <f t="shared" si="8"/>
        <v/>
      </c>
    </row>
    <row r="407" spans="3:13" outlineLevel="1" x14ac:dyDescent="0.3">
      <c r="C407" s="324">
        <v>85</v>
      </c>
      <c r="D407" s="699"/>
      <c r="E407" s="699"/>
      <c r="F407" s="699"/>
      <c r="G407" s="693"/>
      <c r="H407" s="693"/>
      <c r="I407" s="693"/>
      <c r="J407" s="361"/>
      <c r="K407" s="361"/>
      <c r="L407" s="245" t="str">
        <f t="shared" si="5"/>
        <v>-</v>
      </c>
      <c r="M407" s="16" t="str">
        <f t="shared" si="8"/>
        <v/>
      </c>
    </row>
    <row r="408" spans="3:13" outlineLevel="1" x14ac:dyDescent="0.3">
      <c r="C408" s="324">
        <v>86</v>
      </c>
      <c r="D408" s="699"/>
      <c r="E408" s="699"/>
      <c r="F408" s="699"/>
      <c r="G408" s="693"/>
      <c r="H408" s="693"/>
      <c r="I408" s="693"/>
      <c r="J408" s="361"/>
      <c r="K408" s="361"/>
      <c r="L408" s="245" t="str">
        <f t="shared" si="5"/>
        <v>-</v>
      </c>
      <c r="M408" s="16" t="str">
        <f t="shared" si="8"/>
        <v/>
      </c>
    </row>
    <row r="409" spans="3:13" outlineLevel="1" x14ac:dyDescent="0.3">
      <c r="C409" s="324">
        <v>87</v>
      </c>
      <c r="D409" s="699"/>
      <c r="E409" s="699"/>
      <c r="F409" s="699"/>
      <c r="G409" s="693"/>
      <c r="H409" s="693"/>
      <c r="I409" s="693"/>
      <c r="J409" s="361"/>
      <c r="K409" s="361"/>
      <c r="L409" s="245" t="str">
        <f t="shared" si="5"/>
        <v>-</v>
      </c>
      <c r="M409" s="16" t="str">
        <f t="shared" si="8"/>
        <v/>
      </c>
    </row>
    <row r="410" spans="3:13" outlineLevel="1" x14ac:dyDescent="0.3">
      <c r="C410" s="324">
        <v>88</v>
      </c>
      <c r="D410" s="699"/>
      <c r="E410" s="699"/>
      <c r="F410" s="699"/>
      <c r="G410" s="693"/>
      <c r="H410" s="693"/>
      <c r="I410" s="693"/>
      <c r="J410" s="361"/>
      <c r="K410" s="361"/>
      <c r="L410" s="245" t="str">
        <f t="shared" si="5"/>
        <v>-</v>
      </c>
      <c r="M410" s="16" t="str">
        <f t="shared" si="8"/>
        <v/>
      </c>
    </row>
    <row r="411" spans="3:13" outlineLevel="1" x14ac:dyDescent="0.3">
      <c r="C411" s="324">
        <v>89</v>
      </c>
      <c r="D411" s="699"/>
      <c r="E411" s="699"/>
      <c r="F411" s="699"/>
      <c r="G411" s="693"/>
      <c r="H411" s="693"/>
      <c r="I411" s="693"/>
      <c r="J411" s="361"/>
      <c r="K411" s="361"/>
      <c r="L411" s="245" t="str">
        <f t="shared" si="5"/>
        <v>-</v>
      </c>
      <c r="M411" s="16" t="str">
        <f t="shared" si="8"/>
        <v/>
      </c>
    </row>
    <row r="412" spans="3:13" outlineLevel="1" x14ac:dyDescent="0.3">
      <c r="C412" s="324">
        <v>90</v>
      </c>
      <c r="D412" s="699"/>
      <c r="E412" s="699"/>
      <c r="F412" s="699"/>
      <c r="G412" s="693"/>
      <c r="H412" s="693"/>
      <c r="I412" s="693"/>
      <c r="J412" s="361"/>
      <c r="K412" s="361"/>
      <c r="L412" s="245" t="str">
        <f t="shared" si="5"/>
        <v>-</v>
      </c>
      <c r="M412" s="16" t="str">
        <f t="shared" si="8"/>
        <v/>
      </c>
    </row>
    <row r="413" spans="3:13" outlineLevel="1" x14ac:dyDescent="0.3">
      <c r="C413" s="324">
        <v>91</v>
      </c>
      <c r="D413" s="699"/>
      <c r="E413" s="699"/>
      <c r="F413" s="699"/>
      <c r="G413" s="693"/>
      <c r="H413" s="693"/>
      <c r="I413" s="693"/>
      <c r="J413" s="361"/>
      <c r="K413" s="361"/>
      <c r="L413" s="245" t="str">
        <f t="shared" si="5"/>
        <v>-</v>
      </c>
      <c r="M413" s="16" t="str">
        <f t="shared" si="8"/>
        <v/>
      </c>
    </row>
    <row r="414" spans="3:13" outlineLevel="1" x14ac:dyDescent="0.3">
      <c r="C414" s="324">
        <v>92</v>
      </c>
      <c r="D414" s="699"/>
      <c r="E414" s="699"/>
      <c r="F414" s="699"/>
      <c r="G414" s="693"/>
      <c r="H414" s="693"/>
      <c r="I414" s="693"/>
      <c r="J414" s="361"/>
      <c r="K414" s="361"/>
      <c r="L414" s="245" t="str">
        <f t="shared" si="5"/>
        <v>-</v>
      </c>
      <c r="M414" s="16" t="str">
        <f t="shared" si="8"/>
        <v/>
      </c>
    </row>
    <row r="415" spans="3:13" outlineLevel="1" x14ac:dyDescent="0.3">
      <c r="C415" s="324">
        <v>93</v>
      </c>
      <c r="D415" s="699"/>
      <c r="E415" s="699"/>
      <c r="F415" s="699"/>
      <c r="G415" s="693"/>
      <c r="H415" s="693"/>
      <c r="I415" s="693"/>
      <c r="J415" s="361"/>
      <c r="K415" s="361"/>
      <c r="L415" s="245" t="str">
        <f t="shared" si="5"/>
        <v>-</v>
      </c>
      <c r="M415" s="16" t="str">
        <f t="shared" si="8"/>
        <v/>
      </c>
    </row>
    <row r="416" spans="3:13" outlineLevel="1" x14ac:dyDescent="0.3">
      <c r="C416" s="324">
        <v>94</v>
      </c>
      <c r="D416" s="699"/>
      <c r="E416" s="699"/>
      <c r="F416" s="699"/>
      <c r="G416" s="693"/>
      <c r="H416" s="693"/>
      <c r="I416" s="693"/>
      <c r="J416" s="361"/>
      <c r="K416" s="361"/>
      <c r="L416" s="245" t="str">
        <f t="shared" si="5"/>
        <v>-</v>
      </c>
      <c r="M416" s="16" t="str">
        <f t="shared" si="8"/>
        <v/>
      </c>
    </row>
    <row r="417" spans="3:13" outlineLevel="1" x14ac:dyDescent="0.3">
      <c r="C417" s="324">
        <v>95</v>
      </c>
      <c r="D417" s="699"/>
      <c r="E417" s="699"/>
      <c r="F417" s="699"/>
      <c r="G417" s="693"/>
      <c r="H417" s="693"/>
      <c r="I417" s="693"/>
      <c r="J417" s="361"/>
      <c r="K417" s="361"/>
      <c r="L417" s="245" t="str">
        <f t="shared" si="5"/>
        <v>-</v>
      </c>
      <c r="M417" s="16" t="str">
        <f t="shared" si="8"/>
        <v/>
      </c>
    </row>
    <row r="418" spans="3:13" outlineLevel="1" x14ac:dyDescent="0.3">
      <c r="C418" s="324">
        <v>96</v>
      </c>
      <c r="D418" s="699"/>
      <c r="E418" s="699"/>
      <c r="F418" s="699"/>
      <c r="G418" s="693"/>
      <c r="H418" s="693"/>
      <c r="I418" s="693"/>
      <c r="J418" s="361"/>
      <c r="K418" s="361"/>
      <c r="L418" s="245" t="str">
        <f t="shared" si="5"/>
        <v>-</v>
      </c>
      <c r="M418" s="16" t="str">
        <f t="shared" si="8"/>
        <v/>
      </c>
    </row>
    <row r="419" spans="3:13" outlineLevel="1" x14ac:dyDescent="0.3">
      <c r="C419" s="324">
        <v>97</v>
      </c>
      <c r="D419" s="699"/>
      <c r="E419" s="699"/>
      <c r="F419" s="699"/>
      <c r="G419" s="693"/>
      <c r="H419" s="693"/>
      <c r="I419" s="693"/>
      <c r="J419" s="361"/>
      <c r="K419" s="361"/>
      <c r="L419" s="245" t="str">
        <f t="shared" si="5"/>
        <v>-</v>
      </c>
      <c r="M419" s="16" t="str">
        <f t="shared" si="8"/>
        <v/>
      </c>
    </row>
    <row r="420" spans="3:13" outlineLevel="1" x14ac:dyDescent="0.3">
      <c r="C420" s="324">
        <v>98</v>
      </c>
      <c r="D420" s="699"/>
      <c r="E420" s="699"/>
      <c r="F420" s="699"/>
      <c r="G420" s="693"/>
      <c r="H420" s="693"/>
      <c r="I420" s="693"/>
      <c r="J420" s="361"/>
      <c r="K420" s="361"/>
      <c r="L420" s="245" t="str">
        <f t="shared" si="5"/>
        <v>-</v>
      </c>
      <c r="M420" s="16" t="str">
        <f t="shared" si="8"/>
        <v/>
      </c>
    </row>
    <row r="421" spans="3:13" outlineLevel="1" x14ac:dyDescent="0.3">
      <c r="C421" s="324">
        <v>99</v>
      </c>
      <c r="D421" s="699"/>
      <c r="E421" s="699"/>
      <c r="F421" s="699"/>
      <c r="G421" s="693"/>
      <c r="H421" s="693"/>
      <c r="I421" s="693"/>
      <c r="J421" s="361"/>
      <c r="K421" s="361"/>
      <c r="L421" s="245" t="str">
        <f t="shared" si="5"/>
        <v>-</v>
      </c>
      <c r="M421" s="16" t="str">
        <f t="shared" si="8"/>
        <v/>
      </c>
    </row>
    <row r="422" spans="3:13" ht="15" outlineLevel="1" thickBot="1" x14ac:dyDescent="0.35">
      <c r="C422" s="324">
        <v>100</v>
      </c>
      <c r="D422" s="862"/>
      <c r="E422" s="862"/>
      <c r="F422" s="862"/>
      <c r="G422" s="864"/>
      <c r="H422" s="864"/>
      <c r="I422" s="864"/>
      <c r="J422" s="250"/>
      <c r="K422" s="250"/>
      <c r="L422" s="247" t="str">
        <f t="shared" si="5"/>
        <v>-</v>
      </c>
      <c r="M422" s="16" t="str">
        <f t="shared" si="8"/>
        <v/>
      </c>
    </row>
    <row r="423" spans="3:13" x14ac:dyDescent="0.3">
      <c r="C423" s="849" t="str">
        <f>template_label_total_amount_of_waste_generated</f>
        <v>Total amount of waste generated</v>
      </c>
      <c r="D423" s="893" t="str">
        <f>template_label_total_hazardous_waste_generated_mass</f>
        <v>Total Hazardous waste generated (mass)</v>
      </c>
      <c r="E423" s="893"/>
      <c r="F423" s="894"/>
      <c r="G423" s="889" t="s">
        <v>70</v>
      </c>
      <c r="H423" s="889"/>
      <c r="I423" s="890"/>
      <c r="J423" s="915">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v>
      </c>
      <c r="K423" s="915"/>
      <c r="L423" s="916"/>
      <c r="M423" s="16" t="str" cm="1">
        <f t="array" ref="M423">IF(G423="",
    IF(SUMPRODUCT(--((G323:G422="metric tonnes (t)")+(G323:G422="kilograms (kg)")))&gt;0,
        template_label_missing_value,
        ""
    ),
    IF(SUMPRODUCT(--((G323:G422="metric tonnes (t)")+(G323:G422="kilograms (kg)")))&gt;0,
        template_label_ok,
        ""
    )
)</f>
        <v>OK</v>
      </c>
    </row>
    <row r="424" spans="3:13" x14ac:dyDescent="0.3">
      <c r="C424" s="850"/>
      <c r="D424" s="696" t="str">
        <f>template_label_total_non_hazardous_waste_generated_mass</f>
        <v>Total Non-Hazardous waste generated (mass)</v>
      </c>
      <c r="E424" s="696"/>
      <c r="F424" s="697"/>
      <c r="G424" s="884" t="str">
        <f>IF($G$423="", "-", $G$423)</f>
        <v>metric tonnes (t)</v>
      </c>
      <c r="H424" s="884"/>
      <c r="I424" s="886"/>
      <c r="J424" s="817">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v>
      </c>
      <c r="K424" s="817"/>
      <c r="L424" s="883"/>
    </row>
    <row r="425" spans="3:13" ht="15" thickBot="1" x14ac:dyDescent="0.35">
      <c r="C425" s="850"/>
      <c r="D425" s="891" t="str">
        <f>template_label_total_waste_generated_mass</f>
        <v>Total waste generated (mass)</v>
      </c>
      <c r="E425" s="891"/>
      <c r="F425" s="892"/>
      <c r="G425" s="884" t="str">
        <f>IF($G$423="", "-", $G$423)</f>
        <v>metric tonnes (t)</v>
      </c>
      <c r="H425" s="885"/>
      <c r="I425" s="888"/>
      <c r="J425" s="716">
        <f>IF(AND(J423="-",J424="-"),"-",SUM(J423:L424))</f>
        <v>2851.2</v>
      </c>
      <c r="K425" s="716"/>
      <c r="L425" s="720"/>
    </row>
    <row r="426" spans="3:13" x14ac:dyDescent="0.3">
      <c r="C426" s="850"/>
      <c r="D426" s="694" t="str">
        <f>template_label_total_hazardous_waste_generated_volume</f>
        <v>Total Hazardous waste generated (volume)</v>
      </c>
      <c r="E426" s="694"/>
      <c r="F426" s="695"/>
      <c r="G426" s="698" t="str">
        <f>template_label_cubic_meters</f>
        <v>cubic meters (m³)</v>
      </c>
      <c r="H426" s="698"/>
      <c r="I426" s="698"/>
      <c r="J426" s="918">
        <f>IF(
    AND(
        COUNTA(D323:D422)=0,
        COUNTA(J323:J422)=0,
        COUNTA(K323:K422)=0
    ),
    "-",
    SUMIFS(L323:L422, D323:D422,"* Hazardous *", G323:G422,"*cubic meters (m3)*")
)</f>
        <v>100</v>
      </c>
      <c r="K426" s="918"/>
      <c r="L426" s="919"/>
    </row>
    <row r="427" spans="3:13" x14ac:dyDescent="0.3">
      <c r="C427" s="850"/>
      <c r="D427" s="696" t="str">
        <f>template_label_total_non_hazardous_waste_generated_volume</f>
        <v>Total Non-Hazardous waste generated (volume)</v>
      </c>
      <c r="E427" s="696"/>
      <c r="F427" s="697"/>
      <c r="G427" s="884" t="str">
        <f>template_label_cubic_meters</f>
        <v>cubic meters (m³)</v>
      </c>
      <c r="H427" s="884"/>
      <c r="I427" s="884"/>
      <c r="J427" s="817">
        <f>IF(
    AND(
        COUNTA(D323:D422)=0,
        COUNTA(J323:J422)=0,
        COUNTA(K323:K422)=0
    ),
    "-",
    SUMIFS(L323:L422, D323:D422,"*Non-Hazardous*", G323:G422,"*cubic meters (m3)*")
)</f>
        <v>5000</v>
      </c>
      <c r="K427" s="817"/>
      <c r="L427" s="883"/>
    </row>
    <row r="428" spans="3:13" ht="15" thickBot="1" x14ac:dyDescent="0.35">
      <c r="C428" s="851"/>
      <c r="D428" s="891" t="str">
        <f>template_label_total_waste_generated_volume</f>
        <v>Total waste generated (volume)</v>
      </c>
      <c r="E428" s="891"/>
      <c r="F428" s="892"/>
      <c r="G428" s="885" t="str">
        <f>template_label_cubic_meters</f>
        <v>cubic meters (m³)</v>
      </c>
      <c r="H428" s="885"/>
      <c r="I428" s="885"/>
      <c r="J428" s="716">
        <f>IF(AND(J426="-",J427="-"),"-",SUM(J426:L427))</f>
        <v>5100</v>
      </c>
      <c r="K428" s="716"/>
      <c r="L428" s="720"/>
    </row>
    <row r="429" spans="3:13" ht="15" thickBot="1" x14ac:dyDescent="0.35"/>
    <row r="430" spans="3:13" ht="15" thickBot="1" x14ac:dyDescent="0.35">
      <c r="C430" s="597"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2025-01-01 to 2025-12-31 [If applicable]</v>
      </c>
      <c r="D430" s="746"/>
      <c r="E430" s="746"/>
      <c r="F430" s="746"/>
      <c r="G430" s="746"/>
      <c r="H430" s="746"/>
      <c r="I430" s="746"/>
      <c r="J430" s="747"/>
    </row>
    <row r="431" spans="3:13" x14ac:dyDescent="0.3">
      <c r="C431" s="592" t="s">
        <v>78</v>
      </c>
      <c r="D431" s="608"/>
      <c r="E431" s="608"/>
      <c r="F431" s="608"/>
      <c r="G431" s="608"/>
      <c r="H431" s="608"/>
      <c r="I431" s="608"/>
      <c r="J431" s="609"/>
    </row>
    <row r="432" spans="3:13" x14ac:dyDescent="0.3">
      <c r="C432" s="626" t="s">
        <v>79</v>
      </c>
      <c r="D432" s="590"/>
      <c r="E432" s="590"/>
      <c r="F432" s="590"/>
      <c r="G432" s="590"/>
      <c r="H432" s="590"/>
      <c r="I432" s="590"/>
      <c r="J432" s="700"/>
      <c r="K432" s="11"/>
      <c r="L432" s="11"/>
    </row>
    <row r="433" spans="3:12" ht="30" customHeight="1" x14ac:dyDescent="0.3">
      <c r="C433" s="684" t="str">
        <f>template_label_does_the_undertaking_operate_in_a_sector_using_significant_material_flows</f>
        <v>Does the undertaking the undertaking operate in a sector using significant material flows (for example manufacturing construction packaging or others)?</v>
      </c>
      <c r="D433" s="911"/>
      <c r="E433" s="911"/>
      <c r="F433" s="912"/>
      <c r="G433" s="685" t="b">
        <v>1</v>
      </c>
      <c r="H433" s="913"/>
      <c r="I433" s="913"/>
      <c r="J433" s="914"/>
    </row>
    <row r="434" spans="3:12" ht="43.5" customHeight="1" x14ac:dyDescent="0.3">
      <c r="C434" s="127" t="str">
        <f>template_label_row_id</f>
        <v>Row ID</v>
      </c>
      <c r="D434" s="818" t="str">
        <f>template_label_name_of_the_key_material</f>
        <v>Name of the key material</v>
      </c>
      <c r="E434" s="818"/>
      <c r="F434" s="818"/>
      <c r="G434" s="818" t="str">
        <f>template_label_mass_volume</f>
        <v>Mass / Volume</v>
      </c>
      <c r="H434" s="818"/>
      <c r="I434" s="818"/>
      <c r="J434" s="101" t="str">
        <f>template_label_unit_of_measurement</f>
        <v>Unit of measurement</v>
      </c>
    </row>
    <row r="435" spans="3:12" x14ac:dyDescent="0.3">
      <c r="C435" s="207">
        <v>1</v>
      </c>
      <c r="D435" s="701" t="s">
        <v>80</v>
      </c>
      <c r="E435" s="701"/>
      <c r="F435" s="701"/>
      <c r="G435" s="689">
        <v>1500</v>
      </c>
      <c r="H435" s="689"/>
      <c r="I435" s="689"/>
      <c r="J435" s="130" t="s">
        <v>58</v>
      </c>
      <c r="K435" s="17" t="str">
        <f>IF(AND(G433=TRUE,D435&lt;&gt;"",G435&lt;&gt;"",J435&lt;&gt;""),
    template_label_ok,
    IF(AND(G433=TRUE,OR(D435="",G435="",J435="")),
        template_label_missing_value,
        ""
    )
)</f>
        <v>OK</v>
      </c>
    </row>
    <row r="436" spans="3:12" x14ac:dyDescent="0.3">
      <c r="C436" s="207">
        <v>2</v>
      </c>
      <c r="D436" s="804" t="s">
        <v>81</v>
      </c>
      <c r="E436" s="804"/>
      <c r="F436" s="804"/>
      <c r="G436" s="689">
        <v>800</v>
      </c>
      <c r="H436" s="689"/>
      <c r="I436" s="689"/>
      <c r="J436" s="130" t="s">
        <v>76</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207">
        <v>3</v>
      </c>
      <c r="D437" s="804"/>
      <c r="E437" s="804"/>
      <c r="F437" s="804"/>
      <c r="G437" s="689"/>
      <c r="H437" s="689"/>
      <c r="I437" s="689"/>
      <c r="J437" s="130"/>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07">
        <v>4</v>
      </c>
      <c r="D438" s="804"/>
      <c r="E438" s="804"/>
      <c r="F438" s="804"/>
      <c r="G438" s="689"/>
      <c r="H438" s="689"/>
      <c r="I438" s="689"/>
      <c r="J438" s="130"/>
      <c r="K438" s="17" t="str">
        <f t="shared" si="9"/>
        <v/>
      </c>
    </row>
    <row r="439" spans="3:12" hidden="1" outlineLevel="2" x14ac:dyDescent="0.3">
      <c r="C439" s="207">
        <v>5</v>
      </c>
      <c r="D439" s="804"/>
      <c r="E439" s="804"/>
      <c r="F439" s="804"/>
      <c r="G439" s="689"/>
      <c r="H439" s="689"/>
      <c r="I439" s="689"/>
      <c r="J439" s="130"/>
      <c r="K439" s="17" t="str">
        <f t="shared" si="9"/>
        <v/>
      </c>
    </row>
    <row r="440" spans="3:12" hidden="1" outlineLevel="2" x14ac:dyDescent="0.3">
      <c r="C440" s="207">
        <v>6</v>
      </c>
      <c r="D440" s="701"/>
      <c r="E440" s="701"/>
      <c r="F440" s="701"/>
      <c r="G440" s="689"/>
      <c r="H440" s="689"/>
      <c r="I440" s="689"/>
      <c r="J440" s="130"/>
      <c r="K440" s="17" t="str">
        <f t="shared" si="9"/>
        <v/>
      </c>
    </row>
    <row r="441" spans="3:12" hidden="1" outlineLevel="2" x14ac:dyDescent="0.3">
      <c r="C441" s="207">
        <v>7</v>
      </c>
      <c r="D441" s="701"/>
      <c r="E441" s="701"/>
      <c r="F441" s="701"/>
      <c r="G441" s="689"/>
      <c r="H441" s="689"/>
      <c r="I441" s="689"/>
      <c r="J441" s="130"/>
      <c r="K441" s="17" t="str">
        <f t="shared" si="9"/>
        <v/>
      </c>
    </row>
    <row r="442" spans="3:12" hidden="1" outlineLevel="2" x14ac:dyDescent="0.3">
      <c r="C442" s="207">
        <v>8</v>
      </c>
      <c r="D442" s="701"/>
      <c r="E442" s="701"/>
      <c r="F442" s="701"/>
      <c r="G442" s="689"/>
      <c r="H442" s="689"/>
      <c r="I442" s="689"/>
      <c r="J442" s="130"/>
      <c r="K442" s="17" t="str">
        <f t="shared" si="9"/>
        <v/>
      </c>
    </row>
    <row r="443" spans="3:12" hidden="1" outlineLevel="2" x14ac:dyDescent="0.3">
      <c r="C443" s="207">
        <v>9</v>
      </c>
      <c r="D443" s="701"/>
      <c r="E443" s="701"/>
      <c r="F443" s="701"/>
      <c r="G443" s="689"/>
      <c r="H443" s="689"/>
      <c r="I443" s="689"/>
      <c r="J443" s="130"/>
      <c r="K443" s="17" t="str">
        <f t="shared" si="9"/>
        <v/>
      </c>
    </row>
    <row r="444" spans="3:12" hidden="1" outlineLevel="2" x14ac:dyDescent="0.3">
      <c r="C444" s="207">
        <v>10</v>
      </c>
      <c r="D444" s="701"/>
      <c r="E444" s="701"/>
      <c r="F444" s="701"/>
      <c r="G444" s="689"/>
      <c r="H444" s="689"/>
      <c r="I444" s="689"/>
      <c r="J444" s="130"/>
      <c r="K444" s="17" t="str">
        <f t="shared" si="9"/>
        <v/>
      </c>
    </row>
    <row r="445" spans="3:12" hidden="1" outlineLevel="2" x14ac:dyDescent="0.3">
      <c r="C445" s="207">
        <v>11</v>
      </c>
      <c r="D445" s="690"/>
      <c r="E445" s="691"/>
      <c r="F445" s="692"/>
      <c r="G445" s="689"/>
      <c r="H445" s="689"/>
      <c r="I445" s="689"/>
      <c r="J445" s="130"/>
      <c r="K445" s="17" t="str">
        <f t="shared" si="9"/>
        <v/>
      </c>
    </row>
    <row r="446" spans="3:12" hidden="1" outlineLevel="2" x14ac:dyDescent="0.3">
      <c r="C446" s="207">
        <v>12</v>
      </c>
      <c r="D446" s="690"/>
      <c r="E446" s="691"/>
      <c r="F446" s="692"/>
      <c r="G446" s="689"/>
      <c r="H446" s="689"/>
      <c r="I446" s="689"/>
      <c r="J446" s="130"/>
      <c r="K446" s="17" t="str">
        <f t="shared" si="9"/>
        <v/>
      </c>
    </row>
    <row r="447" spans="3:12" hidden="1" outlineLevel="2" x14ac:dyDescent="0.3">
      <c r="C447" s="207">
        <v>13</v>
      </c>
      <c r="D447" s="690"/>
      <c r="E447" s="691"/>
      <c r="F447" s="692"/>
      <c r="G447" s="689"/>
      <c r="H447" s="689"/>
      <c r="I447" s="689"/>
      <c r="J447" s="130"/>
      <c r="K447" s="17" t="str">
        <f t="shared" si="9"/>
        <v/>
      </c>
    </row>
    <row r="448" spans="3:12" hidden="1" outlineLevel="2" x14ac:dyDescent="0.3">
      <c r="C448" s="207">
        <v>14</v>
      </c>
      <c r="D448" s="690"/>
      <c r="E448" s="691"/>
      <c r="F448" s="692"/>
      <c r="G448" s="689"/>
      <c r="H448" s="689"/>
      <c r="I448" s="689"/>
      <c r="J448" s="130"/>
      <c r="K448" s="17" t="str">
        <f t="shared" si="9"/>
        <v/>
      </c>
    </row>
    <row r="449" spans="3:11" hidden="1" outlineLevel="2" x14ac:dyDescent="0.3">
      <c r="C449" s="207">
        <v>15</v>
      </c>
      <c r="D449" s="690"/>
      <c r="E449" s="691"/>
      <c r="F449" s="692"/>
      <c r="G449" s="689"/>
      <c r="H449" s="689"/>
      <c r="I449" s="689"/>
      <c r="J449" s="130"/>
      <c r="K449" s="17" t="str">
        <f t="shared" si="9"/>
        <v/>
      </c>
    </row>
    <row r="450" spans="3:11" hidden="1" outlineLevel="2" x14ac:dyDescent="0.3">
      <c r="C450" s="207">
        <v>16</v>
      </c>
      <c r="D450" s="690"/>
      <c r="E450" s="691"/>
      <c r="F450" s="692"/>
      <c r="G450" s="689"/>
      <c r="H450" s="689"/>
      <c r="I450" s="689"/>
      <c r="J450" s="130"/>
      <c r="K450" s="17" t="str">
        <f t="shared" si="9"/>
        <v/>
      </c>
    </row>
    <row r="451" spans="3:11" hidden="1" outlineLevel="2" x14ac:dyDescent="0.3">
      <c r="C451" s="207">
        <v>17</v>
      </c>
      <c r="D451" s="690"/>
      <c r="E451" s="691"/>
      <c r="F451" s="692"/>
      <c r="G451" s="689"/>
      <c r="H451" s="689"/>
      <c r="I451" s="689"/>
      <c r="J451" s="130"/>
      <c r="K451" s="17" t="str">
        <f t="shared" si="9"/>
        <v/>
      </c>
    </row>
    <row r="452" spans="3:11" hidden="1" outlineLevel="2" x14ac:dyDescent="0.3">
      <c r="C452" s="207">
        <v>18</v>
      </c>
      <c r="D452" s="690"/>
      <c r="E452" s="691"/>
      <c r="F452" s="692"/>
      <c r="G452" s="689"/>
      <c r="H452" s="689"/>
      <c r="I452" s="689"/>
      <c r="J452" s="130"/>
      <c r="K452" s="17" t="str">
        <f t="shared" si="9"/>
        <v/>
      </c>
    </row>
    <row r="453" spans="3:11" hidden="1" outlineLevel="2" x14ac:dyDescent="0.3">
      <c r="C453" s="207">
        <v>19</v>
      </c>
      <c r="D453" s="690"/>
      <c r="E453" s="691"/>
      <c r="F453" s="692"/>
      <c r="G453" s="689"/>
      <c r="H453" s="689"/>
      <c r="I453" s="689"/>
      <c r="J453" s="130"/>
      <c r="K453" s="17" t="str">
        <f t="shared" si="9"/>
        <v/>
      </c>
    </row>
    <row r="454" spans="3:11" hidden="1" outlineLevel="2" x14ac:dyDescent="0.3">
      <c r="C454" s="207">
        <v>20</v>
      </c>
      <c r="D454" s="690"/>
      <c r="E454" s="691"/>
      <c r="F454" s="692"/>
      <c r="G454" s="689"/>
      <c r="H454" s="689"/>
      <c r="I454" s="689"/>
      <c r="J454" s="130"/>
      <c r="K454" s="17" t="str">
        <f t="shared" si="9"/>
        <v/>
      </c>
    </row>
    <row r="455" spans="3:11" hidden="1" outlineLevel="2" x14ac:dyDescent="0.3">
      <c r="C455" s="207">
        <v>21</v>
      </c>
      <c r="D455" s="690"/>
      <c r="E455" s="691"/>
      <c r="F455" s="692"/>
      <c r="G455" s="689"/>
      <c r="H455" s="689"/>
      <c r="I455" s="689"/>
      <c r="J455" s="130"/>
      <c r="K455" s="17" t="str">
        <f t="shared" si="9"/>
        <v/>
      </c>
    </row>
    <row r="456" spans="3:11" hidden="1" outlineLevel="2" x14ac:dyDescent="0.3">
      <c r="C456" s="207">
        <v>22</v>
      </c>
      <c r="D456" s="690"/>
      <c r="E456" s="691"/>
      <c r="F456" s="692"/>
      <c r="G456" s="689"/>
      <c r="H456" s="689"/>
      <c r="I456" s="689"/>
      <c r="J456" s="130"/>
      <c r="K456" s="17" t="str">
        <f t="shared" si="9"/>
        <v/>
      </c>
    </row>
    <row r="457" spans="3:11" hidden="1" outlineLevel="2" x14ac:dyDescent="0.3">
      <c r="C457" s="207">
        <v>23</v>
      </c>
      <c r="D457" s="690"/>
      <c r="E457" s="691"/>
      <c r="F457" s="692"/>
      <c r="G457" s="689"/>
      <c r="H457" s="689"/>
      <c r="I457" s="689"/>
      <c r="J457" s="130"/>
      <c r="K457" s="17" t="str">
        <f t="shared" si="9"/>
        <v/>
      </c>
    </row>
    <row r="458" spans="3:11" hidden="1" outlineLevel="2" x14ac:dyDescent="0.3">
      <c r="C458" s="207">
        <v>24</v>
      </c>
      <c r="D458" s="690"/>
      <c r="E458" s="691"/>
      <c r="F458" s="692"/>
      <c r="G458" s="689"/>
      <c r="H458" s="689"/>
      <c r="I458" s="689"/>
      <c r="J458" s="130"/>
      <c r="K458" s="17" t="str">
        <f t="shared" si="9"/>
        <v/>
      </c>
    </row>
    <row r="459" spans="3:11" hidden="1" outlineLevel="2" x14ac:dyDescent="0.3">
      <c r="C459" s="207">
        <v>25</v>
      </c>
      <c r="D459" s="690"/>
      <c r="E459" s="691"/>
      <c r="F459" s="692"/>
      <c r="G459" s="689"/>
      <c r="H459" s="689"/>
      <c r="I459" s="689"/>
      <c r="J459" s="130"/>
      <c r="K459" s="17" t="str">
        <f t="shared" si="9"/>
        <v/>
      </c>
    </row>
    <row r="460" spans="3:11" hidden="1" outlineLevel="2" x14ac:dyDescent="0.3">
      <c r="C460" s="207">
        <v>26</v>
      </c>
      <c r="D460" s="690"/>
      <c r="E460" s="691"/>
      <c r="F460" s="692"/>
      <c r="G460" s="689"/>
      <c r="H460" s="689"/>
      <c r="I460" s="689"/>
      <c r="J460" s="130"/>
      <c r="K460" s="17" t="str">
        <f t="shared" si="9"/>
        <v/>
      </c>
    </row>
    <row r="461" spans="3:11" hidden="1" outlineLevel="2" x14ac:dyDescent="0.3">
      <c r="C461" s="207">
        <v>27</v>
      </c>
      <c r="D461" s="690"/>
      <c r="E461" s="691"/>
      <c r="F461" s="692"/>
      <c r="G461" s="689"/>
      <c r="H461" s="689"/>
      <c r="I461" s="689"/>
      <c r="J461" s="130"/>
      <c r="K461" s="17" t="str">
        <f t="shared" si="9"/>
        <v/>
      </c>
    </row>
    <row r="462" spans="3:11" hidden="1" outlineLevel="2" x14ac:dyDescent="0.3">
      <c r="C462" s="207">
        <v>28</v>
      </c>
      <c r="D462" s="690"/>
      <c r="E462" s="691"/>
      <c r="F462" s="692"/>
      <c r="G462" s="689"/>
      <c r="H462" s="689"/>
      <c r="I462" s="689"/>
      <c r="J462" s="130"/>
      <c r="K462" s="17" t="str">
        <f t="shared" si="9"/>
        <v/>
      </c>
    </row>
    <row r="463" spans="3:11" hidden="1" outlineLevel="2" x14ac:dyDescent="0.3">
      <c r="C463" s="207">
        <v>29</v>
      </c>
      <c r="D463" s="690"/>
      <c r="E463" s="691"/>
      <c r="F463" s="692"/>
      <c r="G463" s="689"/>
      <c r="H463" s="689"/>
      <c r="I463" s="689"/>
      <c r="J463" s="130"/>
      <c r="K463" s="17" t="str">
        <f t="shared" si="9"/>
        <v/>
      </c>
    </row>
    <row r="464" spans="3:11" hidden="1" outlineLevel="2" x14ac:dyDescent="0.3">
      <c r="C464" s="207">
        <v>30</v>
      </c>
      <c r="D464" s="690"/>
      <c r="E464" s="691"/>
      <c r="F464" s="692"/>
      <c r="G464" s="689"/>
      <c r="H464" s="689"/>
      <c r="I464" s="689"/>
      <c r="J464" s="130"/>
      <c r="K464" s="17" t="str">
        <f t="shared" si="9"/>
        <v/>
      </c>
    </row>
    <row r="465" spans="3:11" hidden="1" outlineLevel="2" x14ac:dyDescent="0.3">
      <c r="C465" s="207">
        <v>31</v>
      </c>
      <c r="D465" s="690"/>
      <c r="E465" s="691"/>
      <c r="F465" s="692"/>
      <c r="G465" s="689"/>
      <c r="H465" s="689"/>
      <c r="I465" s="689"/>
      <c r="J465" s="130"/>
      <c r="K465" s="17" t="str">
        <f t="shared" si="9"/>
        <v/>
      </c>
    </row>
    <row r="466" spans="3:11" hidden="1" outlineLevel="2" x14ac:dyDescent="0.3">
      <c r="C466" s="207">
        <v>32</v>
      </c>
      <c r="D466" s="690"/>
      <c r="E466" s="691"/>
      <c r="F466" s="692"/>
      <c r="G466" s="689"/>
      <c r="H466" s="689"/>
      <c r="I466" s="689"/>
      <c r="J466" s="130"/>
      <c r="K466" s="17" t="str">
        <f t="shared" si="9"/>
        <v/>
      </c>
    </row>
    <row r="467" spans="3:11" hidden="1" outlineLevel="2" x14ac:dyDescent="0.3">
      <c r="C467" s="207">
        <v>33</v>
      </c>
      <c r="D467" s="690"/>
      <c r="E467" s="691"/>
      <c r="F467" s="692"/>
      <c r="G467" s="689"/>
      <c r="H467" s="689"/>
      <c r="I467" s="689"/>
      <c r="J467" s="130"/>
      <c r="K467" s="17" t="str">
        <f t="shared" si="9"/>
        <v/>
      </c>
    </row>
    <row r="468" spans="3:11" hidden="1" outlineLevel="2" x14ac:dyDescent="0.3">
      <c r="C468" s="207">
        <v>34</v>
      </c>
      <c r="D468" s="690"/>
      <c r="E468" s="691"/>
      <c r="F468" s="692"/>
      <c r="G468" s="689"/>
      <c r="H468" s="689"/>
      <c r="I468" s="689"/>
      <c r="J468" s="130"/>
      <c r="K468" s="17" t="str">
        <f t="shared" si="9"/>
        <v/>
      </c>
    </row>
    <row r="469" spans="3:11" hidden="1" outlineLevel="2" x14ac:dyDescent="0.3">
      <c r="C469" s="207">
        <v>35</v>
      </c>
      <c r="D469" s="690"/>
      <c r="E469" s="691"/>
      <c r="F469" s="692"/>
      <c r="G469" s="689"/>
      <c r="H469" s="689"/>
      <c r="I469" s="689"/>
      <c r="J469" s="130"/>
      <c r="K469" s="17" t="str">
        <f t="shared" si="9"/>
        <v/>
      </c>
    </row>
    <row r="470" spans="3:11" hidden="1" outlineLevel="2" x14ac:dyDescent="0.3">
      <c r="C470" s="207">
        <v>36</v>
      </c>
      <c r="D470" s="690"/>
      <c r="E470" s="691"/>
      <c r="F470" s="692"/>
      <c r="G470" s="689"/>
      <c r="H470" s="689"/>
      <c r="I470" s="689"/>
      <c r="J470" s="130"/>
      <c r="K470" s="17" t="str">
        <f t="shared" si="9"/>
        <v/>
      </c>
    </row>
    <row r="471" spans="3:11" hidden="1" outlineLevel="2" x14ac:dyDescent="0.3">
      <c r="C471" s="207">
        <v>37</v>
      </c>
      <c r="D471" s="690"/>
      <c r="E471" s="691"/>
      <c r="F471" s="692"/>
      <c r="G471" s="689"/>
      <c r="H471" s="689"/>
      <c r="I471" s="689"/>
      <c r="J471" s="130"/>
      <c r="K471" s="17" t="str">
        <f t="shared" si="9"/>
        <v/>
      </c>
    </row>
    <row r="472" spans="3:11" hidden="1" outlineLevel="2" x14ac:dyDescent="0.3">
      <c r="C472" s="207">
        <v>38</v>
      </c>
      <c r="D472" s="690"/>
      <c r="E472" s="691"/>
      <c r="F472" s="692"/>
      <c r="G472" s="689"/>
      <c r="H472" s="689"/>
      <c r="I472" s="689"/>
      <c r="J472" s="130"/>
      <c r="K472" s="17" t="str">
        <f t="shared" si="9"/>
        <v/>
      </c>
    </row>
    <row r="473" spans="3:11" hidden="1" outlineLevel="2" x14ac:dyDescent="0.3">
      <c r="C473" s="207">
        <v>39</v>
      </c>
      <c r="D473" s="690"/>
      <c r="E473" s="691"/>
      <c r="F473" s="692"/>
      <c r="G473" s="689"/>
      <c r="H473" s="689"/>
      <c r="I473" s="689"/>
      <c r="J473" s="130"/>
      <c r="K473" s="17" t="str">
        <f t="shared" si="9"/>
        <v/>
      </c>
    </row>
    <row r="474" spans="3:11" hidden="1" outlineLevel="2" x14ac:dyDescent="0.3">
      <c r="C474" s="207">
        <v>40</v>
      </c>
      <c r="D474" s="690"/>
      <c r="E474" s="691"/>
      <c r="F474" s="692"/>
      <c r="G474" s="689"/>
      <c r="H474" s="689"/>
      <c r="I474" s="689"/>
      <c r="J474" s="130"/>
      <c r="K474" s="17" t="str">
        <f t="shared" si="9"/>
        <v/>
      </c>
    </row>
    <row r="475" spans="3:11" hidden="1" outlineLevel="2" x14ac:dyDescent="0.3">
      <c r="C475" s="207">
        <v>41</v>
      </c>
      <c r="D475" s="690"/>
      <c r="E475" s="691"/>
      <c r="F475" s="692"/>
      <c r="G475" s="689"/>
      <c r="H475" s="689"/>
      <c r="I475" s="689"/>
      <c r="J475" s="130"/>
      <c r="K475" s="17" t="str">
        <f t="shared" si="9"/>
        <v/>
      </c>
    </row>
    <row r="476" spans="3:11" hidden="1" outlineLevel="2" x14ac:dyDescent="0.3">
      <c r="C476" s="207">
        <v>42</v>
      </c>
      <c r="D476" s="690"/>
      <c r="E476" s="691"/>
      <c r="F476" s="692"/>
      <c r="G476" s="689"/>
      <c r="H476" s="689"/>
      <c r="I476" s="689"/>
      <c r="J476" s="130"/>
      <c r="K476" s="17" t="str">
        <f t="shared" si="9"/>
        <v/>
      </c>
    </row>
    <row r="477" spans="3:11" hidden="1" outlineLevel="2" x14ac:dyDescent="0.3">
      <c r="C477" s="207">
        <v>43</v>
      </c>
      <c r="D477" s="690"/>
      <c r="E477" s="691"/>
      <c r="F477" s="692"/>
      <c r="G477" s="689"/>
      <c r="H477" s="689"/>
      <c r="I477" s="689"/>
      <c r="J477" s="130"/>
      <c r="K477" s="17" t="str">
        <f t="shared" si="9"/>
        <v/>
      </c>
    </row>
    <row r="478" spans="3:11" hidden="1" outlineLevel="2" x14ac:dyDescent="0.3">
      <c r="C478" s="207">
        <v>44</v>
      </c>
      <c r="D478" s="690"/>
      <c r="E478" s="691"/>
      <c r="F478" s="692"/>
      <c r="G478" s="689"/>
      <c r="H478" s="689"/>
      <c r="I478" s="689"/>
      <c r="J478" s="130"/>
      <c r="K478" s="17" t="str">
        <f t="shared" si="9"/>
        <v/>
      </c>
    </row>
    <row r="479" spans="3:11" hidden="1" outlineLevel="2" x14ac:dyDescent="0.3">
      <c r="C479" s="207">
        <v>45</v>
      </c>
      <c r="D479" s="690"/>
      <c r="E479" s="691"/>
      <c r="F479" s="692"/>
      <c r="G479" s="689"/>
      <c r="H479" s="689"/>
      <c r="I479" s="689"/>
      <c r="J479" s="130"/>
      <c r="K479" s="17" t="str">
        <f t="shared" si="9"/>
        <v/>
      </c>
    </row>
    <row r="480" spans="3:11" hidden="1" outlineLevel="2" x14ac:dyDescent="0.3">
      <c r="C480" s="207">
        <v>46</v>
      </c>
      <c r="D480" s="690"/>
      <c r="E480" s="691"/>
      <c r="F480" s="692"/>
      <c r="G480" s="689"/>
      <c r="H480" s="689"/>
      <c r="I480" s="689"/>
      <c r="J480" s="130"/>
      <c r="K480" s="17" t="str">
        <f t="shared" si="9"/>
        <v/>
      </c>
    </row>
    <row r="481" spans="3:11" hidden="1" outlineLevel="2" x14ac:dyDescent="0.3">
      <c r="C481" s="207">
        <v>47</v>
      </c>
      <c r="D481" s="690"/>
      <c r="E481" s="691"/>
      <c r="F481" s="692"/>
      <c r="G481" s="689"/>
      <c r="H481" s="689"/>
      <c r="I481" s="689"/>
      <c r="J481" s="130"/>
      <c r="K481" s="17" t="str">
        <f t="shared" si="9"/>
        <v/>
      </c>
    </row>
    <row r="482" spans="3:11" hidden="1" outlineLevel="2" x14ac:dyDescent="0.3">
      <c r="C482" s="207">
        <v>48</v>
      </c>
      <c r="D482" s="690"/>
      <c r="E482" s="691"/>
      <c r="F482" s="692"/>
      <c r="G482" s="689"/>
      <c r="H482" s="689"/>
      <c r="I482" s="689"/>
      <c r="J482" s="130"/>
      <c r="K482" s="17" t="str">
        <f t="shared" si="9"/>
        <v/>
      </c>
    </row>
    <row r="483" spans="3:11" hidden="1" outlineLevel="2" x14ac:dyDescent="0.3">
      <c r="C483" s="207">
        <v>49</v>
      </c>
      <c r="D483" s="690"/>
      <c r="E483" s="691"/>
      <c r="F483" s="692"/>
      <c r="G483" s="689"/>
      <c r="H483" s="689"/>
      <c r="I483" s="689"/>
      <c r="J483" s="130"/>
      <c r="K483" s="17" t="str">
        <f t="shared" si="9"/>
        <v/>
      </c>
    </row>
    <row r="484" spans="3:11" hidden="1" outlineLevel="2" x14ac:dyDescent="0.3">
      <c r="C484" s="207">
        <v>50</v>
      </c>
      <c r="D484" s="690"/>
      <c r="E484" s="691"/>
      <c r="F484" s="692"/>
      <c r="G484" s="689"/>
      <c r="H484" s="689"/>
      <c r="I484" s="689"/>
      <c r="J484" s="130"/>
      <c r="K484" s="17" t="str">
        <f t="shared" si="9"/>
        <v/>
      </c>
    </row>
    <row r="485" spans="3:11" hidden="1" outlineLevel="2" x14ac:dyDescent="0.3">
      <c r="C485" s="207">
        <v>51</v>
      </c>
      <c r="D485" s="690"/>
      <c r="E485" s="691"/>
      <c r="F485" s="692"/>
      <c r="G485" s="689"/>
      <c r="H485" s="689"/>
      <c r="I485" s="689"/>
      <c r="J485" s="130"/>
      <c r="K485" s="17" t="str">
        <f t="shared" si="9"/>
        <v/>
      </c>
    </row>
    <row r="486" spans="3:11" hidden="1" outlineLevel="2" x14ac:dyDescent="0.3">
      <c r="C486" s="207">
        <v>52</v>
      </c>
      <c r="D486" s="690"/>
      <c r="E486" s="691"/>
      <c r="F486" s="692"/>
      <c r="G486" s="689"/>
      <c r="H486" s="689"/>
      <c r="I486" s="689"/>
      <c r="J486" s="130"/>
      <c r="K486" s="17" t="str">
        <f t="shared" si="9"/>
        <v/>
      </c>
    </row>
    <row r="487" spans="3:11" hidden="1" outlineLevel="2" x14ac:dyDescent="0.3">
      <c r="C487" s="207">
        <v>53</v>
      </c>
      <c r="D487" s="690"/>
      <c r="E487" s="691"/>
      <c r="F487" s="692"/>
      <c r="G487" s="689"/>
      <c r="H487" s="689"/>
      <c r="I487" s="689"/>
      <c r="J487" s="130"/>
      <c r="K487" s="17" t="str">
        <f t="shared" si="9"/>
        <v/>
      </c>
    </row>
    <row r="488" spans="3:11" hidden="1" outlineLevel="2" x14ac:dyDescent="0.3">
      <c r="C488" s="207">
        <v>54</v>
      </c>
      <c r="D488" s="690"/>
      <c r="E488" s="691"/>
      <c r="F488" s="692"/>
      <c r="G488" s="689"/>
      <c r="H488" s="689"/>
      <c r="I488" s="689"/>
      <c r="J488" s="130"/>
      <c r="K488" s="17" t="str">
        <f t="shared" si="9"/>
        <v/>
      </c>
    </row>
    <row r="489" spans="3:11" hidden="1" outlineLevel="2" x14ac:dyDescent="0.3">
      <c r="C489" s="207">
        <v>55</v>
      </c>
      <c r="D489" s="690"/>
      <c r="E489" s="691"/>
      <c r="F489" s="692"/>
      <c r="G489" s="689"/>
      <c r="H489" s="689"/>
      <c r="I489" s="689"/>
      <c r="J489" s="130"/>
      <c r="K489" s="17" t="str">
        <f t="shared" si="9"/>
        <v/>
      </c>
    </row>
    <row r="490" spans="3:11" hidden="1" outlineLevel="2" x14ac:dyDescent="0.3">
      <c r="C490" s="207">
        <v>56</v>
      </c>
      <c r="D490" s="690"/>
      <c r="E490" s="691"/>
      <c r="F490" s="692"/>
      <c r="G490" s="689"/>
      <c r="H490" s="689"/>
      <c r="I490" s="689"/>
      <c r="J490" s="130"/>
      <c r="K490" s="17" t="str">
        <f t="shared" si="9"/>
        <v/>
      </c>
    </row>
    <row r="491" spans="3:11" hidden="1" outlineLevel="2" x14ac:dyDescent="0.3">
      <c r="C491" s="207">
        <v>57</v>
      </c>
      <c r="D491" s="690"/>
      <c r="E491" s="691"/>
      <c r="F491" s="692"/>
      <c r="G491" s="689"/>
      <c r="H491" s="689"/>
      <c r="I491" s="689"/>
      <c r="J491" s="130"/>
      <c r="K491" s="17" t="str">
        <f t="shared" si="9"/>
        <v/>
      </c>
    </row>
    <row r="492" spans="3:11" hidden="1" outlineLevel="2" x14ac:dyDescent="0.3">
      <c r="C492" s="207">
        <v>58</v>
      </c>
      <c r="D492" s="690"/>
      <c r="E492" s="691"/>
      <c r="F492" s="692"/>
      <c r="G492" s="689"/>
      <c r="H492" s="689"/>
      <c r="I492" s="689"/>
      <c r="J492" s="130"/>
      <c r="K492" s="17" t="str">
        <f t="shared" si="9"/>
        <v/>
      </c>
    </row>
    <row r="493" spans="3:11" hidden="1" outlineLevel="2" x14ac:dyDescent="0.3">
      <c r="C493" s="207">
        <v>59</v>
      </c>
      <c r="D493" s="690"/>
      <c r="E493" s="691"/>
      <c r="F493" s="692"/>
      <c r="G493" s="689"/>
      <c r="H493" s="689"/>
      <c r="I493" s="689"/>
      <c r="J493" s="130"/>
      <c r="K493" s="17" t="str">
        <f t="shared" si="9"/>
        <v/>
      </c>
    </row>
    <row r="494" spans="3:11" hidden="1" outlineLevel="2" x14ac:dyDescent="0.3">
      <c r="C494" s="207">
        <v>60</v>
      </c>
      <c r="D494" s="690"/>
      <c r="E494" s="691"/>
      <c r="F494" s="692"/>
      <c r="G494" s="689"/>
      <c r="H494" s="689"/>
      <c r="I494" s="689"/>
      <c r="J494" s="130"/>
      <c r="K494" s="17" t="str">
        <f t="shared" si="9"/>
        <v/>
      </c>
    </row>
    <row r="495" spans="3:11" hidden="1" outlineLevel="2" x14ac:dyDescent="0.3">
      <c r="C495" s="207">
        <v>61</v>
      </c>
      <c r="D495" s="690"/>
      <c r="E495" s="691"/>
      <c r="F495" s="692"/>
      <c r="G495" s="689"/>
      <c r="H495" s="689"/>
      <c r="I495" s="689"/>
      <c r="J495" s="130"/>
      <c r="K495" s="17" t="str">
        <f t="shared" si="9"/>
        <v/>
      </c>
    </row>
    <row r="496" spans="3:11" hidden="1" outlineLevel="2" x14ac:dyDescent="0.3">
      <c r="C496" s="207">
        <v>62</v>
      </c>
      <c r="D496" s="690"/>
      <c r="E496" s="691"/>
      <c r="F496" s="692"/>
      <c r="G496" s="689"/>
      <c r="H496" s="689"/>
      <c r="I496" s="689"/>
      <c r="J496" s="130"/>
      <c r="K496" s="17" t="str">
        <f t="shared" si="9"/>
        <v/>
      </c>
    </row>
    <row r="497" spans="3:11" hidden="1" outlineLevel="2" x14ac:dyDescent="0.3">
      <c r="C497" s="207">
        <v>63</v>
      </c>
      <c r="D497" s="690"/>
      <c r="E497" s="691"/>
      <c r="F497" s="692"/>
      <c r="G497" s="689"/>
      <c r="H497" s="689"/>
      <c r="I497" s="689"/>
      <c r="J497" s="130"/>
      <c r="K497" s="17" t="str">
        <f t="shared" si="9"/>
        <v/>
      </c>
    </row>
    <row r="498" spans="3:11" hidden="1" outlineLevel="2" x14ac:dyDescent="0.3">
      <c r="C498" s="207">
        <v>64</v>
      </c>
      <c r="D498" s="690"/>
      <c r="E498" s="691"/>
      <c r="F498" s="692"/>
      <c r="G498" s="689"/>
      <c r="H498" s="689"/>
      <c r="I498" s="689"/>
      <c r="J498" s="130"/>
      <c r="K498" s="17" t="str">
        <f t="shared" si="9"/>
        <v/>
      </c>
    </row>
    <row r="499" spans="3:11" hidden="1" outlineLevel="2" x14ac:dyDescent="0.3">
      <c r="C499" s="207">
        <v>65</v>
      </c>
      <c r="D499" s="690"/>
      <c r="E499" s="691"/>
      <c r="F499" s="692"/>
      <c r="G499" s="689"/>
      <c r="H499" s="689"/>
      <c r="I499" s="689"/>
      <c r="J499" s="130"/>
      <c r="K499" s="17" t="str">
        <f t="shared" si="9"/>
        <v/>
      </c>
    </row>
    <row r="500" spans="3:11" hidden="1" outlineLevel="2" x14ac:dyDescent="0.3">
      <c r="C500" s="207">
        <v>66</v>
      </c>
      <c r="D500" s="690"/>
      <c r="E500" s="691"/>
      <c r="F500" s="692"/>
      <c r="G500" s="689"/>
      <c r="H500" s="689"/>
      <c r="I500" s="689"/>
      <c r="J500" s="130"/>
      <c r="K500" s="17" t="str">
        <f t="shared" si="9"/>
        <v/>
      </c>
    </row>
    <row r="501" spans="3:11" hidden="1" outlineLevel="2" x14ac:dyDescent="0.3">
      <c r="C501" s="207">
        <v>67</v>
      </c>
      <c r="D501" s="690"/>
      <c r="E501" s="691"/>
      <c r="F501" s="692"/>
      <c r="G501" s="689"/>
      <c r="H501" s="689"/>
      <c r="I501" s="689"/>
      <c r="J501" s="130"/>
      <c r="K501" s="17" t="str">
        <f t="shared" si="9"/>
        <v/>
      </c>
    </row>
    <row r="502" spans="3:11" hidden="1" outlineLevel="2" x14ac:dyDescent="0.3">
      <c r="C502" s="207">
        <v>68</v>
      </c>
      <c r="D502" s="690"/>
      <c r="E502" s="691"/>
      <c r="F502" s="692"/>
      <c r="G502" s="689"/>
      <c r="H502" s="689"/>
      <c r="I502" s="689"/>
      <c r="J502" s="130"/>
      <c r="K502" s="17" t="str">
        <f t="shared" si="9"/>
        <v/>
      </c>
    </row>
    <row r="503" spans="3:11" hidden="1" outlineLevel="2" x14ac:dyDescent="0.3">
      <c r="C503" s="207">
        <v>69</v>
      </c>
      <c r="D503" s="690"/>
      <c r="E503" s="691"/>
      <c r="F503" s="692"/>
      <c r="G503" s="689"/>
      <c r="H503" s="689"/>
      <c r="I503" s="689"/>
      <c r="J503" s="130"/>
      <c r="K503" s="17" t="str">
        <f t="shared" si="9"/>
        <v/>
      </c>
    </row>
    <row r="504" spans="3:11" hidden="1" outlineLevel="2" x14ac:dyDescent="0.3">
      <c r="C504" s="207">
        <v>70</v>
      </c>
      <c r="D504" s="690"/>
      <c r="E504" s="691"/>
      <c r="F504" s="692"/>
      <c r="G504" s="689"/>
      <c r="H504" s="689"/>
      <c r="I504" s="689"/>
      <c r="J504" s="130"/>
      <c r="K504" s="17" t="str">
        <f t="shared" si="9"/>
        <v/>
      </c>
    </row>
    <row r="505" spans="3:11" hidden="1" outlineLevel="2" x14ac:dyDescent="0.3">
      <c r="C505" s="207">
        <v>71</v>
      </c>
      <c r="D505" s="690"/>
      <c r="E505" s="691"/>
      <c r="F505" s="692"/>
      <c r="G505" s="689"/>
      <c r="H505" s="689"/>
      <c r="I505" s="689"/>
      <c r="J505" s="130"/>
      <c r="K505" s="17" t="str">
        <f t="shared" si="9"/>
        <v/>
      </c>
    </row>
    <row r="506" spans="3:11" hidden="1" outlineLevel="2" x14ac:dyDescent="0.3">
      <c r="C506" s="207">
        <v>72</v>
      </c>
      <c r="D506" s="690"/>
      <c r="E506" s="691"/>
      <c r="F506" s="692"/>
      <c r="G506" s="689"/>
      <c r="H506" s="689"/>
      <c r="I506" s="689"/>
      <c r="J506" s="130"/>
      <c r="K506" s="17" t="str">
        <f t="shared" si="9"/>
        <v/>
      </c>
    </row>
    <row r="507" spans="3:11" hidden="1" outlineLevel="2" x14ac:dyDescent="0.3">
      <c r="C507" s="207">
        <v>73</v>
      </c>
      <c r="D507" s="690"/>
      <c r="E507" s="691"/>
      <c r="F507" s="692"/>
      <c r="G507" s="689"/>
      <c r="H507" s="689"/>
      <c r="I507" s="689"/>
      <c r="J507" s="130"/>
      <c r="K507" s="17" t="str">
        <f t="shared" si="9"/>
        <v/>
      </c>
    </row>
    <row r="508" spans="3:11" hidden="1" outlineLevel="2" x14ac:dyDescent="0.3">
      <c r="C508" s="207">
        <v>74</v>
      </c>
      <c r="D508" s="690"/>
      <c r="E508" s="691"/>
      <c r="F508" s="692"/>
      <c r="G508" s="689"/>
      <c r="H508" s="689"/>
      <c r="I508" s="689"/>
      <c r="J508" s="130"/>
      <c r="K508" s="17" t="str">
        <f t="shared" si="9"/>
        <v/>
      </c>
    </row>
    <row r="509" spans="3:11" hidden="1" outlineLevel="2" x14ac:dyDescent="0.3">
      <c r="C509" s="207">
        <v>75</v>
      </c>
      <c r="D509" s="690"/>
      <c r="E509" s="691"/>
      <c r="F509" s="692"/>
      <c r="G509" s="689"/>
      <c r="H509" s="689"/>
      <c r="I509" s="689"/>
      <c r="J509" s="130"/>
      <c r="K509" s="17" t="str">
        <f t="shared" si="9"/>
        <v/>
      </c>
    </row>
    <row r="510" spans="3:11" hidden="1" outlineLevel="2" x14ac:dyDescent="0.3">
      <c r="C510" s="207">
        <v>76</v>
      </c>
      <c r="D510" s="690"/>
      <c r="E510" s="691"/>
      <c r="F510" s="692"/>
      <c r="G510" s="689"/>
      <c r="H510" s="689"/>
      <c r="I510" s="689"/>
      <c r="J510" s="130"/>
      <c r="K510" s="17" t="str">
        <f t="shared" si="9"/>
        <v/>
      </c>
    </row>
    <row r="511" spans="3:11" hidden="1" outlineLevel="2" x14ac:dyDescent="0.3">
      <c r="C511" s="207">
        <v>77</v>
      </c>
      <c r="D511" s="690"/>
      <c r="E511" s="691"/>
      <c r="F511" s="692"/>
      <c r="G511" s="689"/>
      <c r="H511" s="689"/>
      <c r="I511" s="689"/>
      <c r="J511" s="130"/>
      <c r="K511" s="17" t="str">
        <f t="shared" si="9"/>
        <v/>
      </c>
    </row>
    <row r="512" spans="3:11" hidden="1" outlineLevel="2" x14ac:dyDescent="0.3">
      <c r="C512" s="207">
        <v>78</v>
      </c>
      <c r="D512" s="690"/>
      <c r="E512" s="691"/>
      <c r="F512" s="692"/>
      <c r="G512" s="689"/>
      <c r="H512" s="689"/>
      <c r="I512" s="689"/>
      <c r="J512" s="130"/>
      <c r="K512" s="17" t="str">
        <f t="shared" si="9"/>
        <v/>
      </c>
    </row>
    <row r="513" spans="3:11" hidden="1" outlineLevel="2" x14ac:dyDescent="0.3">
      <c r="C513" s="207">
        <v>79</v>
      </c>
      <c r="D513" s="690"/>
      <c r="E513" s="691"/>
      <c r="F513" s="692"/>
      <c r="G513" s="689"/>
      <c r="H513" s="689"/>
      <c r="I513" s="689"/>
      <c r="J513" s="130"/>
      <c r="K513" s="17" t="str">
        <f t="shared" si="9"/>
        <v/>
      </c>
    </row>
    <row r="514" spans="3:11" hidden="1" outlineLevel="2" x14ac:dyDescent="0.3">
      <c r="C514" s="207">
        <v>80</v>
      </c>
      <c r="D514" s="690"/>
      <c r="E514" s="691"/>
      <c r="F514" s="692"/>
      <c r="G514" s="689"/>
      <c r="H514" s="689"/>
      <c r="I514" s="689"/>
      <c r="J514" s="130"/>
      <c r="K514" s="17" t="str">
        <f t="shared" si="9"/>
        <v/>
      </c>
    </row>
    <row r="515" spans="3:11" hidden="1" outlineLevel="2" x14ac:dyDescent="0.3">
      <c r="C515" s="207">
        <v>81</v>
      </c>
      <c r="D515" s="690"/>
      <c r="E515" s="691"/>
      <c r="F515" s="692"/>
      <c r="G515" s="689"/>
      <c r="H515" s="689"/>
      <c r="I515" s="689"/>
      <c r="J515" s="130"/>
      <c r="K515" s="17" t="str">
        <f t="shared" si="9"/>
        <v/>
      </c>
    </row>
    <row r="516" spans="3:11" hidden="1" outlineLevel="2" x14ac:dyDescent="0.3">
      <c r="C516" s="207">
        <v>82</v>
      </c>
      <c r="D516" s="690"/>
      <c r="E516" s="691"/>
      <c r="F516" s="692"/>
      <c r="G516" s="689"/>
      <c r="H516" s="689"/>
      <c r="I516" s="689"/>
      <c r="J516" s="130"/>
      <c r="K516" s="17" t="str">
        <f t="shared" si="9"/>
        <v/>
      </c>
    </row>
    <row r="517" spans="3:11" hidden="1" outlineLevel="2" x14ac:dyDescent="0.3">
      <c r="C517" s="207">
        <v>83</v>
      </c>
      <c r="D517" s="690"/>
      <c r="E517" s="691"/>
      <c r="F517" s="692"/>
      <c r="G517" s="689"/>
      <c r="H517" s="689"/>
      <c r="I517" s="689"/>
      <c r="J517" s="130"/>
      <c r="K517" s="17" t="str">
        <f t="shared" si="9"/>
        <v/>
      </c>
    </row>
    <row r="518" spans="3:11" hidden="1" outlineLevel="2" x14ac:dyDescent="0.3">
      <c r="C518" s="207">
        <v>84</v>
      </c>
      <c r="D518" s="690"/>
      <c r="E518" s="691"/>
      <c r="F518" s="692"/>
      <c r="G518" s="689"/>
      <c r="H518" s="689"/>
      <c r="I518" s="689"/>
      <c r="J518" s="130"/>
      <c r="K518" s="17" t="str">
        <f t="shared" si="9"/>
        <v/>
      </c>
    </row>
    <row r="519" spans="3:11" hidden="1" outlineLevel="2" x14ac:dyDescent="0.3">
      <c r="C519" s="207">
        <v>85</v>
      </c>
      <c r="D519" s="690"/>
      <c r="E519" s="691"/>
      <c r="F519" s="692"/>
      <c r="G519" s="689"/>
      <c r="H519" s="689"/>
      <c r="I519" s="689"/>
      <c r="J519" s="130"/>
      <c r="K519" s="17" t="str">
        <f t="shared" si="9"/>
        <v/>
      </c>
    </row>
    <row r="520" spans="3:11" hidden="1" outlineLevel="2" x14ac:dyDescent="0.3">
      <c r="C520" s="207">
        <v>86</v>
      </c>
      <c r="D520" s="690"/>
      <c r="E520" s="691"/>
      <c r="F520" s="692"/>
      <c r="G520" s="689"/>
      <c r="H520" s="689"/>
      <c r="I520" s="689"/>
      <c r="J520" s="130"/>
      <c r="K520" s="17" t="str">
        <f t="shared" si="9"/>
        <v/>
      </c>
    </row>
    <row r="521" spans="3:11" hidden="1" outlineLevel="2" x14ac:dyDescent="0.3">
      <c r="C521" s="207">
        <v>87</v>
      </c>
      <c r="D521" s="690"/>
      <c r="E521" s="691"/>
      <c r="F521" s="692"/>
      <c r="G521" s="689"/>
      <c r="H521" s="689"/>
      <c r="I521" s="689"/>
      <c r="J521" s="130"/>
      <c r="K521" s="17" t="str">
        <f t="shared" si="9"/>
        <v/>
      </c>
    </row>
    <row r="522" spans="3:11" hidden="1" outlineLevel="2" x14ac:dyDescent="0.3">
      <c r="C522" s="207">
        <v>88</v>
      </c>
      <c r="D522" s="690"/>
      <c r="E522" s="691"/>
      <c r="F522" s="692"/>
      <c r="G522" s="689"/>
      <c r="H522" s="689"/>
      <c r="I522" s="689"/>
      <c r="J522" s="130"/>
      <c r="K522" s="17" t="str">
        <f t="shared" si="9"/>
        <v/>
      </c>
    </row>
    <row r="523" spans="3:11" hidden="1" outlineLevel="2" x14ac:dyDescent="0.3">
      <c r="C523" s="207">
        <v>89</v>
      </c>
      <c r="D523" s="690"/>
      <c r="E523" s="691"/>
      <c r="F523" s="692"/>
      <c r="G523" s="689"/>
      <c r="H523" s="689"/>
      <c r="I523" s="689"/>
      <c r="J523" s="130"/>
      <c r="K523" s="17" t="str">
        <f t="shared" si="9"/>
        <v/>
      </c>
    </row>
    <row r="524" spans="3:11" hidden="1" outlineLevel="2" x14ac:dyDescent="0.3">
      <c r="C524" s="207">
        <v>90</v>
      </c>
      <c r="D524" s="690"/>
      <c r="E524" s="691"/>
      <c r="F524" s="692"/>
      <c r="G524" s="689"/>
      <c r="H524" s="689"/>
      <c r="I524" s="689"/>
      <c r="J524" s="130"/>
      <c r="K524" s="17" t="str">
        <f t="shared" si="9"/>
        <v/>
      </c>
    </row>
    <row r="525" spans="3:11" hidden="1" outlineLevel="2" x14ac:dyDescent="0.3">
      <c r="C525" s="207">
        <v>91</v>
      </c>
      <c r="D525" s="690"/>
      <c r="E525" s="691"/>
      <c r="F525" s="692"/>
      <c r="G525" s="689"/>
      <c r="H525" s="689"/>
      <c r="I525" s="689"/>
      <c r="J525" s="130"/>
      <c r="K525" s="17" t="str">
        <f t="shared" si="9"/>
        <v/>
      </c>
    </row>
    <row r="526" spans="3:11" hidden="1" outlineLevel="2" x14ac:dyDescent="0.3">
      <c r="C526" s="207">
        <v>92</v>
      </c>
      <c r="D526" s="690"/>
      <c r="E526" s="691"/>
      <c r="F526" s="692"/>
      <c r="G526" s="689"/>
      <c r="H526" s="689"/>
      <c r="I526" s="689"/>
      <c r="J526" s="130"/>
      <c r="K526" s="17" t="str">
        <f t="shared" si="9"/>
        <v/>
      </c>
    </row>
    <row r="527" spans="3:11" hidden="1" outlineLevel="2" x14ac:dyDescent="0.3">
      <c r="C527" s="207">
        <v>93</v>
      </c>
      <c r="D527" s="690"/>
      <c r="E527" s="691"/>
      <c r="F527" s="692"/>
      <c r="G527" s="689"/>
      <c r="H527" s="689"/>
      <c r="I527" s="689"/>
      <c r="J527" s="130"/>
      <c r="K527" s="17" t="str">
        <f t="shared" si="9"/>
        <v/>
      </c>
    </row>
    <row r="528" spans="3:11" hidden="1" outlineLevel="2" x14ac:dyDescent="0.3">
      <c r="C528" s="207">
        <v>94</v>
      </c>
      <c r="D528" s="690"/>
      <c r="E528" s="691"/>
      <c r="F528" s="692"/>
      <c r="G528" s="689"/>
      <c r="H528" s="689"/>
      <c r="I528" s="689"/>
      <c r="J528" s="130"/>
      <c r="K528" s="17" t="str">
        <f t="shared" si="9"/>
        <v/>
      </c>
    </row>
    <row r="529" spans="1:12" hidden="1" outlineLevel="2" x14ac:dyDescent="0.3">
      <c r="C529" s="207">
        <v>95</v>
      </c>
      <c r="D529" s="690"/>
      <c r="E529" s="691"/>
      <c r="F529" s="692"/>
      <c r="G529" s="689"/>
      <c r="H529" s="689"/>
      <c r="I529" s="689"/>
      <c r="J529" s="130"/>
      <c r="K529" s="17" t="str">
        <f t="shared" si="9"/>
        <v/>
      </c>
    </row>
    <row r="530" spans="1:12" hidden="1" outlineLevel="2" x14ac:dyDescent="0.3">
      <c r="C530" s="207">
        <v>96</v>
      </c>
      <c r="D530" s="690"/>
      <c r="E530" s="691"/>
      <c r="F530" s="692"/>
      <c r="G530" s="689"/>
      <c r="H530" s="689"/>
      <c r="I530" s="689"/>
      <c r="J530" s="130"/>
      <c r="K530" s="17" t="str">
        <f t="shared" si="9"/>
        <v/>
      </c>
    </row>
    <row r="531" spans="1:12" hidden="1" outlineLevel="2" x14ac:dyDescent="0.3">
      <c r="C531" s="207">
        <v>97</v>
      </c>
      <c r="D531" s="690"/>
      <c r="E531" s="691"/>
      <c r="F531" s="692"/>
      <c r="G531" s="689"/>
      <c r="H531" s="689"/>
      <c r="I531" s="689"/>
      <c r="J531" s="130"/>
      <c r="K531" s="17" t="str">
        <f t="shared" si="9"/>
        <v/>
      </c>
    </row>
    <row r="532" spans="1:12" hidden="1" outlineLevel="2" x14ac:dyDescent="0.3">
      <c r="C532" s="207">
        <v>98</v>
      </c>
      <c r="D532" s="690"/>
      <c r="E532" s="691"/>
      <c r="F532" s="692"/>
      <c r="G532" s="689"/>
      <c r="H532" s="689"/>
      <c r="I532" s="689"/>
      <c r="J532" s="130"/>
      <c r="K532" s="17" t="str">
        <f t="shared" si="9"/>
        <v/>
      </c>
    </row>
    <row r="533" spans="1:12" hidden="1" outlineLevel="2" x14ac:dyDescent="0.3">
      <c r="C533" s="207">
        <v>99</v>
      </c>
      <c r="D533" s="690"/>
      <c r="E533" s="691"/>
      <c r="F533" s="692"/>
      <c r="G533" s="815"/>
      <c r="H533" s="816"/>
      <c r="I533" s="713"/>
      <c r="J533" s="130"/>
      <c r="K533" s="17" t="str">
        <f t="shared" si="9"/>
        <v/>
      </c>
    </row>
    <row r="534" spans="1:12" hidden="1" outlineLevel="2" x14ac:dyDescent="0.3">
      <c r="C534" s="207">
        <v>100</v>
      </c>
      <c r="D534" s="690"/>
      <c r="E534" s="691"/>
      <c r="F534" s="692"/>
      <c r="G534" s="815"/>
      <c r="H534" s="816"/>
      <c r="I534" s="713"/>
      <c r="J534" s="130"/>
      <c r="K534" s="17" t="str">
        <f t="shared" si="9"/>
        <v/>
      </c>
    </row>
    <row r="535" spans="1:12" collapsed="1" x14ac:dyDescent="0.3">
      <c r="C535" s="802" t="str">
        <f>template_label_total_annual_mass_flow_of_relevant_materials_used_mass</f>
        <v>Total annual mass-flow of relevant materials used (mass in kg)</v>
      </c>
      <c r="D535" s="803"/>
      <c r="E535" s="803"/>
      <c r="F535" s="803"/>
      <c r="G535" s="817">
        <f>IF(AND(G435="",G436="",J435="",J436="",G437="",J437=""),"-",(SUMIF($J$435:$J$534,"kilograms (kg)",$G$435:$G$534))+((SUMIF($J$435:$J$534,"metric tonnes (t)",$G$435:$G$534))*1000))</f>
        <v>1500</v>
      </c>
      <c r="H535" s="817"/>
      <c r="I535" s="817"/>
      <c r="J535" s="128" t="str">
        <f>template_label_kilograms</f>
        <v>kilograms (kg)</v>
      </c>
    </row>
    <row r="536" spans="1:12" ht="15" thickBot="1" x14ac:dyDescent="0.35">
      <c r="C536" s="751" t="str">
        <f>template_label_total_annual_mass_flow_of_relevant_materials_used_volume</f>
        <v>Total annual mass-flow of relevant materials used (volume in m³)</v>
      </c>
      <c r="D536" s="752"/>
      <c r="E536" s="752"/>
      <c r="F536" s="752"/>
      <c r="G536" s="716">
        <f>IF(AND(G435="",G436="",J435="",J436="",G437="",J437=""),"-",SUMIF(J435:J534, "cubic meters (m3)", G435:G534))</f>
        <v>800</v>
      </c>
      <c r="H536" s="716"/>
      <c r="I536" s="716"/>
      <c r="J536" s="126" t="str">
        <f>template_label_cubic_meters</f>
        <v>cubic meters (m³)</v>
      </c>
      <c r="K536" s="17"/>
    </row>
    <row r="537" spans="1:12" ht="15" thickBot="1" x14ac:dyDescent="0.35"/>
    <row r="538" spans="1:12" ht="15" thickBot="1" x14ac:dyDescent="0.35">
      <c r="C538" s="805" t="str">
        <f>template_label_c4_climate_risks&amp;" "&amp;template_label_from&amp;" "&amp;template_starting_date_display&amp;" "&amp;template_label_to&amp;" "&amp;template_ending_date_display&amp;" "&amp;template_label_if_applicable</f>
        <v>C4 - Climate risks from 2025-01-01 to 2025-12-31 [If applicable]</v>
      </c>
      <c r="D538" s="806"/>
      <c r="E538" s="806"/>
      <c r="F538" s="806"/>
      <c r="G538" s="806"/>
      <c r="H538" s="806"/>
      <c r="I538" s="806"/>
      <c r="J538" s="806"/>
      <c r="K538" s="807"/>
    </row>
    <row r="539" spans="1:12" ht="39.6" customHeight="1" x14ac:dyDescent="0.3">
      <c r="C539" s="811" t="str">
        <f>template_label_has_the_undertaking_identified_climate_related_hazards_and_climate_related_transition_events</f>
        <v>Has the undertaking identified climate-related hazards and climate-related transition events creating gross climate-related risks for the undertaking?</v>
      </c>
      <c r="D539" s="812"/>
      <c r="E539" s="813" t="b">
        <v>1</v>
      </c>
      <c r="F539" s="813"/>
      <c r="G539" s="813"/>
      <c r="H539" s="813"/>
      <c r="I539" s="813"/>
      <c r="J539" s="813"/>
      <c r="K539" s="814"/>
    </row>
    <row r="540" spans="1:12" x14ac:dyDescent="0.3">
      <c r="A540" s="391" t="s">
        <v>82</v>
      </c>
      <c r="B540" s="392" t="s">
        <v>83</v>
      </c>
      <c r="C540" s="649" t="str">
        <f>template_label_description_of_climate_related_hazards_and_climate_related_transition_events</f>
        <v>Description of climate-related hazards and climate-related transition events</v>
      </c>
      <c r="D540" s="798"/>
      <c r="E540" s="808" t="s">
        <v>33</v>
      </c>
      <c r="F540" s="808"/>
      <c r="G540" s="808"/>
      <c r="H540" s="808"/>
      <c r="I540" s="808"/>
      <c r="J540" s="808"/>
      <c r="K540" s="682"/>
      <c r="L540" s="16" t="str">
        <f>IF(AND($E$539=TRUE,E540&lt;&gt;""),
    template_label_ok,
    IF(AND($E$539=TRUE,G540=""),
        template_label_missing_value,
        ""
    )
)</f>
        <v>OK</v>
      </c>
    </row>
    <row r="541" spans="1:12" x14ac:dyDescent="0.3">
      <c r="A541" s="391" t="s">
        <v>84</v>
      </c>
      <c r="B541" s="392" t="s">
        <v>83</v>
      </c>
      <c r="C541" s="649" t="str">
        <f>template_label_disclosure_of_how_it_has_assessed_the_exposure_and_sensitivity_of_its_assets</f>
        <v>Disclosure of how it has assessed the exposure and sensitivity of its assets activities and value chain to these hazards and transition events</v>
      </c>
      <c r="D541" s="798"/>
      <c r="E541" s="808" t="s">
        <v>33</v>
      </c>
      <c r="F541" s="808"/>
      <c r="G541" s="808"/>
      <c r="H541" s="808"/>
      <c r="I541" s="808"/>
      <c r="J541" s="808"/>
      <c r="K541" s="682"/>
      <c r="L541" s="16" t="str">
        <f>IF(AND($E$539=TRUE,E541&lt;&gt;""),
    template_label_ok,
    IF(AND($E$539=TRUE,G541=""),
        template_label_missing_value,
        ""
    )
)</f>
        <v>OK</v>
      </c>
    </row>
    <row r="542" spans="1:12" x14ac:dyDescent="0.3">
      <c r="A542" s="391" t="s">
        <v>85</v>
      </c>
      <c r="B542" s="392" t="s">
        <v>83</v>
      </c>
      <c r="C542" s="649" t="str">
        <f>template_label_time_horizons_of_any_climate_related_hazards_and_transition_events_identified</f>
        <v>Time horizons of any climate-related hazards and transition events identified</v>
      </c>
      <c r="D542" s="798"/>
      <c r="E542" s="808" t="s">
        <v>33</v>
      </c>
      <c r="F542" s="808"/>
      <c r="G542" s="808"/>
      <c r="H542" s="808"/>
      <c r="I542" s="808"/>
      <c r="J542" s="808"/>
      <c r="K542" s="682"/>
      <c r="L542" s="16" t="str">
        <f>IF(AND($E$539=TRUE,E542&lt;&gt;""),
    template_label_ok,
    IF(AND($E$539=TRUE,G542=""),
        template_label_missing_value,
        ""
    )
)</f>
        <v>OK</v>
      </c>
    </row>
    <row r="543" spans="1:12" ht="27" customHeight="1" x14ac:dyDescent="0.3">
      <c r="A543" s="391" t="s">
        <v>86</v>
      </c>
      <c r="B543" s="392" t="s">
        <v>83</v>
      </c>
      <c r="C543" s="649" t="str">
        <f>template_label_disclosure_of_whether_it_has_undertaken_climate_change_adaptation_actions</f>
        <v>Disclosure of whether it has undertaken climate change adaptation actions for any climate-related hazards and transition events</v>
      </c>
      <c r="D543" s="798"/>
      <c r="E543" s="804" t="s">
        <v>87</v>
      </c>
      <c r="F543" s="804"/>
      <c r="G543" s="804"/>
      <c r="H543" s="804"/>
      <c r="I543" s="804"/>
      <c r="J543" s="804"/>
      <c r="K543" s="809"/>
      <c r="L543" s="16" t="str">
        <f>IF(AND($E$539=TRUE,E543&lt;&gt;""),
    template_label_ok,
    IF(AND($E$539=TRUE,G543=""),
        template_label_missing_value,
        ""
    )
)</f>
        <v>OK</v>
      </c>
    </row>
    <row r="544" spans="1:12" ht="29.4" customHeight="1" thickBot="1" x14ac:dyDescent="0.35">
      <c r="A544" s="391">
        <v>58</v>
      </c>
      <c r="B544" s="392" t="s">
        <v>83</v>
      </c>
      <c r="C544" s="619"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620"/>
      <c r="E544" s="810"/>
      <c r="F544" s="810"/>
      <c r="G544" s="810"/>
      <c r="H544" s="810"/>
      <c r="I544" s="810"/>
      <c r="J544" s="810"/>
      <c r="K544" s="680"/>
      <c r="L544" s="16" t="str">
        <f>IF(AND($E$539=TRUE,E544&lt;&gt;""),
    template_label_ok,
    ""
)</f>
        <v/>
      </c>
    </row>
    <row r="545" spans="3:13" ht="15" thickBot="1" x14ac:dyDescent="0.35"/>
    <row r="546" spans="3:13" ht="15" thickBot="1" x14ac:dyDescent="0.35">
      <c r="C546" s="610"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and/or entity specific environmental disclosures from 2025-01-01 to 2025-12-31 [May (optional)]</v>
      </c>
      <c r="D546" s="611"/>
      <c r="E546" s="611"/>
      <c r="F546" s="611"/>
      <c r="G546" s="611"/>
      <c r="H546" s="611"/>
      <c r="I546" s="611"/>
      <c r="J546" s="611"/>
      <c r="K546" s="611"/>
      <c r="L546" s="612"/>
    </row>
    <row r="547" spans="3:13" x14ac:dyDescent="0.3">
      <c r="C547" s="592">
        <v>10</v>
      </c>
      <c r="D547" s="608"/>
      <c r="E547" s="608"/>
      <c r="F547" s="608"/>
      <c r="G547" s="608"/>
      <c r="H547" s="608"/>
      <c r="I547" s="608"/>
      <c r="J547" s="608"/>
      <c r="K547" s="608"/>
      <c r="L547" s="609"/>
    </row>
    <row r="548" spans="3:13" ht="15" thickBot="1" x14ac:dyDescent="0.35">
      <c r="C548" s="604"/>
      <c r="D548" s="605"/>
      <c r="E548" s="605"/>
      <c r="F548" s="605"/>
      <c r="G548" s="605"/>
      <c r="H548" s="605"/>
      <c r="I548" s="605"/>
      <c r="J548" s="605"/>
      <c r="K548" s="605"/>
      <c r="L548" s="606"/>
      <c r="M548" s="16" t="str">
        <f>IF(C548&lt;&gt;"", template_label_ok, "")</f>
        <v/>
      </c>
    </row>
  </sheetData>
  <sheetProtection algorithmName="SHA-512" hashValue="Q4N35UJM1sidhNxGNOvdaEYCPjSHqSMyB7qVQob1oHdpOPf5D0aNbnXT6TR1jKNaC0D+vRWqtyd8Mjl2WvbUBA==" saltValue="nQK2LjxCDCym/ERvkXUWQA==" spinCount="100000" sheet="1" formatColumns="0" formatRows="0" insertRows="0"/>
  <mergeCells count="1016">
    <mergeCell ref="A55:B5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D160:F160"/>
    <mergeCell ref="D161:F161"/>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229:I229"/>
    <mergeCell ref="G230:I23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18:I518"/>
    <mergeCell ref="G485:I485"/>
  </mergeCells>
  <phoneticPr fontId="3" type="noConversion"/>
  <conditionalFormatting sqref="C52:K52">
    <cfRule type="expression" dxfId="301" priority="163">
      <formula>$J$19=TRUE</formula>
    </cfRule>
  </conditionalFormatting>
  <conditionalFormatting sqref="C78:K78">
    <cfRule type="expression" dxfId="300" priority="170">
      <formula>$G$75=TRUE</formula>
    </cfRule>
    <cfRule type="expression" dxfId="299" priority="148">
      <formula>$G$75=TRUE</formula>
    </cfRule>
    <cfRule type="expression" dxfId="298" priority="160">
      <formula>$G$74=TRUE</formula>
    </cfRule>
  </conditionalFormatting>
  <conditionalFormatting sqref="C186:K186 G189:I286 J189:K287 G287">
    <cfRule type="expression" dxfId="297" priority="158">
      <formula>$G$184=TRUE</formula>
    </cfRule>
  </conditionalFormatting>
  <conditionalFormatting sqref="D58">
    <cfRule type="expression" dxfId="296" priority="184">
      <formula>AND($D$56=TRUE,$D$57="A transition plan has already been adopted")</formula>
    </cfRule>
  </conditionalFormatting>
  <conditionalFormatting sqref="D310">
    <cfRule type="expression" dxfId="295" priority="155">
      <formula>$D$309=TRUE</formula>
    </cfRule>
  </conditionalFormatting>
  <conditionalFormatting sqref="D30:F44">
    <cfRule type="expression" dxfId="294" priority="33">
      <formula>$G$29=TRUE</formula>
    </cfRule>
  </conditionalFormatting>
  <conditionalFormatting sqref="D45:F47">
    <cfRule type="expression" dxfId="293" priority="31">
      <formula>$G$29=FALSE</formula>
    </cfRule>
  </conditionalFormatting>
  <conditionalFormatting sqref="D80:F179">
    <cfRule type="expression" dxfId="292" priority="21">
      <formula>$G$74=TRUE</formula>
    </cfRule>
    <cfRule type="expression" dxfId="291" priority="22">
      <formula>$G$75=TRUE</formula>
    </cfRule>
  </conditionalFormatting>
  <conditionalFormatting sqref="D188:F188">
    <cfRule type="expression" dxfId="290" priority="27">
      <formula>$D$188="VALUE INCONSISTENCY"</formula>
    </cfRule>
  </conditionalFormatting>
  <conditionalFormatting sqref="D189:F287">
    <cfRule type="expression" dxfId="289" priority="82">
      <formula>$D189="VALUE INCONSISTENCY"</formula>
    </cfRule>
  </conditionalFormatting>
  <conditionalFormatting sqref="D317:G317">
    <cfRule type="expression" dxfId="288" priority="192">
      <formula>$D$316="YES"</formula>
    </cfRule>
  </conditionalFormatting>
  <conditionalFormatting sqref="D80:I80 G81:I82 D81:F179">
    <cfRule type="expression" dxfId="287" priority="19">
      <formula>$G$75=TRUE</formula>
    </cfRule>
  </conditionalFormatting>
  <conditionalFormatting sqref="D435:J435 D436:I441 J436:J534 D442:F444 G442:I532 D445:D534 G533:J533 G534">
    <cfRule type="expression" dxfId="286" priority="10">
      <formula>$G$433=TRUE</formula>
    </cfRule>
  </conditionalFormatting>
  <conditionalFormatting sqref="D57:K57">
    <cfRule type="expression" dxfId="285" priority="5">
      <formula>$D$56=FALSE</formula>
    </cfRule>
  </conditionalFormatting>
  <conditionalFormatting sqref="D59:K62">
    <cfRule type="expression" dxfId="284" priority="6">
      <formula>$D$57=""</formula>
    </cfRule>
    <cfRule type="expression" dxfId="283" priority="7">
      <formula>$D$57="A transition plan has already been adopted"</formula>
    </cfRule>
  </conditionalFormatting>
  <conditionalFormatting sqref="E303:E304">
    <cfRule type="expression" dxfId="282" priority="223">
      <formula>$E303=template_label_missing_value</formula>
    </cfRule>
    <cfRule type="expression" dxfId="281" priority="222">
      <formula>$E303=template_label_ok</formula>
    </cfRule>
  </conditionalFormatting>
  <conditionalFormatting sqref="E310">
    <cfRule type="expression" dxfId="280" priority="199">
      <formula>$E$310=template_label_ok</formula>
    </cfRule>
    <cfRule type="expression" dxfId="279" priority="198">
      <formula>$E$310=template_label_missing_value</formula>
    </cfRule>
  </conditionalFormatting>
  <conditionalFormatting sqref="E540:K544">
    <cfRule type="expression" dxfId="278" priority="151">
      <formula>$E$539=TRUE</formula>
    </cfRule>
  </conditionalFormatting>
  <conditionalFormatting sqref="G76">
    <cfRule type="expression" dxfId="277" priority="175">
      <formula>$G$75=TRUE</formula>
    </cfRule>
  </conditionalFormatting>
  <conditionalFormatting sqref="G293:G295">
    <cfRule type="expression" dxfId="276" priority="146">
      <formula>$G293=template_label_ok</formula>
    </cfRule>
    <cfRule type="expression" dxfId="275" priority="25">
      <formula>$G293=template_label_value_inconsistency</formula>
    </cfRule>
    <cfRule type="expression" dxfId="274" priority="145">
      <formula>$G293=template_label_missing_value</formula>
    </cfRule>
  </conditionalFormatting>
  <conditionalFormatting sqref="G80:I82">
    <cfRule type="expression" dxfId="273" priority="18">
      <formula>$G$74=TRUE</formula>
    </cfRule>
  </conditionalFormatting>
  <conditionalFormatting sqref="G12:J13">
    <cfRule type="expression" dxfId="272" priority="167">
      <formula>$G$10=TRUE</formula>
    </cfRule>
  </conditionalFormatting>
  <conditionalFormatting sqref="G14:J14">
    <cfRule type="expression" dxfId="271" priority="36">
      <formula>$G$10=FALSE</formula>
    </cfRule>
  </conditionalFormatting>
  <conditionalFormatting sqref="G21:J24">
    <cfRule type="expression" dxfId="270" priority="166">
      <formula>$J$19=TRUE</formula>
    </cfRule>
  </conditionalFormatting>
  <conditionalFormatting sqref="G30:J44">
    <cfRule type="expression" dxfId="269" priority="32">
      <formula>AND($G$29=TRUE,$J$19=TRUE)</formula>
    </cfRule>
  </conditionalFormatting>
  <conditionalFormatting sqref="G45:J47">
    <cfRule type="expression" dxfId="268" priority="30">
      <formula>OR($J$19=FALSE,$G$29=FALSE)</formula>
    </cfRule>
  </conditionalFormatting>
  <conditionalFormatting sqref="G80:J82">
    <cfRule type="expression" dxfId="267" priority="16">
      <formula>$G$75=TRUE</formula>
    </cfRule>
  </conditionalFormatting>
  <conditionalFormatting sqref="G10:K10">
    <cfRule type="expression" dxfId="266" priority="168">
      <formula>$D$105="YES"</formula>
    </cfRule>
  </conditionalFormatting>
  <conditionalFormatting sqref="G68:K69">
    <cfRule type="expression" dxfId="265" priority="95">
      <formula>$G$29=FALSE</formula>
    </cfRule>
  </conditionalFormatting>
  <conditionalFormatting sqref="G75:K75">
    <cfRule type="expression" dxfId="264" priority="161">
      <formula>$G$74=TRUE</formula>
    </cfRule>
  </conditionalFormatting>
  <conditionalFormatting sqref="G83:K179">
    <cfRule type="expression" dxfId="263" priority="162">
      <formula>$G$74=TRUE</formula>
    </cfRule>
    <cfRule type="expression" dxfId="262" priority="159">
      <formula>$G$75=TRUE</formula>
    </cfRule>
    <cfRule type="expression" dxfId="261" priority="174">
      <formula>$G$75=TRUE</formula>
    </cfRule>
  </conditionalFormatting>
  <conditionalFormatting sqref="G188:K188">
    <cfRule type="expression" dxfId="260" priority="157">
      <formula>$G$184=TRUE</formula>
    </cfRule>
  </conditionalFormatting>
  <conditionalFormatting sqref="H316">
    <cfRule type="expression" dxfId="259" priority="194">
      <formula>$H$316=template_label_missing_value</formula>
    </cfRule>
    <cfRule type="expression" dxfId="258" priority="193">
      <formula>$H$316=template_label_ok</formula>
    </cfRule>
  </conditionalFormatting>
  <conditionalFormatting sqref="H317">
    <cfRule type="expression" dxfId="257" priority="3">
      <formula>$H$317=template_label_value_inconsistency</formula>
    </cfRule>
    <cfRule type="expression" dxfId="256" priority="191">
      <formula>$H$317=template_label_ok</formula>
    </cfRule>
    <cfRule type="expression" dxfId="255" priority="190">
      <formula>$H$317=template_label_missing_value</formula>
    </cfRule>
  </conditionalFormatting>
  <conditionalFormatting sqref="J80:J82">
    <cfRule type="expression" dxfId="254" priority="15">
      <formula>$G$74=TRUE</formula>
    </cfRule>
  </conditionalFormatting>
  <conditionalFormatting sqref="J80:K82">
    <cfRule type="expression" dxfId="253" priority="13">
      <formula>$G$75=TRUE</formula>
    </cfRule>
  </conditionalFormatting>
  <conditionalFormatting sqref="K30:K44">
    <cfRule type="expression" dxfId="252" priority="4">
      <formula>AND($G30&lt;&gt;"", $J30&lt;&gt;"")</formula>
    </cfRule>
  </conditionalFormatting>
  <conditionalFormatting sqref="K30:K47">
    <cfRule type="expression" dxfId="251" priority="29">
      <formula>OR($J$19=FALSE,$G$29=FALSE)</formula>
    </cfRule>
  </conditionalFormatting>
  <conditionalFormatting sqref="K80:K82">
    <cfRule type="expression" dxfId="250" priority="12">
      <formula>$G$74=TRUE</formula>
    </cfRule>
    <cfRule type="expression" dxfId="249" priority="11">
      <formula>$G$75=TRUE</formula>
    </cfRule>
  </conditionalFormatting>
  <conditionalFormatting sqref="K293:K294">
    <cfRule type="expression" dxfId="248" priority="233">
      <formula>$K$293="OK"</formula>
    </cfRule>
    <cfRule type="expression" dxfId="247" priority="239">
      <formula>$K$293="MISSING VALUE"</formula>
    </cfRule>
  </conditionalFormatting>
  <conditionalFormatting sqref="K295:K298 K300 K536">
    <cfRule type="expression" dxfId="246" priority="224">
      <formula>$K295="MISSING VALUE"</formula>
    </cfRule>
    <cfRule type="expression" dxfId="245" priority="225">
      <formula>$K295="OK"</formula>
    </cfRule>
  </conditionalFormatting>
  <conditionalFormatting sqref="K435:K534">
    <cfRule type="expression" dxfId="244" priority="237">
      <formula>$K435=template_label_missing_value</formula>
    </cfRule>
    <cfRule type="expression" dxfId="243" priority="238">
      <formula>$K435=template_label_ok</formula>
    </cfRule>
  </conditionalFormatting>
  <conditionalFormatting sqref="L5">
    <cfRule type="expression" dxfId="242" priority="195">
      <formula>$L$5= template_label_ok</formula>
    </cfRule>
    <cfRule type="expression" dxfId="241" priority="197">
      <formula>$L$5=template_label_missing_value</formula>
    </cfRule>
  </conditionalFormatting>
  <conditionalFormatting sqref="L12">
    <cfRule type="expression" dxfId="240" priority="26">
      <formula>$L$12=template_label_value_inconsistency</formula>
    </cfRule>
    <cfRule type="expression" dxfId="239" priority="150">
      <formula>$L$12=template_label_missing_value</formula>
    </cfRule>
    <cfRule type="expression" dxfId="238" priority="220">
      <formula>$L12=template_label_ok</formula>
    </cfRule>
  </conditionalFormatting>
  <conditionalFormatting sqref="L21">
    <cfRule type="expression" dxfId="237" priority="202">
      <formula>$L$21=template_label_missing_value</formula>
    </cfRule>
    <cfRule type="expression" dxfId="236" priority="203">
      <formula>$L$21=template_label_ok</formula>
    </cfRule>
  </conditionalFormatting>
  <conditionalFormatting sqref="L22">
    <cfRule type="expression" dxfId="235" priority="213">
      <formula>$L$22="OK"</formula>
    </cfRule>
  </conditionalFormatting>
  <conditionalFormatting sqref="L22:L24">
    <cfRule type="expression" dxfId="234" priority="207">
      <formula>$L22=template_label_missing_value</formula>
    </cfRule>
  </conditionalFormatting>
  <conditionalFormatting sqref="L23:L24">
    <cfRule type="expression" dxfId="233" priority="208">
      <formula>$L23=template_label_ok</formula>
    </cfRule>
  </conditionalFormatting>
  <conditionalFormatting sqref="L30:L44">
    <cfRule type="expression" dxfId="232" priority="34">
      <formula>$L$30=template_label_ok</formula>
    </cfRule>
    <cfRule type="expression" dxfId="231" priority="35">
      <formula>$L$30=template_label_missing_value</formula>
    </cfRule>
  </conditionalFormatting>
  <conditionalFormatting sqref="L45">
    <cfRule type="expression" dxfId="230" priority="385">
      <formula>$L$45="MISSING VALUE"</formula>
    </cfRule>
    <cfRule type="expression" dxfId="229" priority="386">
      <formula>$L$45="OK"</formula>
    </cfRule>
  </conditionalFormatting>
  <conditionalFormatting sqref="L52">
    <cfRule type="expression" dxfId="228" priority="149">
      <formula>$L$52=template_label_missing_value</formula>
    </cfRule>
    <cfRule type="expression" dxfId="227" priority="236">
      <formula>$L$52=template_label_ok</formula>
    </cfRule>
  </conditionalFormatting>
  <conditionalFormatting sqref="L56:L59 L62">
    <cfRule type="expression" dxfId="226" priority="182">
      <formula>$L56=template_label_ok</formula>
    </cfRule>
    <cfRule type="expression" dxfId="225" priority="178">
      <formula>$L56=template_label_error</formula>
    </cfRule>
    <cfRule type="expression" dxfId="224" priority="181">
      <formula>$L56=template_label_missing_value</formula>
    </cfRule>
  </conditionalFormatting>
  <conditionalFormatting sqref="L62">
    <cfRule type="expression" dxfId="223" priority="234">
      <formula>$L$62="OK"</formula>
    </cfRule>
  </conditionalFormatting>
  <conditionalFormatting sqref="L74:L75">
    <cfRule type="expression" dxfId="222" priority="172">
      <formula>$L74=template_label_value_inconsistency</formula>
    </cfRule>
    <cfRule type="expression" dxfId="221" priority="2">
      <formula>$L74=template_label_value_missing_value</formula>
    </cfRule>
  </conditionalFormatting>
  <conditionalFormatting sqref="L74:L76">
    <cfRule type="expression" dxfId="220" priority="173">
      <formula>$L74=template_label_ok</formula>
    </cfRule>
  </conditionalFormatting>
  <conditionalFormatting sqref="L75">
    <cfRule type="expression" dxfId="219" priority="1">
      <formula>$L$75=template_label_missing_value</formula>
    </cfRule>
  </conditionalFormatting>
  <conditionalFormatting sqref="L76">
    <cfRule type="expression" dxfId="218" priority="171">
      <formula>$L$76=template_label_missing_value</formula>
    </cfRule>
    <cfRule type="expression" dxfId="217" priority="9">
      <formula>$L$76=template_label_invalid_url</formula>
    </cfRule>
  </conditionalFormatting>
  <conditionalFormatting sqref="L78">
    <cfRule type="expression" dxfId="216" priority="180">
      <formula>$L$78=template_label_missing_value</formula>
    </cfRule>
    <cfRule type="expression" dxfId="215" priority="8">
      <formula>$L$78=template_label_value_inconsistency</formula>
    </cfRule>
    <cfRule type="expression" dxfId="214" priority="179">
      <formula>$L$78=template_label_ok</formula>
    </cfRule>
  </conditionalFormatting>
  <conditionalFormatting sqref="L80:L179">
    <cfRule type="expression" dxfId="213" priority="176">
      <formula>$L80=template_label_missing_value</formula>
    </cfRule>
    <cfRule type="expression" dxfId="212" priority="177">
      <formula>$L80=template_label_ok</formula>
    </cfRule>
    <cfRule type="expression" dxfId="211" priority="24">
      <formula>$L80=template_label_value_inconsistency</formula>
    </cfRule>
  </conditionalFormatting>
  <conditionalFormatting sqref="L186">
    <cfRule type="expression" dxfId="210" priority="188">
      <formula>$L$186=template_label_missing_value</formula>
    </cfRule>
    <cfRule type="expression" dxfId="209" priority="187">
      <formula>$L$186=template_label_ok</formula>
    </cfRule>
  </conditionalFormatting>
  <conditionalFormatting sqref="L188">
    <cfRule type="expression" dxfId="208" priority="86">
      <formula>$D$188=template_label_value_inconsistency</formula>
    </cfRule>
  </conditionalFormatting>
  <conditionalFormatting sqref="L188:L287">
    <cfRule type="expression" dxfId="207" priority="240">
      <formula>$L188=template_label_missing_value</formula>
    </cfRule>
    <cfRule type="expression" dxfId="206" priority="189">
      <formula>$L188=template_label_value_inconcistency</formula>
    </cfRule>
    <cfRule type="expression" dxfId="205" priority="241">
      <formula>$L188=template_label_ok</formula>
    </cfRule>
  </conditionalFormatting>
  <conditionalFormatting sqref="L189:L287">
    <cfRule type="expression" dxfId="204" priority="85">
      <formula>$D$189=template_label_value_inconsistency</formula>
    </cfRule>
  </conditionalFormatting>
  <conditionalFormatting sqref="L190">
    <cfRule type="expression" dxfId="203" priority="84">
      <formula>$D$190=template_label_value_inconsistency</formula>
    </cfRule>
  </conditionalFormatting>
  <conditionalFormatting sqref="L191">
    <cfRule type="expression" dxfId="202" priority="87">
      <formula>$D$191=template_label_value_inconsistency</formula>
    </cfRule>
  </conditionalFormatting>
  <conditionalFormatting sqref="L192">
    <cfRule type="expression" dxfId="201" priority="83">
      <formula>$D$192=template_label_value_inconsistency</formula>
    </cfRule>
  </conditionalFormatting>
  <conditionalFormatting sqref="L193">
    <cfRule type="expression" dxfId="200" priority="58">
      <formula>$D$193=template_label_value_inconsistency</formula>
    </cfRule>
  </conditionalFormatting>
  <conditionalFormatting sqref="L194:L287">
    <cfRule type="expression" dxfId="199" priority="57">
      <formula>$D$194=template_label_value_inconsistency</formula>
    </cfRule>
  </conditionalFormatting>
  <conditionalFormatting sqref="L195">
    <cfRule type="expression" dxfId="198" priority="56">
      <formula>$D$195=template_label_value_inconsistency</formula>
    </cfRule>
  </conditionalFormatting>
  <conditionalFormatting sqref="L196">
    <cfRule type="expression" dxfId="197" priority="55">
      <formula>$D$196=template_label_value_inconsistency</formula>
    </cfRule>
  </conditionalFormatting>
  <conditionalFormatting sqref="L197">
    <cfRule type="expression" dxfId="196" priority="54">
      <formula>$D$197=template_label_value_inconsistency</formula>
    </cfRule>
  </conditionalFormatting>
  <conditionalFormatting sqref="L198">
    <cfRule type="expression" dxfId="195" priority="53">
      <formula>$D$198=template_label_value_inconsistency</formula>
    </cfRule>
  </conditionalFormatting>
  <conditionalFormatting sqref="L199">
    <cfRule type="expression" dxfId="194" priority="52">
      <formula>$D$199=template_label_value_inconsistency</formula>
    </cfRule>
  </conditionalFormatting>
  <conditionalFormatting sqref="L200">
    <cfRule type="expression" dxfId="193" priority="51">
      <formula>$D$200=template_label_value_inconsistency</formula>
    </cfRule>
  </conditionalFormatting>
  <conditionalFormatting sqref="L201">
    <cfRule type="expression" dxfId="192" priority="50">
      <formula>$D$201=template_label_value_inconsistency</formula>
    </cfRule>
  </conditionalFormatting>
  <conditionalFormatting sqref="L202">
    <cfRule type="expression" dxfId="191" priority="49">
      <formula>$D$202=template_label_value_inconsistency</formula>
    </cfRule>
  </conditionalFormatting>
  <conditionalFormatting sqref="L203">
    <cfRule type="expression" dxfId="190" priority="48">
      <formula>$D$203=template_label_value_inconsistency</formula>
    </cfRule>
  </conditionalFormatting>
  <conditionalFormatting sqref="L204">
    <cfRule type="expression" dxfId="189" priority="47">
      <formula>$D$204=template_label_value_inconsistency</formula>
    </cfRule>
  </conditionalFormatting>
  <conditionalFormatting sqref="L205">
    <cfRule type="expression" dxfId="188" priority="46">
      <formula>$D$205=template_label_value_inconsistency</formula>
    </cfRule>
  </conditionalFormatting>
  <conditionalFormatting sqref="L206">
    <cfRule type="expression" dxfId="187" priority="45">
      <formula>$D$206=template_label_value_inconsistency</formula>
    </cfRule>
  </conditionalFormatting>
  <conditionalFormatting sqref="L207:L208">
    <cfRule type="expression" dxfId="186" priority="43">
      <formula>$D$207=template_label_value_inconsistency</formula>
    </cfRule>
  </conditionalFormatting>
  <conditionalFormatting sqref="L209">
    <cfRule type="expression" dxfId="185" priority="42">
      <formula>$D$209=template_label_value_inconsistency</formula>
    </cfRule>
  </conditionalFormatting>
  <conditionalFormatting sqref="L210">
    <cfRule type="expression" dxfId="184" priority="41">
      <formula>$D$210=template_label_value_inconsistency</formula>
    </cfRule>
  </conditionalFormatting>
  <conditionalFormatting sqref="L211:L285">
    <cfRule type="expression" dxfId="183" priority="40">
      <formula>$D$211=template_label_value_inconsistency</formula>
    </cfRule>
  </conditionalFormatting>
  <conditionalFormatting sqref="L286">
    <cfRule type="expression" dxfId="182" priority="39">
      <formula>$D$286=template_label_value_inconsistency</formula>
    </cfRule>
  </conditionalFormatting>
  <conditionalFormatting sqref="L287">
    <cfRule type="expression" dxfId="181" priority="38">
      <formula>$D$287=template_label_value_inconsistency</formula>
    </cfRule>
  </conditionalFormatting>
  <conditionalFormatting sqref="L540:L544">
    <cfRule type="expression" dxfId="180" priority="147">
      <formula>$L540=template_label_missing_value</formula>
    </cfRule>
    <cfRule type="expression" dxfId="179" priority="231">
      <formula>$L540=template_label_ok</formula>
    </cfRule>
  </conditionalFormatting>
  <conditionalFormatting sqref="M323:M423">
    <cfRule type="expression" dxfId="178" priority="23">
      <formula>$M323=template_label_value_inconsistency</formula>
    </cfRule>
    <cfRule type="expression" dxfId="177" priority="382">
      <formula>$M323=template_label_error</formula>
    </cfRule>
    <cfRule type="expression" dxfId="176" priority="383">
      <formula>$M323=template_label_missing_value</formula>
    </cfRule>
    <cfRule type="expression" dxfId="175" priority="384">
      <formula>$M323=template_label_ok</formula>
    </cfRule>
  </conditionalFormatting>
  <conditionalFormatting sqref="M548">
    <cfRule type="expression" dxfId="174" priority="230">
      <formula>$M$548=template_label_ok</formula>
    </cfRule>
  </conditionalFormatting>
  <dataValidations count="47">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D309 D56:K56 G184:K184 G433:J433 E539:K53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 type="list" showInputMessage="1" showErrorMessage="1" sqref="G75:K75" xr:uid="{2E8FFDAE-148E-4597-9D63-2F06408AAD0B}">
      <formula1>enum_list_true_false</formula1>
    </dataValidation>
  </dataValidations>
  <hyperlinks>
    <hyperlink ref="C14:F14" location="template_FUEL_CONVERTER" display="Fuels (see Fuel Converter on Fuels worksheet)" xr:uid="{A029E2CF-74B8-43AA-80AE-64A2E02A3995}"/>
    <hyperlink ref="C3:K3" r:id="rId1" display="https://knowledgehub.efrag.org/eng/interactive/vsme/vsme-standard-annex-i/2025-07-30-ec-rec/29" xr:uid="{0C164CFA-71E1-4DB2-9DBA-A0D13798AA0B}"/>
    <hyperlink ref="C4:K4" r:id="rId2" display="18-25" xr:uid="{C698B175-114F-4856-95C3-BDF0442D32C4}"/>
    <hyperlink ref="C8:K8" r:id="rId3" display="https://knowledgehub.efrag.org/eng/interactive/vsme/vsme-standard-annex-i/2025-07-30-ec-rec/29" xr:uid="{631FA8B0-1E4E-4DA0-A69C-09741D5274FD}"/>
    <hyperlink ref="C9:K9" r:id="rId4" display="18-25" xr:uid="{E55346FD-5198-4DEF-A393-2C9C313F10F3}"/>
    <hyperlink ref="C17:F17" r:id="rId5" display="https://knowledgehub.efrag.org/eng/interactive/vsme/vsme-standard-annex-i/2025-07-30-ec-rec/30" xr:uid="{BA4D96A1-7DB2-4A4C-A936-600D48BCB68D}"/>
    <hyperlink ref="G17:I17" r:id="rId6" display="54(b)" xr:uid="{E0D46830-D4B8-4B45-AE8A-B9FD8AB49CB0}"/>
    <hyperlink ref="J17" r:id="rId7" xr:uid="{FDB626AB-21B0-457E-A48E-92C5D02C2359}"/>
    <hyperlink ref="K17" r:id="rId8" xr:uid="{32335B75-108C-425D-B01F-DBA8A5C991D2}"/>
    <hyperlink ref="D18:F18" r:id="rId9" display="26-45" xr:uid="{2F3459F7-35F8-47D9-B9E1-C7EF1D0DB327}"/>
    <hyperlink ref="G18:I18" r:id="rId10" display="152-158" xr:uid="{B6C23CDF-49E2-473B-95C0-1647E86B1D46}"/>
    <hyperlink ref="J18" r:id="rId11" xr:uid="{418FE2A7-A9D2-4052-9E5E-C57BFCCBB795}"/>
    <hyperlink ref="K18" r:id="rId12" xr:uid="{DF7ABD5B-C18C-422C-B1E1-CC2E06A5CA8F}"/>
    <hyperlink ref="C27:F27" r:id="rId13" display="50-53" xr:uid="{23B45874-5C55-4974-AEA4-5728DF471027}"/>
    <hyperlink ref="G27:J27" r:id="rId14" display="https://knowledgehub.efrag.org/eng/interactive/vsme/vsme-standard-annex-i/2025-07-30-ec-rec/54/d" xr:uid="{FEEB300F-B2B5-4E1E-AD70-86CC9BE9215E}"/>
    <hyperlink ref="D28:F28" r:id="rId15" display="150-151" xr:uid="{7F405085-2CCD-424A-B7EE-8DDF92DB8A9F}"/>
    <hyperlink ref="C50:K50" r:id="rId16" display="54(e)" xr:uid="{CCBF0462-1DD0-4C62-B58C-FBF5599770A9}"/>
    <hyperlink ref="C51:K51" r:id="rId17" display="https://knowledgehub.efrag.org/eng/interactive/vsme/vsme-guidance-annex-ii/2025-07-30-ec-rec/159" xr:uid="{0CB1274C-1ACD-4B01-93D6-B3FFD799AF82}"/>
    <hyperlink ref="A56" r:id="rId18" display="https://knowledgehub.efrag.org/eng/interactive/vsme/vsme-standard-annex-i/2025-07-30-ec-rec/55" xr:uid="{E4F95DAF-B78F-4521-B1A6-2E2DDFE5C1D6}"/>
    <hyperlink ref="A57" r:id="rId19" display="https://knowledgehub.efrag.org/eng/interactive/vsme/vsme-standard-annex-i/2025-07-30-ec-rec/55" xr:uid="{09B8A83D-A5B1-43EC-B662-30991110F5F0}"/>
    <hyperlink ref="A58" r:id="rId20" display="https://knowledgehub.efrag.org/eng/interactive/vsme/vsme-standard-annex-i/2025-07-30-ec-rec/55" xr:uid="{6908E780-C5C2-4962-BD73-94B740E9E219}"/>
    <hyperlink ref="A59:A62" r:id="rId21" display="https://knowledgehub.efrag.org/eng/interactive/vsme/vsme-standard-annex-i/2025-07-30-ec-rec/56" xr:uid="{35B279A4-C468-4B59-A4B2-33430A35D184}"/>
    <hyperlink ref="B56" r:id="rId22" xr:uid="{2EC85EAB-54ED-42DE-8B0C-CD0FD206AFC6}"/>
    <hyperlink ref="B57" r:id="rId23" xr:uid="{FC8C6AD1-465E-4BAD-9732-E12C57A51F56}"/>
    <hyperlink ref="B58" r:id="rId24" xr:uid="{5BB13B4F-F442-45B0-A75E-09E29FEE1828}"/>
    <hyperlink ref="B59:B62" r:id="rId25" display="160-163" xr:uid="{9000F9A8-73A4-4733-B106-ABC9D7237B8C}"/>
    <hyperlink ref="C65:K65" r:id="rId26" display="https://knowledgehub.efrag.org/eng/interactive/vsme/vsme-standard-annex-i/2025-07-30-ec-rec/31" xr:uid="{CEA9C623-B7F9-4F2D-B368-4738243ED8F1}"/>
    <hyperlink ref="C72:K72" r:id="rId27" display="https://knowledgehub.efrag.org/eng/interactive/vsme/vsme-standard-annex-i/2025-07-30-ec-rec/b4-pollution-of-air-water-and-soil" xr:uid="{EAC5F272-9A84-4C1A-8DB4-4F014FFBB506}"/>
    <hyperlink ref="C73:K73" r:id="rId28" display="46-69" xr:uid="{582EB8BF-7BE2-444C-AB1D-575C9B9A9037}"/>
    <hyperlink ref="C182:K182" r:id="rId29" display="https://knowledgehub.efrag.org/eng/interactive/vsme/vsme-standard-annex-i/2025-07-30-ec-rec/33" xr:uid="{D931A0A0-C6AB-4FDA-A67D-A75BBE1024CD}"/>
    <hyperlink ref="C183:K183" r:id="rId30" display="70-73" xr:uid="{12B3AF73-4499-40A3-BC69-1DBB85ABB568}"/>
    <hyperlink ref="C290:F290" r:id="rId31" display="https://knowledgehub.efrag.org/eng/interactive/vsme/vsme-standard-annex-i/2025-07-30-ec-rec/34" xr:uid="{6AB5B4FE-505E-4BB6-8C4F-7690C7CD082E}"/>
    <hyperlink ref="C291:F291" r:id="rId32" display="74-76" xr:uid="{86B7FCCF-8D04-4B80-96AA-FCBAB7A39129}"/>
    <hyperlink ref="C301:D301" r:id="rId33" display="https://knowledgehub.efrag.org/eng/interactive/vsme/vsme-standard-annex-i/2025-07-30-ec-rec/35" xr:uid="{33F0AB59-940C-427C-B0AE-67C219E389AB}"/>
    <hyperlink ref="C302:D302" r:id="rId34" display="77-93" xr:uid="{91D9077A-27E9-4B40-AC10-EC15ED7E80A3}"/>
    <hyperlink ref="C307:D307" r:id="rId35" display="https://knowledgehub.efrag.org/eng/interactive/vsme/vsme-standard-annex-i/2025-07-30-ec-rec/36" xr:uid="{FBB60CFB-5AB2-4F8A-9B8D-3A84E1523635}"/>
    <hyperlink ref="C308:D308" r:id="rId36" display="77-90" xr:uid="{0917CD4B-73A8-4223-8588-F3AC7391580B}"/>
    <hyperlink ref="C314:G314" r:id="rId37" display="https://knowledgehub.efrag.org/eng/interactive/vsme/vsme-standard-annex-i/2025-07-30-ec-rec/37" xr:uid="{8BC5D105-CDEF-4750-9613-AD2A5A6F7175}"/>
    <hyperlink ref="C315:G315" r:id="rId38" display="https://knowledgehub.efrag.org/eng/interactive/vsme/vsme-guidance-annex-ii/2025-07-30-ec-rec/94" xr:uid="{C7D2AD13-21B3-48A3-9F43-7901BD95CE4A}"/>
    <hyperlink ref="C320:L320" r:id="rId39" display="38(a) and 38(b)" xr:uid="{D79E5006-95C8-4909-8E37-6A2D4396B593}"/>
    <hyperlink ref="C321:L321" r:id="rId40" display="95-107" xr:uid="{604EE79D-F83A-4C1D-A5DB-C9E193A7B76E}"/>
    <hyperlink ref="C431:J431" r:id="rId41" display="38(c)" xr:uid="{D8316060-B1B4-494D-BFBD-2861E9B461E7}"/>
    <hyperlink ref="C432:J432" r:id="rId42" display="108-109" xr:uid="{47398501-4A43-4687-B878-208AD68C1A6F}"/>
    <hyperlink ref="A540" r:id="rId43" xr:uid="{C18B7DDE-01EF-4304-AE6E-D03FC641002E}"/>
    <hyperlink ref="A541" r:id="rId44" xr:uid="{36491B5E-38EA-4E22-90DC-7A33AEF7C990}"/>
    <hyperlink ref="A542" r:id="rId45" xr:uid="{F6595B04-21F6-4375-9859-016C59F42EC1}"/>
    <hyperlink ref="A543" r:id="rId46" xr:uid="{B8EE32F5-085E-49E8-B572-05C2A5A46F75}"/>
    <hyperlink ref="B540" r:id="rId47" xr:uid="{5505A2FD-481B-468E-ADE0-9B3060737E76}"/>
    <hyperlink ref="B541" r:id="rId48" xr:uid="{45BA1752-7495-41F4-9110-F073991CC116}"/>
    <hyperlink ref="B542" r:id="rId49" xr:uid="{A5151E98-B014-4293-8B92-DD97817FD95D}"/>
    <hyperlink ref="B543" r:id="rId50" xr:uid="{EA3D1957-E13C-4130-AB9E-A6C44D57E978}"/>
    <hyperlink ref="B544" r:id="rId51" xr:uid="{05AB6E40-E54E-4A38-9C19-3962A779DE4E}"/>
    <hyperlink ref="A544" r:id="rId52" display="https://knowledgehub.efrag.org/eng/interactive/vsme/vsme-standard-annex-i/2025-07-30-ec-rec/58" xr:uid="{BCC41383-A442-4D3D-AF7E-3D42FCF59127}"/>
    <hyperlink ref="C547:L547" r:id="rId53" display="https://knowledgehub.efrag.org/eng/interactive/vsme/vsme-standard-annex-i/2025-07-30-ec-rec/10" xr:uid="{0DE82273-B070-499E-823E-F20E57398F44}"/>
    <hyperlink ref="A55:B55" r:id="rId54" display="https://www.efrag.org/en/vsme-supporting-guide-on-disclosure-c3-comprehensive-module-ghg-reduction-targets-and-climate" xr:uid="{13A6EA08-094C-47D0-8292-17FE4E81C54D}"/>
  </hyperlinks>
  <pageMargins left="0.7" right="0.7" top="0.75" bottom="0.75" header="0.3" footer="0.3"/>
  <pageSetup orientation="portrait" r:id="rId55"/>
  <drawing r:id="rId5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8" width="23.33203125" style="10" customWidth="1"/>
    <col min="9" max="9" width="21.33203125" style="10" bestFit="1" customWidth="1"/>
    <col min="10" max="16384" width="8.88671875" style="10"/>
  </cols>
  <sheetData>
    <row r="1" spans="1:8" ht="43.8" thickBot="1" x14ac:dyDescent="0.35">
      <c r="A1" s="226" t="str">
        <f>template_label_paragraph_reference</f>
        <v>Paragraph Reference</v>
      </c>
      <c r="B1" s="226" t="str">
        <f>template_label_paragraph_guidance_reference</f>
        <v>Paragraph Guidance Reference</v>
      </c>
    </row>
    <row r="2" spans="1:8" ht="15" thickBot="1" x14ac:dyDescent="0.35">
      <c r="C2" s="925" t="str">
        <f>template_label_employee_counting_methodology_for_the_disclosures_below_headcount_full_time_equivalent</f>
        <v>Employee counting methodology for the disclosures below (Headcount or Full time Equivalent linked from B1</v>
      </c>
      <c r="D2" s="926"/>
      <c r="E2" s="927"/>
      <c r="F2" s="928" t="str">
        <f>IF('General Information'!$E$284="","-",'General Information'!$E$284)</f>
        <v>Full-time equivalent (FTE)</v>
      </c>
      <c r="G2" s="928"/>
      <c r="H2" s="929"/>
    </row>
    <row r="3" spans="1:8" ht="15" thickBot="1" x14ac:dyDescent="0.35">
      <c r="C3" s="925" t="str">
        <f>template_label_employee_counting_methodology_for_the_disclosures_below_period</f>
        <v>Employee counting methodology for the disclosures below (At the end of the reporting period or as an average across the reporting period linked from B1)</v>
      </c>
      <c r="D3" s="926"/>
      <c r="E3" s="927"/>
      <c r="F3" s="930" t="str">
        <f>IF('General Information'!$E$283="","-",'General Information'!$E$283)</f>
        <v>As an average across the reporting period</v>
      </c>
      <c r="G3" s="931"/>
      <c r="H3" s="932"/>
    </row>
    <row r="5" spans="1:8" ht="15" thickBot="1" x14ac:dyDescent="0.35"/>
    <row r="6" spans="1:8" ht="15" thickBot="1" x14ac:dyDescent="0.35">
      <c r="C6" s="627" t="str">
        <f>template_label_b8_workforce_general_characteristics_type_of_contract&amp;" "&amp;template_label_always_to_be_reported</f>
        <v>B8 - Workforce - General characteristics - Type of contract [Always to be reported]</v>
      </c>
      <c r="D6" s="740"/>
      <c r="E6" s="740"/>
      <c r="F6" s="740"/>
      <c r="G6" s="741"/>
      <c r="H6"/>
    </row>
    <row r="7" spans="1:8" x14ac:dyDescent="0.3">
      <c r="C7" s="592" t="s">
        <v>88</v>
      </c>
      <c r="D7" s="608"/>
      <c r="E7" s="608"/>
      <c r="F7" s="608"/>
      <c r="G7" s="609"/>
    </row>
    <row r="8" spans="1:8" x14ac:dyDescent="0.3">
      <c r="C8" s="626" t="s">
        <v>89</v>
      </c>
      <c r="D8" s="590"/>
      <c r="E8" s="590"/>
      <c r="F8" s="590"/>
      <c r="G8" s="700"/>
    </row>
    <row r="9" spans="1:8" x14ac:dyDescent="0.3">
      <c r="C9" s="413" t="str">
        <f>template_label_type_of_contract</f>
        <v>Type of contract</v>
      </c>
      <c r="D9" s="933" t="str">
        <f>template_label_number_of_employees</f>
        <v>Number of employees</v>
      </c>
      <c r="E9" s="933"/>
      <c r="F9" s="933"/>
      <c r="G9" s="934"/>
      <c r="H9" s="133"/>
    </row>
    <row r="10" spans="1:8" x14ac:dyDescent="0.3">
      <c r="C10" s="134" t="str">
        <f>template_label_permanent_contract</f>
        <v>Permanent contract</v>
      </c>
      <c r="D10" s="859">
        <v>110</v>
      </c>
      <c r="E10" s="859"/>
      <c r="F10" s="859"/>
      <c r="G10" s="860"/>
      <c r="H10" s="15" t="str">
        <f>IF(OR(
'Table of Contents &amp; Validation'!D37=TRUE,'Table of Contents &amp; Validation'!D36=TRUE),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OK</v>
      </c>
    </row>
    <row r="11" spans="1:8" x14ac:dyDescent="0.3">
      <c r="C11" s="134" t="str">
        <f>template_label_temporary_contract</f>
        <v>Temporary contract</v>
      </c>
      <c r="D11" s="936">
        <f>IFERROR(IF(D10="", "-", $D$12 - $D$10), "-")</f>
        <v>41</v>
      </c>
      <c r="E11" s="936"/>
      <c r="F11" s="936"/>
      <c r="G11" s="937"/>
      <c r="H11" s="15"/>
    </row>
    <row r="12" spans="1:8" ht="15" thickBot="1" x14ac:dyDescent="0.35">
      <c r="C12" s="414" t="str">
        <f>template_label_total_employees</f>
        <v>Total employees (linked to B1)</v>
      </c>
      <c r="D12" s="938">
        <f>IF('General Information'!$E$282="", "-", VALUE(SUBSTITUTE('General Information'!$E$282, "-", "0")))</f>
        <v>151</v>
      </c>
      <c r="E12" s="938"/>
      <c r="F12" s="938"/>
      <c r="G12" s="939"/>
      <c r="H12" s="17"/>
    </row>
    <row r="13" spans="1:8" ht="15" thickBot="1" x14ac:dyDescent="0.35"/>
    <row r="14" spans="1:8" ht="15" thickBot="1" x14ac:dyDescent="0.35">
      <c r="C14" s="627" t="str">
        <f>template_label_b8_workforce_general_characteristics_gender&amp;" "&amp;template_label_always_to_be_reported</f>
        <v>B8 - Workforce - General characteristics - Gender [Always to be reported]</v>
      </c>
      <c r="D14" s="740"/>
      <c r="E14" s="740"/>
      <c r="F14" s="740"/>
      <c r="G14" s="741"/>
      <c r="H14"/>
    </row>
    <row r="15" spans="1:8" x14ac:dyDescent="0.3">
      <c r="C15" s="592" t="s">
        <v>90</v>
      </c>
      <c r="D15" s="608"/>
      <c r="E15" s="608"/>
      <c r="F15" s="608"/>
      <c r="G15" s="609"/>
    </row>
    <row r="16" spans="1:8" x14ac:dyDescent="0.3">
      <c r="C16" s="626" t="s">
        <v>89</v>
      </c>
      <c r="D16" s="590"/>
      <c r="E16" s="590"/>
      <c r="F16" s="590"/>
      <c r="G16" s="700"/>
    </row>
    <row r="17" spans="3:22" x14ac:dyDescent="0.3">
      <c r="C17" s="413" t="str">
        <f>template_label_gender</f>
        <v>Gender</v>
      </c>
      <c r="D17" s="933" t="str">
        <f>template_label_number_of_employees</f>
        <v>Number of employees</v>
      </c>
      <c r="E17" s="933"/>
      <c r="F17" s="933"/>
      <c r="G17" s="934"/>
    </row>
    <row r="18" spans="3:22" x14ac:dyDescent="0.3">
      <c r="C18" s="134" t="str">
        <f>template_label_male</f>
        <v>Male</v>
      </c>
      <c r="D18" s="859">
        <v>55</v>
      </c>
      <c r="E18" s="859"/>
      <c r="F18" s="859"/>
      <c r="G18" s="860"/>
      <c r="H18" s="935" t="str">
        <f>IF(OR(
'Table of Contents &amp; Validation'!D38=TRUE,'Table of Contents &amp; Validation'!D36=TRUE),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OK</v>
      </c>
      <c r="I18" s="923" t="str">
        <f>template_label_number_of_employees_warning</f>
        <v xml:space="preserve">ℹ️  Please make sure that the total number of employees is the same as the one provided in the "General Information" sheet cell E55
</v>
      </c>
      <c r="J18" s="923"/>
      <c r="K18" s="923"/>
      <c r="L18" s="923"/>
      <c r="M18" s="923"/>
    </row>
    <row r="19" spans="3:22" x14ac:dyDescent="0.3">
      <c r="C19" s="134" t="str">
        <f>template_label_female</f>
        <v>Female</v>
      </c>
      <c r="D19" s="859">
        <v>40</v>
      </c>
      <c r="E19" s="859"/>
      <c r="F19" s="859"/>
      <c r="G19" s="860"/>
      <c r="H19" s="935"/>
      <c r="I19" s="923"/>
      <c r="J19" s="923"/>
      <c r="K19" s="923"/>
      <c r="L19" s="923"/>
      <c r="M19" s="923"/>
    </row>
    <row r="20" spans="3:22" x14ac:dyDescent="0.3">
      <c r="C20" s="134" t="str">
        <f>template_label_other</f>
        <v>Other</v>
      </c>
      <c r="D20" s="859">
        <v>5</v>
      </c>
      <c r="E20" s="859"/>
      <c r="F20" s="859"/>
      <c r="G20" s="860"/>
      <c r="H20" s="935"/>
      <c r="I20" s="923"/>
      <c r="J20" s="923"/>
      <c r="K20" s="923"/>
      <c r="L20" s="923"/>
      <c r="M20" s="923"/>
    </row>
    <row r="21" spans="3:22" x14ac:dyDescent="0.3">
      <c r="C21" s="134" t="str">
        <f>template_label_not_reported</f>
        <v>Not reported</v>
      </c>
      <c r="D21" s="859">
        <v>51</v>
      </c>
      <c r="E21" s="859"/>
      <c r="F21" s="859"/>
      <c r="G21" s="860"/>
      <c r="H21" s="935"/>
      <c r="I21" s="923"/>
      <c r="J21" s="923"/>
      <c r="K21" s="923"/>
      <c r="L21" s="923"/>
      <c r="M21" s="923"/>
    </row>
    <row r="22" spans="3:22" ht="15" thickBot="1" x14ac:dyDescent="0.35">
      <c r="C22" s="414" t="str">
        <f>template_label_total_employees</f>
        <v>Total employees (linked to B1)</v>
      </c>
      <c r="D22" s="938">
        <f>IF('General Information'!$E$282="","-",'General Information'!$E$282)</f>
        <v>151</v>
      </c>
      <c r="E22" s="938"/>
      <c r="F22" s="938"/>
      <c r="G22" s="939"/>
      <c r="H22" s="18"/>
    </row>
    <row r="23" spans="3:22" ht="15" thickBot="1" x14ac:dyDescent="0.35"/>
    <row r="24" spans="3:22" ht="15" thickBot="1" x14ac:dyDescent="0.35">
      <c r="C24" s="627" t="str">
        <f>template_label_b8_workforce_general_characteristics_country_of_employment&amp;" "&amp;template_label_if_applicable</f>
        <v>B8 - Workforce - General characteristics - Country of employment [If applicable]</v>
      </c>
      <c r="D24" s="740"/>
      <c r="E24" s="740"/>
      <c r="F24" s="740"/>
      <c r="G24" s="740"/>
      <c r="H24" s="741"/>
    </row>
    <row r="25" spans="3:22" x14ac:dyDescent="0.3">
      <c r="C25" s="592" t="s">
        <v>91</v>
      </c>
      <c r="D25" s="608"/>
      <c r="E25" s="608"/>
      <c r="F25" s="608"/>
      <c r="G25" s="608"/>
      <c r="H25" s="609"/>
    </row>
    <row r="26" spans="3:22" x14ac:dyDescent="0.3">
      <c r="C26" s="626" t="s">
        <v>89</v>
      </c>
      <c r="D26" s="590"/>
      <c r="E26" s="590"/>
      <c r="F26" s="590"/>
      <c r="G26" s="590"/>
      <c r="H26" s="700"/>
    </row>
    <row r="27" spans="3:22" x14ac:dyDescent="0.3">
      <c r="C27" s="940" t="str">
        <f>template_label_undertaking_operating_in_more_than_one_country</f>
        <v>Does the undertaking operate in more than one country?</v>
      </c>
      <c r="D27" s="941"/>
      <c r="E27" s="729" t="b">
        <v>1</v>
      </c>
      <c r="F27" s="729"/>
      <c r="G27" s="729"/>
      <c r="H27" s="730"/>
    </row>
    <row r="28" spans="3:22" x14ac:dyDescent="0.3">
      <c r="C28" s="898" t="str">
        <f>template_label_country_of_employment_contract</f>
        <v>Country of employment contract</v>
      </c>
      <c r="D28" s="818"/>
      <c r="E28" s="933" t="str">
        <f>template_label_number_of_employees</f>
        <v>Number of employees</v>
      </c>
      <c r="F28" s="933"/>
      <c r="G28" s="933"/>
      <c r="H28" s="934"/>
    </row>
    <row r="29" spans="3:22" ht="14.7" customHeight="1" x14ac:dyDescent="0.3">
      <c r="C29" s="899" t="s">
        <v>29</v>
      </c>
      <c r="D29" s="900"/>
      <c r="E29" s="921">
        <v>140</v>
      </c>
      <c r="F29" s="921"/>
      <c r="G29" s="921"/>
      <c r="H29" s="922"/>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924" t="str">
        <f>template_label_number_of_employees_warning</f>
        <v xml:space="preserve">ℹ️  Please make sure that the total number of employees is the same as the one provided in the "General Information" sheet cell E55
</v>
      </c>
      <c r="K29" s="924"/>
      <c r="L29" s="924"/>
      <c r="M29" s="924"/>
      <c r="N29" s="924"/>
      <c r="O29" s="924"/>
      <c r="P29" s="924"/>
      <c r="Q29" s="924"/>
      <c r="R29" s="924"/>
      <c r="S29" s="924"/>
      <c r="T29" s="924"/>
      <c r="U29" s="924"/>
      <c r="V29" s="924"/>
    </row>
    <row r="30" spans="3:22" x14ac:dyDescent="0.3">
      <c r="C30" s="899" t="s">
        <v>92</v>
      </c>
      <c r="D30" s="900"/>
      <c r="E30" s="921">
        <v>6</v>
      </c>
      <c r="F30" s="921"/>
      <c r="G30" s="921"/>
      <c r="H30" s="922"/>
      <c r="I30" s="15" t="str">
        <f t="shared" si="0"/>
        <v>OK</v>
      </c>
      <c r="J30" s="924"/>
      <c r="K30" s="924"/>
      <c r="L30" s="924"/>
      <c r="M30" s="924"/>
      <c r="N30" s="924"/>
      <c r="O30" s="924"/>
      <c r="P30" s="924"/>
      <c r="Q30" s="924"/>
      <c r="R30" s="924"/>
      <c r="S30" s="924"/>
      <c r="T30" s="924"/>
      <c r="U30" s="924"/>
      <c r="V30" s="924"/>
    </row>
    <row r="31" spans="3:22" x14ac:dyDescent="0.3">
      <c r="C31" s="899" t="s">
        <v>93</v>
      </c>
      <c r="D31" s="900"/>
      <c r="E31" s="921">
        <v>5</v>
      </c>
      <c r="F31" s="921"/>
      <c r="G31" s="921"/>
      <c r="H31" s="922"/>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899"/>
      <c r="D32" s="900"/>
      <c r="E32" s="921"/>
      <c r="F32" s="921"/>
      <c r="G32" s="921"/>
      <c r="H32" s="922"/>
      <c r="I32" s="15" t="str">
        <f t="shared" si="0"/>
        <v/>
      </c>
    </row>
    <row r="33" spans="3:9" hidden="1" outlineLevel="1" x14ac:dyDescent="0.3">
      <c r="C33" s="899"/>
      <c r="D33" s="900"/>
      <c r="E33" s="921"/>
      <c r="F33" s="921"/>
      <c r="G33" s="921"/>
      <c r="H33" s="922"/>
      <c r="I33" s="15" t="str">
        <f t="shared" si="0"/>
        <v/>
      </c>
    </row>
    <row r="34" spans="3:9" hidden="1" outlineLevel="1" x14ac:dyDescent="0.3">
      <c r="C34" s="899"/>
      <c r="D34" s="900"/>
      <c r="E34" s="921"/>
      <c r="F34" s="921"/>
      <c r="G34" s="921"/>
      <c r="H34" s="922"/>
      <c r="I34" s="15" t="str">
        <f t="shared" si="0"/>
        <v/>
      </c>
    </row>
    <row r="35" spans="3:9" hidden="1" outlineLevel="1" x14ac:dyDescent="0.3">
      <c r="C35" s="899"/>
      <c r="D35" s="900"/>
      <c r="E35" s="921"/>
      <c r="F35" s="921"/>
      <c r="G35" s="921"/>
      <c r="H35" s="922"/>
      <c r="I35" s="15" t="str">
        <f t="shared" si="0"/>
        <v/>
      </c>
    </row>
    <row r="36" spans="3:9" hidden="1" outlineLevel="1" x14ac:dyDescent="0.3">
      <c r="C36" s="899"/>
      <c r="D36" s="900"/>
      <c r="E36" s="921"/>
      <c r="F36" s="921"/>
      <c r="G36" s="921"/>
      <c r="H36" s="922"/>
      <c r="I36" s="15" t="str">
        <f t="shared" si="0"/>
        <v/>
      </c>
    </row>
    <row r="37" spans="3:9" hidden="1" outlineLevel="1" x14ac:dyDescent="0.3">
      <c r="C37" s="899"/>
      <c r="D37" s="900"/>
      <c r="E37" s="921"/>
      <c r="F37" s="921"/>
      <c r="G37" s="921"/>
      <c r="H37" s="922"/>
      <c r="I37" s="15" t="str">
        <f t="shared" si="0"/>
        <v/>
      </c>
    </row>
    <row r="38" spans="3:9" hidden="1" outlineLevel="1" x14ac:dyDescent="0.3">
      <c r="C38" s="899"/>
      <c r="D38" s="900"/>
      <c r="E38" s="921"/>
      <c r="F38" s="921"/>
      <c r="G38" s="921"/>
      <c r="H38" s="922"/>
      <c r="I38" s="15" t="str">
        <f t="shared" si="0"/>
        <v/>
      </c>
    </row>
    <row r="39" spans="3:9" hidden="1" outlineLevel="1" x14ac:dyDescent="0.3">
      <c r="C39" s="899"/>
      <c r="D39" s="900"/>
      <c r="E39" s="921"/>
      <c r="F39" s="921"/>
      <c r="G39" s="921"/>
      <c r="H39" s="922"/>
      <c r="I39" s="15" t="str">
        <f t="shared" si="0"/>
        <v/>
      </c>
    </row>
    <row r="40" spans="3:9" hidden="1" outlineLevel="1" x14ac:dyDescent="0.3">
      <c r="C40" s="899"/>
      <c r="D40" s="900"/>
      <c r="E40" s="921"/>
      <c r="F40" s="921"/>
      <c r="G40" s="921"/>
      <c r="H40" s="922"/>
      <c r="I40" s="15" t="str">
        <f t="shared" si="0"/>
        <v/>
      </c>
    </row>
    <row r="41" spans="3:9" hidden="1" outlineLevel="1" x14ac:dyDescent="0.3">
      <c r="C41" s="899"/>
      <c r="D41" s="900"/>
      <c r="E41" s="921"/>
      <c r="F41" s="921"/>
      <c r="G41" s="921"/>
      <c r="H41" s="922"/>
      <c r="I41" s="15" t="str">
        <f t="shared" si="0"/>
        <v/>
      </c>
    </row>
    <row r="42" spans="3:9" hidden="1" outlineLevel="1" x14ac:dyDescent="0.3">
      <c r="C42" s="899"/>
      <c r="D42" s="900"/>
      <c r="E42" s="921"/>
      <c r="F42" s="921"/>
      <c r="G42" s="921"/>
      <c r="H42" s="922"/>
      <c r="I42" s="15" t="str">
        <f t="shared" si="0"/>
        <v/>
      </c>
    </row>
    <row r="43" spans="3:9" hidden="1" outlineLevel="1" x14ac:dyDescent="0.3">
      <c r="C43" s="899"/>
      <c r="D43" s="900"/>
      <c r="E43" s="921"/>
      <c r="F43" s="921"/>
      <c r="G43" s="921"/>
      <c r="H43" s="922"/>
      <c r="I43" s="15" t="str">
        <f t="shared" si="0"/>
        <v/>
      </c>
    </row>
    <row r="44" spans="3:9" hidden="1" outlineLevel="1" x14ac:dyDescent="0.3">
      <c r="C44" s="899"/>
      <c r="D44" s="900"/>
      <c r="E44" s="921"/>
      <c r="F44" s="921"/>
      <c r="G44" s="921"/>
      <c r="H44" s="922"/>
      <c r="I44" s="15" t="str">
        <f t="shared" si="0"/>
        <v/>
      </c>
    </row>
    <row r="45" spans="3:9" hidden="1" outlineLevel="1" x14ac:dyDescent="0.3">
      <c r="C45" s="899"/>
      <c r="D45" s="900"/>
      <c r="E45" s="921"/>
      <c r="F45" s="921"/>
      <c r="G45" s="921"/>
      <c r="H45" s="922"/>
      <c r="I45" s="15" t="str">
        <f t="shared" si="0"/>
        <v/>
      </c>
    </row>
    <row r="46" spans="3:9" hidden="1" outlineLevel="1" x14ac:dyDescent="0.3">
      <c r="C46" s="899"/>
      <c r="D46" s="900"/>
      <c r="E46" s="921"/>
      <c r="F46" s="921"/>
      <c r="G46" s="921"/>
      <c r="H46" s="922"/>
      <c r="I46" s="15" t="str">
        <f t="shared" si="0"/>
        <v/>
      </c>
    </row>
    <row r="47" spans="3:9" hidden="1" outlineLevel="1" x14ac:dyDescent="0.3">
      <c r="C47" s="899"/>
      <c r="D47" s="900"/>
      <c r="E47" s="921"/>
      <c r="F47" s="921"/>
      <c r="G47" s="921"/>
      <c r="H47" s="922"/>
      <c r="I47" s="15" t="str">
        <f t="shared" si="0"/>
        <v/>
      </c>
    </row>
    <row r="48" spans="3:9" hidden="1" outlineLevel="1" x14ac:dyDescent="0.3">
      <c r="C48" s="899"/>
      <c r="D48" s="900"/>
      <c r="E48" s="921"/>
      <c r="F48" s="921"/>
      <c r="G48" s="921"/>
      <c r="H48" s="922"/>
      <c r="I48" s="15" t="str">
        <f t="shared" si="0"/>
        <v/>
      </c>
    </row>
    <row r="49" spans="3:9" hidden="1" outlineLevel="1" x14ac:dyDescent="0.3">
      <c r="C49" s="899"/>
      <c r="D49" s="900"/>
      <c r="E49" s="921"/>
      <c r="F49" s="921"/>
      <c r="G49" s="921"/>
      <c r="H49" s="922"/>
      <c r="I49" s="15" t="str">
        <f t="shared" si="0"/>
        <v/>
      </c>
    </row>
    <row r="50" spans="3:9" hidden="1" outlineLevel="1" x14ac:dyDescent="0.3">
      <c r="C50" s="899"/>
      <c r="D50" s="900"/>
      <c r="E50" s="921"/>
      <c r="F50" s="921"/>
      <c r="G50" s="921"/>
      <c r="H50" s="922"/>
      <c r="I50" s="15" t="str">
        <f t="shared" si="0"/>
        <v/>
      </c>
    </row>
    <row r="51" spans="3:9" hidden="1" outlineLevel="1" x14ac:dyDescent="0.3">
      <c r="C51" s="899"/>
      <c r="D51" s="900"/>
      <c r="E51" s="921"/>
      <c r="F51" s="921"/>
      <c r="G51" s="921"/>
      <c r="H51" s="922"/>
      <c r="I51" s="15" t="str">
        <f t="shared" si="0"/>
        <v/>
      </c>
    </row>
    <row r="52" spans="3:9" hidden="1" outlineLevel="1" x14ac:dyDescent="0.3">
      <c r="C52" s="899"/>
      <c r="D52" s="900"/>
      <c r="E52" s="921"/>
      <c r="F52" s="921"/>
      <c r="G52" s="921"/>
      <c r="H52" s="922"/>
      <c r="I52" s="15" t="str">
        <f t="shared" si="0"/>
        <v/>
      </c>
    </row>
    <row r="53" spans="3:9" hidden="1" outlineLevel="1" x14ac:dyDescent="0.3">
      <c r="C53" s="899"/>
      <c r="D53" s="900"/>
      <c r="E53" s="921"/>
      <c r="F53" s="921"/>
      <c r="G53" s="921"/>
      <c r="H53" s="922"/>
      <c r="I53" s="15" t="str">
        <f t="shared" si="0"/>
        <v/>
      </c>
    </row>
    <row r="54" spans="3:9" hidden="1" outlineLevel="1" x14ac:dyDescent="0.3">
      <c r="C54" s="899"/>
      <c r="D54" s="900"/>
      <c r="E54" s="921"/>
      <c r="F54" s="921"/>
      <c r="G54" s="921"/>
      <c r="H54" s="922"/>
      <c r="I54" s="15" t="str">
        <f t="shared" si="0"/>
        <v/>
      </c>
    </row>
    <row r="55" spans="3:9" hidden="1" outlineLevel="1" x14ac:dyDescent="0.3">
      <c r="C55" s="899"/>
      <c r="D55" s="900"/>
      <c r="E55" s="921"/>
      <c r="F55" s="921"/>
      <c r="G55" s="921"/>
      <c r="H55" s="922"/>
      <c r="I55" s="15" t="str">
        <f t="shared" si="0"/>
        <v/>
      </c>
    </row>
    <row r="56" spans="3:9" hidden="1" outlineLevel="1" x14ac:dyDescent="0.3">
      <c r="C56" s="899"/>
      <c r="D56" s="900"/>
      <c r="E56" s="921"/>
      <c r="F56" s="921"/>
      <c r="G56" s="921"/>
      <c r="H56" s="922"/>
      <c r="I56" s="15" t="str">
        <f t="shared" si="0"/>
        <v/>
      </c>
    </row>
    <row r="57" spans="3:9" hidden="1" outlineLevel="1" x14ac:dyDescent="0.3">
      <c r="C57" s="899"/>
      <c r="D57" s="900"/>
      <c r="E57" s="921"/>
      <c r="F57" s="921"/>
      <c r="G57" s="921"/>
      <c r="H57" s="922"/>
      <c r="I57" s="15" t="str">
        <f t="shared" si="0"/>
        <v/>
      </c>
    </row>
    <row r="58" spans="3:9" hidden="1" outlineLevel="1" x14ac:dyDescent="0.3">
      <c r="C58" s="899"/>
      <c r="D58" s="900"/>
      <c r="E58" s="921"/>
      <c r="F58" s="921"/>
      <c r="G58" s="921"/>
      <c r="H58" s="922"/>
      <c r="I58" s="15" t="str">
        <f t="shared" si="0"/>
        <v/>
      </c>
    </row>
    <row r="59" spans="3:9" hidden="1" outlineLevel="1" x14ac:dyDescent="0.3">
      <c r="C59" s="899"/>
      <c r="D59" s="900"/>
      <c r="E59" s="921"/>
      <c r="F59" s="921"/>
      <c r="G59" s="921"/>
      <c r="H59" s="922"/>
      <c r="I59" s="15" t="str">
        <f t="shared" si="0"/>
        <v/>
      </c>
    </row>
    <row r="60" spans="3:9" hidden="1" outlineLevel="1" x14ac:dyDescent="0.3">
      <c r="C60" s="899"/>
      <c r="D60" s="900"/>
      <c r="E60" s="921"/>
      <c r="F60" s="921"/>
      <c r="G60" s="921"/>
      <c r="H60" s="922"/>
      <c r="I60" s="15" t="str">
        <f t="shared" si="0"/>
        <v/>
      </c>
    </row>
    <row r="61" spans="3:9" hidden="1" outlineLevel="1" x14ac:dyDescent="0.3">
      <c r="C61" s="899"/>
      <c r="D61" s="900"/>
      <c r="E61" s="921"/>
      <c r="F61" s="921"/>
      <c r="G61" s="921"/>
      <c r="H61" s="922"/>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899"/>
      <c r="D62" s="900"/>
      <c r="E62" s="921"/>
      <c r="F62" s="921"/>
      <c r="G62" s="921"/>
      <c r="H62" s="922"/>
      <c r="I62" s="15" t="str">
        <f t="shared" si="1"/>
        <v/>
      </c>
    </row>
    <row r="63" spans="3:9" hidden="1" outlineLevel="1" x14ac:dyDescent="0.3">
      <c r="C63" s="899"/>
      <c r="D63" s="900"/>
      <c r="E63" s="921"/>
      <c r="F63" s="921"/>
      <c r="G63" s="921"/>
      <c r="H63" s="922"/>
      <c r="I63" s="15" t="str">
        <f t="shared" si="1"/>
        <v/>
      </c>
    </row>
    <row r="64" spans="3:9" hidden="1" outlineLevel="1" x14ac:dyDescent="0.3">
      <c r="C64" s="899"/>
      <c r="D64" s="900"/>
      <c r="E64" s="921"/>
      <c r="F64" s="921"/>
      <c r="G64" s="921"/>
      <c r="H64" s="922"/>
      <c r="I64" s="15" t="str">
        <f t="shared" si="1"/>
        <v/>
      </c>
    </row>
    <row r="65" spans="3:9" hidden="1" outlineLevel="1" x14ac:dyDescent="0.3">
      <c r="C65" s="899"/>
      <c r="D65" s="900"/>
      <c r="E65" s="921"/>
      <c r="F65" s="921"/>
      <c r="G65" s="921"/>
      <c r="H65" s="922"/>
      <c r="I65" s="15" t="str">
        <f t="shared" si="1"/>
        <v/>
      </c>
    </row>
    <row r="66" spans="3:9" hidden="1" outlineLevel="1" x14ac:dyDescent="0.3">
      <c r="C66" s="899"/>
      <c r="D66" s="900"/>
      <c r="E66" s="921"/>
      <c r="F66" s="921"/>
      <c r="G66" s="921"/>
      <c r="H66" s="922"/>
      <c r="I66" s="15" t="str">
        <f t="shared" si="1"/>
        <v/>
      </c>
    </row>
    <row r="67" spans="3:9" hidden="1" outlineLevel="1" x14ac:dyDescent="0.3">
      <c r="C67" s="899"/>
      <c r="D67" s="900"/>
      <c r="E67" s="921"/>
      <c r="F67" s="921"/>
      <c r="G67" s="921"/>
      <c r="H67" s="922"/>
      <c r="I67" s="15" t="str">
        <f t="shared" si="1"/>
        <v/>
      </c>
    </row>
    <row r="68" spans="3:9" hidden="1" outlineLevel="1" x14ac:dyDescent="0.3">
      <c r="C68" s="899"/>
      <c r="D68" s="900"/>
      <c r="E68" s="921"/>
      <c r="F68" s="921"/>
      <c r="G68" s="921"/>
      <c r="H68" s="922"/>
      <c r="I68" s="15" t="str">
        <f t="shared" si="1"/>
        <v/>
      </c>
    </row>
    <row r="69" spans="3:9" hidden="1" outlineLevel="1" x14ac:dyDescent="0.3">
      <c r="C69" s="899"/>
      <c r="D69" s="900"/>
      <c r="E69" s="921"/>
      <c r="F69" s="921"/>
      <c r="G69" s="921"/>
      <c r="H69" s="922"/>
      <c r="I69" s="15" t="str">
        <f t="shared" si="1"/>
        <v/>
      </c>
    </row>
    <row r="70" spans="3:9" hidden="1" outlineLevel="1" x14ac:dyDescent="0.3">
      <c r="C70" s="899"/>
      <c r="D70" s="900"/>
      <c r="E70" s="921"/>
      <c r="F70" s="921"/>
      <c r="G70" s="921"/>
      <c r="H70" s="922"/>
      <c r="I70" s="15" t="str">
        <f t="shared" si="1"/>
        <v/>
      </c>
    </row>
    <row r="71" spans="3:9" hidden="1" outlineLevel="1" x14ac:dyDescent="0.3">
      <c r="C71" s="899"/>
      <c r="D71" s="900"/>
      <c r="E71" s="921"/>
      <c r="F71" s="921"/>
      <c r="G71" s="921"/>
      <c r="H71" s="922"/>
      <c r="I71" s="15" t="str">
        <f t="shared" si="1"/>
        <v/>
      </c>
    </row>
    <row r="72" spans="3:9" hidden="1" outlineLevel="1" x14ac:dyDescent="0.3">
      <c r="C72" s="899"/>
      <c r="D72" s="900"/>
      <c r="E72" s="921"/>
      <c r="F72" s="921"/>
      <c r="G72" s="921"/>
      <c r="H72" s="922"/>
      <c r="I72" s="15" t="str">
        <f t="shared" si="1"/>
        <v/>
      </c>
    </row>
    <row r="73" spans="3:9" hidden="1" outlineLevel="1" x14ac:dyDescent="0.3">
      <c r="C73" s="899"/>
      <c r="D73" s="900"/>
      <c r="E73" s="921"/>
      <c r="F73" s="921"/>
      <c r="G73" s="921"/>
      <c r="H73" s="922"/>
      <c r="I73" s="15" t="str">
        <f t="shared" si="1"/>
        <v/>
      </c>
    </row>
    <row r="74" spans="3:9" hidden="1" outlineLevel="1" x14ac:dyDescent="0.3">
      <c r="C74" s="899"/>
      <c r="D74" s="900"/>
      <c r="E74" s="921"/>
      <c r="F74" s="921"/>
      <c r="G74" s="921"/>
      <c r="H74" s="922"/>
      <c r="I74" s="15" t="str">
        <f t="shared" si="1"/>
        <v/>
      </c>
    </row>
    <row r="75" spans="3:9" hidden="1" outlineLevel="1" x14ac:dyDescent="0.3">
      <c r="C75" s="899"/>
      <c r="D75" s="900"/>
      <c r="E75" s="921"/>
      <c r="F75" s="921"/>
      <c r="G75" s="921"/>
      <c r="H75" s="922"/>
      <c r="I75" s="15" t="str">
        <f t="shared" si="1"/>
        <v/>
      </c>
    </row>
    <row r="76" spans="3:9" hidden="1" outlineLevel="1" x14ac:dyDescent="0.3">
      <c r="C76" s="899"/>
      <c r="D76" s="900"/>
      <c r="E76" s="921"/>
      <c r="F76" s="921"/>
      <c r="G76" s="921"/>
      <c r="H76" s="922"/>
      <c r="I76" s="15" t="str">
        <f t="shared" si="1"/>
        <v/>
      </c>
    </row>
    <row r="77" spans="3:9" hidden="1" outlineLevel="1" x14ac:dyDescent="0.3">
      <c r="C77" s="899"/>
      <c r="D77" s="900"/>
      <c r="E77" s="921"/>
      <c r="F77" s="921"/>
      <c r="G77" s="921"/>
      <c r="H77" s="922"/>
      <c r="I77" s="15" t="str">
        <f t="shared" si="1"/>
        <v/>
      </c>
    </row>
    <row r="78" spans="3:9" hidden="1" outlineLevel="1" x14ac:dyDescent="0.3">
      <c r="C78" s="899"/>
      <c r="D78" s="900"/>
      <c r="E78" s="921"/>
      <c r="F78" s="921"/>
      <c r="G78" s="921"/>
      <c r="H78" s="922"/>
      <c r="I78" s="15" t="str">
        <f t="shared" si="1"/>
        <v/>
      </c>
    </row>
    <row r="79" spans="3:9" hidden="1" outlineLevel="1" x14ac:dyDescent="0.3">
      <c r="C79" s="899"/>
      <c r="D79" s="900"/>
      <c r="E79" s="921"/>
      <c r="F79" s="921"/>
      <c r="G79" s="921"/>
      <c r="H79" s="922"/>
      <c r="I79" s="15" t="str">
        <f t="shared" si="1"/>
        <v/>
      </c>
    </row>
    <row r="80" spans="3:9" hidden="1" outlineLevel="1" x14ac:dyDescent="0.3">
      <c r="C80" s="899"/>
      <c r="D80" s="900"/>
      <c r="E80" s="921"/>
      <c r="F80" s="921"/>
      <c r="G80" s="921"/>
      <c r="H80" s="922"/>
      <c r="I80" s="15" t="str">
        <f t="shared" si="1"/>
        <v/>
      </c>
    </row>
    <row r="81" spans="3:9" hidden="1" outlineLevel="1" x14ac:dyDescent="0.3">
      <c r="C81" s="899"/>
      <c r="D81" s="900"/>
      <c r="E81" s="921"/>
      <c r="F81" s="921"/>
      <c r="G81" s="921"/>
      <c r="H81" s="922"/>
      <c r="I81" s="15" t="str">
        <f t="shared" si="1"/>
        <v/>
      </c>
    </row>
    <row r="82" spans="3:9" hidden="1" outlineLevel="1" x14ac:dyDescent="0.3">
      <c r="C82" s="899"/>
      <c r="D82" s="900"/>
      <c r="E82" s="921"/>
      <c r="F82" s="921"/>
      <c r="G82" s="921"/>
      <c r="H82" s="922"/>
      <c r="I82" s="15" t="str">
        <f t="shared" si="1"/>
        <v/>
      </c>
    </row>
    <row r="83" spans="3:9" hidden="1" outlineLevel="1" x14ac:dyDescent="0.3">
      <c r="C83" s="899"/>
      <c r="D83" s="900"/>
      <c r="E83" s="921"/>
      <c r="F83" s="921"/>
      <c r="G83" s="921"/>
      <c r="H83" s="922"/>
      <c r="I83" s="15" t="str">
        <f t="shared" si="1"/>
        <v/>
      </c>
    </row>
    <row r="84" spans="3:9" hidden="1" outlineLevel="1" x14ac:dyDescent="0.3">
      <c r="C84" s="899"/>
      <c r="D84" s="900"/>
      <c r="E84" s="921"/>
      <c r="F84" s="921"/>
      <c r="G84" s="921"/>
      <c r="H84" s="922"/>
      <c r="I84" s="15" t="str">
        <f t="shared" si="1"/>
        <v/>
      </c>
    </row>
    <row r="85" spans="3:9" hidden="1" outlineLevel="1" x14ac:dyDescent="0.3">
      <c r="C85" s="899"/>
      <c r="D85" s="900"/>
      <c r="E85" s="921"/>
      <c r="F85" s="921"/>
      <c r="G85" s="921"/>
      <c r="H85" s="922"/>
      <c r="I85" s="15" t="str">
        <f t="shared" si="1"/>
        <v/>
      </c>
    </row>
    <row r="86" spans="3:9" hidden="1" outlineLevel="1" x14ac:dyDescent="0.3">
      <c r="C86" s="899"/>
      <c r="D86" s="900"/>
      <c r="E86" s="921"/>
      <c r="F86" s="921"/>
      <c r="G86" s="921"/>
      <c r="H86" s="922"/>
      <c r="I86" s="15" t="str">
        <f t="shared" si="1"/>
        <v/>
      </c>
    </row>
    <row r="87" spans="3:9" hidden="1" outlineLevel="1" x14ac:dyDescent="0.3">
      <c r="C87" s="899"/>
      <c r="D87" s="900"/>
      <c r="E87" s="921"/>
      <c r="F87" s="921"/>
      <c r="G87" s="921"/>
      <c r="H87" s="922"/>
      <c r="I87" s="15" t="str">
        <f t="shared" si="1"/>
        <v/>
      </c>
    </row>
    <row r="88" spans="3:9" hidden="1" outlineLevel="1" x14ac:dyDescent="0.3">
      <c r="C88" s="899"/>
      <c r="D88" s="900"/>
      <c r="E88" s="921"/>
      <c r="F88" s="921"/>
      <c r="G88" s="921"/>
      <c r="H88" s="922"/>
      <c r="I88" s="15" t="str">
        <f t="shared" si="1"/>
        <v/>
      </c>
    </row>
    <row r="89" spans="3:9" hidden="1" outlineLevel="1" x14ac:dyDescent="0.3">
      <c r="C89" s="899"/>
      <c r="D89" s="900"/>
      <c r="E89" s="921"/>
      <c r="F89" s="921"/>
      <c r="G89" s="921"/>
      <c r="H89" s="922"/>
      <c r="I89" s="15" t="str">
        <f t="shared" si="1"/>
        <v/>
      </c>
    </row>
    <row r="90" spans="3:9" hidden="1" outlineLevel="1" x14ac:dyDescent="0.3">
      <c r="C90" s="899"/>
      <c r="D90" s="900"/>
      <c r="E90" s="921"/>
      <c r="F90" s="921"/>
      <c r="G90" s="921"/>
      <c r="H90" s="922"/>
      <c r="I90" s="15" t="str">
        <f t="shared" si="1"/>
        <v/>
      </c>
    </row>
    <row r="91" spans="3:9" hidden="1" outlineLevel="1" x14ac:dyDescent="0.3">
      <c r="C91" s="899"/>
      <c r="D91" s="900"/>
      <c r="E91" s="921"/>
      <c r="F91" s="921"/>
      <c r="G91" s="921"/>
      <c r="H91" s="922"/>
      <c r="I91" s="15" t="str">
        <f t="shared" si="1"/>
        <v/>
      </c>
    </row>
    <row r="92" spans="3:9" hidden="1" outlineLevel="1" x14ac:dyDescent="0.3">
      <c r="C92" s="899"/>
      <c r="D92" s="900"/>
      <c r="E92" s="921"/>
      <c r="F92" s="921"/>
      <c r="G92" s="921"/>
      <c r="H92" s="922"/>
      <c r="I92" s="15" t="str">
        <f t="shared" si="1"/>
        <v/>
      </c>
    </row>
    <row r="93" spans="3:9" hidden="1" outlineLevel="1" x14ac:dyDescent="0.3">
      <c r="C93" s="899"/>
      <c r="D93" s="900"/>
      <c r="E93" s="921"/>
      <c r="F93" s="921"/>
      <c r="G93" s="921"/>
      <c r="H93" s="922"/>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899"/>
      <c r="D94" s="900"/>
      <c r="E94" s="921"/>
      <c r="F94" s="921"/>
      <c r="G94" s="921"/>
      <c r="H94" s="922"/>
      <c r="I94" s="15" t="str">
        <f t="shared" si="2"/>
        <v/>
      </c>
    </row>
    <row r="95" spans="3:9" hidden="1" outlineLevel="1" x14ac:dyDescent="0.3">
      <c r="C95" s="899"/>
      <c r="D95" s="900"/>
      <c r="E95" s="921"/>
      <c r="F95" s="921"/>
      <c r="G95" s="921"/>
      <c r="H95" s="922"/>
      <c r="I95" s="15" t="str">
        <f t="shared" si="2"/>
        <v/>
      </c>
    </row>
    <row r="96" spans="3:9" hidden="1" outlineLevel="1" x14ac:dyDescent="0.3">
      <c r="C96" s="899"/>
      <c r="D96" s="900"/>
      <c r="E96" s="921"/>
      <c r="F96" s="921"/>
      <c r="G96" s="921"/>
      <c r="H96" s="922"/>
      <c r="I96" s="15" t="str">
        <f t="shared" si="2"/>
        <v/>
      </c>
    </row>
    <row r="97" spans="3:9" hidden="1" outlineLevel="1" x14ac:dyDescent="0.3">
      <c r="C97" s="899"/>
      <c r="D97" s="900"/>
      <c r="E97" s="921"/>
      <c r="F97" s="921"/>
      <c r="G97" s="921"/>
      <c r="H97" s="922"/>
      <c r="I97" s="15" t="str">
        <f t="shared" si="2"/>
        <v/>
      </c>
    </row>
    <row r="98" spans="3:9" hidden="1" outlineLevel="1" x14ac:dyDescent="0.3">
      <c r="C98" s="899"/>
      <c r="D98" s="900"/>
      <c r="E98" s="921"/>
      <c r="F98" s="921"/>
      <c r="G98" s="921"/>
      <c r="H98" s="922"/>
      <c r="I98" s="15" t="str">
        <f t="shared" si="2"/>
        <v/>
      </c>
    </row>
    <row r="99" spans="3:9" hidden="1" outlineLevel="1" x14ac:dyDescent="0.3">
      <c r="C99" s="899"/>
      <c r="D99" s="900"/>
      <c r="E99" s="921"/>
      <c r="F99" s="921"/>
      <c r="G99" s="921"/>
      <c r="H99" s="922"/>
      <c r="I99" s="15" t="str">
        <f t="shared" si="2"/>
        <v/>
      </c>
    </row>
    <row r="100" spans="3:9" hidden="1" outlineLevel="1" x14ac:dyDescent="0.3">
      <c r="C100" s="899"/>
      <c r="D100" s="900"/>
      <c r="E100" s="921"/>
      <c r="F100" s="921"/>
      <c r="G100" s="921"/>
      <c r="H100" s="922"/>
      <c r="I100" s="15" t="str">
        <f t="shared" si="2"/>
        <v/>
      </c>
    </row>
    <row r="101" spans="3:9" hidden="1" outlineLevel="1" x14ac:dyDescent="0.3">
      <c r="C101" s="899"/>
      <c r="D101" s="900"/>
      <c r="E101" s="921"/>
      <c r="F101" s="921"/>
      <c r="G101" s="921"/>
      <c r="H101" s="922"/>
      <c r="I101" s="15" t="str">
        <f t="shared" si="2"/>
        <v/>
      </c>
    </row>
    <row r="102" spans="3:9" hidden="1" outlineLevel="1" x14ac:dyDescent="0.3">
      <c r="C102" s="899"/>
      <c r="D102" s="900"/>
      <c r="E102" s="921"/>
      <c r="F102" s="921"/>
      <c r="G102" s="921"/>
      <c r="H102" s="922"/>
      <c r="I102" s="15" t="str">
        <f t="shared" si="2"/>
        <v/>
      </c>
    </row>
    <row r="103" spans="3:9" hidden="1" outlineLevel="1" x14ac:dyDescent="0.3">
      <c r="C103" s="899"/>
      <c r="D103" s="900"/>
      <c r="E103" s="921"/>
      <c r="F103" s="921"/>
      <c r="G103" s="921"/>
      <c r="H103" s="922"/>
      <c r="I103" s="15" t="str">
        <f t="shared" si="2"/>
        <v/>
      </c>
    </row>
    <row r="104" spans="3:9" hidden="1" outlineLevel="1" x14ac:dyDescent="0.3">
      <c r="C104" s="899"/>
      <c r="D104" s="900"/>
      <c r="E104" s="921"/>
      <c r="F104" s="921"/>
      <c r="G104" s="921"/>
      <c r="H104" s="922"/>
      <c r="I104" s="15" t="str">
        <f t="shared" si="2"/>
        <v/>
      </c>
    </row>
    <row r="105" spans="3:9" hidden="1" outlineLevel="1" x14ac:dyDescent="0.3">
      <c r="C105" s="899"/>
      <c r="D105" s="900"/>
      <c r="E105" s="921"/>
      <c r="F105" s="921"/>
      <c r="G105" s="921"/>
      <c r="H105" s="922"/>
      <c r="I105" s="15" t="str">
        <f t="shared" si="2"/>
        <v/>
      </c>
    </row>
    <row r="106" spans="3:9" hidden="1" outlineLevel="1" x14ac:dyDescent="0.3">
      <c r="C106" s="899"/>
      <c r="D106" s="900"/>
      <c r="E106" s="921"/>
      <c r="F106" s="921"/>
      <c r="G106" s="921"/>
      <c r="H106" s="922"/>
      <c r="I106" s="15" t="str">
        <f t="shared" si="2"/>
        <v/>
      </c>
    </row>
    <row r="107" spans="3:9" hidden="1" outlineLevel="1" x14ac:dyDescent="0.3">
      <c r="C107" s="899"/>
      <c r="D107" s="900"/>
      <c r="E107" s="921"/>
      <c r="F107" s="921"/>
      <c r="G107" s="921"/>
      <c r="H107" s="922"/>
      <c r="I107" s="15" t="str">
        <f t="shared" si="2"/>
        <v/>
      </c>
    </row>
    <row r="108" spans="3:9" hidden="1" outlineLevel="1" x14ac:dyDescent="0.3">
      <c r="C108" s="899"/>
      <c r="D108" s="900"/>
      <c r="E108" s="921"/>
      <c r="F108" s="921"/>
      <c r="G108" s="921"/>
      <c r="H108" s="922"/>
      <c r="I108" s="15" t="str">
        <f t="shared" si="2"/>
        <v/>
      </c>
    </row>
    <row r="109" spans="3:9" hidden="1" outlineLevel="1" x14ac:dyDescent="0.3">
      <c r="C109" s="899"/>
      <c r="D109" s="900"/>
      <c r="E109" s="921"/>
      <c r="F109" s="921"/>
      <c r="G109" s="921"/>
      <c r="H109" s="922"/>
      <c r="I109" s="15" t="str">
        <f t="shared" si="2"/>
        <v/>
      </c>
    </row>
    <row r="110" spans="3:9" hidden="1" outlineLevel="1" x14ac:dyDescent="0.3">
      <c r="C110" s="899"/>
      <c r="D110" s="900"/>
      <c r="E110" s="921"/>
      <c r="F110" s="921"/>
      <c r="G110" s="921"/>
      <c r="H110" s="922"/>
      <c r="I110" s="15" t="str">
        <f t="shared" si="2"/>
        <v/>
      </c>
    </row>
    <row r="111" spans="3:9" hidden="1" outlineLevel="1" x14ac:dyDescent="0.3">
      <c r="C111" s="899"/>
      <c r="D111" s="900"/>
      <c r="E111" s="921"/>
      <c r="F111" s="921"/>
      <c r="G111" s="921"/>
      <c r="H111" s="922"/>
      <c r="I111" s="15" t="str">
        <f t="shared" si="2"/>
        <v/>
      </c>
    </row>
    <row r="112" spans="3:9" hidden="1" outlineLevel="1" x14ac:dyDescent="0.3">
      <c r="C112" s="899"/>
      <c r="D112" s="900"/>
      <c r="E112" s="921"/>
      <c r="F112" s="921"/>
      <c r="G112" s="921"/>
      <c r="H112" s="922"/>
      <c r="I112" s="15" t="str">
        <f t="shared" si="2"/>
        <v/>
      </c>
    </row>
    <row r="113" spans="3:9" hidden="1" outlineLevel="1" x14ac:dyDescent="0.3">
      <c r="C113" s="899"/>
      <c r="D113" s="900"/>
      <c r="E113" s="921"/>
      <c r="F113" s="921"/>
      <c r="G113" s="921"/>
      <c r="H113" s="922"/>
      <c r="I113" s="15" t="str">
        <f t="shared" si="2"/>
        <v/>
      </c>
    </row>
    <row r="114" spans="3:9" hidden="1" outlineLevel="1" x14ac:dyDescent="0.3">
      <c r="C114" s="899"/>
      <c r="D114" s="900"/>
      <c r="E114" s="921"/>
      <c r="F114" s="921"/>
      <c r="G114" s="921"/>
      <c r="H114" s="922"/>
      <c r="I114" s="15" t="str">
        <f t="shared" si="2"/>
        <v/>
      </c>
    </row>
    <row r="115" spans="3:9" hidden="1" outlineLevel="1" x14ac:dyDescent="0.3">
      <c r="C115" s="899"/>
      <c r="D115" s="900"/>
      <c r="E115" s="921"/>
      <c r="F115" s="921"/>
      <c r="G115" s="921"/>
      <c r="H115" s="922"/>
      <c r="I115" s="15" t="str">
        <f t="shared" si="2"/>
        <v/>
      </c>
    </row>
    <row r="116" spans="3:9" hidden="1" outlineLevel="1" x14ac:dyDescent="0.3">
      <c r="C116" s="899"/>
      <c r="D116" s="900"/>
      <c r="E116" s="921"/>
      <c r="F116" s="921"/>
      <c r="G116" s="921"/>
      <c r="H116" s="922"/>
      <c r="I116" s="15" t="str">
        <f t="shared" si="2"/>
        <v/>
      </c>
    </row>
    <row r="117" spans="3:9" hidden="1" outlineLevel="1" x14ac:dyDescent="0.3">
      <c r="C117" s="899"/>
      <c r="D117" s="900"/>
      <c r="E117" s="921"/>
      <c r="F117" s="921"/>
      <c r="G117" s="921"/>
      <c r="H117" s="922"/>
      <c r="I117" s="15" t="str">
        <f t="shared" si="2"/>
        <v/>
      </c>
    </row>
    <row r="118" spans="3:9" hidden="1" outlineLevel="1" x14ac:dyDescent="0.3">
      <c r="C118" s="899"/>
      <c r="D118" s="900"/>
      <c r="E118" s="921"/>
      <c r="F118" s="921"/>
      <c r="G118" s="921"/>
      <c r="H118" s="922"/>
      <c r="I118" s="15" t="str">
        <f t="shared" si="2"/>
        <v/>
      </c>
    </row>
    <row r="119" spans="3:9" hidden="1" outlineLevel="1" x14ac:dyDescent="0.3">
      <c r="C119" s="899"/>
      <c r="D119" s="900"/>
      <c r="E119" s="921"/>
      <c r="F119" s="921"/>
      <c r="G119" s="921"/>
      <c r="H119" s="922"/>
      <c r="I119" s="15" t="str">
        <f t="shared" si="2"/>
        <v/>
      </c>
    </row>
    <row r="120" spans="3:9" hidden="1" outlineLevel="1" x14ac:dyDescent="0.3">
      <c r="C120" s="899"/>
      <c r="D120" s="900"/>
      <c r="E120" s="921"/>
      <c r="F120" s="921"/>
      <c r="G120" s="921"/>
      <c r="H120" s="922"/>
      <c r="I120" s="15" t="str">
        <f t="shared" si="2"/>
        <v/>
      </c>
    </row>
    <row r="121" spans="3:9" hidden="1" outlineLevel="1" x14ac:dyDescent="0.3">
      <c r="C121" s="899"/>
      <c r="D121" s="900"/>
      <c r="E121" s="921"/>
      <c r="F121" s="921"/>
      <c r="G121" s="921"/>
      <c r="H121" s="922"/>
      <c r="I121" s="15" t="str">
        <f t="shared" si="2"/>
        <v/>
      </c>
    </row>
    <row r="122" spans="3:9" hidden="1" outlineLevel="1" x14ac:dyDescent="0.3">
      <c r="C122" s="899"/>
      <c r="D122" s="900"/>
      <c r="E122" s="921"/>
      <c r="F122" s="921"/>
      <c r="G122" s="921"/>
      <c r="H122" s="922"/>
      <c r="I122" s="15" t="str">
        <f t="shared" si="2"/>
        <v/>
      </c>
    </row>
    <row r="123" spans="3:9" hidden="1" outlineLevel="1" x14ac:dyDescent="0.3">
      <c r="C123" s="899"/>
      <c r="D123" s="900"/>
      <c r="E123" s="921"/>
      <c r="F123" s="921"/>
      <c r="G123" s="921"/>
      <c r="H123" s="922"/>
      <c r="I123" s="15" t="str">
        <f t="shared" si="2"/>
        <v/>
      </c>
    </row>
    <row r="124" spans="3:9" hidden="1" outlineLevel="1" x14ac:dyDescent="0.3">
      <c r="C124" s="899"/>
      <c r="D124" s="900"/>
      <c r="E124" s="921"/>
      <c r="F124" s="921"/>
      <c r="G124" s="921"/>
      <c r="H124" s="922"/>
      <c r="I124" s="15" t="str">
        <f t="shared" si="2"/>
        <v/>
      </c>
    </row>
    <row r="125" spans="3:9" hidden="1" outlineLevel="1" x14ac:dyDescent="0.3">
      <c r="C125" s="899"/>
      <c r="D125" s="900"/>
      <c r="E125" s="921"/>
      <c r="F125" s="921"/>
      <c r="G125" s="921"/>
      <c r="H125" s="922"/>
      <c r="I125" s="15" t="str">
        <f t="shared" si="2"/>
        <v/>
      </c>
    </row>
    <row r="126" spans="3:9" hidden="1" outlineLevel="1" x14ac:dyDescent="0.3">
      <c r="C126" s="899"/>
      <c r="D126" s="900"/>
      <c r="E126" s="921"/>
      <c r="F126" s="921"/>
      <c r="G126" s="921"/>
      <c r="H126" s="922"/>
      <c r="I126" s="15" t="str">
        <f t="shared" si="2"/>
        <v/>
      </c>
    </row>
    <row r="127" spans="3:9" hidden="1" outlineLevel="1" x14ac:dyDescent="0.3">
      <c r="C127" s="899"/>
      <c r="D127" s="900"/>
      <c r="E127" s="921"/>
      <c r="F127" s="921"/>
      <c r="G127" s="921"/>
      <c r="H127" s="922"/>
      <c r="I127" s="15" t="str">
        <f t="shared" si="2"/>
        <v/>
      </c>
    </row>
    <row r="128" spans="3:9" hidden="1" outlineLevel="1" x14ac:dyDescent="0.3">
      <c r="C128" s="899"/>
      <c r="D128" s="900"/>
      <c r="E128" s="921"/>
      <c r="F128" s="921"/>
      <c r="G128" s="921"/>
      <c r="H128" s="922"/>
      <c r="I128" s="15" t="str">
        <f t="shared" si="2"/>
        <v/>
      </c>
    </row>
    <row r="129" spans="1:10" ht="15" collapsed="1" thickBot="1" x14ac:dyDescent="0.35">
      <c r="C129" s="946" t="str">
        <f>template_label_total_employees</f>
        <v>Total employees (linked to B1)</v>
      </c>
      <c r="D129" s="947"/>
      <c r="E129" s="938">
        <f>IF('General Information'!$E$282="","-",'General Information'!$E$282)</f>
        <v>151</v>
      </c>
      <c r="F129" s="938"/>
      <c r="G129" s="938"/>
      <c r="H129" s="939"/>
      <c r="I129" s="15"/>
    </row>
    <row r="130" spans="1:10" ht="15" thickBot="1" x14ac:dyDescent="0.35"/>
    <row r="131" spans="1:10" ht="15" thickBot="1" x14ac:dyDescent="0.35">
      <c r="C131" s="627"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2025-01-01 to 2025-12-31 [If applicable]</v>
      </c>
      <c r="D131" s="740"/>
      <c r="E131" s="740"/>
      <c r="F131" s="740"/>
      <c r="G131" s="740"/>
      <c r="H131" s="741"/>
    </row>
    <row r="132" spans="1:10" x14ac:dyDescent="0.3">
      <c r="C132" s="592">
        <v>40</v>
      </c>
      <c r="D132" s="608"/>
      <c r="E132" s="608"/>
      <c r="F132" s="608"/>
      <c r="G132" s="608"/>
      <c r="H132" s="609"/>
    </row>
    <row r="133" spans="1:10" x14ac:dyDescent="0.3">
      <c r="C133" s="626">
        <v>118</v>
      </c>
      <c r="D133" s="590"/>
      <c r="E133" s="590"/>
      <c r="F133" s="590"/>
      <c r="G133" s="590"/>
      <c r="H133" s="700"/>
    </row>
    <row r="134" spans="1:10" x14ac:dyDescent="0.3">
      <c r="C134" s="135" t="str">
        <f>template_label_number_of_employees_who_left_during_the_reporting_period</f>
        <v>Number of employees who left during the reporting period</v>
      </c>
      <c r="D134" s="942">
        <v>50</v>
      </c>
      <c r="E134" s="942"/>
      <c r="F134" s="942"/>
      <c r="G134" s="942"/>
      <c r="H134" s="943"/>
      <c r="I134" s="15" t="str">
        <f>IF(
    AND('General Information'!$E$282&lt;50, D134=""),
    "",
    IF(
        AND('General Information'!$E$282&lt;50, D134&lt;&gt;""),
        template_label_ok,
        IF(
            AND('General Information'!$E$282&gt;=50, D134&lt;&gt;""),
            template_label_ok,
            template_label_missing_value
        )
    )
)</f>
        <v>OK</v>
      </c>
    </row>
    <row r="135" spans="1:10" x14ac:dyDescent="0.3">
      <c r="C135" s="135" t="str">
        <f>template_label_number_of_employees_at_the_beginning_of_the_reporting_period</f>
        <v>Number of employees at the beginning of the reporting period</v>
      </c>
      <c r="D135" s="942">
        <v>201</v>
      </c>
      <c r="E135" s="942"/>
      <c r="F135" s="942"/>
      <c r="G135" s="942"/>
      <c r="H135" s="943"/>
      <c r="I135" s="15" t="str">
        <f>IF(
    AND('General Information'!$E$282&lt;50, D135=""),
    "",
    IF(
        AND('General Information'!$E$282&lt;50, D135&lt;&gt;""),
        template_label_ok,
        IF(
            AND('General Information'!$E$282&gt;=50, D135&lt;&gt;""),
            template_label_ok,
            template_label_missing_value
        )
    )
)</f>
        <v>OK</v>
      </c>
    </row>
    <row r="136" spans="1:10" x14ac:dyDescent="0.3">
      <c r="C136" s="135" t="str">
        <f>template_label_number_of_employees_at_the_end_of_the_reporting_period</f>
        <v>Number of employees at the end of the reporting period</v>
      </c>
      <c r="D136" s="942">
        <v>151</v>
      </c>
      <c r="E136" s="942"/>
      <c r="F136" s="942"/>
      <c r="G136" s="942"/>
      <c r="H136" s="943"/>
      <c r="I136" s="15" t="str">
        <f>IF(
    AND('General Information'!$E$282&lt;50, D136=""),
    "",
    IF(
        AND('General Information'!$E$282&lt;50, D136&lt;&gt;""),
        template_label_ok,
        IF(
            AND('General Information'!$E$282&gt;=50, D136&lt;&gt;""),
            template_label_ok,
            template_label_missing_value
        )
    )
)</f>
        <v>OK</v>
      </c>
    </row>
    <row r="137" spans="1:10" ht="15" thickBot="1" x14ac:dyDescent="0.35">
      <c r="C137" s="96" t="str">
        <f>template_label_employee_turnover_rate_in_the_reporting_period</f>
        <v>Employee turnover rate [%]  in the reporting period</v>
      </c>
      <c r="D137" s="944">
        <f>IF(AND(D134&lt;&gt;"",D135&lt;&gt;"",D136&lt;&gt;""),(D134/((D135+D136)/2)),"-")</f>
        <v>0.28409090909090912</v>
      </c>
      <c r="E137" s="944"/>
      <c r="F137" s="944"/>
      <c r="G137" s="944"/>
      <c r="H137" s="945"/>
    </row>
    <row r="138" spans="1:10" ht="15" thickBot="1" x14ac:dyDescent="0.35"/>
    <row r="139" spans="1:10" ht="15" thickBot="1" x14ac:dyDescent="0.35">
      <c r="C139" s="964" t="str">
        <f>template_label_b9_workforce_health_and_safety&amp;" "&amp;template_label_from&amp;" "&amp;template_starting_date_display&amp;" "&amp;template_label_to&amp;" "&amp;template_ending_date_display&amp;" "&amp;template_label_always_to_be_reported</f>
        <v>B9 - Workforce - Health and safety from 2025-01-01 to 2025-12-31 [Always to be reported]</v>
      </c>
      <c r="D139" s="965"/>
      <c r="E139" s="965"/>
      <c r="F139" s="965"/>
      <c r="G139" s="965"/>
      <c r="H139" s="966"/>
    </row>
    <row r="140" spans="1:10" x14ac:dyDescent="0.3">
      <c r="A140" s="391" t="s">
        <v>94</v>
      </c>
      <c r="B140" s="392" t="s">
        <v>95</v>
      </c>
      <c r="C140" s="228" t="str">
        <f>template_label_number_of_recordable_work_related_accidents_in_the_reporting_period</f>
        <v>Number of recordable work-related accidents in the reporting period</v>
      </c>
      <c r="D140" s="967">
        <v>0</v>
      </c>
      <c r="E140" s="967"/>
      <c r="F140" s="967"/>
      <c r="G140" s="967"/>
      <c r="H140" s="968"/>
      <c r="I140" s="15" t="str">
        <f>IF(
'Table of Contents &amp; Validation'!D41=TRUE,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OK</v>
      </c>
    </row>
    <row r="141" spans="1:10" x14ac:dyDescent="0.3">
      <c r="A141" s="391" t="s">
        <v>94</v>
      </c>
      <c r="B141" s="392" t="s">
        <v>95</v>
      </c>
      <c r="C141" s="136" t="str">
        <f>template_label_number_of_hours_worked_by_one_fulltime_employee_in_the_reporting_period</f>
        <v>Number of hours worked by  one full-time employee in the reporting period</v>
      </c>
      <c r="D141" s="969">
        <v>2000</v>
      </c>
      <c r="E141" s="970"/>
      <c r="F141" s="970"/>
      <c r="G141" s="970"/>
      <c r="H141" s="971"/>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391" t="s">
        <v>94</v>
      </c>
      <c r="B142" s="392" t="s">
        <v>95</v>
      </c>
      <c r="C142" s="136" t="str">
        <f>template_label_total_number_of_hours_worked_in_a_year_by_all_employees_in_the_reporting_period</f>
        <v>Total number of hours worked in a year by all employees in the reporting period</v>
      </c>
      <c r="D142" s="972">
        <f>IF('General Information'!E282="","-",D141*'General Information'!E282)</f>
        <v>302000</v>
      </c>
      <c r="E142" s="973"/>
      <c r="F142" s="973"/>
      <c r="G142" s="973"/>
      <c r="H142" s="974"/>
      <c r="I142" s="15"/>
    </row>
    <row r="143" spans="1:10" ht="15" thickBot="1" x14ac:dyDescent="0.35">
      <c r="A143" s="391" t="s">
        <v>94</v>
      </c>
      <c r="B143" s="392" t="s">
        <v>95</v>
      </c>
      <c r="C143" s="191" t="str">
        <f>template_label_rate_of_recordable_work_related_accidents_in_the_reporting_period</f>
        <v>Rate of recordable work-related accidents in the reporting period</v>
      </c>
      <c r="D143" s="975">
        <f>IFERROR(IF(AND(D140&lt;&gt;"", D142&lt;&gt;""), ($D$140/$D$142)*200000, "-"), "-")</f>
        <v>0</v>
      </c>
      <c r="E143" s="976"/>
      <c r="F143" s="976"/>
      <c r="G143" s="976"/>
      <c r="H143" s="977"/>
    </row>
    <row r="144" spans="1:10" ht="15" thickBot="1" x14ac:dyDescent="0.35">
      <c r="A144" s="391" t="s">
        <v>96</v>
      </c>
      <c r="B144" s="392" t="s">
        <v>95</v>
      </c>
      <c r="C144" s="190" t="str">
        <f>template_label_number_of_fatalities_as_a_result_of_work_related_injuries_and_work_related_ill_health</f>
        <v>Number of fatalities as a result of work-related injuries and work-related ill health</v>
      </c>
      <c r="D144" s="948">
        <v>0</v>
      </c>
      <c r="E144" s="948"/>
      <c r="F144" s="948"/>
      <c r="G144" s="948"/>
      <c r="H144" s="949"/>
      <c r="I144" s="15" t="str">
        <f>IF(
'Table of Contents &amp; Validation'!D41=TRUE,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OK</v>
      </c>
    </row>
    <row r="145" spans="1:9" ht="15" thickBot="1" x14ac:dyDescent="0.35"/>
    <row r="146" spans="1:9" ht="15" thickBot="1" x14ac:dyDescent="0.35">
      <c r="C146" s="950" t="str">
        <f>template_label_b10_workforce_remuneration_collective_bargaining&amp;" "&amp;template_label_from&amp;" "&amp;template_starting_date_display&amp;" "&amp;template_label_to&amp;" "&amp;template_ending_date_display&amp;" "&amp;template_label_always_to_be_reported_if_applicable</f>
        <v>B10 - Workforce - Remuneration and collective bargaining from 2025-01-01 to 2025-12-31 [Always to be reported + If applicable]</v>
      </c>
      <c r="D146" s="951"/>
      <c r="E146" s="951"/>
      <c r="F146" s="951"/>
      <c r="G146" s="951"/>
      <c r="H146" s="952"/>
    </row>
    <row r="147" spans="1:9" ht="49.2" customHeight="1" thickBot="1" x14ac:dyDescent="0.35">
      <c r="A147" s="391" t="s">
        <v>97</v>
      </c>
      <c r="B147" s="392" t="s">
        <v>98</v>
      </c>
      <c r="C147" s="512" t="str">
        <f>template_label_employees_receive_pay_that_is_equal_or_above_applicable_minimum_wage</f>
        <v>Employees receive pay that is equal or above applicable minimum wage determined directly by the national minimum wage law or through a collective bargaining agreement</v>
      </c>
      <c r="D147" s="953" t="s">
        <v>66</v>
      </c>
      <c r="E147" s="953"/>
      <c r="F147" s="953"/>
      <c r="G147" s="953"/>
      <c r="H147" s="954"/>
      <c r="I147" s="15" t="str">
        <f>IF(OR(
'Table of Contents &amp; Validation'!D43=TRUE,'Table of Contents &amp; Validation'!D42=TRUE),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OK</v>
      </c>
    </row>
    <row r="148" spans="1:9" x14ac:dyDescent="0.3">
      <c r="A148" s="391" t="s">
        <v>99</v>
      </c>
      <c r="B148" s="392" t="s">
        <v>100</v>
      </c>
      <c r="C148" s="189" t="str">
        <f>template_label_average_gross_hourly_pay_level_of_male_employees &amp; " " &amp; "(" &amp; template_label_amount_in &amp; " " &amp; template_currency &amp; ")"</f>
        <v>Average gross hourly pay level of male employees (amount in EUR)</v>
      </c>
      <c r="D148" s="955">
        <v>20</v>
      </c>
      <c r="E148" s="956"/>
      <c r="F148" s="956"/>
      <c r="G148" s="956"/>
      <c r="H148" s="957"/>
      <c r="I148" s="15" t="str">
        <f>IF(
    AND('General Information'!$E$282&lt;150, D148=""),
    "",
    IF(
        AND('General Information'!$E$282&lt;150, D148&lt;&gt;""),
        template_label_ok,
        IF(
            AND('General Information'!$E$282&gt;=150, D148&lt;&gt;""),
            template_label_ok,
            template_label_missing_value
        )
    )
)</f>
        <v>OK</v>
      </c>
    </row>
    <row r="149" spans="1:9" x14ac:dyDescent="0.3">
      <c r="A149" s="391" t="s">
        <v>99</v>
      </c>
      <c r="B149" s="392" t="s">
        <v>100</v>
      </c>
      <c r="C149" s="137" t="str">
        <f>template_label_average_gross_hourly_pay_level_of_female_employees &amp; " " &amp; "(" &amp; template_label_amount_in &amp; " " &amp; template_currency &amp; ")"</f>
        <v>Average gross hourly pay level of female employees (amount in EUR)</v>
      </c>
      <c r="D149" s="958">
        <v>18</v>
      </c>
      <c r="E149" s="959"/>
      <c r="F149" s="959"/>
      <c r="G149" s="959"/>
      <c r="H149" s="960"/>
      <c r="I149" s="15" t="str">
        <f>IF(
    AND('General Information'!$E$282&lt;150, D149=""),
    "",
    IF(
        AND('General Information'!$E$282&lt;150, D149&lt;&gt;""),
        template_label_ok,
        IF(
            AND('General Information'!$E$282&gt;=150, D149&lt;&gt;""),
            template_label_ok,
            template_label_missing_value
        )
    )
)</f>
        <v>OK</v>
      </c>
    </row>
    <row r="150" spans="1:9" ht="15" thickBot="1" x14ac:dyDescent="0.35">
      <c r="A150" s="391" t="s">
        <v>99</v>
      </c>
      <c r="B150" s="392" t="s">
        <v>100</v>
      </c>
      <c r="C150" s="138" t="str">
        <f>template_label_percentage_gap_in_pay_between_the__undertakings_female_and_male_employees</f>
        <v>Percentage gap in pay between the  undertaking's female and male employees [%]</v>
      </c>
      <c r="D150" s="961">
        <f>IF(AND(D148&lt;&gt;"",D149&lt;&gt;""),((D148-D149)/D148),"-")</f>
        <v>0.1</v>
      </c>
      <c r="E150" s="962"/>
      <c r="F150" s="962"/>
      <c r="G150" s="962"/>
      <c r="H150" s="963"/>
    </row>
    <row r="151" spans="1:9" x14ac:dyDescent="0.3">
      <c r="A151" s="590" t="s">
        <v>101</v>
      </c>
      <c r="B151" s="599" t="s">
        <v>102</v>
      </c>
      <c r="C151" s="188" t="str">
        <f>template_label_number_of_employees_covered_by_collective_bargaining_agreements</f>
        <v>Number of employees covered by collective bargaining agreements</v>
      </c>
      <c r="D151" s="982">
        <v>140</v>
      </c>
      <c r="E151" s="983"/>
      <c r="F151" s="983"/>
      <c r="G151" s="983"/>
      <c r="H151" s="984"/>
      <c r="I151" s="15" t="str">
        <f>IF(OR(
'Table of Contents &amp; Validation'!D43=TRUE,'Table of Contents &amp; Validation'!D42=TRUE),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OK</v>
      </c>
    </row>
    <row r="152" spans="1:9" ht="15" thickBot="1" x14ac:dyDescent="0.35">
      <c r="A152" s="590"/>
      <c r="B152" s="599"/>
      <c r="C152" s="138" t="str">
        <f>template_label_percentage_of_employees_covered_by_collective_bargaining_agreements</f>
        <v>Percentage of employees covered by collective bargaining agreements [%]</v>
      </c>
      <c r="D152" s="985">
        <f>IF(D151&lt;&gt;"", IF('General Information'!E282=0, "-", D151/'General Information'!E282), "-")</f>
        <v>0.92715231788079466</v>
      </c>
      <c r="E152" s="986"/>
      <c r="F152" s="986"/>
      <c r="G152" s="986"/>
      <c r="H152" s="987"/>
    </row>
    <row r="153" spans="1:9" ht="15" thickBot="1" x14ac:dyDescent="0.35"/>
    <row r="154" spans="1:9" ht="15" thickBot="1" x14ac:dyDescent="0.35">
      <c r="C154" s="950" t="str">
        <f>template_label_number_of_annual_training_hours_per_employee_during_the_reporting_period&amp;" "&amp;template_label_from&amp;" "&amp;template_starting_date_display&amp;" "&amp;template_label_to&amp;" "&amp;template_ending_date_display&amp;" "&amp;template_label_always_to_be_reported</f>
        <v>B10 - Workforce - Number of annual training hours per employee during the reporting period from 2025-01-01 to 2025-12-31 [Always to be reported]</v>
      </c>
      <c r="D154" s="951"/>
      <c r="E154" s="951"/>
      <c r="F154" s="951"/>
      <c r="G154" s="951"/>
      <c r="H154" s="952"/>
    </row>
    <row r="155" spans="1:9" x14ac:dyDescent="0.3">
      <c r="C155" s="592" t="s">
        <v>103</v>
      </c>
      <c r="D155" s="608"/>
      <c r="E155" s="608"/>
      <c r="F155" s="608"/>
      <c r="G155" s="608"/>
      <c r="H155" s="609"/>
    </row>
    <row r="156" spans="1:9" x14ac:dyDescent="0.3">
      <c r="C156" s="413" t="str">
        <f>template_label_gender</f>
        <v>Gender</v>
      </c>
      <c r="D156" s="978" t="str">
        <f>template_label_number_of_annual_training_hours_per_employee_during_the_reporting_period</f>
        <v>B10 - Workforce - Number of annual training hours per employee during the reporting period</v>
      </c>
      <c r="E156" s="978"/>
      <c r="F156" s="978"/>
      <c r="G156" s="978"/>
      <c r="H156" s="979"/>
      <c r="I156" s="15"/>
    </row>
    <row r="157" spans="1:9" x14ac:dyDescent="0.3">
      <c r="C157" s="134" t="str">
        <f>template_label_male</f>
        <v>Male</v>
      </c>
      <c r="D157" s="980">
        <v>100</v>
      </c>
      <c r="E157" s="980"/>
      <c r="F157" s="980"/>
      <c r="G157" s="980"/>
      <c r="H157" s="981"/>
      <c r="I157" s="935" t="str">
        <f>IF(OR(
'Table of Contents &amp; Validation'!D44=TRUE,'Table of Contents &amp; Validation'!D42=TRUE),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OK</v>
      </c>
    </row>
    <row r="158" spans="1:9" x14ac:dyDescent="0.3">
      <c r="C158" s="134" t="str">
        <f>template_label_female</f>
        <v>Female</v>
      </c>
      <c r="D158" s="980">
        <v>150</v>
      </c>
      <c r="E158" s="980"/>
      <c r="F158" s="980"/>
      <c r="G158" s="980"/>
      <c r="H158" s="981"/>
      <c r="I158" s="935"/>
    </row>
    <row r="159" spans="1:9" x14ac:dyDescent="0.3">
      <c r="C159" s="134" t="str">
        <f>template_label_other</f>
        <v>Other</v>
      </c>
      <c r="D159" s="980">
        <v>140</v>
      </c>
      <c r="E159" s="980"/>
      <c r="F159" s="980"/>
      <c r="G159" s="980"/>
      <c r="H159" s="981"/>
      <c r="I159" s="935"/>
    </row>
    <row r="160" spans="1:9" x14ac:dyDescent="0.3">
      <c r="C160" s="134" t="str">
        <f>template_label_not_reported</f>
        <v>Not reported</v>
      </c>
      <c r="D160" s="980">
        <v>120</v>
      </c>
      <c r="E160" s="980"/>
      <c r="F160" s="980"/>
      <c r="G160" s="980"/>
      <c r="H160" s="981"/>
      <c r="I160" s="935"/>
    </row>
    <row r="161" spans="1:9" x14ac:dyDescent="0.3">
      <c r="C161" s="1005" t="str">
        <f>template_label_average_number_of_annual_training_hours_per_employee</f>
        <v>Average number of annual training hours per employee</v>
      </c>
      <c r="D161" s="1006"/>
      <c r="E161" s="1006"/>
      <c r="F161" s="1006"/>
      <c r="G161" s="1006"/>
      <c r="H161" s="1007"/>
      <c r="I161" s="15"/>
    </row>
    <row r="162" spans="1:9" ht="15" thickBot="1" x14ac:dyDescent="0.35">
      <c r="C162" s="1008">
        <f>IFERROR(
    IF(
        AND(D18&lt;&gt;"",D18&lt;&gt;0,D19&lt;&gt;"",D19&lt;&gt;0,D20&lt;&gt;"",D20&lt;&gt;0,D21&lt;&gt;"",D21&lt;&gt;0),
        AVERAGE(D157:D160),
        IF(OR(D18="", D18=0), AVERAGE(D158:D160),
        IF(OR(D19="", D19=0), AVERAGE(D157,D159,D160),
        IF(OR(D20="", D20=0), AVERAGE(D157,D158,D160),
        IF(OR(D21="", D21=0), AVERAGE(D157,D158,D159), "-"))))
    ),
"-")</f>
        <v>127.5</v>
      </c>
      <c r="D162" s="938"/>
      <c r="E162" s="938"/>
      <c r="F162" s="938"/>
      <c r="G162" s="938"/>
      <c r="H162" s="939"/>
      <c r="I162" s="15"/>
    </row>
    <row r="163" spans="1:9" ht="15" thickBot="1" x14ac:dyDescent="0.35"/>
    <row r="164" spans="1:9" ht="15" thickBot="1" x14ac:dyDescent="0.35">
      <c r="C164" s="1009" t="str">
        <f>template_label_c5_additional_workforce_characteristics&amp;" "&amp;template_label_from&amp;" "&amp;template_starting_date_display&amp;" "&amp;template_label_to&amp;" "&amp;template_ending_date_display&amp;" " &amp; template_label_may</f>
        <v>C5 - Additional (general) workforce characteristics from 2025-01-01 to 2025-12-31 [May (optional)]</v>
      </c>
      <c r="D164" s="1010"/>
      <c r="E164" s="1010"/>
      <c r="F164" s="1010"/>
      <c r="G164" s="1010"/>
      <c r="H164" s="1011"/>
    </row>
    <row r="165" spans="1:9" x14ac:dyDescent="0.3">
      <c r="A165" s="391">
        <v>59</v>
      </c>
      <c r="B165" s="392" t="s">
        <v>104</v>
      </c>
      <c r="C165" s="139" t="str">
        <f>template_label_number_of_male_employees_at_management_level</f>
        <v>Number of male employees at management level</v>
      </c>
      <c r="D165" s="955">
        <v>5</v>
      </c>
      <c r="E165" s="956"/>
      <c r="F165" s="956"/>
      <c r="G165" s="956"/>
      <c r="H165" s="957"/>
      <c r="I165" s="15" t="str">
        <f>IF(D165&lt;&gt;"", template_label_ok, "")</f>
        <v>OK</v>
      </c>
    </row>
    <row r="166" spans="1:9" x14ac:dyDescent="0.3">
      <c r="A166" s="391">
        <v>59</v>
      </c>
      <c r="B166" s="392" t="s">
        <v>104</v>
      </c>
      <c r="C166" s="140" t="str">
        <f>template_label_number_of_female_employees_at_management_level</f>
        <v>Number of female employees at management level</v>
      </c>
      <c r="D166" s="958">
        <v>4</v>
      </c>
      <c r="E166" s="959"/>
      <c r="F166" s="959"/>
      <c r="G166" s="959"/>
      <c r="H166" s="960"/>
      <c r="I166" s="15" t="str">
        <f>IF(D166&lt;&gt;"", template_label_ok, "")</f>
        <v>OK</v>
      </c>
    </row>
    <row r="167" spans="1:9" ht="15" thickBot="1" x14ac:dyDescent="0.35">
      <c r="A167" s="391">
        <v>59</v>
      </c>
      <c r="B167" s="392" t="s">
        <v>104</v>
      </c>
      <c r="C167" s="138" t="str">
        <f>template_label_female_to_male_ratio_at_management_level_for_the_reporting_period</f>
        <v>Female-to-male ratio at management level for the reporting period</v>
      </c>
      <c r="D167" s="1012">
        <f>IF(AND(D165&lt;&gt;"",D166&lt;&gt;""),$D$166/$D$165,"-")</f>
        <v>0.8</v>
      </c>
      <c r="E167" s="1013"/>
      <c r="F167" s="1013"/>
      <c r="G167" s="1013"/>
      <c r="H167" s="1014"/>
    </row>
    <row r="168" spans="1:9" ht="28.8" x14ac:dyDescent="0.3">
      <c r="A168" s="391">
        <v>60</v>
      </c>
      <c r="B168" s="392" t="s">
        <v>105</v>
      </c>
      <c r="C168" s="141" t="str">
        <f>template_label_total_self_employed_workers_without_personnel_that_are_working_exclusively_for_the_undertaking</f>
        <v>Total self-employed workers without personnel that are working exclusively for the undertaking</v>
      </c>
      <c r="D168" s="988">
        <v>4</v>
      </c>
      <c r="E168" s="989"/>
      <c r="F168" s="989"/>
      <c r="G168" s="989"/>
      <c r="H168" s="990"/>
      <c r="I168" s="15" t="str">
        <f>IF(D168&lt;&gt;"", template_label_ok, "")</f>
        <v>OK</v>
      </c>
    </row>
    <row r="169" spans="1:9" ht="29.4" thickBot="1" x14ac:dyDescent="0.35">
      <c r="A169" s="391">
        <v>60</v>
      </c>
      <c r="B169" s="392" t="s">
        <v>105</v>
      </c>
      <c r="C169" s="142" t="str">
        <f>template_label_total_temporary_workers_provided_by_undertakings_primarily_engaged_in_employment_activities</f>
        <v>Total temporary workers provided by undertakings primarily engaged in employment activities</v>
      </c>
      <c r="D169" s="991">
        <v>50</v>
      </c>
      <c r="E169" s="992"/>
      <c r="F169" s="992"/>
      <c r="G169" s="992"/>
      <c r="H169" s="993"/>
      <c r="I169" s="15" t="str">
        <f>IF(D169&lt;&gt;"", template_label_ok, "")</f>
        <v>OK</v>
      </c>
    </row>
    <row r="170" spans="1:9" ht="15" thickBot="1" x14ac:dyDescent="0.35"/>
    <row r="171" spans="1:9" ht="15" thickBot="1" x14ac:dyDescent="0.35">
      <c r="C171" s="994"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2025-01-01 to 2025-12-31 [Always to be reported]</v>
      </c>
      <c r="D171" s="995"/>
      <c r="E171" s="995"/>
      <c r="F171" s="995"/>
      <c r="G171" s="995"/>
      <c r="H171" s="996"/>
    </row>
    <row r="172" spans="1:9" x14ac:dyDescent="0.3">
      <c r="A172" s="391" t="s">
        <v>106</v>
      </c>
      <c r="B172" s="392">
        <v>173</v>
      </c>
      <c r="C172" s="143" t="str">
        <f>template_label_does_the_undertaking_have_a_code_of_conduct_or_human_rights_policy_for_its_own_workforce</f>
        <v>Does the undertaking have a code of conduct or human rights policy for its own workforce?</v>
      </c>
      <c r="D172" s="997" t="s">
        <v>66</v>
      </c>
      <c r="E172" s="998"/>
      <c r="F172" s="998"/>
      <c r="G172" s="998"/>
      <c r="H172" s="999"/>
      <c r="I172" s="15" t="str">
        <f>IF(
'Table of Contents &amp; Validation'!D59=TRUE,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OK</v>
      </c>
    </row>
    <row r="173" spans="1:9" x14ac:dyDescent="0.3">
      <c r="A173" s="391" t="s">
        <v>107</v>
      </c>
      <c r="B173" s="392">
        <v>173</v>
      </c>
      <c r="C173" s="117" t="str">
        <f>template_label_if_yes_does_this_cover</f>
        <v>If yes does this cover:</v>
      </c>
      <c r="D173" s="1000"/>
      <c r="E173" s="1001"/>
      <c r="F173" s="1001"/>
      <c r="G173" s="1001"/>
      <c r="H173" s="1002"/>
    </row>
    <row r="174" spans="1:9" x14ac:dyDescent="0.3">
      <c r="A174" s="391" t="s">
        <v>107</v>
      </c>
      <c r="B174" s="392">
        <v>173</v>
      </c>
      <c r="C174" s="144" t="str">
        <f>template_label_child_labour</f>
        <v>child labour</v>
      </c>
      <c r="D174" s="1003" t="b">
        <v>1</v>
      </c>
      <c r="E174" s="1003"/>
      <c r="F174" s="1003"/>
      <c r="G174" s="1003"/>
      <c r="H174" s="1004"/>
      <c r="I174" s="1023"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391" t="s">
        <v>107</v>
      </c>
      <c r="B175" s="392">
        <v>173</v>
      </c>
      <c r="C175" s="144" t="str">
        <f>template_label_forced_labour</f>
        <v>forced labour</v>
      </c>
      <c r="D175" s="1003" t="b">
        <v>1</v>
      </c>
      <c r="E175" s="1003"/>
      <c r="F175" s="1003"/>
      <c r="G175" s="1003"/>
      <c r="H175" s="1004"/>
      <c r="I175" s="1023"/>
    </row>
    <row r="176" spans="1:9" x14ac:dyDescent="0.3">
      <c r="A176" s="391" t="s">
        <v>107</v>
      </c>
      <c r="B176" s="392">
        <v>173</v>
      </c>
      <c r="C176" s="144" t="str">
        <f>template_label_human_trafficking</f>
        <v>human trafficking</v>
      </c>
      <c r="D176" s="1003" t="b">
        <v>1</v>
      </c>
      <c r="E176" s="1003"/>
      <c r="F176" s="1003"/>
      <c r="G176" s="1003"/>
      <c r="H176" s="1004"/>
      <c r="I176" s="1023"/>
    </row>
    <row r="177" spans="1:10" x14ac:dyDescent="0.3">
      <c r="A177" s="391" t="s">
        <v>107</v>
      </c>
      <c r="B177" s="392">
        <v>173</v>
      </c>
      <c r="C177" s="144" t="str">
        <f>template_label_discrimination</f>
        <v>discrimination</v>
      </c>
      <c r="D177" s="1003" t="b">
        <v>1</v>
      </c>
      <c r="E177" s="1003"/>
      <c r="F177" s="1003"/>
      <c r="G177" s="1003"/>
      <c r="H177" s="1004"/>
      <c r="I177" s="1023"/>
    </row>
    <row r="178" spans="1:10" x14ac:dyDescent="0.3">
      <c r="A178" s="391" t="s">
        <v>107</v>
      </c>
      <c r="B178" s="392">
        <v>173</v>
      </c>
      <c r="C178" s="145" t="str">
        <f>template_label_accident_prevention</f>
        <v>accident prevention</v>
      </c>
      <c r="D178" s="1024" t="b">
        <v>1</v>
      </c>
      <c r="E178" s="1003"/>
      <c r="F178" s="1003"/>
      <c r="G178" s="1003"/>
      <c r="H178" s="1004"/>
      <c r="I178" s="1023"/>
    </row>
    <row r="179" spans="1:10" x14ac:dyDescent="0.3">
      <c r="A179" s="391" t="s">
        <v>107</v>
      </c>
      <c r="B179" s="392">
        <v>173</v>
      </c>
      <c r="C179" s="146" t="str">
        <f>template_label_other_if_yes_specify</f>
        <v>other? ( if yes specify)</v>
      </c>
      <c r="D179" s="1003" t="b">
        <v>0</v>
      </c>
      <c r="E179" s="1003"/>
      <c r="F179" s="1003"/>
      <c r="G179" s="1003"/>
      <c r="H179" s="1004"/>
      <c r="I179" s="1023"/>
      <c r="J179" s="10" t="str">
        <f>template_label_other_warning</f>
        <v>ℹ️ When "other" is chosen as undertaking legal form please fill the row below</v>
      </c>
    </row>
    <row r="180" spans="1:10" ht="33.6" customHeight="1" x14ac:dyDescent="0.3">
      <c r="A180" s="391" t="s">
        <v>107</v>
      </c>
      <c r="B180" s="392">
        <v>173</v>
      </c>
      <c r="C180" s="95" t="str">
        <f>template_label_specify_other_types_of_content_covered_by_the_code_of_conduct_or_human_rights_policy</f>
        <v>Specify other types of content covered by the code of conduct or human rights policy</v>
      </c>
      <c r="D180" s="1015"/>
      <c r="E180" s="1015"/>
      <c r="F180" s="1015"/>
      <c r="G180" s="1015"/>
      <c r="H180" s="1016"/>
      <c r="I180" s="15" t="str">
        <f>IF(AND(D179=TRUE,D180&lt;&gt;""), template_label_ok,
IF(AND(D179=TRUE,D180=""), template_label_missing_value,
IF(AND(D179=FALSE,D180&lt;&gt;""), template_label_missing_value,
"")))</f>
        <v/>
      </c>
    </row>
    <row r="181" spans="1:10" ht="31.2" customHeight="1" thickBot="1" x14ac:dyDescent="0.35">
      <c r="A181" s="391" t="s">
        <v>108</v>
      </c>
      <c r="B181" s="392">
        <v>173</v>
      </c>
      <c r="C181" s="147" t="str">
        <f>template_label_does_the_undertaking_have_a_complaint_handling_mechanism_for_its_own_workforce</f>
        <v>Does the undertaking have a complaint-handling mechanism for its own workforce?</v>
      </c>
      <c r="D181" s="1017" t="s">
        <v>66</v>
      </c>
      <c r="E181" s="1018"/>
      <c r="F181" s="1018"/>
      <c r="G181" s="1018"/>
      <c r="H181" s="1019"/>
      <c r="I181" s="15" t="str">
        <f>IF(
'Table of Contents &amp; Validation'!D59=TRUE,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OK</v>
      </c>
    </row>
    <row r="182" spans="1:10" ht="15" thickBot="1" x14ac:dyDescent="0.35"/>
    <row r="183" spans="1:10" ht="89.4" customHeight="1" thickBot="1" x14ac:dyDescent="0.35">
      <c r="A183" s="1025" t="str">
        <f>template_label_supporting_guidance_c7</f>
        <v>ℹ️ VSME Supporting Guide to Disclosure C7 - Comprehensive Module (Severe negative human rights incidents (paragraph 62(c))</v>
      </c>
      <c r="B183" s="1026"/>
      <c r="C183" s="805"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2025-01-01 to 2025-12-31 [Always to be reported]</v>
      </c>
      <c r="D183" s="806"/>
      <c r="E183" s="806"/>
      <c r="F183" s="806"/>
      <c r="G183" s="806"/>
      <c r="H183" s="807"/>
    </row>
    <row r="184" spans="1:10" x14ac:dyDescent="0.3">
      <c r="A184" s="391">
        <v>62</v>
      </c>
      <c r="B184" s="392">
        <v>174</v>
      </c>
      <c r="C184" s="417" t="str">
        <f>template_label_does_the_undertaking_have_confirmed_incidents_in_its_own_workforce</f>
        <v>Does the undertaking have confirmed incidents in its own workforce?</v>
      </c>
      <c r="D184" s="905" t="s">
        <v>87</v>
      </c>
      <c r="E184" s="905"/>
      <c r="F184" s="905"/>
      <c r="G184" s="905"/>
      <c r="H184" s="1020"/>
      <c r="I184" s="15" t="str">
        <f>IF(
'Table of Contents &amp; Validation'!D60=TRUE,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OK</v>
      </c>
    </row>
    <row r="185" spans="1:10" x14ac:dyDescent="0.3">
      <c r="A185" s="391" t="s">
        <v>109</v>
      </c>
      <c r="B185" s="392">
        <v>174</v>
      </c>
      <c r="C185" s="148" t="str">
        <f>template_label_if_yes_are_incidents_related_to</f>
        <v>If yes are incidents related to:</v>
      </c>
      <c r="D185" s="1000"/>
      <c r="E185" s="1001"/>
      <c r="F185" s="1001"/>
      <c r="G185" s="1001"/>
      <c r="H185" s="1002"/>
    </row>
    <row r="186" spans="1:10" x14ac:dyDescent="0.3">
      <c r="A186" s="391" t="s">
        <v>109</v>
      </c>
      <c r="B186" s="392">
        <v>174</v>
      </c>
      <c r="C186" s="146" t="str">
        <f>template_label_child_labour</f>
        <v>child labour</v>
      </c>
      <c r="D186" s="1021" t="b">
        <v>0</v>
      </c>
      <c r="E186" s="1021"/>
      <c r="F186" s="1021"/>
      <c r="G186" s="1021"/>
      <c r="H186" s="1022"/>
      <c r="I186" s="1023"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391" t="s">
        <v>109</v>
      </c>
      <c r="B187" s="392">
        <v>174</v>
      </c>
      <c r="C187" s="146" t="str">
        <f>template_label_forced_labour</f>
        <v>forced labour</v>
      </c>
      <c r="D187" s="1021" t="b">
        <v>0</v>
      </c>
      <c r="E187" s="1021"/>
      <c r="F187" s="1021"/>
      <c r="G187" s="1021"/>
      <c r="H187" s="1022"/>
      <c r="I187" s="1023"/>
    </row>
    <row r="188" spans="1:10" x14ac:dyDescent="0.3">
      <c r="A188" s="391" t="s">
        <v>109</v>
      </c>
      <c r="B188" s="392">
        <v>174</v>
      </c>
      <c r="C188" s="146" t="str">
        <f>template_label_human_trafficking</f>
        <v>human trafficking</v>
      </c>
      <c r="D188" s="1021" t="b">
        <v>0</v>
      </c>
      <c r="E188" s="1021"/>
      <c r="F188" s="1021"/>
      <c r="G188" s="1021"/>
      <c r="H188" s="1022"/>
      <c r="I188" s="1023"/>
    </row>
    <row r="189" spans="1:10" x14ac:dyDescent="0.3">
      <c r="A189" s="391" t="s">
        <v>109</v>
      </c>
      <c r="B189" s="392">
        <v>174</v>
      </c>
      <c r="C189" s="146" t="str">
        <f>template_label_discrimination</f>
        <v>discrimination</v>
      </c>
      <c r="D189" s="1021" t="b">
        <v>0</v>
      </c>
      <c r="E189" s="1021"/>
      <c r="F189" s="1021"/>
      <c r="G189" s="1021"/>
      <c r="H189" s="1022"/>
      <c r="I189" s="1023"/>
    </row>
    <row r="190" spans="1:10" x14ac:dyDescent="0.3">
      <c r="A190" s="391" t="s">
        <v>109</v>
      </c>
      <c r="B190" s="392">
        <v>174</v>
      </c>
      <c r="C190" s="146" t="str">
        <f>template_label_other_if_yes_specify</f>
        <v>other? ( if yes specify)</v>
      </c>
      <c r="D190" s="1021" t="b">
        <v>0</v>
      </c>
      <c r="E190" s="1021"/>
      <c r="F190" s="1021"/>
      <c r="G190" s="1021"/>
      <c r="H190" s="1022"/>
      <c r="I190" s="1023"/>
      <c r="J190" s="10" t="str">
        <f>template_label_other_warning</f>
        <v>ℹ️ When "other" is chosen as undertaking legal form please fill the row below</v>
      </c>
    </row>
    <row r="191" spans="1:10" x14ac:dyDescent="0.3">
      <c r="A191" s="391" t="s">
        <v>109</v>
      </c>
      <c r="B191" s="392">
        <v>174</v>
      </c>
      <c r="C191" s="95" t="str">
        <f>template_label_specify_other_human_rights_related_to_the_confirmed_incidents</f>
        <v>Specify other human rights related to the confirmed incidents</v>
      </c>
      <c r="D191" s="1033"/>
      <c r="E191" s="1033"/>
      <c r="F191" s="1033"/>
      <c r="G191" s="1033"/>
      <c r="H191" s="1034"/>
      <c r="I191" s="15" t="str">
        <f>IF(AND(D190=TRUE,D191&lt;&gt;""), template_label_ok,
IF(AND(D190=TRUE,D191=""), template_label_missing_value,
IF(AND(D190=FALSE,D191&lt;&gt;""), template_label_missing_value, "")))</f>
        <v/>
      </c>
    </row>
    <row r="192" spans="1:10" x14ac:dyDescent="0.3">
      <c r="A192" s="391" t="s">
        <v>110</v>
      </c>
      <c r="B192" s="392">
        <v>174</v>
      </c>
      <c r="C192" s="95" t="str">
        <f>template_label_description_of_actions_taken_to_address_the_confirmed_incidents</f>
        <v>Description of actions taken to address the confirmed incidents</v>
      </c>
      <c r="D192" s="1027"/>
      <c r="E192" s="1028"/>
      <c r="F192" s="1028"/>
      <c r="G192" s="1028"/>
      <c r="H192" s="1029"/>
      <c r="I192" s="15" t="str">
        <f>IF(D192&lt;&gt;"",template_label_ok,"")</f>
        <v/>
      </c>
    </row>
    <row r="193" spans="1:9" ht="28.8" x14ac:dyDescent="0.3">
      <c r="A193" s="391" t="s">
        <v>111</v>
      </c>
      <c r="B193" s="392">
        <v>174</v>
      </c>
      <c r="C193" s="117" t="str">
        <f>template_label_is_the_undertaking_aware_of_any_confirmed_incidents_involving_workers</f>
        <v>Is the undertaking aware of any confirmed incidents involving workers in the value chain affected communities consumers and end-users?</v>
      </c>
      <c r="D193" s="693" t="s">
        <v>87</v>
      </c>
      <c r="E193" s="693"/>
      <c r="F193" s="693"/>
      <c r="G193" s="693"/>
      <c r="H193" s="1030"/>
      <c r="I193" s="15" t="str">
        <f>IF(
'Table of Contents &amp; Validation'!D60=TRUE,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OK</v>
      </c>
    </row>
    <row r="194" spans="1:9" ht="29.4" thickBot="1" x14ac:dyDescent="0.35">
      <c r="A194" s="391" t="s">
        <v>111</v>
      </c>
      <c r="B194" s="392">
        <v>174</v>
      </c>
      <c r="C194" s="385" t="str">
        <f>template_label_specification_of_any_confirmed_incident_involving_workers</f>
        <v>Specification of any confirmed incident involving workers in the value chain affected communities consumers and end-users</v>
      </c>
      <c r="D194" s="1031"/>
      <c r="E194" s="1031"/>
      <c r="F194" s="1031"/>
      <c r="G194" s="1031"/>
      <c r="H194" s="1032"/>
      <c r="I194" s="15" t="str">
        <f>IF(AND(D193="YES",D194&lt;&gt;""), template_label_ok,
IF(AND(D193="YES",D194=""), template_label_missing_value,
IF(AND(D193="NO",D194&lt;&gt;""), template_label_missing_value, "")))</f>
        <v/>
      </c>
    </row>
    <row r="197" spans="1:9" ht="15" thickBot="1" x14ac:dyDescent="0.35"/>
    <row r="198" spans="1:9" ht="15" thickBot="1" x14ac:dyDescent="0.35">
      <c r="C198" s="610"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and/or entity specific social disclosures from 2025-01-01 to 2025-12-31 [May (optional)]</v>
      </c>
      <c r="D198" s="611"/>
      <c r="E198" s="611"/>
      <c r="F198" s="611"/>
      <c r="G198" s="611"/>
      <c r="H198" s="612"/>
    </row>
    <row r="199" spans="1:9" x14ac:dyDescent="0.3">
      <c r="C199" s="592">
        <v>10</v>
      </c>
      <c r="D199" s="608"/>
      <c r="E199" s="608"/>
      <c r="F199" s="608"/>
      <c r="G199" s="608"/>
      <c r="H199" s="609"/>
    </row>
    <row r="200" spans="1:9" ht="15" thickBot="1" x14ac:dyDescent="0.35">
      <c r="C200" s="604"/>
      <c r="D200" s="605"/>
      <c r="E200" s="605"/>
      <c r="F200" s="605"/>
      <c r="G200" s="605"/>
      <c r="H200" s="606"/>
      <c r="I200" s="15" t="str">
        <f>IF(C200&lt;&gt;"", template_label_ok, "")</f>
        <v/>
      </c>
    </row>
  </sheetData>
  <sheetProtection algorithmName="SHA-512" hashValue="IKHGbIhGVj7Or16dt7leqdbSG507nd91EosU0OrQXOdUXD5Y0wOzcMbqlJh1pmEv2OunmV7/BDcddKXzNIg0KQ==" saltValue="HBMNMlTFkPZ8r6KitBJy2A==" spinCount="100000" sheet="1" formatColumns="0" formatRows="0" insertRows="0"/>
  <mergeCells count="299">
    <mergeCell ref="A183:B183"/>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70" priority="29">
      <formula>$D$179=TRUE</formula>
    </cfRule>
  </conditionalFormatting>
  <conditionalFormatting sqref="D191:D192">
    <cfRule type="expression" dxfId="169" priority="18">
      <formula>$D$190=TRUE</formula>
    </cfRule>
  </conditionalFormatting>
  <conditionalFormatting sqref="D194">
    <cfRule type="expression" dxfId="168" priority="17">
      <formula>$D$193="YES"</formula>
    </cfRule>
  </conditionalFormatting>
  <conditionalFormatting sqref="D174:H179">
    <cfRule type="expression" dxfId="165" priority="34">
      <formula>$D$172="YES"</formula>
    </cfRule>
  </conditionalFormatting>
  <conditionalFormatting sqref="D186:H190">
    <cfRule type="expression" dxfId="164" priority="23">
      <formula>$D$184="YES"</formula>
    </cfRule>
  </conditionalFormatting>
  <conditionalFormatting sqref="D192:H192">
    <cfRule type="expression" dxfId="162" priority="10">
      <formula>$D$184="YES"</formula>
    </cfRule>
  </conditionalFormatting>
  <conditionalFormatting sqref="E29:H29">
    <cfRule type="expression" dxfId="161" priority="2">
      <formula>$E$27=TRUE</formula>
    </cfRule>
  </conditionalFormatting>
  <conditionalFormatting sqref="E29:H128">
    <cfRule type="expression" dxfId="160" priority="60">
      <formula>$C29&lt;&gt;""</formula>
    </cfRule>
  </conditionalFormatting>
  <conditionalFormatting sqref="E30:H128">
    <cfRule type="expression" dxfId="159" priority="61">
      <formula>$D30=""</formula>
    </cfRule>
  </conditionalFormatting>
  <conditionalFormatting sqref="H10:H11">
    <cfRule type="expression" dxfId="158" priority="71">
      <formula>$H10=template_label_missing_value</formula>
    </cfRule>
    <cfRule type="expression" dxfId="157" priority="72">
      <formula>$H10=template_label_ok</formula>
    </cfRule>
  </conditionalFormatting>
  <conditionalFormatting sqref="H12">
    <cfRule type="expression" dxfId="156" priority="74">
      <formula>$H$12="VALUE INCONSISTENCY"</formula>
    </cfRule>
    <cfRule type="expression" dxfId="155" priority="73">
      <formula>$H$12="OK"</formula>
    </cfRule>
  </conditionalFormatting>
  <conditionalFormatting sqref="H18:H21">
    <cfRule type="expression" dxfId="154" priority="1">
      <formula>$H$18=template_label_value_inconsistency</formula>
    </cfRule>
    <cfRule type="expression" dxfId="153" priority="66">
      <formula>$H$18=template_label_missing_value</formula>
    </cfRule>
    <cfRule type="expression" dxfId="152" priority="67">
      <formula>$H$18=template_label_ok</formula>
    </cfRule>
  </conditionalFormatting>
  <conditionalFormatting sqref="H22">
    <cfRule type="expression" dxfId="151" priority="68">
      <formula>$H$22="VALUE INCONSISTENCY"</formula>
    </cfRule>
    <cfRule type="expression" dxfId="150" priority="69">
      <formula>$H$22="MISSING VALUE"</formula>
    </cfRule>
    <cfRule type="expression" dxfId="149" priority="70">
      <formula>$H$22="OK"</formula>
    </cfRule>
  </conditionalFormatting>
  <conditionalFormatting sqref="I29:I128">
    <cfRule type="expression" dxfId="148" priority="5">
      <formula>$I29=template_label_value_inconsistency</formula>
    </cfRule>
    <cfRule type="expression" dxfId="147" priority="65">
      <formula>$I29=template_label_missing_value</formula>
    </cfRule>
    <cfRule type="expression" dxfId="146" priority="64">
      <formula>$I29=template_label_ok</formula>
    </cfRule>
  </conditionalFormatting>
  <conditionalFormatting sqref="I129">
    <cfRule type="expression" dxfId="145" priority="62">
      <formula>$I$129="OK"</formula>
    </cfRule>
    <cfRule type="expression" dxfId="144" priority="63">
      <formula>$I$129="VALUE INCONSISTENCY"</formula>
    </cfRule>
  </conditionalFormatting>
  <conditionalFormatting sqref="I134:I136">
    <cfRule type="expression" dxfId="143" priority="59">
      <formula>$I134=template_label_ok</formula>
    </cfRule>
    <cfRule type="expression" dxfId="142" priority="58">
      <formula>$I134=template_label_missing_value</formula>
    </cfRule>
  </conditionalFormatting>
  <conditionalFormatting sqref="I140:I141">
    <cfRule type="expression" dxfId="141" priority="56">
      <formula>$I140=template_label_ok</formula>
    </cfRule>
    <cfRule type="expression" dxfId="140" priority="55">
      <formula>$I140=template_label_missing_value</formula>
    </cfRule>
  </conditionalFormatting>
  <conditionalFormatting sqref="I142">
    <cfRule type="expression" dxfId="139" priority="52">
      <formula>$I$142="MISSING VALUE"</formula>
    </cfRule>
    <cfRule type="expression" dxfId="138" priority="51">
      <formula>$I$142="OK"</formula>
    </cfRule>
  </conditionalFormatting>
  <conditionalFormatting sqref="I144">
    <cfRule type="expression" dxfId="137" priority="53">
      <formula>$I$144=template_label_missing_value</formula>
    </cfRule>
    <cfRule type="expression" dxfId="136" priority="54">
      <formula>$I$144=template_label_ok</formula>
    </cfRule>
  </conditionalFormatting>
  <conditionalFormatting sqref="I147">
    <cfRule type="expression" dxfId="135" priority="46">
      <formula>$I$147=template_label_ok</formula>
    </cfRule>
    <cfRule type="expression" dxfId="134" priority="45">
      <formula>$I$147=template_label_missing_value</formula>
    </cfRule>
  </conditionalFormatting>
  <conditionalFormatting sqref="I148:I149">
    <cfRule type="expression" dxfId="133" priority="50">
      <formula>$I148=template_label_missing_value</formula>
    </cfRule>
    <cfRule type="expression" dxfId="132" priority="49">
      <formula>$I148=template_label_ok</formula>
    </cfRule>
  </conditionalFormatting>
  <conditionalFormatting sqref="I151">
    <cfRule type="expression" dxfId="131" priority="47">
      <formula>$I$151=template_label_ok</formula>
    </cfRule>
    <cfRule type="expression" dxfId="130" priority="48">
      <formula>$I$151=template_label_missing_value</formula>
    </cfRule>
  </conditionalFormatting>
  <conditionalFormatting sqref="I156:I157 I161">
    <cfRule type="expression" dxfId="129" priority="43">
      <formula>$I156=template_label_missing_value</formula>
    </cfRule>
    <cfRule type="expression" dxfId="128" priority="42">
      <formula>$I156=template_label_ok</formula>
    </cfRule>
  </conditionalFormatting>
  <conditionalFormatting sqref="I165">
    <cfRule type="expression" dxfId="127" priority="41">
      <formula>$I$165=template_label_ok</formula>
    </cfRule>
  </conditionalFormatting>
  <conditionalFormatting sqref="I166">
    <cfRule type="expression" dxfId="126" priority="40">
      <formula>$I$166=template_label_ok</formula>
    </cfRule>
  </conditionalFormatting>
  <conditionalFormatting sqref="I168">
    <cfRule type="expression" dxfId="125" priority="39">
      <formula>$I$168=template_label_ok</formula>
    </cfRule>
  </conditionalFormatting>
  <conditionalFormatting sqref="I169">
    <cfRule type="expression" dxfId="124" priority="38">
      <formula>$I$169=template_label_ok</formula>
    </cfRule>
  </conditionalFormatting>
  <conditionalFormatting sqref="I172">
    <cfRule type="expression" dxfId="123" priority="31">
      <formula>$I$172=template_label_ok</formula>
    </cfRule>
    <cfRule type="expression" dxfId="122" priority="30">
      <formula>$I$172=template_label_missing_value</formula>
    </cfRule>
  </conditionalFormatting>
  <conditionalFormatting sqref="I174:I179">
    <cfRule type="expression" dxfId="121" priority="7">
      <formula>$I$174=template_label_value_inconsistency</formula>
    </cfRule>
    <cfRule type="expression" dxfId="120" priority="26">
      <formula>$I$174=template_label_ok</formula>
    </cfRule>
    <cfRule type="expression" dxfId="119" priority="25">
      <formula>$I$174=template_label_missing_value</formula>
    </cfRule>
  </conditionalFormatting>
  <conditionalFormatting sqref="I180">
    <cfRule type="expression" dxfId="118" priority="33">
      <formula>$I$180=template_label_missing_value</formula>
    </cfRule>
    <cfRule type="expression" dxfId="117" priority="32">
      <formula>$I$180=template_label_ok</formula>
    </cfRule>
  </conditionalFormatting>
  <conditionalFormatting sqref="I181">
    <cfRule type="expression" dxfId="116" priority="28">
      <formula>$I$181=template_label_ok</formula>
    </cfRule>
    <cfRule type="expression" dxfId="115" priority="27">
      <formula>$I$181=template_label_missing_value</formula>
    </cfRule>
  </conditionalFormatting>
  <conditionalFormatting sqref="I184">
    <cfRule type="expression" dxfId="114" priority="16">
      <formula>$I$184=template_label_missing_value</formula>
    </cfRule>
    <cfRule type="expression" dxfId="113" priority="15">
      <formula>$I$184=template_label_ok</formula>
    </cfRule>
  </conditionalFormatting>
  <conditionalFormatting sqref="I186:I190">
    <cfRule type="expression" dxfId="112" priority="14">
      <formula>$I$186=template_label_missing_value</formula>
    </cfRule>
    <cfRule type="expression" dxfId="111" priority="13">
      <formula>$I$186=template_label_ok</formula>
    </cfRule>
    <cfRule type="expression" dxfId="110" priority="6">
      <formula>$I$186=template_label_value_inconsistency</formula>
    </cfRule>
  </conditionalFormatting>
  <conditionalFormatting sqref="I191">
    <cfRule type="expression" dxfId="109" priority="21">
      <formula>$I$191=template_label_ok</formula>
    </cfRule>
    <cfRule type="expression" dxfId="108" priority="22">
      <formula>$I$191=template_label_missing_value</formula>
    </cfRule>
  </conditionalFormatting>
  <conditionalFormatting sqref="I192">
    <cfRule type="expression" dxfId="107" priority="9">
      <formula>$I$192=template_label_ok</formula>
    </cfRule>
  </conditionalFormatting>
  <conditionalFormatting sqref="I193">
    <cfRule type="expression" dxfId="106" priority="11">
      <formula>$I$193=template_label_missing_value</formula>
    </cfRule>
    <cfRule type="expression" dxfId="105" priority="12">
      <formula>$I$193=template_label_ok</formula>
    </cfRule>
  </conditionalFormatting>
  <conditionalFormatting sqref="I194">
    <cfRule type="expression" dxfId="104" priority="19">
      <formula>$I$194=template_label_missing_value</formula>
    </cfRule>
    <cfRule type="expression" dxfId="103" priority="20">
      <formula>$I$194=template_label_ok</formula>
    </cfRule>
  </conditionalFormatting>
  <conditionalFormatting sqref="I200">
    <cfRule type="expression" dxfId="102" priority="8">
      <formula>$I$200=template_label_ok</formula>
    </cfRule>
  </conditionalFormatting>
  <dataValidations xWindow="1283" yWindow="371" count="28">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2 D144: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4F4DA7A2-99E2-4CB1-925B-B8636023C76A}">
      <formula1>D143</formula1>
    </dataValidation>
  </dataValidations>
  <hyperlinks>
    <hyperlink ref="C7:G7" r:id="rId1" display="39(a)" xr:uid="{CD9F84FC-ACA1-4091-B992-39B70837E5EC}"/>
    <hyperlink ref="C8:G8" r:id="rId2" display="110-117" xr:uid="{A493744B-D48F-437C-822E-1C3A6EAACAB5}"/>
    <hyperlink ref="C15:G15" r:id="rId3" display="39(b)" xr:uid="{B953544B-C114-45EA-A606-BC5B8B138C22}"/>
    <hyperlink ref="C16:G16" r:id="rId4" display="110-117" xr:uid="{5B0B4AAC-7DB5-4274-B636-ACDE8F44D3B8}"/>
    <hyperlink ref="C25:H25" r:id="rId5" display="39(c)" xr:uid="{C8B78908-BF50-4B65-9003-937BE92AC09D}"/>
    <hyperlink ref="C26:H26" r:id="rId6" display="110-117" xr:uid="{4B9CEEEA-A30C-4444-954D-3BC451800F88}"/>
    <hyperlink ref="C132:H132" r:id="rId7" display="https://knowledgehub.efrag.org/eng/interactive/vsme/vsme-standard-annex-i/2025-07-30-ec-rec/40" xr:uid="{FD4C9B6F-046D-4541-8A19-ECD3A7CDBC0D}"/>
    <hyperlink ref="C133:H133" r:id="rId8" display="https://knowledgehub.efrag.org/eng/interactive/vsme/vsme-guidance-annex-ii/2025-07-30-ec-rec/118" xr:uid="{A7D9E2F8-848A-4E6C-8384-D181AF42A6C1}"/>
    <hyperlink ref="A140" r:id="rId9" xr:uid="{8E1A5ADB-AF53-4384-A62A-C9E6FE069714}"/>
    <hyperlink ref="A141" r:id="rId10" xr:uid="{1AB40284-57B8-4206-982B-A6CC289DCC77}"/>
    <hyperlink ref="A142" r:id="rId11" xr:uid="{9CCF013D-B4F1-47D7-963D-C833D9624FC5}"/>
    <hyperlink ref="A143" r:id="rId12" xr:uid="{8EFC0B8E-039A-46A2-9F46-D8E8B87B4F51}"/>
    <hyperlink ref="A144" r:id="rId13" xr:uid="{F03CA4A4-AC7F-4F07-903F-C75F220F7BB2}"/>
    <hyperlink ref="B140" r:id="rId14" xr:uid="{9CED5EC8-CE6A-42BE-80D1-D7BF0CEFF972}"/>
    <hyperlink ref="B141" r:id="rId15" xr:uid="{3757C89C-383E-4448-89D4-360C9D38534D}"/>
    <hyperlink ref="B142" r:id="rId16" xr:uid="{FCB2A57F-78F9-4F37-82A7-D8793D4F725B}"/>
    <hyperlink ref="B143" r:id="rId17" xr:uid="{83C02AC9-DC40-44B4-B56F-5A2761181B8A}"/>
    <hyperlink ref="B144" r:id="rId18" xr:uid="{3AB7789A-73A8-4C3E-8C89-F6298417FE10}"/>
    <hyperlink ref="A147" r:id="rId19" xr:uid="{3188E279-C90A-4F17-B627-9FF4BB006A8C}"/>
    <hyperlink ref="A148" r:id="rId20" xr:uid="{6F16E1E0-BC89-45A6-B5F4-9615AD47E230}"/>
    <hyperlink ref="A149" r:id="rId21" xr:uid="{F1D7F8B6-7298-49A5-ADCB-A92A39511330}"/>
    <hyperlink ref="A150" r:id="rId22" xr:uid="{6DF9FD68-07EC-4F98-9B1A-B74322E3B1D7}"/>
    <hyperlink ref="A151:A152" r:id="rId23" display="42(c)" xr:uid="{0C874EB2-9644-478E-A773-047755853BB9}"/>
    <hyperlink ref="B147" r:id="rId24" xr:uid="{7E31C068-0E01-40C1-A8E0-897A3518A52A}"/>
    <hyperlink ref="B148" r:id="rId25" xr:uid="{44C318D3-B3D6-41B1-ACCF-60FB6F40105B}"/>
    <hyperlink ref="B149" r:id="rId26" xr:uid="{D3266D61-F088-4320-B222-9D9C7ABF81E4}"/>
    <hyperlink ref="B150" r:id="rId27" xr:uid="{5DAC535E-ECB8-4B00-B391-07A9A7D5FA0D}"/>
    <hyperlink ref="B151:B152" r:id="rId28" display="137-140" xr:uid="{3A910E89-7BFF-4BB9-9668-94B9ABB2D0B4}"/>
    <hyperlink ref="C155:H155" r:id="rId29" display="42(d)" xr:uid="{3241B182-B1A5-4947-8FD7-A5ED55687C8F}"/>
    <hyperlink ref="A165" r:id="rId30" display="https://knowledgehub.efrag.org/eng/interactive/vsme/vsme-standard-annex-i/2025-07-30-ec-rec/59" xr:uid="{10BFB29D-EC8B-4992-82AD-CC3831E1998E}"/>
    <hyperlink ref="A166" r:id="rId31" display="https://knowledgehub.efrag.org/eng/interactive/vsme/vsme-standard-annex-i/2025-07-30-ec-rec/59" xr:uid="{36BFCCF1-808B-4555-9E79-25B729E1701D}"/>
    <hyperlink ref="A167" r:id="rId32" display="https://knowledgehub.efrag.org/eng/interactive/vsme/vsme-standard-annex-i/2025-07-30-ec-rec/59" xr:uid="{A7A907FA-F78C-4D8B-9C0B-F6D0764C5ACC}"/>
    <hyperlink ref="A168" r:id="rId33" display="https://knowledgehub.efrag.org/eng/interactive/vsme/vsme-standard-annex-i/2025-07-30-ec-rec/60" xr:uid="{6CA484FA-A0CC-4638-AB97-83AF7D74A3A4}"/>
    <hyperlink ref="A169" r:id="rId34" display="https://knowledgehub.efrag.org/eng/interactive/vsme/vsme-standard-annex-i/2025-07-30-ec-rec/60" xr:uid="{170FED2C-9B6A-4A87-8C52-9A6D43472072}"/>
    <hyperlink ref="B165" r:id="rId35" xr:uid="{875A897B-2BF8-4DF8-89E2-19668C3B9A81}"/>
    <hyperlink ref="B166" r:id="rId36" xr:uid="{A07B642D-E53A-4044-B4B7-B5F861D5C0DA}"/>
    <hyperlink ref="B167" r:id="rId37" xr:uid="{82023F62-3997-45E6-A31E-63A9C816D09A}"/>
    <hyperlink ref="B168" r:id="rId38" xr:uid="{C09C8EF3-711E-404D-A567-05A5D415551D}"/>
    <hyperlink ref="B169" r:id="rId39" xr:uid="{D22D874A-D1BD-4A35-913F-0EACD672437E}"/>
    <hyperlink ref="A172" r:id="rId40" xr:uid="{C0F3D891-4EE3-4634-8BA6-19B7EB88647E}"/>
    <hyperlink ref="A173" r:id="rId41" xr:uid="{B52E826D-FC2A-484A-BB8C-6542DFDDE92B}"/>
    <hyperlink ref="A174" r:id="rId42" xr:uid="{284862E1-F5B3-43E1-B799-76D2C605B176}"/>
    <hyperlink ref="A175" r:id="rId43" xr:uid="{662E1678-7290-45B7-9682-435A95A78993}"/>
    <hyperlink ref="A176" r:id="rId44" xr:uid="{29EC10E0-10CB-4819-9C52-0FD305CA8AAE}"/>
    <hyperlink ref="A177" r:id="rId45" xr:uid="{9711D0AD-5ECA-400F-BEE3-C0C18A25ED4F}"/>
    <hyperlink ref="A178" r:id="rId46" xr:uid="{A4E1CF55-D38B-4498-B44E-6948E7189B8A}"/>
    <hyperlink ref="A179" r:id="rId47" xr:uid="{18BE0563-98B4-43AD-8656-0C60A1F9D48C}"/>
    <hyperlink ref="A180" r:id="rId48" xr:uid="{9DED8489-136E-4C99-A404-FEA1F22BD50C}"/>
    <hyperlink ref="A181" r:id="rId49" xr:uid="{8681AE7E-FCD9-4FDC-A653-EAC7EA9DE35C}"/>
    <hyperlink ref="B172" r:id="rId50" display="https://knowledgehub.efrag.org/eng/interactive/vsme/vsme-guidance-annex-ii/2025-07-30-ec-rec/173" xr:uid="{65111DEF-2E29-462E-AA78-3860FE0417D3}"/>
    <hyperlink ref="B173" r:id="rId51" display="https://knowledgehub.efrag.org/eng/interactive/vsme/vsme-guidance-annex-ii/2025-07-30-ec-rec/173" xr:uid="{3C3AFC45-AC2A-4C16-A24A-E46248627C1E}"/>
    <hyperlink ref="B174" r:id="rId52" display="https://knowledgehub.efrag.org/eng/interactive/vsme/vsme-guidance-annex-ii/2025-07-30-ec-rec/173" xr:uid="{586D8F6D-A326-423C-B49A-0712AE9B4F08}"/>
    <hyperlink ref="B175" r:id="rId53" display="https://knowledgehub.efrag.org/eng/interactive/vsme/vsme-guidance-annex-ii/2025-07-30-ec-rec/173" xr:uid="{8F75E456-7359-4F2B-ADF4-8AEAE6266665}"/>
    <hyperlink ref="B176" r:id="rId54" display="https://knowledgehub.efrag.org/eng/interactive/vsme/vsme-guidance-annex-ii/2025-07-30-ec-rec/173" xr:uid="{0D7320BC-D40E-402E-98DB-6502D5CCDC4F}"/>
    <hyperlink ref="B177" r:id="rId55" display="https://knowledgehub.efrag.org/eng/interactive/vsme/vsme-guidance-annex-ii/2025-07-30-ec-rec/173" xr:uid="{2A210658-0FAD-4BCF-9C69-F48C6F93DDC5}"/>
    <hyperlink ref="B178" r:id="rId56" display="https://knowledgehub.efrag.org/eng/interactive/vsme/vsme-guidance-annex-ii/2025-07-30-ec-rec/173" xr:uid="{D5E0C2ED-4D3A-497D-B8F9-DB7F976B0C96}"/>
    <hyperlink ref="B179" r:id="rId57" display="https://knowledgehub.efrag.org/eng/interactive/vsme/vsme-guidance-annex-ii/2025-07-30-ec-rec/173" xr:uid="{0E7E48D5-8390-4C85-9563-81230280B827}"/>
    <hyperlink ref="B180" r:id="rId58" display="https://knowledgehub.efrag.org/eng/interactive/vsme/vsme-guidance-annex-ii/2025-07-30-ec-rec/173" xr:uid="{4B4F3992-980A-4219-8401-D24ABC83B53D}"/>
    <hyperlink ref="B181" r:id="rId59" display="https://knowledgehub.efrag.org/eng/interactive/vsme/vsme-guidance-annex-ii/2025-07-30-ec-rec/173" xr:uid="{8C3CE4BF-83B5-4731-A697-D66C50238E24}"/>
    <hyperlink ref="B184" r:id="rId60" display="https://knowledgehub.efrag.org/eng/interactive/vsme/vsme-guidance-annex-ii/2025-07-30-ec-rec/174" xr:uid="{FF0F619F-B400-434F-AC0D-A3F1F7B81A44}"/>
    <hyperlink ref="B185" r:id="rId61" display="https://knowledgehub.efrag.org/eng/interactive/vsme/vsme-guidance-annex-ii/2025-07-30-ec-rec/174" xr:uid="{A669355B-75BB-4B11-A4AD-5F9CD3979CB6}"/>
    <hyperlink ref="B186" r:id="rId62" display="https://knowledgehub.efrag.org/eng/interactive/vsme/vsme-guidance-annex-ii/2025-07-30-ec-rec/174" xr:uid="{341F4C40-7423-4150-B6F3-F499D54D0F8F}"/>
    <hyperlink ref="B187" r:id="rId63" display="https://knowledgehub.efrag.org/eng/interactive/vsme/vsme-guidance-annex-ii/2025-07-30-ec-rec/174" xr:uid="{C9E66111-736E-41EC-92CD-9D2F4293F4F2}"/>
    <hyperlink ref="B188" r:id="rId64" display="https://knowledgehub.efrag.org/eng/interactive/vsme/vsme-guidance-annex-ii/2025-07-30-ec-rec/174" xr:uid="{45CA934B-2A53-4D0F-AB75-1729C2F5EFAA}"/>
    <hyperlink ref="B189" r:id="rId65" display="https://knowledgehub.efrag.org/eng/interactive/vsme/vsme-guidance-annex-ii/2025-07-30-ec-rec/174" xr:uid="{D94CCB32-3E3B-44F0-8763-6541B1B31C66}"/>
    <hyperlink ref="B190" r:id="rId66" display="https://knowledgehub.efrag.org/eng/interactive/vsme/vsme-guidance-annex-ii/2025-07-30-ec-rec/174" xr:uid="{6016D549-A78E-4725-AF07-913913E97A12}"/>
    <hyperlink ref="B191" r:id="rId67" display="https://knowledgehub.efrag.org/eng/interactive/vsme/vsme-guidance-annex-ii/2025-07-30-ec-rec/174" xr:uid="{CA6B80B4-6C60-4074-9CFC-1059902A0FB1}"/>
    <hyperlink ref="B192" r:id="rId68" display="https://knowledgehub.efrag.org/eng/interactive/vsme/vsme-guidance-annex-ii/2025-07-30-ec-rec/174" xr:uid="{05C78791-FB1E-4FA2-9604-FC8BCAA1441C}"/>
    <hyperlink ref="B193" r:id="rId69" display="https://knowledgehub.efrag.org/eng/interactive/vsme/vsme-guidance-annex-ii/2025-07-30-ec-rec/174" xr:uid="{4A0D5D39-2C03-43D0-9375-DC3C82B33B09}"/>
    <hyperlink ref="B194" r:id="rId70" display="https://knowledgehub.efrag.org/eng/interactive/vsme/vsme-guidance-annex-ii/2025-07-30-ec-rec/174" xr:uid="{C59010DE-D3AC-409F-9317-76D7ED231E9F}"/>
    <hyperlink ref="A184" r:id="rId71" display="https://knowledgehub.efrag.org/eng/interactive/vsme/vsme-standard-annex-i/2025-07-30-ec-rec/62" xr:uid="{8B04F7D4-B956-4B1F-89C8-4C754FFF8E5F}"/>
    <hyperlink ref="A185" r:id="rId72" xr:uid="{42F6A29B-A9F1-4E33-A6C8-8E1590038216}"/>
    <hyperlink ref="A186" r:id="rId73" xr:uid="{26F5A139-9026-4773-8AE3-8896A40DD8F6}"/>
    <hyperlink ref="A187" r:id="rId74" xr:uid="{AB7ADD27-4BB6-46D4-BA83-95FB7616CF6A}"/>
    <hyperlink ref="A188" r:id="rId75" xr:uid="{C37065EB-0AB7-4088-9F0C-6F7541C45EAE}"/>
    <hyperlink ref="A189" r:id="rId76" xr:uid="{21967051-D440-4871-BCCB-CED4AE202AB6}"/>
    <hyperlink ref="A190" r:id="rId77" xr:uid="{FDCC325E-5EB7-442A-B7F0-E60CA88D495D}"/>
    <hyperlink ref="A191" r:id="rId78" xr:uid="{690825A4-EADA-4741-B150-400BF47F8B64}"/>
    <hyperlink ref="A192" r:id="rId79" xr:uid="{1CDE0790-C873-412A-806D-8178996FD837}"/>
    <hyperlink ref="A193" r:id="rId80" xr:uid="{376E4401-8A7A-443C-9E73-F57A5CFC3AB0}"/>
    <hyperlink ref="A194" r:id="rId81" xr:uid="{3A8F3C6D-B852-4D9C-B84B-4FF16313DD71}"/>
    <hyperlink ref="C199:H199" r:id="rId82" display="https://knowledgehub.efrag.org/eng/interactive/vsme/vsme-standard-annex-i/2025-07-30-ec-rec/10" xr:uid="{07733647-E455-49AF-9175-D7668586937A}"/>
    <hyperlink ref="A183:B183" r:id="rId83" display="https://www.efrag.org/en/vsme-supporting-guide-to-disclosure-c7-comprehensive-module-severe-negative-human-rights-incidents" xr:uid="{0AE58F6E-56A7-4DA5-BEDF-0D15C12A2D22}"/>
  </hyperlinks>
  <pageMargins left="0.7" right="0.7" top="0.75" bottom="0.75" header="0.3" footer="0.3"/>
  <pageSetup paperSize="9" orientation="portrait" horizontalDpi="4294967293" verticalDpi="4294967293" r:id="rId84"/>
  <drawing r:id="rId85"/>
  <extLst>
    <ext xmlns:x14="http://schemas.microsoft.com/office/spreadsheetml/2009/9/main" uri="{78C0D931-6437-407d-A8EE-F0AAD7539E65}">
      <x14:conditionalFormattings>
        <x14:conditionalFormatting xmlns:xm="http://schemas.microsoft.com/office/excel/2006/main">
          <x14:cfRule type="expression" priority="57" id="{C1AD0EBF-9256-40D4-AB7C-630EAFD99990}">
            <xm:f>'General Information'!$E$282&gt;50</xm:f>
            <x14:dxf>
              <fill>
                <patternFill patternType="solid">
                  <bgColor rgb="FFFFFF99"/>
                </patternFill>
              </fill>
            </x14:dxf>
          </x14:cfRule>
          <xm:sqref>C134:H136</xm:sqref>
        </x14:conditionalFormatting>
        <x14:conditionalFormatting xmlns:xm="http://schemas.microsoft.com/office/excel/2006/main">
          <x14:cfRule type="expression" priority="44" id="{41BDF252-99BC-47B0-A14B-5396CCC7A6C9}">
            <xm:f>'General Information'!$E$282&gt;150</xm:f>
            <x14:dxf>
              <fill>
                <patternFill patternType="solid">
                  <bgColor rgb="FFFFFF99"/>
                </patternFill>
              </fill>
            </x14:dxf>
          </x14:cfRule>
          <xm:sqref>C148:H149</xm:sqref>
        </x14:conditionalFormatting>
        <x14:conditionalFormatting xmlns:xm="http://schemas.microsoft.com/office/excel/2006/main">
          <x14:cfRule type="expression" priority="37" id="{0A250C4B-DD07-4841-AABD-2DCC525B6367}">
            <xm:f>'General Information'!$E$282&gt;50</xm:f>
            <x14:dxf>
              <fill>
                <patternFill patternType="solid">
                  <bgColor rgb="FFFFFF99"/>
                </patternFill>
              </fill>
            </x14:dxf>
          </x14:cfRule>
          <xm:sqref>C165:H166</xm:sqref>
        </x14:conditionalFormatting>
        <x14:conditionalFormatting xmlns:xm="http://schemas.microsoft.com/office/excel/2006/main">
          <x14:cfRule type="expression" priority="36" id="{69F3CDF1-C506-4C12-A20E-FE804D24A482}">
            <xm:f>'General Information'!$E$282&gt;50</xm:f>
            <x14:dxf>
              <fill>
                <patternFill patternType="none">
                  <bgColor auto="1"/>
                </patternFill>
              </fill>
            </x14:dxf>
          </x14:cfRule>
          <xm:sqref>D168:H169</xm:sqref>
        </x14:conditionalFormatting>
        <x14:conditionalFormatting xmlns:xm="http://schemas.microsoft.com/office/excel/2006/main">
          <x14:cfRule type="expression" priority="35"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4"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Information'!$E$284="","-",'General Information'!$E$284)</xm:f>
          </x14:formula1>
          <xm:sqref>F2:H2</xm:sqref>
        </x14:dataValidation>
        <x14:dataValidation type="custom" showInputMessage="1" showErrorMessage="1" xr:uid="{5CB0FDEF-7EB7-4204-AC9A-257032190656}">
          <x14:formula1>
            <xm:f>IF('General Information'!$E$282="","-",'General Information'!$E$282)</xm:f>
          </x14:formula1>
          <xm:sqref>D22:G22 E129</xm:sqref>
        </x14:dataValidation>
        <x14:dataValidation type="decimal" operator="lessThanOrEqual" showInputMessage="1" showErrorMessage="1" xr:uid="{0C498D34-B549-4574-AAED-C478F3CDADCC}">
          <x14:formula1>
            <xm:f>'General Information'!E282</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27" t="s">
        <v>112</v>
      </c>
      <c r="B1" s="227" t="s">
        <v>113</v>
      </c>
      <c r="C1" s="10"/>
      <c r="D1" s="10"/>
      <c r="E1" s="10"/>
      <c r="F1" s="10"/>
      <c r="G1" s="10"/>
      <c r="H1" s="10"/>
    </row>
    <row r="2" spans="1:9" ht="15" thickBot="1" x14ac:dyDescent="0.35">
      <c r="A2" s="10"/>
      <c r="B2" s="10"/>
      <c r="C2" s="627"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2025-01-01 to 2025-12-31 [If applicable]</v>
      </c>
      <c r="D2" s="740"/>
      <c r="E2" s="740"/>
      <c r="F2" s="740"/>
      <c r="G2" s="740"/>
      <c r="H2" s="741"/>
    </row>
    <row r="3" spans="1:9" x14ac:dyDescent="0.3">
      <c r="A3" s="10"/>
      <c r="B3" s="10"/>
      <c r="C3" s="592">
        <v>43</v>
      </c>
      <c r="D3" s="608"/>
      <c r="E3" s="608"/>
      <c r="F3" s="608"/>
      <c r="G3" s="608"/>
      <c r="H3" s="609"/>
    </row>
    <row r="4" spans="1:9" x14ac:dyDescent="0.3">
      <c r="A4" s="10"/>
      <c r="B4" s="10"/>
      <c r="C4" s="626" t="s">
        <v>114</v>
      </c>
      <c r="D4" s="590"/>
      <c r="E4" s="590"/>
      <c r="F4" s="590"/>
      <c r="G4" s="590"/>
      <c r="H4" s="700"/>
    </row>
    <row r="5" spans="1:9" s="10" customFormat="1" x14ac:dyDescent="0.3">
      <c r="C5" s="661" t="str">
        <f>template_label_has_the_undertaking_incurred_in_convictions_and_fines_in_the_reporting_period</f>
        <v>Has the undertaking incurred in convictions and fines in the reporting period?</v>
      </c>
      <c r="D5" s="846"/>
      <c r="E5" s="846"/>
      <c r="F5" s="846"/>
      <c r="G5" s="846"/>
      <c r="H5" s="149" t="b">
        <v>1</v>
      </c>
      <c r="I5" s="15"/>
    </row>
    <row r="6" spans="1:9" s="10" customFormat="1" ht="21.6" customHeight="1" x14ac:dyDescent="0.3">
      <c r="C6" s="1068" t="str">
        <f>template_label_total_number_of_convictions_for_the_violation_of_anti_corruption_and_anti_bribery_laws</f>
        <v>Total number of convictions  for the violation of anti-corruption and anti-bribery laws</v>
      </c>
      <c r="D6" s="1069"/>
      <c r="E6" s="1069"/>
      <c r="F6" s="1069"/>
      <c r="G6" s="1069"/>
      <c r="H6" s="251">
        <v>1</v>
      </c>
      <c r="I6" s="15" t="str">
        <f>IF(AND($H$5=TRUE,H6&lt;&gt;""), template_label_ok,
IF(AND($H$5=TRUE,H6=""), template_label_missing_value, ""))</f>
        <v>OK</v>
      </c>
    </row>
    <row r="7" spans="1:9" s="10" customFormat="1" ht="15" thickBot="1" x14ac:dyDescent="0.35">
      <c r="C7" s="1070"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071"/>
      <c r="E7" s="1071"/>
      <c r="F7" s="1071"/>
      <c r="G7" s="1071"/>
      <c r="H7" s="255">
        <v>5000</v>
      </c>
      <c r="I7" s="15" t="str">
        <f>IF(AND($H$5=TRUE,H7&lt;&gt;""), template_label_ok,
IF(AND($H$5=TRUE,H7=""), template_label_missing_value, ""))</f>
        <v>OK</v>
      </c>
    </row>
    <row r="8" spans="1:9" s="10" customFormat="1" ht="15" thickBot="1" x14ac:dyDescent="0.35">
      <c r="I8" s="15"/>
    </row>
    <row r="9" spans="1:9" s="10" customFormat="1" ht="15" thickBot="1" x14ac:dyDescent="0.35">
      <c r="C9" s="1049" t="str">
        <f>template_label_c8_revenues_from_certain_sectors&amp;" "&amp;template_label_from&amp;" "&amp;template_starting_date_display&amp;" "&amp;template_label_to&amp;" "&amp;template_ending_date_display&amp;" "&amp;template_label_if_applicable</f>
        <v>C8 - Revenues from certain activities from 2025-01-01 to 2025-12-31 [If applicable]</v>
      </c>
      <c r="D9" s="1050"/>
      <c r="E9" s="1050"/>
      <c r="F9" s="1050"/>
      <c r="G9" s="1050"/>
      <c r="H9" s="1051"/>
      <c r="I9" s="15"/>
    </row>
    <row r="10" spans="1:9" ht="28.2" customHeight="1" x14ac:dyDescent="0.3">
      <c r="A10" s="10"/>
      <c r="B10" s="10"/>
      <c r="C10" s="811" t="str">
        <f>template_label_is_the_undertaking_deriving_revenues_from_one_of_the_activities_listed_below</f>
        <v>Is the undertaking deriving revenues from one of the activities listed below?</v>
      </c>
      <c r="D10" s="812"/>
      <c r="E10" s="812"/>
      <c r="F10" s="812"/>
      <c r="G10" s="812"/>
      <c r="H10" s="131" t="b">
        <v>0</v>
      </c>
    </row>
    <row r="11" spans="1:9" x14ac:dyDescent="0.3">
      <c r="A11" s="10"/>
      <c r="B11" s="10"/>
      <c r="C11" s="789"/>
      <c r="D11" s="790"/>
      <c r="E11" s="790"/>
      <c r="F11" s="790"/>
      <c r="G11" s="790"/>
      <c r="H11" s="53" t="str">
        <f>template_label_monetary_amount_in &amp; " " &amp; template_currency</f>
        <v>Monetary amount in EUR</v>
      </c>
    </row>
    <row r="12" spans="1:9" s="10" customFormat="1" ht="32.4" customHeight="1" x14ac:dyDescent="0.3">
      <c r="A12" s="391" t="s">
        <v>115</v>
      </c>
      <c r="B12" s="392" t="s">
        <v>116</v>
      </c>
      <c r="C12" s="649" t="str">
        <f>template_label_revenue_derived_from_controversial_weapons</f>
        <v>Revenue derived from controversial weapons (anti-personnel mines cluster munitions chemical weapons and biological weapons)</v>
      </c>
      <c r="D12" s="798"/>
      <c r="E12" s="798"/>
      <c r="F12" s="798"/>
      <c r="G12" s="798"/>
      <c r="H12" s="251"/>
      <c r="I12" s="1039" t="str">
        <f>IF(AND(H10=FALSE,COUNTA(H12:H16)=0, H18=""),
    "",
    IF(AND(OR(COUNTA(H12:H16)&gt;0, H18&lt;&gt;""), SUM(H12:H16, H18)&lt;='General Information'!E281),
        template_label_ok,
        IF(AND(H10=TRUE, COUNTA(H12:H16)=0, H18=""),
            template_label_missing_value,
            template_label_value_inconsistency
        )
    )
)</f>
        <v/>
      </c>
    </row>
    <row r="13" spans="1:9" s="10" customFormat="1" ht="15" thickBot="1" x14ac:dyDescent="0.35">
      <c r="A13" s="391" t="s">
        <v>117</v>
      </c>
      <c r="B13" s="392" t="s">
        <v>116</v>
      </c>
      <c r="C13" s="704" t="str">
        <f>template_label_revenue_derived_from_cultivation_and_production_of_tobacco</f>
        <v>Revenue derived from cultivation and production of tobacco</v>
      </c>
      <c r="D13" s="1040"/>
      <c r="E13" s="1040"/>
      <c r="F13" s="1040"/>
      <c r="G13" s="1040"/>
      <c r="H13" s="252"/>
      <c r="I13" s="1039"/>
    </row>
    <row r="14" spans="1:9" s="10" customFormat="1" x14ac:dyDescent="0.3">
      <c r="A14" s="391" t="s">
        <v>118</v>
      </c>
      <c r="B14" s="392" t="s">
        <v>116</v>
      </c>
      <c r="C14" s="1041" t="str">
        <f>template_label_revenue_derived_from_coal</f>
        <v>Revenue derived from coal</v>
      </c>
      <c r="D14" s="1042"/>
      <c r="E14" s="1042"/>
      <c r="F14" s="1042"/>
      <c r="G14" s="1042"/>
      <c r="H14" s="253"/>
      <c r="I14" s="1039"/>
    </row>
    <row r="15" spans="1:9" s="10" customFormat="1" x14ac:dyDescent="0.3">
      <c r="A15" s="391" t="s">
        <v>118</v>
      </c>
      <c r="B15" s="392" t="s">
        <v>116</v>
      </c>
      <c r="C15" s="649" t="str">
        <f>template_label_revenue_derived_from_oil</f>
        <v>Revenue derived from oil</v>
      </c>
      <c r="D15" s="798"/>
      <c r="E15" s="798"/>
      <c r="F15" s="798"/>
      <c r="G15" s="798"/>
      <c r="H15" s="251"/>
      <c r="I15" s="1039"/>
    </row>
    <row r="16" spans="1:9" s="10" customFormat="1" x14ac:dyDescent="0.3">
      <c r="A16" s="391" t="s">
        <v>118</v>
      </c>
      <c r="B16" s="392" t="s">
        <v>116</v>
      </c>
      <c r="C16" s="649" t="str">
        <f>template_label_revenue_derived_from_gas</f>
        <v>Revenue derived from gas</v>
      </c>
      <c r="D16" s="798"/>
      <c r="E16" s="798"/>
      <c r="F16" s="798"/>
      <c r="G16" s="798"/>
      <c r="H16" s="251"/>
      <c r="I16" s="1039"/>
    </row>
    <row r="17" spans="1:9" s="10" customFormat="1" ht="60.6" customHeight="1" thickBot="1" x14ac:dyDescent="0.35">
      <c r="A17" s="391" t="s">
        <v>118</v>
      </c>
      <c r="B17" s="392" t="s">
        <v>116</v>
      </c>
      <c r="C17" s="1037"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38"/>
      <c r="E17" s="1038"/>
      <c r="F17" s="1038"/>
      <c r="G17" s="1038"/>
      <c r="H17" s="247" t="str">
        <f>IF(COUNTA(H14:H16)=0, "-", SUM(H14:H16))</f>
        <v>-</v>
      </c>
      <c r="I17" s="1039"/>
    </row>
    <row r="18" spans="1:9" s="10" customFormat="1" ht="15" thickBot="1" x14ac:dyDescent="0.35">
      <c r="A18" s="391" t="s">
        <v>119</v>
      </c>
      <c r="B18" s="392" t="s">
        <v>116</v>
      </c>
      <c r="C18" s="706" t="str">
        <f>template_label_revenue_derived_from_chemicals_production</f>
        <v>Revenue derived from chemicals production</v>
      </c>
      <c r="D18" s="1055"/>
      <c r="E18" s="1055"/>
      <c r="F18" s="1055"/>
      <c r="G18" s="1055"/>
      <c r="H18" s="254"/>
      <c r="I18" s="1039"/>
    </row>
    <row r="19" spans="1:9" s="10" customFormat="1" ht="15" thickBot="1" x14ac:dyDescent="0.35">
      <c r="I19" s="15"/>
    </row>
    <row r="20" spans="1:9" s="10" customFormat="1" ht="15" thickBot="1" x14ac:dyDescent="0.35">
      <c r="C20" s="1049"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2025-01-01 to 2025-12-31 [Always to be reported]</v>
      </c>
      <c r="D20" s="1050"/>
      <c r="E20" s="1050"/>
      <c r="F20" s="1050"/>
      <c r="G20" s="1050"/>
      <c r="H20" s="1051"/>
      <c r="I20" s="15"/>
    </row>
    <row r="21" spans="1:9" s="10" customFormat="1" x14ac:dyDescent="0.3">
      <c r="C21" s="1052" t="str">
        <f>template_label_undertakings_are_excluded_from_the_eu_paris_aligned_benchmarks_if_they_derive</f>
        <v>Undertakings are excluded from the EU Paris-aligned Benchmarks if they  derive:</v>
      </c>
      <c r="D21" s="1053"/>
      <c r="E21" s="1053"/>
      <c r="F21" s="1053"/>
      <c r="G21" s="1053"/>
      <c r="H21" s="1054"/>
      <c r="I21" s="15"/>
    </row>
    <row r="22" spans="1:9" s="10" customFormat="1" ht="30" customHeight="1" x14ac:dyDescent="0.3">
      <c r="A22" s="391">
        <v>64</v>
      </c>
      <c r="B22" s="392" t="s">
        <v>120</v>
      </c>
      <c r="C22" s="1056" t="str">
        <f>template_label_1_percent_or_more_of_their_revenues_from_exploration_mining_extraction_distribution_or_refining_of_hard_coal_and_lignite</f>
        <v>1% or more of their revenues from exploration mining extraction distribution or refining of hard coal and lignite</v>
      </c>
      <c r="D22" s="1057"/>
      <c r="E22" s="1057"/>
      <c r="F22" s="1057"/>
      <c r="G22" s="1058"/>
      <c r="H22" s="151" t="b">
        <v>0</v>
      </c>
      <c r="I22" s="1023" t="str">
        <f>IF(OR(
'Table of Contents &amp; Validation'!D64=TRUE,'Table of Contents &amp; Validation'!D62=TRUE),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OK</v>
      </c>
    </row>
    <row r="23" spans="1:9" s="10" customFormat="1" x14ac:dyDescent="0.3">
      <c r="A23" s="391">
        <v>64</v>
      </c>
      <c r="B23" s="392" t="s">
        <v>121</v>
      </c>
      <c r="C23" s="1059" t="str">
        <f>template_label_10_percent_or_more_of_their_revenues_from_the_exploration_extraction_distribution_or_refining_of_oil_fuels</f>
        <v>10% or more of their revenues from the exploration extraction distribution or refining of oil fuels</v>
      </c>
      <c r="D23" s="1060"/>
      <c r="E23" s="1060"/>
      <c r="F23" s="1060"/>
      <c r="G23" s="1061"/>
      <c r="H23" s="152" t="b">
        <v>0</v>
      </c>
      <c r="I23" s="1023"/>
    </row>
    <row r="24" spans="1:9" s="10" customFormat="1" ht="32.4" customHeight="1" x14ac:dyDescent="0.3">
      <c r="A24" s="391">
        <v>64</v>
      </c>
      <c r="B24" s="392" t="s">
        <v>122</v>
      </c>
      <c r="C24" s="1062" t="str">
        <f>template_label_50_percent_or_more_of_their_revenues_from_the_exploration_extraction_manufacturing_or_distribution_of_gaseous_fuels</f>
        <v>50% or more of their revenues from the exploration extraction manufacturing or distribution of gaseous fuels</v>
      </c>
      <c r="D24" s="1063"/>
      <c r="E24" s="1063"/>
      <c r="F24" s="1063"/>
      <c r="G24" s="1064"/>
      <c r="H24" s="152" t="b">
        <v>0</v>
      </c>
      <c r="I24" s="1023"/>
    </row>
    <row r="25" spans="1:9" s="10" customFormat="1" ht="31.2" customHeight="1" thickBot="1" x14ac:dyDescent="0.35">
      <c r="A25" s="391">
        <v>64</v>
      </c>
      <c r="B25" s="392" t="s">
        <v>123</v>
      </c>
      <c r="C25" s="1065" t="str">
        <f>template_label_50_percent_or_more_of_their_revenues_from_electricity_generation</f>
        <v>50% or more of their revenues from electricity generation with a GHG intensity of more than 100g CO2 e kWh</v>
      </c>
      <c r="D25" s="1066"/>
      <c r="E25" s="1066"/>
      <c r="F25" s="1066"/>
      <c r="G25" s="1067"/>
      <c r="H25" s="153" t="b">
        <v>0</v>
      </c>
      <c r="I25" s="1023"/>
    </row>
    <row r="26" spans="1:9" s="10" customFormat="1" ht="15" thickBot="1" x14ac:dyDescent="0.35">
      <c r="A26" s="391"/>
      <c r="B26" s="415"/>
      <c r="C26" s="1043" t="str">
        <f>template_label_none_of_the_above</f>
        <v>None of the above</v>
      </c>
      <c r="D26" s="1044"/>
      <c r="E26" s="1044"/>
      <c r="F26" s="1044"/>
      <c r="G26" s="1045"/>
      <c r="H26" s="154" t="b">
        <v>1</v>
      </c>
      <c r="I26" s="1023"/>
    </row>
    <row r="27" spans="1:9" s="10" customFormat="1" ht="15" thickBot="1" x14ac:dyDescent="0.35">
      <c r="A27" s="391">
        <v>64</v>
      </c>
      <c r="B27" s="392">
        <v>177</v>
      </c>
      <c r="C27" s="1046" t="str">
        <f>template_label_undertakings_are_excluded_from_any_eu_reference_benchmarks_that_are_aligned_with_the_paris_agreement</f>
        <v>Undertakings are excluded from any EU reference benchmarks that are aligned with the Paris Agreement</v>
      </c>
      <c r="D27" s="1047"/>
      <c r="E27" s="1047"/>
      <c r="F27" s="1047"/>
      <c r="G27" s="1048"/>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ht="15" thickBot="1" x14ac:dyDescent="0.35">
      <c r="C29" s="875" t="str">
        <f>template_label_c9_gender_diversity_ratio_in_the_governance_body&amp;" "&amp;template_label_at&amp;" "&amp;template_ending_date_display&amp;" "&amp;template_label_if_applicable</f>
        <v>C9 - Gender diversity ratio in the governance body at 2025-12-31 [If applicable]</v>
      </c>
      <c r="D29" s="876"/>
      <c r="E29" s="876"/>
      <c r="F29" s="876"/>
      <c r="G29" s="876"/>
      <c r="H29" s="877"/>
      <c r="I29" s="15"/>
    </row>
    <row r="30" spans="1:9" s="10" customFormat="1" x14ac:dyDescent="0.3">
      <c r="C30" s="811" t="str">
        <f>template_label_does_the_undertaking_have_a_governance_body_in_place</f>
        <v>Does the undertaking have a governance body in place?</v>
      </c>
      <c r="D30" s="812"/>
      <c r="E30" s="812"/>
      <c r="F30" s="812"/>
      <c r="G30" s="812"/>
      <c r="H30" s="131" t="b">
        <v>1</v>
      </c>
      <c r="I30" s="15"/>
    </row>
    <row r="31" spans="1:9" s="10" customFormat="1" x14ac:dyDescent="0.3">
      <c r="A31" s="590">
        <v>65</v>
      </c>
      <c r="B31" s="599" t="s">
        <v>124</v>
      </c>
      <c r="C31" s="661" t="str">
        <f>template_label_number_of_female_board_members_at_the_end_of_the_reporting_period</f>
        <v>Number of female board members at the end of the reporting period</v>
      </c>
      <c r="D31" s="846"/>
      <c r="E31" s="846"/>
      <c r="F31" s="846"/>
      <c r="G31" s="846"/>
      <c r="H31" s="251">
        <v>5</v>
      </c>
      <c r="I31" s="15" t="str">
        <f>IF(AND($H$30=TRUE, H31&lt;&gt;""), template_label_ok, IF(AND($H$30=TRUE, H31=""), template_label_missing_value, ""))</f>
        <v>OK</v>
      </c>
    </row>
    <row r="32" spans="1:9" s="10" customFormat="1" x14ac:dyDescent="0.3">
      <c r="A32" s="590"/>
      <c r="B32" s="599"/>
      <c r="C32" s="661" t="str">
        <f>template_label_number_of_male_board_members_at_the_end_of_the_reporting_period</f>
        <v>Number of male board members at the end of the reporting period</v>
      </c>
      <c r="D32" s="846"/>
      <c r="E32" s="846"/>
      <c r="F32" s="846"/>
      <c r="G32" s="846"/>
      <c r="H32" s="251">
        <v>2</v>
      </c>
      <c r="I32" s="15" t="str">
        <f>IF(AND($H$30=TRUE, H32&lt;&gt;""), template_label_ok, IF(AND($H$30=TRUE, H32=""), template_label_missing_value, ""))</f>
        <v>OK</v>
      </c>
    </row>
    <row r="33" spans="1:9" s="10" customFormat="1" ht="15" thickBot="1" x14ac:dyDescent="0.35">
      <c r="A33" s="590"/>
      <c r="B33" s="599"/>
      <c r="C33" s="1035" t="str">
        <f>template_label_gender_diversity_ratio_in_governance_body</f>
        <v>Gender diversity ratio in governance body</v>
      </c>
      <c r="D33" s="1036"/>
      <c r="E33" s="1036"/>
      <c r="F33" s="1036"/>
      <c r="G33" s="1036"/>
      <c r="H33" s="247">
        <f>IF(AND(H31&lt;&gt;"",H32&lt;&gt;""),IF(OR(H31=0,H32=0),0,H31/H32),"-")</f>
        <v>2.5</v>
      </c>
      <c r="I33" s="15"/>
    </row>
    <row r="34" spans="1:9" s="10" customFormat="1" x14ac:dyDescent="0.3">
      <c r="I34" s="15"/>
    </row>
    <row r="35" spans="1:9" s="10" customFormat="1" ht="15" thickBot="1" x14ac:dyDescent="0.35">
      <c r="I35" s="15"/>
    </row>
    <row r="36" spans="1:9" s="10" customFormat="1" ht="15" thickBot="1" x14ac:dyDescent="0.35">
      <c r="C36" s="610"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and/or entity specific governance disclosures from 2025-01-01 to 2025-12-31 [May (optional)]</v>
      </c>
      <c r="D36" s="611"/>
      <c r="E36" s="611"/>
      <c r="F36" s="611"/>
      <c r="G36" s="611"/>
      <c r="H36" s="612"/>
      <c r="I36" s="15"/>
    </row>
    <row r="37" spans="1:9" s="10" customFormat="1" x14ac:dyDescent="0.3">
      <c r="C37" s="592">
        <v>10</v>
      </c>
      <c r="D37" s="608"/>
      <c r="E37" s="608"/>
      <c r="F37" s="608"/>
      <c r="G37" s="608"/>
      <c r="H37" s="609"/>
      <c r="I37" s="15"/>
    </row>
    <row r="38" spans="1:9" s="10" customFormat="1" ht="15" thickBot="1" x14ac:dyDescent="0.35">
      <c r="C38" s="604"/>
      <c r="D38" s="605"/>
      <c r="E38" s="605"/>
      <c r="F38" s="605"/>
      <c r="G38" s="605"/>
      <c r="H38" s="606"/>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N290ojGV6BNgEtISTWEbCA5/TocpXEucC69EGcIvF8Cb/zLhUpElF6a3rW0GBP97KkcZxYnVWTGWu673F0hUJQ==" saltValue="qx1vbxMJGT/lw6Qrn5VKug=="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C3:H3" r:id="rId1" display="https://knowledgehub.efrag.org/eng/interactive/vsme/vsme-standard-annex-i/2025-07-30-ec-rec/43" xr:uid="{5C273843-B5E6-42DB-9670-7C6BB42A5F73}"/>
    <hyperlink ref="C4:H4" r:id="rId2" display="141-144" xr:uid="{11BA0F65-4956-4F5C-90EB-F43147267128}"/>
    <hyperlink ref="A12" r:id="rId3" xr:uid="{C615F7D8-42B9-4D7A-AB63-8A75DF01EBEB}"/>
    <hyperlink ref="A13" r:id="rId4" xr:uid="{798A25F5-A749-4655-90C2-2185BFE0067E}"/>
    <hyperlink ref="A14" r:id="rId5" xr:uid="{770F93F1-F6E8-4E9E-BAA7-5C9ABF6B4B01}"/>
    <hyperlink ref="A15" r:id="rId6" xr:uid="{6FB9FC4C-1074-422B-B317-B47DE0064933}"/>
    <hyperlink ref="A16" r:id="rId7" xr:uid="{211A04EC-70E3-4649-8C75-3660A6682B4A}"/>
    <hyperlink ref="A17" r:id="rId8" xr:uid="{F281EA38-9C68-4F1D-939B-99CA89386DA0}"/>
    <hyperlink ref="A18" r:id="rId9" xr:uid="{A051D2F5-FDD0-4ECB-B06B-593D1E9E6D4E}"/>
    <hyperlink ref="A22" r:id="rId10" display="https://knowledgehub.efrag.org/eng/interactive/vsme/vsme-standard-annex-i/2025-07-30-ec-rec/64" xr:uid="{E444AC1D-854A-4E70-899E-C8FF509AAE57}"/>
    <hyperlink ref="A23" r:id="rId11" display="https://knowledgehub.efrag.org/eng/interactive/vsme/vsme-standard-annex-i/2025-07-30-ec-rec/64" xr:uid="{992A5209-B030-4A5E-A74A-67BFF3F519BE}"/>
    <hyperlink ref="A24" r:id="rId12" display="https://knowledgehub.efrag.org/eng/interactive/vsme/vsme-standard-annex-i/2025-07-30-ec-rec/64" xr:uid="{CE68D876-98D7-4EAE-BFB7-6E115CCE2855}"/>
    <hyperlink ref="A25" r:id="rId13" display="https://knowledgehub.efrag.org/eng/interactive/vsme/vsme-standard-annex-i/2025-07-30-ec-rec/64" xr:uid="{6EF0616F-BC2D-4E90-AFDF-98A16D26768E}"/>
    <hyperlink ref="A27" r:id="rId14" display="https://knowledgehub.efrag.org/eng/interactive/vsme/vsme-standard-annex-i/2025-07-30-ec-rec/64" xr:uid="{70A6B6F6-3AC2-4C6B-AC30-716FF9614E10}"/>
    <hyperlink ref="B12" r:id="rId15" xr:uid="{4E9A140F-EB0D-44CB-8012-8E3BA7C3090B}"/>
    <hyperlink ref="B13" r:id="rId16" xr:uid="{E999832E-2432-4A53-AD00-34F525782D88}"/>
    <hyperlink ref="B14" r:id="rId17" xr:uid="{5A65345E-5F8B-4785-AD4C-5BDA54B95A0C}"/>
    <hyperlink ref="B15" r:id="rId18" xr:uid="{AADB7E26-1A5C-4062-BAC9-CF631014EB9B}"/>
    <hyperlink ref="B16" r:id="rId19" xr:uid="{3AD79EC2-9F5C-44C0-97D1-1143589C6C6C}"/>
    <hyperlink ref="B17" r:id="rId20" xr:uid="{5B873AD0-2F20-4755-8CD9-33FCE84FD08E}"/>
    <hyperlink ref="B18" r:id="rId21" xr:uid="{9BCB486C-316F-4243-8705-5C946F0956E1}"/>
    <hyperlink ref="B22" r:id="rId22" xr:uid="{58918687-A7E1-461F-AFAF-31F719FC21A2}"/>
    <hyperlink ref="B23" r:id="rId23" xr:uid="{EB8A91BC-122D-4930-AEDA-69658F2BC466}"/>
    <hyperlink ref="B24" r:id="rId24" xr:uid="{2EBCAC9F-E6DE-4418-BBC9-2F0E9E146865}"/>
    <hyperlink ref="B25" r:id="rId25" xr:uid="{A3CE9EEE-3E35-4F0A-86C3-8798C1520C21}"/>
    <hyperlink ref="B27" r:id="rId26" display="https://knowledgehub.efrag.org/eng/interactive/vsme/vsme-guidance-annex-ii/2025-07-30-ec-rec/177/d" xr:uid="{2B9D97F6-985D-40FA-B780-ECD2CFF36301}"/>
    <hyperlink ref="A31:A33" r:id="rId27" display="https://knowledgehub.efrag.org/eng/interactive/vsme/vsme-standard-annex-i/2025-07-30-ec-rec/65" xr:uid="{32BF398F-D410-49C5-9061-5F351D87144D}"/>
    <hyperlink ref="B31:B33" r:id="rId28" display="178-180" xr:uid="{D486EE02-3CA2-4D41-BA8C-DA59B99882DD}"/>
    <hyperlink ref="C37:H37" r:id="rId29" display="https://knowledgehub.efrag.org/eng/interactive/vsme/vsme-standard-annex-i/2025-07-30-ec-rec/10" xr:uid="{5C9FBD30-6F73-4646-888D-328CDB80F4BE}"/>
  </hyperlinks>
  <pageMargins left="0.7" right="0.7" top="0.75" bottom="0.75" header="0.3" footer="0.3"/>
  <drawing r:id="rId30"/>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Information'!$E$281</xm:f>
          </x14:formula1>
          <xm:sqref>H17</xm:sqref>
        </x14:dataValidation>
        <x14:dataValidation type="custom" showInputMessage="1" showErrorMessage="1" xr:uid="{F6328591-2F0B-4688-A58B-FE2019B26C27}">
          <x14:formula1>
            <xm:f>($H$12+$H$13+$H$14+$H$15+$H$16+$H$18)&lt;='General Information'!$E$281</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57" t="s">
        <v>135</v>
      </c>
      <c r="B1" s="158" t="s">
        <v>130</v>
      </c>
      <c r="C1" s="159" t="s">
        <v>136</v>
      </c>
      <c r="D1" s="160" t="s">
        <v>137</v>
      </c>
      <c r="E1" s="161" t="s">
        <v>138</v>
      </c>
      <c r="F1" s="194" t="s">
        <v>131</v>
      </c>
      <c r="G1" s="25" t="s">
        <v>139</v>
      </c>
      <c r="H1" s="84" t="s">
        <v>140</v>
      </c>
      <c r="I1" s="25" t="s">
        <v>141</v>
      </c>
      <c r="J1" s="25" t="s">
        <v>142</v>
      </c>
      <c r="K1" s="26" t="s">
        <v>143</v>
      </c>
      <c r="L1" s="26" t="s">
        <v>144</v>
      </c>
      <c r="M1" s="26" t="s">
        <v>145</v>
      </c>
      <c r="N1" s="26" t="s">
        <v>146</v>
      </c>
      <c r="O1" s="26" t="s">
        <v>147</v>
      </c>
      <c r="P1" s="26" t="s">
        <v>148</v>
      </c>
      <c r="Q1" s="26" t="s">
        <v>149</v>
      </c>
      <c r="R1" s="26" t="s">
        <v>150</v>
      </c>
      <c r="S1" s="26" t="s">
        <v>151</v>
      </c>
      <c r="T1" s="14"/>
      <c r="U1" s="26" t="s">
        <v>143</v>
      </c>
      <c r="V1" s="26" t="s">
        <v>152</v>
      </c>
      <c r="W1" s="26" t="s">
        <v>153</v>
      </c>
      <c r="X1" s="26" t="s">
        <v>154</v>
      </c>
      <c r="Y1" s="26" t="s">
        <v>155</v>
      </c>
      <c r="Z1" s="26" t="s">
        <v>156</v>
      </c>
      <c r="AA1" s="26" t="s">
        <v>157</v>
      </c>
      <c r="AB1" s="26" t="s">
        <v>158</v>
      </c>
      <c r="AC1" s="26" t="s">
        <v>159</v>
      </c>
      <c r="AD1" s="26" t="s">
        <v>160</v>
      </c>
      <c r="AE1" s="26" t="s">
        <v>161</v>
      </c>
      <c r="AF1" s="26" t="s">
        <v>162</v>
      </c>
      <c r="AG1" s="26" t="s">
        <v>163</v>
      </c>
      <c r="AH1" s="26" t="s">
        <v>164</v>
      </c>
      <c r="AI1" s="26" t="s">
        <v>165</v>
      </c>
      <c r="AJ1" s="26" t="s">
        <v>166</v>
      </c>
      <c r="AK1" s="26" t="s">
        <v>167</v>
      </c>
      <c r="AL1" s="8"/>
      <c r="AM1" s="172" t="s">
        <v>143</v>
      </c>
      <c r="AN1" s="173" t="s">
        <v>168</v>
      </c>
      <c r="AO1" s="173" t="s">
        <v>169</v>
      </c>
      <c r="AP1" s="173" t="s">
        <v>170</v>
      </c>
      <c r="AQ1" s="173" t="s">
        <v>171</v>
      </c>
      <c r="AR1" s="173" t="s">
        <v>172</v>
      </c>
      <c r="AS1" s="173" t="s">
        <v>173</v>
      </c>
      <c r="AT1" s="173" t="s">
        <v>174</v>
      </c>
      <c r="AU1" s="173" t="s">
        <v>175</v>
      </c>
      <c r="AW1" s="159" t="s">
        <v>130</v>
      </c>
      <c r="AX1" s="194" t="s">
        <v>131</v>
      </c>
      <c r="AY1" s="270" t="s">
        <v>176</v>
      </c>
    </row>
    <row r="2" spans="1:51" ht="15" thickBot="1" x14ac:dyDescent="0.35">
      <c r="A2" s="318" t="s">
        <v>177</v>
      </c>
      <c r="B2" s="162" t="s">
        <v>178</v>
      </c>
      <c r="C2" s="163">
        <v>26.7</v>
      </c>
      <c r="D2" s="262"/>
      <c r="E2" s="263"/>
      <c r="F2" s="199" t="s">
        <v>179</v>
      </c>
      <c r="G2" s="197" t="s">
        <v>180</v>
      </c>
      <c r="H2" s="54" t="s">
        <v>181</v>
      </c>
      <c r="I2" s="3" t="s">
        <v>182</v>
      </c>
      <c r="J2" s="1" t="s">
        <v>180</v>
      </c>
      <c r="K2" s="27" t="s">
        <v>144</v>
      </c>
      <c r="L2" s="28">
        <v>1</v>
      </c>
      <c r="M2" s="29">
        <v>1E-3</v>
      </c>
      <c r="N2" s="29">
        <v>9.9999999999999995E-7</v>
      </c>
      <c r="O2" s="29">
        <v>1.0000000000000001E-9</v>
      </c>
      <c r="P2" s="29">
        <v>1000</v>
      </c>
      <c r="Q2" s="29">
        <v>1</v>
      </c>
      <c r="R2" s="29">
        <v>1E-3</v>
      </c>
      <c r="S2" s="30">
        <v>9.9999999999999995E-7</v>
      </c>
      <c r="U2" s="27" t="s">
        <v>152</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74" t="s">
        <v>168</v>
      </c>
      <c r="AN2" s="175">
        <v>1</v>
      </c>
      <c r="AO2" s="175">
        <v>0.1</v>
      </c>
      <c r="AP2" s="176">
        <v>0.01</v>
      </c>
      <c r="AQ2" s="176">
        <v>1E-3</v>
      </c>
      <c r="AR2" s="176">
        <v>9.9999999999999995E-7</v>
      </c>
      <c r="AS2" s="176">
        <v>9.9999999999999995E-7</v>
      </c>
      <c r="AT2" s="176">
        <v>1.0000000000000001E-9</v>
      </c>
      <c r="AU2" s="177">
        <v>9.9999999999999998E-13</v>
      </c>
      <c r="AW2" s="3" t="s">
        <v>178</v>
      </c>
      <c r="AX2" s="3" t="s">
        <v>183</v>
      </c>
      <c r="AY2" s="271"/>
    </row>
    <row r="3" spans="1:51" ht="15" thickBot="1" x14ac:dyDescent="0.35">
      <c r="A3" s="319" t="s">
        <v>184</v>
      </c>
      <c r="B3" s="162" t="s">
        <v>185</v>
      </c>
      <c r="C3" s="164">
        <v>44.3</v>
      </c>
      <c r="D3" s="132">
        <v>0.71</v>
      </c>
      <c r="E3" s="264"/>
      <c r="F3" s="200" t="s">
        <v>179</v>
      </c>
      <c r="G3" s="198" t="s">
        <v>186</v>
      </c>
      <c r="H3" s="7" t="s">
        <v>127</v>
      </c>
      <c r="I3" s="1" t="s">
        <v>187</v>
      </c>
      <c r="J3" s="1" t="s">
        <v>186</v>
      </c>
      <c r="K3" s="31" t="s">
        <v>145</v>
      </c>
      <c r="L3" s="32">
        <v>1000</v>
      </c>
      <c r="M3" s="33">
        <v>1</v>
      </c>
      <c r="N3" s="33">
        <v>1E-3</v>
      </c>
      <c r="O3" s="33">
        <v>9.9999999999999995E-7</v>
      </c>
      <c r="P3" s="33">
        <v>1000000</v>
      </c>
      <c r="Q3" s="33">
        <v>1000</v>
      </c>
      <c r="R3" s="33">
        <v>1</v>
      </c>
      <c r="S3" s="34">
        <v>1E-3</v>
      </c>
      <c r="U3" s="31" t="s">
        <v>153</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74" t="s">
        <v>169</v>
      </c>
      <c r="AN3" s="178">
        <v>10</v>
      </c>
      <c r="AO3" s="178">
        <v>1</v>
      </c>
      <c r="AP3" s="179">
        <v>0.1</v>
      </c>
      <c r="AQ3" s="179">
        <v>0.01</v>
      </c>
      <c r="AR3" s="179">
        <v>1.0000000000000001E-5</v>
      </c>
      <c r="AS3" s="179">
        <v>1.0000000000000001E-5</v>
      </c>
      <c r="AT3" s="179">
        <v>1E-8</v>
      </c>
      <c r="AU3" s="180">
        <v>9.9999999999999994E-12</v>
      </c>
      <c r="AW3" s="1" t="s">
        <v>185</v>
      </c>
      <c r="AX3" s="1" t="s">
        <v>179</v>
      </c>
      <c r="AY3" s="271"/>
    </row>
    <row r="4" spans="1:51" ht="15" thickBot="1" x14ac:dyDescent="0.35">
      <c r="A4" s="319" t="s">
        <v>126</v>
      </c>
      <c r="B4" s="162" t="s">
        <v>185</v>
      </c>
      <c r="C4" s="164">
        <v>27</v>
      </c>
      <c r="D4" s="132">
        <v>0.85</v>
      </c>
      <c r="E4" s="264"/>
      <c r="F4" s="200" t="s">
        <v>183</v>
      </c>
      <c r="G4" s="198" t="s">
        <v>188</v>
      </c>
      <c r="J4" s="1" t="s">
        <v>188</v>
      </c>
      <c r="K4" s="31" t="s">
        <v>146</v>
      </c>
      <c r="L4" s="32">
        <v>1000000</v>
      </c>
      <c r="M4" s="33">
        <v>1000</v>
      </c>
      <c r="N4" s="33">
        <v>1</v>
      </c>
      <c r="O4" s="33">
        <v>1E-3</v>
      </c>
      <c r="P4" s="33">
        <v>1000000000</v>
      </c>
      <c r="Q4" s="33">
        <v>1000000</v>
      </c>
      <c r="R4" s="33">
        <v>1000</v>
      </c>
      <c r="S4" s="34">
        <v>1</v>
      </c>
      <c r="U4" s="31" t="s">
        <v>154</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74" t="s">
        <v>170</v>
      </c>
      <c r="AN4" s="178">
        <v>100</v>
      </c>
      <c r="AO4" s="178">
        <v>10</v>
      </c>
      <c r="AP4" s="179">
        <v>1</v>
      </c>
      <c r="AQ4" s="179">
        <v>0.1</v>
      </c>
      <c r="AR4" s="179">
        <v>1E-4</v>
      </c>
      <c r="AS4" s="179">
        <v>1E-4</v>
      </c>
      <c r="AT4" s="179">
        <v>9.9999999999999995E-8</v>
      </c>
      <c r="AU4" s="180">
        <v>1E-10</v>
      </c>
      <c r="AW4" s="1" t="s">
        <v>189</v>
      </c>
      <c r="AX4" s="1"/>
      <c r="AY4" s="271"/>
    </row>
    <row r="5" spans="1:51" ht="15" thickBot="1" x14ac:dyDescent="0.35">
      <c r="A5" s="319" t="s">
        <v>190</v>
      </c>
      <c r="B5" s="162" t="s">
        <v>185</v>
      </c>
      <c r="C5" s="164">
        <v>27</v>
      </c>
      <c r="D5" s="193">
        <v>0.75</v>
      </c>
      <c r="E5" s="265"/>
      <c r="F5" s="200" t="s">
        <v>183</v>
      </c>
      <c r="G5" s="198" t="s">
        <v>191</v>
      </c>
      <c r="J5" s="1" t="s">
        <v>191</v>
      </c>
      <c r="K5" s="31" t="s">
        <v>147</v>
      </c>
      <c r="L5" s="32">
        <v>1000000000</v>
      </c>
      <c r="M5" s="33">
        <v>1000000</v>
      </c>
      <c r="N5" s="33">
        <v>1000</v>
      </c>
      <c r="O5" s="33">
        <v>1</v>
      </c>
      <c r="P5" s="33">
        <v>1000000000000</v>
      </c>
      <c r="Q5" s="33">
        <v>1000000000</v>
      </c>
      <c r="R5" s="33">
        <v>1000000</v>
      </c>
      <c r="S5" s="34">
        <v>1000</v>
      </c>
      <c r="U5" s="31" t="s">
        <v>155</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74" t="s">
        <v>171</v>
      </c>
      <c r="AN5" s="178">
        <v>1000</v>
      </c>
      <c r="AO5" s="178">
        <v>100</v>
      </c>
      <c r="AP5" s="179">
        <v>10</v>
      </c>
      <c r="AQ5" s="179">
        <v>1</v>
      </c>
      <c r="AR5" s="179">
        <v>1E-3</v>
      </c>
      <c r="AS5" s="179">
        <v>1E-3</v>
      </c>
      <c r="AT5" s="179">
        <v>9.9999999999999995E-7</v>
      </c>
      <c r="AU5" s="180">
        <v>1.0000000000000001E-9</v>
      </c>
      <c r="AW5" s="1"/>
      <c r="AX5" s="51"/>
      <c r="AY5" s="272" t="s">
        <v>192</v>
      </c>
    </row>
    <row r="6" spans="1:51" ht="15" thickBot="1" x14ac:dyDescent="0.35">
      <c r="A6" s="319" t="s">
        <v>193</v>
      </c>
      <c r="B6" s="162" t="s">
        <v>185</v>
      </c>
      <c r="C6" s="164">
        <v>40.200000000000003</v>
      </c>
      <c r="D6" s="193">
        <v>1.0349999999999999</v>
      </c>
      <c r="E6" s="264"/>
      <c r="F6" s="200" t="s">
        <v>179</v>
      </c>
      <c r="J6" s="1" t="s">
        <v>181</v>
      </c>
      <c r="K6" s="31" t="s">
        <v>148</v>
      </c>
      <c r="L6" s="32">
        <v>1E-3</v>
      </c>
      <c r="M6" s="33">
        <v>9.9999999999999995E-7</v>
      </c>
      <c r="N6" s="33">
        <v>1.0000000000000001E-9</v>
      </c>
      <c r="O6" s="33">
        <v>9.9999999999999998E-13</v>
      </c>
      <c r="P6" s="33">
        <v>1</v>
      </c>
      <c r="Q6" s="33">
        <v>1E-3</v>
      </c>
      <c r="R6" s="33">
        <v>9.9999999999999995E-7</v>
      </c>
      <c r="S6" s="34">
        <v>1.0000000000000001E-9</v>
      </c>
      <c r="U6" s="31" t="s">
        <v>156</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74" t="s">
        <v>172</v>
      </c>
      <c r="AN6" s="178">
        <v>1000000</v>
      </c>
      <c r="AO6" s="178">
        <v>100000</v>
      </c>
      <c r="AP6" s="179">
        <v>10000</v>
      </c>
      <c r="AQ6" s="179">
        <v>1000</v>
      </c>
      <c r="AR6" s="179">
        <v>1</v>
      </c>
      <c r="AS6" s="179">
        <v>1</v>
      </c>
      <c r="AT6" s="179">
        <v>1E-3</v>
      </c>
      <c r="AU6" s="180">
        <v>9.9999999999999995E-7</v>
      </c>
      <c r="AY6" s="272" t="s">
        <v>194</v>
      </c>
    </row>
    <row r="7" spans="1:51" ht="15" thickBot="1" x14ac:dyDescent="0.35">
      <c r="A7" s="319" t="s">
        <v>195</v>
      </c>
      <c r="B7" s="162" t="s">
        <v>189</v>
      </c>
      <c r="C7" s="164">
        <v>2.4700000000000002</v>
      </c>
      <c r="D7" s="266"/>
      <c r="E7" s="195">
        <v>1.25</v>
      </c>
      <c r="F7" s="200" t="s">
        <v>179</v>
      </c>
      <c r="J7" s="1" t="s">
        <v>127</v>
      </c>
      <c r="K7" s="31" t="s">
        <v>149</v>
      </c>
      <c r="L7" s="32">
        <v>1</v>
      </c>
      <c r="M7" s="33">
        <v>1E-3</v>
      </c>
      <c r="N7" s="33">
        <v>9.9999999999999995E-7</v>
      </c>
      <c r="O7" s="33">
        <v>1.0000000000000001E-9</v>
      </c>
      <c r="P7" s="33">
        <v>1000</v>
      </c>
      <c r="Q7" s="33">
        <v>1</v>
      </c>
      <c r="R7" s="33">
        <v>1E-3</v>
      </c>
      <c r="S7" s="34">
        <v>9.9999999999999995E-7</v>
      </c>
      <c r="U7" s="31" t="s">
        <v>157</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74" t="s">
        <v>173</v>
      </c>
      <c r="AN7" s="178">
        <v>1000000</v>
      </c>
      <c r="AO7" s="178">
        <v>100000</v>
      </c>
      <c r="AP7" s="179">
        <v>10000</v>
      </c>
      <c r="AQ7" s="179">
        <v>1000</v>
      </c>
      <c r="AR7" s="179">
        <v>1</v>
      </c>
      <c r="AS7" s="179">
        <v>1</v>
      </c>
      <c r="AT7" s="179">
        <v>1E-3</v>
      </c>
      <c r="AU7" s="180">
        <v>9.9999999999999995E-7</v>
      </c>
      <c r="AY7" s="272" t="s">
        <v>196</v>
      </c>
    </row>
    <row r="8" spans="1:51" ht="15" thickBot="1" x14ac:dyDescent="0.35">
      <c r="A8" s="319" t="s">
        <v>197</v>
      </c>
      <c r="B8" s="162" t="s">
        <v>178</v>
      </c>
      <c r="C8" s="164">
        <v>20.7</v>
      </c>
      <c r="D8" s="266"/>
      <c r="E8" s="264"/>
      <c r="F8" s="200" t="s">
        <v>179</v>
      </c>
      <c r="K8" s="31" t="s">
        <v>150</v>
      </c>
      <c r="L8" s="32">
        <v>1000</v>
      </c>
      <c r="M8" s="33">
        <v>1</v>
      </c>
      <c r="N8" s="33">
        <v>1E-3</v>
      </c>
      <c r="O8" s="33">
        <v>1E-3</v>
      </c>
      <c r="P8" s="33">
        <v>1000000</v>
      </c>
      <c r="Q8" s="33">
        <v>1000</v>
      </c>
      <c r="R8" s="33">
        <v>1</v>
      </c>
      <c r="S8" s="34">
        <v>1E-3</v>
      </c>
      <c r="U8" s="31" t="s">
        <v>158</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74" t="s">
        <v>174</v>
      </c>
      <c r="AN8" s="178">
        <v>1000000000</v>
      </c>
      <c r="AO8" s="178">
        <v>100000000</v>
      </c>
      <c r="AP8" s="179">
        <v>10000000</v>
      </c>
      <c r="AQ8" s="179">
        <v>1000000</v>
      </c>
      <c r="AR8" s="179">
        <v>1000</v>
      </c>
      <c r="AS8" s="179">
        <v>1000</v>
      </c>
      <c r="AT8" s="179">
        <v>1</v>
      </c>
      <c r="AU8" s="180">
        <v>1E-3</v>
      </c>
      <c r="AY8" s="273"/>
    </row>
    <row r="9" spans="1:51" ht="15" thickBot="1" x14ac:dyDescent="0.35">
      <c r="A9" s="319" t="s">
        <v>198</v>
      </c>
      <c r="B9" s="162" t="s">
        <v>189</v>
      </c>
      <c r="C9" s="193">
        <v>45.57</v>
      </c>
      <c r="D9" s="266"/>
      <c r="E9" s="166">
        <v>2.5</v>
      </c>
      <c r="F9" s="200" t="s">
        <v>179</v>
      </c>
      <c r="K9" s="31" t="s">
        <v>151</v>
      </c>
      <c r="L9" s="35">
        <v>1000000</v>
      </c>
      <c r="M9" s="36">
        <v>1000</v>
      </c>
      <c r="N9" s="36">
        <v>1</v>
      </c>
      <c r="O9" s="36">
        <v>1E-3</v>
      </c>
      <c r="P9" s="36">
        <v>1000000000</v>
      </c>
      <c r="Q9" s="36">
        <v>1000000</v>
      </c>
      <c r="R9" s="36">
        <v>1000</v>
      </c>
      <c r="S9" s="37">
        <v>1</v>
      </c>
      <c r="U9" s="31" t="s">
        <v>159</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74" t="s">
        <v>175</v>
      </c>
      <c r="AN9" s="181">
        <v>1000000000000</v>
      </c>
      <c r="AO9" s="181">
        <v>100000000000</v>
      </c>
      <c r="AP9" s="182">
        <v>10000000000</v>
      </c>
      <c r="AQ9" s="182">
        <v>1000000000</v>
      </c>
      <c r="AR9" s="182">
        <v>1000000</v>
      </c>
      <c r="AS9" s="182">
        <v>1000000</v>
      </c>
      <c r="AT9" s="182">
        <v>1000</v>
      </c>
      <c r="AU9" s="183">
        <v>1</v>
      </c>
      <c r="AY9" s="272" t="s">
        <v>199</v>
      </c>
    </row>
    <row r="10" spans="1:51" ht="15" thickBot="1" x14ac:dyDescent="0.35">
      <c r="A10" s="319" t="s">
        <v>200</v>
      </c>
      <c r="B10" s="162" t="s">
        <v>178</v>
      </c>
      <c r="C10" s="164">
        <v>28.2</v>
      </c>
      <c r="D10" s="266"/>
      <c r="E10" s="264"/>
      <c r="F10" s="200" t="s">
        <v>179</v>
      </c>
      <c r="U10" s="31" t="s">
        <v>162</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273"/>
    </row>
    <row r="11" spans="1:51" ht="15" thickBot="1" x14ac:dyDescent="0.35">
      <c r="A11" s="319" t="s">
        <v>201</v>
      </c>
      <c r="B11" s="162" t="s">
        <v>189</v>
      </c>
      <c r="C11" s="164">
        <v>38.700000000000003</v>
      </c>
      <c r="D11" s="266"/>
      <c r="E11" s="195">
        <v>0.47499999999999998</v>
      </c>
      <c r="F11" s="200" t="s">
        <v>179</v>
      </c>
      <c r="U11" s="31" t="s">
        <v>163</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272" t="s">
        <v>202</v>
      </c>
    </row>
    <row r="12" spans="1:51" ht="15" thickBot="1" x14ac:dyDescent="0.35">
      <c r="A12" s="319" t="s">
        <v>203</v>
      </c>
      <c r="B12" s="162" t="s">
        <v>178</v>
      </c>
      <c r="C12" s="164">
        <v>28.2</v>
      </c>
      <c r="D12" s="266"/>
      <c r="E12" s="264"/>
      <c r="F12" s="200" t="s">
        <v>179</v>
      </c>
      <c r="U12" s="25" t="s">
        <v>164</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271"/>
    </row>
    <row r="13" spans="1:51" ht="15" thickBot="1" x14ac:dyDescent="0.35">
      <c r="A13" s="319" t="s">
        <v>204</v>
      </c>
      <c r="B13" s="162" t="s">
        <v>185</v>
      </c>
      <c r="C13" s="164">
        <v>42.3</v>
      </c>
      <c r="D13" s="132">
        <v>0.8</v>
      </c>
      <c r="E13" s="264"/>
      <c r="F13" s="200" t="s">
        <v>179</v>
      </c>
      <c r="U13" s="25" t="s">
        <v>165</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271"/>
    </row>
    <row r="14" spans="1:51" x14ac:dyDescent="0.3">
      <c r="A14" s="319" t="s">
        <v>205</v>
      </c>
      <c r="B14" s="162" t="s">
        <v>189</v>
      </c>
      <c r="C14" s="164">
        <v>46.4</v>
      </c>
      <c r="D14" s="165"/>
      <c r="E14" s="166">
        <v>1.3</v>
      </c>
      <c r="F14" s="200" t="s">
        <v>179</v>
      </c>
      <c r="AY14" s="271"/>
    </row>
    <row r="15" spans="1:51" x14ac:dyDescent="0.3">
      <c r="A15" s="319" t="s">
        <v>206</v>
      </c>
      <c r="B15" s="162" t="s">
        <v>189</v>
      </c>
      <c r="C15" s="164">
        <v>28.2</v>
      </c>
      <c r="D15" s="165"/>
      <c r="E15" s="195">
        <v>0.54</v>
      </c>
      <c r="F15" s="200" t="s">
        <v>179</v>
      </c>
      <c r="AY15" s="272" t="s">
        <v>207</v>
      </c>
    </row>
    <row r="16" spans="1:51" x14ac:dyDescent="0.3">
      <c r="A16" s="319" t="s">
        <v>129</v>
      </c>
      <c r="B16" s="162" t="s">
        <v>185</v>
      </c>
      <c r="C16" s="164">
        <v>43</v>
      </c>
      <c r="D16" s="167">
        <v>0.84</v>
      </c>
      <c r="E16" s="267"/>
      <c r="F16" s="200" t="s">
        <v>179</v>
      </c>
      <c r="AY16" s="273"/>
    </row>
    <row r="17" spans="1:51" x14ac:dyDescent="0.3">
      <c r="A17" s="319" t="s">
        <v>208</v>
      </c>
      <c r="B17" s="162" t="s">
        <v>185</v>
      </c>
      <c r="C17" s="164">
        <v>44.3</v>
      </c>
      <c r="D17" s="193">
        <v>0.81</v>
      </c>
      <c r="E17" s="264"/>
      <c r="F17" s="200" t="s">
        <v>179</v>
      </c>
      <c r="AY17" s="272" t="s">
        <v>209</v>
      </c>
    </row>
    <row r="18" spans="1:51" x14ac:dyDescent="0.3">
      <c r="A18" s="319" t="s">
        <v>210</v>
      </c>
      <c r="B18" s="162" t="s">
        <v>185</v>
      </c>
      <c r="C18" s="164">
        <v>44.1</v>
      </c>
      <c r="D18" s="132">
        <v>0.79</v>
      </c>
      <c r="E18" s="264"/>
      <c r="F18" s="200" t="s">
        <v>179</v>
      </c>
      <c r="AY18" s="271"/>
    </row>
    <row r="19" spans="1:51" x14ac:dyDescent="0.3">
      <c r="A19" s="319" t="s">
        <v>211</v>
      </c>
      <c r="B19" s="162" t="s">
        <v>185</v>
      </c>
      <c r="C19" s="164">
        <v>43.8</v>
      </c>
      <c r="D19" s="132">
        <v>0.8</v>
      </c>
      <c r="E19" s="264"/>
      <c r="F19" s="200" t="s">
        <v>179</v>
      </c>
      <c r="AY19" s="271"/>
    </row>
    <row r="20" spans="1:51" x14ac:dyDescent="0.3">
      <c r="A20" s="319" t="s">
        <v>212</v>
      </c>
      <c r="B20" s="162" t="s">
        <v>189</v>
      </c>
      <c r="C20" s="164">
        <v>50.4</v>
      </c>
      <c r="D20" s="266"/>
      <c r="E20" s="166">
        <v>0.9</v>
      </c>
      <c r="F20" s="200" t="s">
        <v>183</v>
      </c>
      <c r="AY20" s="271"/>
    </row>
    <row r="21" spans="1:51" x14ac:dyDescent="0.3">
      <c r="A21" s="319" t="s">
        <v>213</v>
      </c>
      <c r="B21" s="162" t="s">
        <v>178</v>
      </c>
      <c r="C21" s="164">
        <v>11.9</v>
      </c>
      <c r="D21" s="266"/>
      <c r="E21" s="264"/>
      <c r="F21" s="200" t="s">
        <v>179</v>
      </c>
      <c r="AY21" s="271"/>
    </row>
    <row r="22" spans="1:51" x14ac:dyDescent="0.3">
      <c r="A22" s="319" t="s">
        <v>214</v>
      </c>
      <c r="B22" s="162" t="s">
        <v>185</v>
      </c>
      <c r="C22" s="164">
        <v>47.3</v>
      </c>
      <c r="D22" s="132">
        <v>0.54</v>
      </c>
      <c r="E22" s="264"/>
      <c r="F22" s="200" t="s">
        <v>179</v>
      </c>
      <c r="AY22" s="271"/>
    </row>
    <row r="23" spans="1:51" x14ac:dyDescent="0.3">
      <c r="A23" s="319" t="s">
        <v>215</v>
      </c>
      <c r="B23" s="162" t="s">
        <v>185</v>
      </c>
      <c r="C23" s="164">
        <v>40.200000000000003</v>
      </c>
      <c r="D23" s="132">
        <v>1</v>
      </c>
      <c r="E23" s="264"/>
      <c r="F23" s="200" t="s">
        <v>179</v>
      </c>
      <c r="AY23" s="271"/>
    </row>
    <row r="24" spans="1:51" x14ac:dyDescent="0.3">
      <c r="A24" s="319" t="s">
        <v>216</v>
      </c>
      <c r="B24" s="162" t="s">
        <v>189</v>
      </c>
      <c r="C24" s="193">
        <v>50</v>
      </c>
      <c r="D24" s="266"/>
      <c r="E24" s="166">
        <v>0.67</v>
      </c>
      <c r="F24" s="200" t="s">
        <v>179</v>
      </c>
      <c r="AY24" s="272" t="s">
        <v>217</v>
      </c>
    </row>
    <row r="25" spans="1:51" x14ac:dyDescent="0.3">
      <c r="A25" s="319" t="s">
        <v>218</v>
      </c>
      <c r="B25" s="162" t="s">
        <v>185</v>
      </c>
      <c r="C25" s="164">
        <v>44.3</v>
      </c>
      <c r="D25" s="132">
        <v>0.74</v>
      </c>
      <c r="E25" s="264"/>
      <c r="F25" s="200" t="s">
        <v>179</v>
      </c>
      <c r="AY25" s="271"/>
    </row>
    <row r="26" spans="1:51" x14ac:dyDescent="0.3">
      <c r="A26" s="319" t="s">
        <v>219</v>
      </c>
      <c r="B26" s="162" t="s">
        <v>178</v>
      </c>
      <c r="C26" s="164">
        <v>11.6</v>
      </c>
      <c r="D26" s="266"/>
      <c r="E26" s="264"/>
      <c r="F26" s="200" t="s">
        <v>183</v>
      </c>
      <c r="AY26" s="271"/>
    </row>
    <row r="27" spans="1:51" x14ac:dyDescent="0.3">
      <c r="A27" s="320" t="s">
        <v>220</v>
      </c>
      <c r="B27" s="162" t="s">
        <v>178</v>
      </c>
      <c r="C27" s="164">
        <v>10</v>
      </c>
      <c r="D27" s="266"/>
      <c r="E27" s="264"/>
      <c r="F27" s="200" t="s">
        <v>179</v>
      </c>
      <c r="AY27" s="271"/>
    </row>
    <row r="28" spans="1:51" x14ac:dyDescent="0.3">
      <c r="A28" s="319" t="s">
        <v>221</v>
      </c>
      <c r="B28" s="162" t="s">
        <v>185</v>
      </c>
      <c r="C28" s="164">
        <v>44.5</v>
      </c>
      <c r="D28" s="132">
        <v>0.77</v>
      </c>
      <c r="E28" s="264"/>
      <c r="F28" s="200" t="s">
        <v>179</v>
      </c>
      <c r="AY28" s="271"/>
    </row>
    <row r="29" spans="1:51" x14ac:dyDescent="0.3">
      <c r="A29" s="319" t="s">
        <v>222</v>
      </c>
      <c r="B29" s="162" t="s">
        <v>189</v>
      </c>
      <c r="C29" s="164">
        <v>48</v>
      </c>
      <c r="D29" s="266"/>
      <c r="E29" s="166">
        <v>0.7</v>
      </c>
      <c r="F29" s="200" t="s">
        <v>179</v>
      </c>
      <c r="AY29" s="271"/>
    </row>
    <row r="30" spans="1:51" x14ac:dyDescent="0.3">
      <c r="A30" s="319" t="s">
        <v>223</v>
      </c>
      <c r="B30" s="162" t="s">
        <v>185</v>
      </c>
      <c r="C30" s="164">
        <v>44.2</v>
      </c>
      <c r="D30" s="132">
        <v>0.47</v>
      </c>
      <c r="E30" s="264"/>
      <c r="F30" s="200" t="s">
        <v>179</v>
      </c>
      <c r="AY30" s="271"/>
    </row>
    <row r="31" spans="1:51" x14ac:dyDescent="0.3">
      <c r="A31" s="319" t="s">
        <v>224</v>
      </c>
      <c r="B31" s="162" t="s">
        <v>185</v>
      </c>
      <c r="C31" s="164">
        <v>8.9</v>
      </c>
      <c r="D31" s="193">
        <v>0.95</v>
      </c>
      <c r="E31" s="264"/>
      <c r="F31" s="200" t="s">
        <v>179</v>
      </c>
      <c r="AY31" s="272" t="s">
        <v>225</v>
      </c>
    </row>
    <row r="32" spans="1:51" x14ac:dyDescent="0.3">
      <c r="A32" s="319" t="s">
        <v>226</v>
      </c>
      <c r="B32" s="162" t="s">
        <v>185</v>
      </c>
      <c r="C32" s="164">
        <v>27.5</v>
      </c>
      <c r="D32" s="193">
        <v>1.1299999999999999</v>
      </c>
      <c r="E32" s="264"/>
      <c r="F32" s="200" t="s">
        <v>179</v>
      </c>
      <c r="AY32" s="272" t="s">
        <v>227</v>
      </c>
    </row>
    <row r="33" spans="1:51" x14ac:dyDescent="0.3">
      <c r="A33" s="319" t="s">
        <v>228</v>
      </c>
      <c r="B33" s="162" t="s">
        <v>189</v>
      </c>
      <c r="C33" s="164">
        <v>7.06</v>
      </c>
      <c r="D33" s="266"/>
      <c r="E33" s="195">
        <v>1.33</v>
      </c>
      <c r="F33" s="200" t="s">
        <v>179</v>
      </c>
      <c r="AY33" s="272" t="s">
        <v>229</v>
      </c>
    </row>
    <row r="34" spans="1:51" x14ac:dyDescent="0.3">
      <c r="A34" s="319" t="s">
        <v>230</v>
      </c>
      <c r="B34" s="162" t="s">
        <v>178</v>
      </c>
      <c r="C34" s="164">
        <v>40.200000000000003</v>
      </c>
      <c r="D34" s="266"/>
      <c r="E34" s="264"/>
      <c r="F34" s="200" t="s">
        <v>179</v>
      </c>
      <c r="AY34" s="271"/>
    </row>
    <row r="35" spans="1:51" x14ac:dyDescent="0.3">
      <c r="A35" s="319" t="s">
        <v>231</v>
      </c>
      <c r="B35" s="162" t="s">
        <v>178</v>
      </c>
      <c r="C35" s="164">
        <v>20.7</v>
      </c>
      <c r="D35" s="266"/>
      <c r="E35" s="264"/>
      <c r="F35" s="200" t="s">
        <v>179</v>
      </c>
      <c r="AY35" s="271"/>
    </row>
    <row r="36" spans="1:51" x14ac:dyDescent="0.3">
      <c r="A36" s="319" t="s">
        <v>232</v>
      </c>
      <c r="B36" s="162" t="s">
        <v>178</v>
      </c>
      <c r="C36" s="164">
        <v>9.76</v>
      </c>
      <c r="D36" s="266"/>
      <c r="E36" s="264"/>
      <c r="F36" s="200" t="s">
        <v>179</v>
      </c>
      <c r="AY36" s="271"/>
    </row>
    <row r="37" spans="1:51" x14ac:dyDescent="0.3">
      <c r="A37" s="319" t="s">
        <v>233</v>
      </c>
      <c r="B37" s="162" t="s">
        <v>178</v>
      </c>
      <c r="C37" s="164">
        <v>32.5</v>
      </c>
      <c r="D37" s="266"/>
      <c r="E37" s="264"/>
      <c r="F37" s="200" t="s">
        <v>179</v>
      </c>
      <c r="AY37" s="271"/>
    </row>
    <row r="38" spans="1:51" x14ac:dyDescent="0.3">
      <c r="A38" s="319" t="s">
        <v>234</v>
      </c>
      <c r="B38" s="162" t="s">
        <v>189</v>
      </c>
      <c r="C38" s="193">
        <v>46.32</v>
      </c>
      <c r="D38" s="266"/>
      <c r="E38" s="166">
        <v>1.9</v>
      </c>
      <c r="F38" s="200" t="s">
        <v>179</v>
      </c>
      <c r="AY38" s="272" t="s">
        <v>235</v>
      </c>
    </row>
    <row r="39" spans="1:51" x14ac:dyDescent="0.3">
      <c r="A39" s="319" t="s">
        <v>236</v>
      </c>
      <c r="B39" s="162" t="s">
        <v>185</v>
      </c>
      <c r="C39" s="164">
        <v>43</v>
      </c>
      <c r="D39" s="193">
        <v>0.82499999999999996</v>
      </c>
      <c r="E39" s="264"/>
      <c r="F39" s="200" t="s">
        <v>179</v>
      </c>
      <c r="AY39" s="272" t="s">
        <v>237</v>
      </c>
    </row>
    <row r="40" spans="1:51" x14ac:dyDescent="0.3">
      <c r="A40" s="319" t="s">
        <v>238</v>
      </c>
      <c r="B40" s="162" t="s">
        <v>189</v>
      </c>
      <c r="C40" s="164">
        <v>49.5</v>
      </c>
      <c r="D40" s="266"/>
      <c r="E40" s="195">
        <v>0.88</v>
      </c>
      <c r="F40" s="200" t="s">
        <v>179</v>
      </c>
      <c r="AY40" s="272" t="s">
        <v>239</v>
      </c>
    </row>
    <row r="41" spans="1:51" x14ac:dyDescent="0.3">
      <c r="A41" s="319" t="s">
        <v>240</v>
      </c>
      <c r="B41" s="162" t="s">
        <v>185</v>
      </c>
      <c r="C41" s="164">
        <v>40.4</v>
      </c>
      <c r="D41" s="132">
        <v>0.94</v>
      </c>
      <c r="E41" s="264"/>
      <c r="F41" s="200" t="s">
        <v>179</v>
      </c>
      <c r="AY41" s="271"/>
    </row>
    <row r="42" spans="1:51" x14ac:dyDescent="0.3">
      <c r="A42" s="319" t="s">
        <v>241</v>
      </c>
      <c r="B42" s="162" t="s">
        <v>185</v>
      </c>
      <c r="C42" s="164">
        <v>38.1</v>
      </c>
      <c r="D42" s="132">
        <v>1</v>
      </c>
      <c r="E42" s="264"/>
      <c r="F42" s="200" t="s">
        <v>179</v>
      </c>
      <c r="AY42" s="271"/>
    </row>
    <row r="43" spans="1:51" x14ac:dyDescent="0.3">
      <c r="A43" s="319" t="s">
        <v>242</v>
      </c>
      <c r="B43" s="162" t="s">
        <v>189</v>
      </c>
      <c r="C43" s="164">
        <v>50.4</v>
      </c>
      <c r="D43" s="266"/>
      <c r="E43" s="166">
        <v>0.67</v>
      </c>
      <c r="F43" s="200" t="s">
        <v>183</v>
      </c>
      <c r="AY43" s="271"/>
    </row>
    <row r="44" spans="1:51" x14ac:dyDescent="0.3">
      <c r="A44" s="319" t="s">
        <v>243</v>
      </c>
      <c r="B44" s="162" t="s">
        <v>178</v>
      </c>
      <c r="C44" s="164">
        <v>18.899999999999999</v>
      </c>
      <c r="D44" s="266"/>
      <c r="E44" s="264"/>
      <c r="F44" s="200" t="s">
        <v>179</v>
      </c>
      <c r="AY44" s="271"/>
    </row>
    <row r="45" spans="1:51" x14ac:dyDescent="0.3">
      <c r="A45" s="319" t="s">
        <v>244</v>
      </c>
      <c r="B45" s="162" t="s">
        <v>185</v>
      </c>
      <c r="C45" s="164">
        <v>11.8</v>
      </c>
      <c r="D45" s="193">
        <v>1.2</v>
      </c>
      <c r="E45" s="264"/>
      <c r="F45" s="200" t="s">
        <v>183</v>
      </c>
      <c r="AY45" s="272" t="s">
        <v>245</v>
      </c>
    </row>
    <row r="46" spans="1:51" x14ac:dyDescent="0.3">
      <c r="A46" s="319" t="s">
        <v>246</v>
      </c>
      <c r="B46" s="162" t="s">
        <v>185</v>
      </c>
      <c r="C46" s="193">
        <v>44.4</v>
      </c>
      <c r="D46" s="132">
        <v>0.87</v>
      </c>
      <c r="E46" s="264"/>
      <c r="F46" s="200" t="s">
        <v>183</v>
      </c>
      <c r="AY46" s="272" t="s">
        <v>247</v>
      </c>
    </row>
    <row r="47" spans="1:51" x14ac:dyDescent="0.3">
      <c r="A47" s="319" t="s">
        <v>248</v>
      </c>
      <c r="B47" s="162" t="s">
        <v>185</v>
      </c>
      <c r="C47" s="193">
        <v>37.799999999999997</v>
      </c>
      <c r="D47" s="132">
        <v>0.9</v>
      </c>
      <c r="E47" s="264"/>
      <c r="F47" s="200" t="s">
        <v>179</v>
      </c>
      <c r="AY47" s="272" t="s">
        <v>249</v>
      </c>
    </row>
    <row r="48" spans="1:51" x14ac:dyDescent="0.3">
      <c r="A48" s="319" t="s">
        <v>250</v>
      </c>
      <c r="B48" s="162" t="s">
        <v>185</v>
      </c>
      <c r="C48" s="164">
        <v>40.200000000000003</v>
      </c>
      <c r="D48" s="193">
        <v>0.8</v>
      </c>
      <c r="E48" s="264"/>
      <c r="F48" s="200" t="s">
        <v>179</v>
      </c>
      <c r="AY48" s="272" t="s">
        <v>251</v>
      </c>
    </row>
    <row r="49" spans="1:51" x14ac:dyDescent="0.3">
      <c r="A49" s="319" t="s">
        <v>252</v>
      </c>
      <c r="B49" s="162" t="s">
        <v>189</v>
      </c>
      <c r="C49" s="193">
        <v>35</v>
      </c>
      <c r="D49" s="266"/>
      <c r="E49" s="166">
        <v>0.9</v>
      </c>
      <c r="F49" s="200" t="s">
        <v>183</v>
      </c>
      <c r="AY49" s="272" t="s">
        <v>253</v>
      </c>
    </row>
    <row r="50" spans="1:51" x14ac:dyDescent="0.3">
      <c r="A50" s="319" t="s">
        <v>254</v>
      </c>
      <c r="B50" s="162" t="s">
        <v>185</v>
      </c>
      <c r="C50" s="164">
        <v>40.200000000000003</v>
      </c>
      <c r="D50" s="193">
        <v>0.75</v>
      </c>
      <c r="E50" s="264"/>
      <c r="F50" s="200" t="s">
        <v>179</v>
      </c>
      <c r="AY50" s="272" t="s">
        <v>255</v>
      </c>
    </row>
    <row r="51" spans="1:51" x14ac:dyDescent="0.3">
      <c r="A51" s="321" t="s">
        <v>256</v>
      </c>
      <c r="B51" s="162" t="s">
        <v>178</v>
      </c>
      <c r="C51" s="168">
        <v>15.6</v>
      </c>
      <c r="D51" s="268"/>
      <c r="E51" s="269"/>
      <c r="F51" s="200" t="s">
        <v>183</v>
      </c>
      <c r="AY51" s="271"/>
    </row>
    <row r="52" spans="1:51" x14ac:dyDescent="0.3">
      <c r="A52" s="169" t="s">
        <v>257</v>
      </c>
      <c r="B52" s="170"/>
      <c r="C52" s="170"/>
      <c r="D52" s="170"/>
      <c r="E52" s="196"/>
      <c r="F52" s="170"/>
      <c r="AY52" s="271"/>
    </row>
    <row r="53" spans="1:51" x14ac:dyDescent="0.3">
      <c r="A53" s="169" t="s">
        <v>258</v>
      </c>
      <c r="B53" s="170"/>
      <c r="C53" s="170"/>
      <c r="D53" s="170"/>
      <c r="E53" s="196"/>
      <c r="F53" s="170"/>
      <c r="AY53" s="271"/>
    </row>
    <row r="54" spans="1:51" x14ac:dyDescent="0.3">
      <c r="A54" s="169" t="s">
        <v>259</v>
      </c>
      <c r="B54" s="170"/>
      <c r="C54" s="170"/>
      <c r="D54" s="170"/>
      <c r="E54" s="196"/>
      <c r="F54" s="170"/>
      <c r="AY54" s="271"/>
    </row>
    <row r="55" spans="1:51" x14ac:dyDescent="0.3">
      <c r="A55" s="169" t="s">
        <v>260</v>
      </c>
      <c r="B55" s="170"/>
      <c r="C55" s="170"/>
      <c r="D55" s="170"/>
      <c r="E55" s="196"/>
      <c r="F55" s="170"/>
      <c r="AY55" s="271"/>
    </row>
    <row r="56" spans="1:51" x14ac:dyDescent="0.3">
      <c r="A56" s="169" t="s">
        <v>261</v>
      </c>
      <c r="B56" s="170"/>
      <c r="C56" s="170"/>
      <c r="D56" s="170"/>
      <c r="E56" s="196"/>
      <c r="F56" s="170"/>
      <c r="AY56" s="271"/>
    </row>
    <row r="57" spans="1:51" x14ac:dyDescent="0.3">
      <c r="A57" s="169" t="s">
        <v>262</v>
      </c>
      <c r="B57" s="170"/>
      <c r="C57" s="170"/>
      <c r="D57" s="170"/>
      <c r="E57" s="196"/>
      <c r="F57" s="170"/>
      <c r="AY57" s="271"/>
    </row>
    <row r="58" spans="1:51" x14ac:dyDescent="0.3">
      <c r="A58" s="169" t="s">
        <v>263</v>
      </c>
      <c r="B58" s="170"/>
      <c r="C58" s="170"/>
      <c r="D58" s="170"/>
      <c r="E58" s="196"/>
      <c r="F58" s="170"/>
      <c r="AY58" s="271"/>
    </row>
    <row r="59" spans="1:51" x14ac:dyDescent="0.3">
      <c r="A59" s="169" t="s">
        <v>264</v>
      </c>
      <c r="B59" s="170"/>
      <c r="C59" s="170"/>
      <c r="D59" s="170"/>
      <c r="E59" s="196"/>
      <c r="F59" s="170"/>
      <c r="AY59" s="271"/>
    </row>
    <row r="60" spans="1:51" x14ac:dyDescent="0.3">
      <c r="A60" s="169" t="s">
        <v>265</v>
      </c>
      <c r="B60" s="170"/>
      <c r="C60" s="170"/>
      <c r="D60" s="170"/>
      <c r="E60" s="196"/>
      <c r="F60" s="170"/>
      <c r="AY60" s="271"/>
    </row>
    <row r="61" spans="1:51" ht="15" thickBot="1" x14ac:dyDescent="0.35">
      <c r="A61" s="201" t="s">
        <v>266</v>
      </c>
      <c r="B61" s="170"/>
      <c r="C61" s="202"/>
      <c r="D61" s="202"/>
      <c r="E61" s="203"/>
      <c r="F61" s="170"/>
      <c r="AY61" s="271"/>
    </row>
    <row r="62" spans="1:51" x14ac:dyDescent="0.3">
      <c r="A62" s="1096" t="s">
        <v>267</v>
      </c>
      <c r="B62" s="1097"/>
      <c r="C62" s="1097"/>
      <c r="D62" s="1097"/>
      <c r="E62" s="1097"/>
      <c r="F62" s="1097"/>
      <c r="G62" s="1097"/>
      <c r="H62" s="1097"/>
      <c r="I62" s="1097"/>
      <c r="J62" s="1097"/>
      <c r="K62" s="1097"/>
      <c r="L62" s="1097"/>
      <c r="M62" s="1097"/>
      <c r="N62" s="1097"/>
      <c r="O62" s="1097"/>
      <c r="P62" s="1097"/>
      <c r="Q62" s="1097"/>
      <c r="R62" s="1097"/>
      <c r="S62" s="1097"/>
      <c r="T62" s="1097"/>
      <c r="U62" s="1097"/>
      <c r="V62" s="1097"/>
      <c r="W62" s="1097"/>
      <c r="X62" s="1097"/>
      <c r="Y62" s="1097"/>
      <c r="Z62" s="1097"/>
      <c r="AA62" s="1097"/>
      <c r="AB62" s="1097"/>
      <c r="AC62" s="1097"/>
      <c r="AD62" s="1097"/>
      <c r="AE62" s="1097"/>
      <c r="AF62" s="1097"/>
      <c r="AG62" s="1097"/>
      <c r="AH62" s="1097"/>
      <c r="AI62" s="1097"/>
      <c r="AJ62" s="1097"/>
      <c r="AK62" s="1097"/>
      <c r="AL62" s="1097"/>
      <c r="AM62" s="1097"/>
      <c r="AN62" s="1097"/>
      <c r="AO62" s="1097"/>
      <c r="AP62" s="1097"/>
      <c r="AQ62" s="1097"/>
      <c r="AR62" s="1097"/>
      <c r="AS62" s="1097"/>
      <c r="AT62" s="1097"/>
      <c r="AU62" s="1097"/>
      <c r="AV62" s="1097"/>
      <c r="AW62" s="1097"/>
      <c r="AX62" s="1097"/>
      <c r="AY62" s="1098"/>
    </row>
    <row r="63" spans="1:51" ht="43.95" customHeight="1" x14ac:dyDescent="0.3">
      <c r="A63" s="1099" t="s">
        <v>268</v>
      </c>
      <c r="B63" s="1100"/>
      <c r="C63" s="1100"/>
      <c r="D63" s="1100"/>
      <c r="E63" s="1100"/>
      <c r="F63" s="1100"/>
      <c r="G63" s="1100"/>
      <c r="H63" s="1100"/>
      <c r="I63" s="1100"/>
      <c r="J63" s="1100"/>
      <c r="K63" s="1100"/>
      <c r="L63" s="1100"/>
      <c r="M63" s="1100"/>
      <c r="N63" s="1100"/>
      <c r="O63" s="1100"/>
      <c r="P63" s="1100"/>
      <c r="Q63" s="1100"/>
      <c r="R63" s="1100"/>
      <c r="S63" s="1100"/>
      <c r="T63" s="1100"/>
      <c r="U63" s="1100"/>
      <c r="V63" s="1100"/>
      <c r="W63" s="1100"/>
      <c r="X63" s="1100"/>
      <c r="Y63" s="1100"/>
      <c r="Z63" s="1100"/>
      <c r="AA63" s="1100"/>
      <c r="AB63" s="1100"/>
      <c r="AC63" s="1100"/>
      <c r="AD63" s="1100"/>
      <c r="AE63" s="1100"/>
      <c r="AF63" s="1100"/>
      <c r="AG63" s="1100"/>
      <c r="AH63" s="1100"/>
      <c r="AI63" s="1100"/>
      <c r="AJ63" s="1100"/>
      <c r="AK63" s="1100"/>
      <c r="AL63" s="1100"/>
      <c r="AM63" s="1100"/>
      <c r="AN63" s="1100"/>
      <c r="AO63" s="1100"/>
      <c r="AP63" s="1100"/>
      <c r="AQ63" s="1100"/>
      <c r="AR63" s="1100"/>
      <c r="AS63" s="1100"/>
      <c r="AT63" s="1100"/>
      <c r="AU63" s="1100"/>
      <c r="AV63" s="1100"/>
      <c r="AW63" s="1100"/>
      <c r="AX63" s="1100"/>
      <c r="AY63" s="1101"/>
    </row>
    <row r="64" spans="1:51" x14ac:dyDescent="0.3">
      <c r="A64" s="1102" t="s">
        <v>269</v>
      </c>
      <c r="B64" s="1103"/>
      <c r="C64" s="1103"/>
      <c r="D64" s="1103"/>
      <c r="E64" s="1103"/>
      <c r="F64" s="1103"/>
      <c r="G64" s="1103"/>
      <c r="H64" s="1103"/>
      <c r="I64" s="1103"/>
      <c r="J64" s="1103"/>
      <c r="K64" s="1103"/>
      <c r="L64" s="1103"/>
      <c r="M64" s="1103"/>
      <c r="N64" s="1103"/>
      <c r="O64" s="1103"/>
      <c r="P64" s="1103"/>
      <c r="Q64" s="1103"/>
      <c r="R64" s="1103"/>
      <c r="S64" s="1103"/>
      <c r="T64" s="1103"/>
      <c r="U64" s="1103"/>
      <c r="V64" s="1103"/>
      <c r="W64" s="1103"/>
      <c r="X64" s="1103"/>
      <c r="Y64" s="1103"/>
      <c r="Z64" s="1103"/>
      <c r="AA64" s="1103"/>
      <c r="AB64" s="1103"/>
      <c r="AC64" s="1103"/>
      <c r="AD64" s="1103"/>
      <c r="AE64" s="1103"/>
      <c r="AF64" s="1103"/>
      <c r="AG64" s="1103"/>
      <c r="AH64" s="1103"/>
      <c r="AI64" s="1103"/>
      <c r="AJ64" s="1103"/>
      <c r="AK64" s="1103"/>
      <c r="AL64" s="1103"/>
      <c r="AM64" s="1103"/>
      <c r="AN64" s="1103"/>
      <c r="AO64" s="1103"/>
      <c r="AP64" s="1103"/>
      <c r="AQ64" s="1103"/>
      <c r="AR64" s="1103"/>
      <c r="AS64" s="1103"/>
      <c r="AT64" s="1103"/>
      <c r="AU64" s="1103"/>
      <c r="AV64" s="1103"/>
      <c r="AW64" s="1103"/>
      <c r="AX64" s="1103"/>
      <c r="AY64" s="1104"/>
    </row>
    <row r="65" spans="1:51" x14ac:dyDescent="0.3">
      <c r="A65" s="1093" t="s">
        <v>270</v>
      </c>
      <c r="B65" s="1094"/>
      <c r="C65" s="1094"/>
      <c r="D65" s="1094"/>
      <c r="E65" s="1094"/>
      <c r="F65" s="1094"/>
      <c r="G65" s="1094"/>
      <c r="H65" s="1094"/>
      <c r="I65" s="1094"/>
      <c r="J65" s="1094"/>
      <c r="K65" s="1094"/>
      <c r="L65" s="1094"/>
      <c r="M65" s="1094"/>
      <c r="N65" s="1094"/>
      <c r="O65" s="1094"/>
      <c r="P65" s="1094"/>
      <c r="Q65" s="1094"/>
      <c r="R65" s="1094"/>
      <c r="S65" s="1094"/>
      <c r="T65" s="1094"/>
      <c r="U65" s="1094"/>
      <c r="V65" s="1094"/>
      <c r="W65" s="1094"/>
      <c r="X65" s="1094"/>
      <c r="Y65" s="1094"/>
      <c r="Z65" s="1094"/>
      <c r="AA65" s="1094"/>
      <c r="AB65" s="1094"/>
      <c r="AC65" s="1094"/>
      <c r="AD65" s="1094"/>
      <c r="AE65" s="1094"/>
      <c r="AF65" s="1094"/>
      <c r="AG65" s="1094"/>
      <c r="AH65" s="1094"/>
      <c r="AI65" s="1094"/>
      <c r="AJ65" s="1094"/>
      <c r="AK65" s="1094"/>
      <c r="AL65" s="1094"/>
      <c r="AM65" s="1094"/>
      <c r="AN65" s="1094"/>
      <c r="AO65" s="1094"/>
      <c r="AP65" s="1094"/>
      <c r="AQ65" s="1094"/>
      <c r="AR65" s="1094"/>
      <c r="AS65" s="1094"/>
      <c r="AT65" s="1094"/>
      <c r="AU65" s="1094"/>
      <c r="AV65" s="1094"/>
      <c r="AW65" s="1094"/>
      <c r="AX65" s="1094"/>
      <c r="AY65" s="1095"/>
    </row>
    <row r="66" spans="1:51" x14ac:dyDescent="0.3">
      <c r="A66" s="1072" t="s">
        <v>271</v>
      </c>
      <c r="B66" s="1073"/>
      <c r="C66" s="1073"/>
      <c r="D66" s="1073"/>
      <c r="E66" s="1073"/>
      <c r="F66" s="1073"/>
      <c r="G66" s="1073"/>
      <c r="H66" s="1073"/>
      <c r="I66" s="1073"/>
      <c r="J66" s="1073"/>
      <c r="K66" s="1073"/>
      <c r="L66" s="1073"/>
      <c r="M66" s="1073"/>
      <c r="N66" s="1073"/>
      <c r="O66" s="1073"/>
      <c r="P66" s="1073"/>
      <c r="Q66" s="1073"/>
      <c r="R66" s="1073"/>
      <c r="S66" s="1073"/>
      <c r="T66" s="1073"/>
      <c r="U66" s="1073"/>
      <c r="V66" s="1073"/>
      <c r="W66" s="1073"/>
      <c r="X66" s="1073"/>
      <c r="Y66" s="1073"/>
      <c r="Z66" s="1073"/>
      <c r="AA66" s="1073"/>
      <c r="AB66" s="1073"/>
      <c r="AC66" s="1073"/>
      <c r="AD66" s="1073"/>
      <c r="AE66" s="1073"/>
      <c r="AF66" s="1073"/>
      <c r="AG66" s="1073"/>
      <c r="AH66" s="1073"/>
      <c r="AI66" s="1073"/>
      <c r="AJ66" s="1073"/>
      <c r="AK66" s="1073"/>
      <c r="AL66" s="1073"/>
      <c r="AM66" s="1073"/>
      <c r="AN66" s="1073"/>
      <c r="AO66" s="1073"/>
      <c r="AP66" s="1073"/>
      <c r="AQ66" s="1073"/>
      <c r="AR66" s="1073"/>
      <c r="AS66" s="1073"/>
      <c r="AT66" s="1073"/>
      <c r="AU66" s="1073"/>
      <c r="AV66" s="1073"/>
      <c r="AW66" s="1073"/>
      <c r="AX66" s="1073"/>
      <c r="AY66" s="1074"/>
    </row>
    <row r="67" spans="1:51" x14ac:dyDescent="0.3">
      <c r="A67" s="1075" t="s">
        <v>272</v>
      </c>
      <c r="B67" s="1091"/>
      <c r="C67" s="1091"/>
      <c r="D67" s="1091"/>
      <c r="E67" s="1091"/>
      <c r="F67" s="1091"/>
      <c r="G67" s="1091"/>
      <c r="H67" s="1091"/>
      <c r="I67" s="1091"/>
      <c r="J67" s="1091"/>
      <c r="K67" s="1091"/>
      <c r="L67" s="1091"/>
      <c r="M67" s="1091"/>
      <c r="N67" s="1091"/>
      <c r="O67" s="1091"/>
      <c r="P67" s="1091"/>
      <c r="Q67" s="1091"/>
      <c r="R67" s="1091"/>
      <c r="S67" s="1091"/>
      <c r="T67" s="1091"/>
      <c r="U67" s="1091"/>
      <c r="V67" s="1091"/>
      <c r="W67" s="1091"/>
      <c r="X67" s="1091"/>
      <c r="Y67" s="1091"/>
      <c r="Z67" s="1091"/>
      <c r="AA67" s="1091"/>
      <c r="AB67" s="1091"/>
      <c r="AC67" s="1091"/>
      <c r="AD67" s="1091"/>
      <c r="AE67" s="1091"/>
      <c r="AF67" s="1091"/>
      <c r="AG67" s="1091"/>
      <c r="AH67" s="1091"/>
      <c r="AI67" s="1091"/>
      <c r="AJ67" s="1091"/>
      <c r="AK67" s="1091"/>
      <c r="AL67" s="1091"/>
      <c r="AM67" s="1091"/>
      <c r="AN67" s="1091"/>
      <c r="AO67" s="1091"/>
      <c r="AP67" s="1091"/>
      <c r="AQ67" s="1091"/>
      <c r="AR67" s="1091"/>
      <c r="AS67" s="1091"/>
      <c r="AT67" s="1091"/>
      <c r="AU67" s="1091"/>
      <c r="AV67" s="1091"/>
      <c r="AW67" s="1091"/>
      <c r="AX67" s="1091"/>
      <c r="AY67" s="1092"/>
    </row>
    <row r="68" spans="1:51" x14ac:dyDescent="0.3">
      <c r="A68" s="1072" t="s">
        <v>273</v>
      </c>
      <c r="B68" s="1073"/>
      <c r="C68" s="1073"/>
      <c r="D68" s="1073"/>
      <c r="E68" s="1073"/>
      <c r="F68" s="1073"/>
      <c r="G68" s="1073"/>
      <c r="H68" s="1073"/>
      <c r="I68" s="1073"/>
      <c r="J68" s="1073"/>
      <c r="K68" s="1073"/>
      <c r="L68" s="1073"/>
      <c r="M68" s="1073"/>
      <c r="N68" s="1073"/>
      <c r="O68" s="1073"/>
      <c r="P68" s="1073"/>
      <c r="Q68" s="1073"/>
      <c r="R68" s="1073"/>
      <c r="S68" s="1073"/>
      <c r="T68" s="1073"/>
      <c r="U68" s="1073"/>
      <c r="V68" s="1073"/>
      <c r="W68" s="1073"/>
      <c r="X68" s="1073"/>
      <c r="Y68" s="1073"/>
      <c r="Z68" s="1073"/>
      <c r="AA68" s="1073"/>
      <c r="AB68" s="1073"/>
      <c r="AC68" s="1073"/>
      <c r="AD68" s="1073"/>
      <c r="AE68" s="1073"/>
      <c r="AF68" s="1073"/>
      <c r="AG68" s="1073"/>
      <c r="AH68" s="1073"/>
      <c r="AI68" s="1073"/>
      <c r="AJ68" s="1073"/>
      <c r="AK68" s="1073"/>
      <c r="AL68" s="1073"/>
      <c r="AM68" s="1073"/>
      <c r="AN68" s="1073"/>
      <c r="AO68" s="1073"/>
      <c r="AP68" s="1073"/>
      <c r="AQ68" s="1073"/>
      <c r="AR68" s="1073"/>
      <c r="AS68" s="1073"/>
      <c r="AT68" s="1073"/>
      <c r="AU68" s="1073"/>
      <c r="AV68" s="1073"/>
      <c r="AW68" s="1073"/>
      <c r="AX68" s="1073"/>
      <c r="AY68" s="1074"/>
    </row>
    <row r="69" spans="1:51" x14ac:dyDescent="0.3">
      <c r="A69" s="1075" t="s">
        <v>274</v>
      </c>
      <c r="B69" s="1091"/>
      <c r="C69" s="1091"/>
      <c r="D69" s="1091"/>
      <c r="E69" s="1091"/>
      <c r="F69" s="1091"/>
      <c r="G69" s="1091"/>
      <c r="H69" s="1091"/>
      <c r="I69" s="1091"/>
      <c r="J69" s="1091"/>
      <c r="K69" s="1091"/>
      <c r="L69" s="1091"/>
      <c r="M69" s="1091"/>
      <c r="N69" s="1091"/>
      <c r="O69" s="1091"/>
      <c r="P69" s="1091"/>
      <c r="Q69" s="1091"/>
      <c r="R69" s="1091"/>
      <c r="S69" s="1091"/>
      <c r="T69" s="1091"/>
      <c r="U69" s="1091"/>
      <c r="V69" s="1091"/>
      <c r="W69" s="1091"/>
      <c r="X69" s="1091"/>
      <c r="Y69" s="1091"/>
      <c r="Z69" s="1091"/>
      <c r="AA69" s="1091"/>
      <c r="AB69" s="1091"/>
      <c r="AC69" s="1091"/>
      <c r="AD69" s="1091"/>
      <c r="AE69" s="1091"/>
      <c r="AF69" s="1091"/>
      <c r="AG69" s="1091"/>
      <c r="AH69" s="1091"/>
      <c r="AI69" s="1091"/>
      <c r="AJ69" s="1091"/>
      <c r="AK69" s="1091"/>
      <c r="AL69" s="1091"/>
      <c r="AM69" s="1091"/>
      <c r="AN69" s="1091"/>
      <c r="AO69" s="1091"/>
      <c r="AP69" s="1091"/>
      <c r="AQ69" s="1091"/>
      <c r="AR69" s="1091"/>
      <c r="AS69" s="1091"/>
      <c r="AT69" s="1091"/>
      <c r="AU69" s="1091"/>
      <c r="AV69" s="1091"/>
      <c r="AW69" s="1091"/>
      <c r="AX69" s="1091"/>
      <c r="AY69" s="1092"/>
    </row>
    <row r="70" spans="1:51" x14ac:dyDescent="0.3">
      <c r="A70" s="1072" t="s">
        <v>275</v>
      </c>
      <c r="B70" s="1073"/>
      <c r="C70" s="1073"/>
      <c r="D70" s="1073"/>
      <c r="E70" s="1073"/>
      <c r="F70" s="1073"/>
      <c r="G70" s="1073"/>
      <c r="H70" s="1073"/>
      <c r="I70" s="1073"/>
      <c r="J70" s="1073"/>
      <c r="K70" s="1073"/>
      <c r="L70" s="1073"/>
      <c r="M70" s="1073"/>
      <c r="N70" s="1073"/>
      <c r="O70" s="1073"/>
      <c r="P70" s="1073"/>
      <c r="Q70" s="1073"/>
      <c r="R70" s="1073"/>
      <c r="S70" s="1073"/>
      <c r="T70" s="1073"/>
      <c r="U70" s="1073"/>
      <c r="V70" s="1073"/>
      <c r="W70" s="1073"/>
      <c r="X70" s="1073"/>
      <c r="Y70" s="1073"/>
      <c r="Z70" s="1073"/>
      <c r="AA70" s="1073"/>
      <c r="AB70" s="1073"/>
      <c r="AC70" s="1073"/>
      <c r="AD70" s="1073"/>
      <c r="AE70" s="1073"/>
      <c r="AF70" s="1073"/>
      <c r="AG70" s="1073"/>
      <c r="AH70" s="1073"/>
      <c r="AI70" s="1073"/>
      <c r="AJ70" s="1073"/>
      <c r="AK70" s="1073"/>
      <c r="AL70" s="1073"/>
      <c r="AM70" s="1073"/>
      <c r="AN70" s="1073"/>
      <c r="AO70" s="1073"/>
      <c r="AP70" s="1073"/>
      <c r="AQ70" s="1073"/>
      <c r="AR70" s="1073"/>
      <c r="AS70" s="1073"/>
      <c r="AT70" s="1073"/>
      <c r="AU70" s="1073"/>
      <c r="AV70" s="1073"/>
      <c r="AW70" s="1073"/>
      <c r="AX70" s="1073"/>
      <c r="AY70" s="1074"/>
    </row>
    <row r="71" spans="1:51" x14ac:dyDescent="0.3">
      <c r="A71" s="1075" t="s">
        <v>276</v>
      </c>
      <c r="B71" s="1091"/>
      <c r="C71" s="1091"/>
      <c r="D71" s="1091"/>
      <c r="E71" s="1091"/>
      <c r="F71" s="1091"/>
      <c r="G71" s="1091"/>
      <c r="H71" s="1091"/>
      <c r="I71" s="1091"/>
      <c r="J71" s="1091"/>
      <c r="K71" s="1091"/>
      <c r="L71" s="1091"/>
      <c r="M71" s="1091"/>
      <c r="N71" s="1091"/>
      <c r="O71" s="1091"/>
      <c r="P71" s="1091"/>
      <c r="Q71" s="1091"/>
      <c r="R71" s="1091"/>
      <c r="S71" s="1091"/>
      <c r="T71" s="1091"/>
      <c r="U71" s="1091"/>
      <c r="V71" s="1091"/>
      <c r="W71" s="1091"/>
      <c r="X71" s="1091"/>
      <c r="Y71" s="1091"/>
      <c r="Z71" s="1091"/>
      <c r="AA71" s="1091"/>
      <c r="AB71" s="1091"/>
      <c r="AC71" s="1091"/>
      <c r="AD71" s="1091"/>
      <c r="AE71" s="1091"/>
      <c r="AF71" s="1091"/>
      <c r="AG71" s="1091"/>
      <c r="AH71" s="1091"/>
      <c r="AI71" s="1091"/>
      <c r="AJ71" s="1091"/>
      <c r="AK71" s="1091"/>
      <c r="AL71" s="1091"/>
      <c r="AM71" s="1091"/>
      <c r="AN71" s="1091"/>
      <c r="AO71" s="1091"/>
      <c r="AP71" s="1091"/>
      <c r="AQ71" s="1091"/>
      <c r="AR71" s="1091"/>
      <c r="AS71" s="1091"/>
      <c r="AT71" s="1091"/>
      <c r="AU71" s="1091"/>
      <c r="AV71" s="1091"/>
      <c r="AW71" s="1091"/>
      <c r="AX71" s="1091"/>
      <c r="AY71" s="1092"/>
    </row>
    <row r="72" spans="1:51" x14ac:dyDescent="0.3">
      <c r="A72" s="1072" t="s">
        <v>277</v>
      </c>
      <c r="B72" s="1073"/>
      <c r="C72" s="1073"/>
      <c r="D72" s="1073"/>
      <c r="E72" s="1073"/>
      <c r="F72" s="1073"/>
      <c r="G72" s="1073"/>
      <c r="H72" s="1073"/>
      <c r="I72" s="1073"/>
      <c r="J72" s="1073"/>
      <c r="K72" s="1073"/>
      <c r="L72" s="1073"/>
      <c r="M72" s="1073"/>
      <c r="N72" s="1073"/>
      <c r="O72" s="1073"/>
      <c r="P72" s="1073"/>
      <c r="Q72" s="1073"/>
      <c r="R72" s="1073"/>
      <c r="S72" s="1073"/>
      <c r="T72" s="1073"/>
      <c r="U72" s="1073"/>
      <c r="V72" s="1073"/>
      <c r="W72" s="1073"/>
      <c r="X72" s="1073"/>
      <c r="Y72" s="1073"/>
      <c r="Z72" s="1073"/>
      <c r="AA72" s="1073"/>
      <c r="AB72" s="1073"/>
      <c r="AC72" s="1073"/>
      <c r="AD72" s="1073"/>
      <c r="AE72" s="1073"/>
      <c r="AF72" s="1073"/>
      <c r="AG72" s="1073"/>
      <c r="AH72" s="1073"/>
      <c r="AI72" s="1073"/>
      <c r="AJ72" s="1073"/>
      <c r="AK72" s="1073"/>
      <c r="AL72" s="1073"/>
      <c r="AM72" s="1073"/>
      <c r="AN72" s="1073"/>
      <c r="AO72" s="1073"/>
      <c r="AP72" s="1073"/>
      <c r="AQ72" s="1073"/>
      <c r="AR72" s="1073"/>
      <c r="AS72" s="1073"/>
      <c r="AT72" s="1073"/>
      <c r="AU72" s="1073"/>
      <c r="AV72" s="1073"/>
      <c r="AW72" s="1073"/>
      <c r="AX72" s="1073"/>
      <c r="AY72" s="1074"/>
    </row>
    <row r="73" spans="1:51" x14ac:dyDescent="0.3">
      <c r="A73" s="1075" t="s">
        <v>278</v>
      </c>
      <c r="B73" s="1091"/>
      <c r="C73" s="1091"/>
      <c r="D73" s="1091"/>
      <c r="E73" s="1091"/>
      <c r="F73" s="1091"/>
      <c r="G73" s="1091"/>
      <c r="H73" s="1091"/>
      <c r="I73" s="1091"/>
      <c r="J73" s="1091"/>
      <c r="K73" s="1091"/>
      <c r="L73" s="1091"/>
      <c r="M73" s="1091"/>
      <c r="N73" s="1091"/>
      <c r="O73" s="1091"/>
      <c r="P73" s="1091"/>
      <c r="Q73" s="1091"/>
      <c r="R73" s="1091"/>
      <c r="S73" s="1091"/>
      <c r="T73" s="1091"/>
      <c r="U73" s="1091"/>
      <c r="V73" s="1091"/>
      <c r="W73" s="1091"/>
      <c r="X73" s="1091"/>
      <c r="Y73" s="1091"/>
      <c r="Z73" s="1091"/>
      <c r="AA73" s="1091"/>
      <c r="AB73" s="1091"/>
      <c r="AC73" s="1091"/>
      <c r="AD73" s="1091"/>
      <c r="AE73" s="1091"/>
      <c r="AF73" s="1091"/>
      <c r="AG73" s="1091"/>
      <c r="AH73" s="1091"/>
      <c r="AI73" s="1091"/>
      <c r="AJ73" s="1091"/>
      <c r="AK73" s="1091"/>
      <c r="AL73" s="1091"/>
      <c r="AM73" s="1091"/>
      <c r="AN73" s="1091"/>
      <c r="AO73" s="1091"/>
      <c r="AP73" s="1091"/>
      <c r="AQ73" s="1091"/>
      <c r="AR73" s="1091"/>
      <c r="AS73" s="1091"/>
      <c r="AT73" s="1091"/>
      <c r="AU73" s="1091"/>
      <c r="AV73" s="1091"/>
      <c r="AW73" s="1091"/>
      <c r="AX73" s="1091"/>
      <c r="AY73" s="1092"/>
    </row>
    <row r="74" spans="1:51" x14ac:dyDescent="0.3">
      <c r="A74" s="1072" t="s">
        <v>279</v>
      </c>
      <c r="B74" s="1073"/>
      <c r="C74" s="1073"/>
      <c r="D74" s="1073"/>
      <c r="E74" s="1073"/>
      <c r="F74" s="1073"/>
      <c r="G74" s="1073"/>
      <c r="H74" s="1073"/>
      <c r="I74" s="1073"/>
      <c r="J74" s="1073"/>
      <c r="K74" s="1073"/>
      <c r="L74" s="1073"/>
      <c r="M74" s="1073"/>
      <c r="N74" s="1073"/>
      <c r="O74" s="1073"/>
      <c r="P74" s="1073"/>
      <c r="Q74" s="1073"/>
      <c r="R74" s="1073"/>
      <c r="S74" s="1073"/>
      <c r="T74" s="1073"/>
      <c r="U74" s="1073"/>
      <c r="V74" s="1073"/>
      <c r="W74" s="1073"/>
      <c r="X74" s="1073"/>
      <c r="Y74" s="1073"/>
      <c r="Z74" s="1073"/>
      <c r="AA74" s="1073"/>
      <c r="AB74" s="1073"/>
      <c r="AC74" s="1073"/>
      <c r="AD74" s="1073"/>
      <c r="AE74" s="1073"/>
      <c r="AF74" s="1073"/>
      <c r="AG74" s="1073"/>
      <c r="AH74" s="1073"/>
      <c r="AI74" s="1073"/>
      <c r="AJ74" s="1073"/>
      <c r="AK74" s="1073"/>
      <c r="AL74" s="1073"/>
      <c r="AM74" s="1073"/>
      <c r="AN74" s="1073"/>
      <c r="AO74" s="1073"/>
      <c r="AP74" s="1073"/>
      <c r="AQ74" s="1073"/>
      <c r="AR74" s="1073"/>
      <c r="AS74" s="1073"/>
      <c r="AT74" s="1073"/>
      <c r="AU74" s="1073"/>
      <c r="AV74" s="1073"/>
      <c r="AW74" s="1073"/>
      <c r="AX74" s="1073"/>
      <c r="AY74" s="1074"/>
    </row>
    <row r="75" spans="1:51" x14ac:dyDescent="0.3">
      <c r="A75" s="1075" t="s">
        <v>280</v>
      </c>
      <c r="B75" s="1091"/>
      <c r="C75" s="1091"/>
      <c r="D75" s="1091"/>
      <c r="E75" s="1091"/>
      <c r="F75" s="1091"/>
      <c r="G75" s="1091"/>
      <c r="H75" s="1091"/>
      <c r="I75" s="1091"/>
      <c r="J75" s="1091"/>
      <c r="K75" s="1091"/>
      <c r="L75" s="1091"/>
      <c r="M75" s="1091"/>
      <c r="N75" s="1091"/>
      <c r="O75" s="1091"/>
      <c r="P75" s="1091"/>
      <c r="Q75" s="1091"/>
      <c r="R75" s="1091"/>
      <c r="S75" s="1091"/>
      <c r="T75" s="1091"/>
      <c r="U75" s="1091"/>
      <c r="V75" s="1091"/>
      <c r="W75" s="1091"/>
      <c r="X75" s="1091"/>
      <c r="Y75" s="1091"/>
      <c r="Z75" s="1091"/>
      <c r="AA75" s="1091"/>
      <c r="AB75" s="1091"/>
      <c r="AC75" s="1091"/>
      <c r="AD75" s="1091"/>
      <c r="AE75" s="1091"/>
      <c r="AF75" s="1091"/>
      <c r="AG75" s="1091"/>
      <c r="AH75" s="1091"/>
      <c r="AI75" s="1091"/>
      <c r="AJ75" s="1091"/>
      <c r="AK75" s="1091"/>
      <c r="AL75" s="1091"/>
      <c r="AM75" s="1091"/>
      <c r="AN75" s="1091"/>
      <c r="AO75" s="1091"/>
      <c r="AP75" s="1091"/>
      <c r="AQ75" s="1091"/>
      <c r="AR75" s="1091"/>
      <c r="AS75" s="1091"/>
      <c r="AT75" s="1091"/>
      <c r="AU75" s="1091"/>
      <c r="AV75" s="1091"/>
      <c r="AW75" s="1091"/>
      <c r="AX75" s="1091"/>
      <c r="AY75" s="1092"/>
    </row>
    <row r="76" spans="1:51" x14ac:dyDescent="0.3">
      <c r="A76" s="1113" t="s">
        <v>281</v>
      </c>
      <c r="B76" s="1114"/>
      <c r="C76" s="1114"/>
      <c r="D76" s="1114"/>
      <c r="E76" s="1114"/>
      <c r="F76" s="1114"/>
      <c r="G76" s="1114"/>
      <c r="H76" s="1114"/>
      <c r="I76" s="1114"/>
      <c r="J76" s="1114"/>
      <c r="K76" s="1114"/>
      <c r="L76" s="1114"/>
      <c r="M76" s="1114"/>
      <c r="N76" s="1114"/>
      <c r="O76" s="1114"/>
      <c r="P76" s="1114"/>
      <c r="Q76" s="1114"/>
      <c r="R76" s="1114"/>
      <c r="S76" s="1114"/>
      <c r="T76" s="1114"/>
      <c r="U76" s="1114"/>
      <c r="V76" s="1114"/>
      <c r="W76" s="1114"/>
      <c r="X76" s="1114"/>
      <c r="Y76" s="1114"/>
      <c r="Z76" s="1114"/>
      <c r="AA76" s="1114"/>
      <c r="AB76" s="1114"/>
      <c r="AC76" s="1114"/>
      <c r="AD76" s="1114"/>
      <c r="AE76" s="1114"/>
      <c r="AF76" s="1114"/>
      <c r="AG76" s="1114"/>
      <c r="AH76" s="1114"/>
      <c r="AI76" s="1114"/>
      <c r="AJ76" s="1114"/>
      <c r="AK76" s="1114"/>
      <c r="AL76" s="1114"/>
      <c r="AM76" s="1114"/>
      <c r="AN76" s="1114"/>
      <c r="AO76" s="1114"/>
      <c r="AP76" s="1114"/>
      <c r="AQ76" s="1114"/>
      <c r="AR76" s="1114"/>
      <c r="AS76" s="1114"/>
      <c r="AT76" s="1114"/>
      <c r="AU76" s="1114"/>
      <c r="AV76" s="1114"/>
      <c r="AW76" s="1114"/>
      <c r="AX76" s="1114"/>
      <c r="AY76" s="1115"/>
    </row>
    <row r="77" spans="1:51" x14ac:dyDescent="0.3">
      <c r="A77" s="1110" t="s">
        <v>282</v>
      </c>
      <c r="B77" s="1111"/>
      <c r="C77" s="1111"/>
      <c r="D77" s="1111"/>
      <c r="E77" s="1111"/>
      <c r="F77" s="1111"/>
      <c r="G77" s="1111"/>
      <c r="H77" s="1111"/>
      <c r="I77" s="1111"/>
      <c r="J77" s="1111"/>
      <c r="K77" s="1111"/>
      <c r="L77" s="1111"/>
      <c r="M77" s="1111"/>
      <c r="N77" s="1111"/>
      <c r="O77" s="1111"/>
      <c r="P77" s="1111"/>
      <c r="Q77" s="1111"/>
      <c r="R77" s="1111"/>
      <c r="S77" s="1111"/>
      <c r="T77" s="1111"/>
      <c r="U77" s="1111"/>
      <c r="V77" s="1111"/>
      <c r="W77" s="1111"/>
      <c r="X77" s="1111"/>
      <c r="Y77" s="1111"/>
      <c r="Z77" s="1111"/>
      <c r="AA77" s="1111"/>
      <c r="AB77" s="1111"/>
      <c r="AC77" s="1111"/>
      <c r="AD77" s="1111"/>
      <c r="AE77" s="1111"/>
      <c r="AF77" s="1111"/>
      <c r="AG77" s="1111"/>
      <c r="AH77" s="1111"/>
      <c r="AI77" s="1111"/>
      <c r="AJ77" s="1111"/>
      <c r="AK77" s="1111"/>
      <c r="AL77" s="1111"/>
      <c r="AM77" s="1111"/>
      <c r="AN77" s="1111"/>
      <c r="AO77" s="1111"/>
      <c r="AP77" s="1111"/>
      <c r="AQ77" s="1111"/>
      <c r="AR77" s="1111"/>
      <c r="AS77" s="1111"/>
      <c r="AT77" s="1111"/>
      <c r="AU77" s="1111"/>
      <c r="AV77" s="1111"/>
      <c r="AW77" s="1111"/>
      <c r="AX77" s="1111"/>
      <c r="AY77" s="1112"/>
    </row>
    <row r="78" spans="1:51" x14ac:dyDescent="0.3">
      <c r="A78" s="1085" t="s">
        <v>283</v>
      </c>
      <c r="B78" s="1086"/>
      <c r="C78" s="1086"/>
      <c r="D78" s="1086"/>
      <c r="E78" s="1086"/>
      <c r="F78" s="1086"/>
      <c r="G78" s="1086"/>
      <c r="H78" s="1086"/>
      <c r="I78" s="1086"/>
      <c r="J78" s="1086"/>
      <c r="K78" s="1086"/>
      <c r="L78" s="1086"/>
      <c r="M78" s="1086"/>
      <c r="N78" s="1086"/>
      <c r="O78" s="1086"/>
      <c r="P78" s="1086"/>
      <c r="Q78" s="1086"/>
      <c r="R78" s="1086"/>
      <c r="S78" s="1086"/>
      <c r="T78" s="1086"/>
      <c r="U78" s="1086"/>
      <c r="V78" s="1086"/>
      <c r="W78" s="1086"/>
      <c r="X78" s="1086"/>
      <c r="Y78" s="1086"/>
      <c r="Z78" s="1086"/>
      <c r="AA78" s="1086"/>
      <c r="AB78" s="1086"/>
      <c r="AC78" s="1086"/>
      <c r="AD78" s="1086"/>
      <c r="AE78" s="1086"/>
      <c r="AF78" s="1086"/>
      <c r="AG78" s="1086"/>
      <c r="AH78" s="1086"/>
      <c r="AI78" s="1086"/>
      <c r="AJ78" s="1086"/>
      <c r="AK78" s="1086"/>
      <c r="AL78" s="1086"/>
      <c r="AM78" s="1086"/>
      <c r="AN78" s="1086"/>
      <c r="AO78" s="1086"/>
      <c r="AP78" s="1086"/>
      <c r="AQ78" s="1086"/>
      <c r="AR78" s="1086"/>
      <c r="AS78" s="1086"/>
      <c r="AT78" s="1086"/>
      <c r="AU78" s="1086"/>
      <c r="AV78" s="1086"/>
      <c r="AW78" s="1086"/>
      <c r="AX78" s="1086"/>
      <c r="AY78" s="1087"/>
    </row>
    <row r="79" spans="1:51" x14ac:dyDescent="0.3">
      <c r="A79" s="1107" t="s">
        <v>284</v>
      </c>
      <c r="B79" s="1108"/>
      <c r="C79" s="1108"/>
      <c r="D79" s="1108"/>
      <c r="E79" s="1108"/>
      <c r="F79" s="1108"/>
      <c r="G79" s="1108"/>
      <c r="H79" s="1108"/>
      <c r="I79" s="1108"/>
      <c r="J79" s="1108"/>
      <c r="K79" s="1108"/>
      <c r="L79" s="1108"/>
      <c r="M79" s="1108"/>
      <c r="N79" s="1108"/>
      <c r="O79" s="1108"/>
      <c r="P79" s="1108"/>
      <c r="Q79" s="1108"/>
      <c r="R79" s="1108"/>
      <c r="S79" s="1108"/>
      <c r="T79" s="1108"/>
      <c r="U79" s="1108"/>
      <c r="V79" s="1108"/>
      <c r="W79" s="1108"/>
      <c r="X79" s="1108"/>
      <c r="Y79" s="1108"/>
      <c r="Z79" s="1108"/>
      <c r="AA79" s="1108"/>
      <c r="AB79" s="1108"/>
      <c r="AC79" s="1108"/>
      <c r="AD79" s="1108"/>
      <c r="AE79" s="1108"/>
      <c r="AF79" s="1108"/>
      <c r="AG79" s="1108"/>
      <c r="AH79" s="1108"/>
      <c r="AI79" s="1108"/>
      <c r="AJ79" s="1108"/>
      <c r="AK79" s="1108"/>
      <c r="AL79" s="1108"/>
      <c r="AM79" s="1108"/>
      <c r="AN79" s="1108"/>
      <c r="AO79" s="1108"/>
      <c r="AP79" s="1108"/>
      <c r="AQ79" s="1108"/>
      <c r="AR79" s="1108"/>
      <c r="AS79" s="1108"/>
      <c r="AT79" s="1108"/>
      <c r="AU79" s="1108"/>
      <c r="AV79" s="1108"/>
      <c r="AW79" s="1108"/>
      <c r="AX79" s="1108"/>
      <c r="AY79" s="1109"/>
    </row>
    <row r="80" spans="1:51" x14ac:dyDescent="0.3">
      <c r="A80" s="1084" t="s">
        <v>285</v>
      </c>
      <c r="B80" s="1105"/>
      <c r="C80" s="1105"/>
      <c r="D80" s="1105"/>
      <c r="E80" s="1105"/>
      <c r="F80" s="1105"/>
      <c r="G80" s="1105"/>
      <c r="H80" s="1105"/>
      <c r="I80" s="1105"/>
      <c r="J80" s="1105"/>
      <c r="K80" s="1105"/>
      <c r="L80" s="1105"/>
      <c r="M80" s="1105"/>
      <c r="N80" s="1105"/>
      <c r="O80" s="1105"/>
      <c r="P80" s="1105"/>
      <c r="Q80" s="1105"/>
      <c r="R80" s="1105"/>
      <c r="S80" s="1105"/>
      <c r="T80" s="1105"/>
      <c r="U80" s="1105"/>
      <c r="V80" s="1105"/>
      <c r="W80" s="1105"/>
      <c r="X80" s="1105"/>
      <c r="Y80" s="1105"/>
      <c r="Z80" s="1105"/>
      <c r="AA80" s="1105"/>
      <c r="AB80" s="1105"/>
      <c r="AC80" s="1105"/>
      <c r="AD80" s="1105"/>
      <c r="AE80" s="1105"/>
      <c r="AF80" s="1105"/>
      <c r="AG80" s="1105"/>
      <c r="AH80" s="1105"/>
      <c r="AI80" s="1105"/>
      <c r="AJ80" s="1105"/>
      <c r="AK80" s="1105"/>
      <c r="AL80" s="1105"/>
      <c r="AM80" s="1105"/>
      <c r="AN80" s="1105"/>
      <c r="AO80" s="1105"/>
      <c r="AP80" s="1105"/>
      <c r="AQ80" s="1105"/>
      <c r="AR80" s="1105"/>
      <c r="AS80" s="1105"/>
      <c r="AT80" s="1105"/>
      <c r="AU80" s="1105"/>
      <c r="AV80" s="1105"/>
      <c r="AW80" s="1105"/>
      <c r="AX80" s="1105"/>
      <c r="AY80" s="1106"/>
    </row>
    <row r="81" spans="1:51" x14ac:dyDescent="0.3">
      <c r="A81" s="1085" t="s">
        <v>286</v>
      </c>
      <c r="B81" s="1086"/>
      <c r="C81" s="1086"/>
      <c r="D81" s="1086"/>
      <c r="E81" s="1086"/>
      <c r="F81" s="1086"/>
      <c r="G81" s="1086"/>
      <c r="H81" s="1086"/>
      <c r="I81" s="1086"/>
      <c r="J81" s="1086"/>
      <c r="K81" s="1086"/>
      <c r="L81" s="1086"/>
      <c r="M81" s="1086"/>
      <c r="N81" s="1086"/>
      <c r="O81" s="1086"/>
      <c r="P81" s="1086"/>
      <c r="Q81" s="1086"/>
      <c r="R81" s="1086"/>
      <c r="S81" s="1086"/>
      <c r="T81" s="1086"/>
      <c r="U81" s="1086"/>
      <c r="V81" s="1086"/>
      <c r="W81" s="1086"/>
      <c r="X81" s="1086"/>
      <c r="Y81" s="1086"/>
      <c r="Z81" s="1086"/>
      <c r="AA81" s="1086"/>
      <c r="AB81" s="1086"/>
      <c r="AC81" s="1086"/>
      <c r="AD81" s="1086"/>
      <c r="AE81" s="1086"/>
      <c r="AF81" s="1086"/>
      <c r="AG81" s="1086"/>
      <c r="AH81" s="1086"/>
      <c r="AI81" s="1086"/>
      <c r="AJ81" s="1086"/>
      <c r="AK81" s="1086"/>
      <c r="AL81" s="1086"/>
      <c r="AM81" s="1086"/>
      <c r="AN81" s="1086"/>
      <c r="AO81" s="1086"/>
      <c r="AP81" s="1086"/>
      <c r="AQ81" s="1086"/>
      <c r="AR81" s="1086"/>
      <c r="AS81" s="1086"/>
      <c r="AT81" s="1086"/>
      <c r="AU81" s="1086"/>
      <c r="AV81" s="1086"/>
      <c r="AW81" s="1086"/>
      <c r="AX81" s="1086"/>
      <c r="AY81" s="1087"/>
    </row>
    <row r="82" spans="1:51" x14ac:dyDescent="0.3">
      <c r="A82" s="1072" t="s">
        <v>287</v>
      </c>
      <c r="B82" s="1073"/>
      <c r="C82" s="1073"/>
      <c r="D82" s="1073"/>
      <c r="E82" s="1073"/>
      <c r="F82" s="1073"/>
      <c r="G82" s="1073"/>
      <c r="H82" s="1073"/>
      <c r="I82" s="1073"/>
      <c r="J82" s="1073"/>
      <c r="K82" s="1073"/>
      <c r="L82" s="1073"/>
      <c r="M82" s="1073"/>
      <c r="N82" s="1073"/>
      <c r="O82" s="1073"/>
      <c r="P82" s="1073"/>
      <c r="Q82" s="1073"/>
      <c r="R82" s="1073"/>
      <c r="S82" s="1073"/>
      <c r="T82" s="1073"/>
      <c r="U82" s="1073"/>
      <c r="V82" s="1073"/>
      <c r="W82" s="1073"/>
      <c r="X82" s="1073"/>
      <c r="Y82" s="1073"/>
      <c r="Z82" s="1073"/>
      <c r="AA82" s="1073"/>
      <c r="AB82" s="1073"/>
      <c r="AC82" s="1073"/>
      <c r="AD82" s="1073"/>
      <c r="AE82" s="1073"/>
      <c r="AF82" s="1073"/>
      <c r="AG82" s="1073"/>
      <c r="AH82" s="1073"/>
      <c r="AI82" s="1073"/>
      <c r="AJ82" s="1073"/>
      <c r="AK82" s="1073"/>
      <c r="AL82" s="1073"/>
      <c r="AM82" s="1073"/>
      <c r="AN82" s="1073"/>
      <c r="AO82" s="1073"/>
      <c r="AP82" s="1073"/>
      <c r="AQ82" s="1073"/>
      <c r="AR82" s="1073"/>
      <c r="AS82" s="1073"/>
      <c r="AT82" s="1073"/>
      <c r="AU82" s="1073"/>
      <c r="AV82" s="1073"/>
      <c r="AW82" s="1073"/>
      <c r="AX82" s="1073"/>
      <c r="AY82" s="1074"/>
    </row>
    <row r="83" spans="1:51" x14ac:dyDescent="0.3">
      <c r="A83" s="1075" t="s">
        <v>288</v>
      </c>
      <c r="B83" s="1091"/>
      <c r="C83" s="1091"/>
      <c r="D83" s="1091"/>
      <c r="E83" s="1091"/>
      <c r="F83" s="1091"/>
      <c r="G83" s="1091"/>
      <c r="H83" s="1091"/>
      <c r="I83" s="1091"/>
      <c r="J83" s="1091"/>
      <c r="K83" s="1091"/>
      <c r="L83" s="1091"/>
      <c r="M83" s="1091"/>
      <c r="N83" s="1091"/>
      <c r="O83" s="1091"/>
      <c r="P83" s="1091"/>
      <c r="Q83" s="1091"/>
      <c r="R83" s="1091"/>
      <c r="S83" s="1091"/>
      <c r="T83" s="1091"/>
      <c r="U83" s="1091"/>
      <c r="V83" s="1091"/>
      <c r="W83" s="1091"/>
      <c r="X83" s="1091"/>
      <c r="Y83" s="1091"/>
      <c r="Z83" s="1091"/>
      <c r="AA83" s="1091"/>
      <c r="AB83" s="1091"/>
      <c r="AC83" s="1091"/>
      <c r="AD83" s="1091"/>
      <c r="AE83" s="1091"/>
      <c r="AF83" s="1091"/>
      <c r="AG83" s="1091"/>
      <c r="AH83" s="1091"/>
      <c r="AI83" s="1091"/>
      <c r="AJ83" s="1091"/>
      <c r="AK83" s="1091"/>
      <c r="AL83" s="1091"/>
      <c r="AM83" s="1091"/>
      <c r="AN83" s="1091"/>
      <c r="AO83" s="1091"/>
      <c r="AP83" s="1091"/>
      <c r="AQ83" s="1091"/>
      <c r="AR83" s="1091"/>
      <c r="AS83" s="1091"/>
      <c r="AT83" s="1091"/>
      <c r="AU83" s="1091"/>
      <c r="AV83" s="1091"/>
      <c r="AW83" s="1091"/>
      <c r="AX83" s="1091"/>
      <c r="AY83" s="1092"/>
    </row>
    <row r="84" spans="1:51" x14ac:dyDescent="0.3">
      <c r="A84" s="274" t="s">
        <v>289</v>
      </c>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275"/>
      <c r="AH84" s="275"/>
      <c r="AI84" s="275"/>
      <c r="AJ84" s="275"/>
      <c r="AK84" s="275"/>
      <c r="AL84" s="275"/>
      <c r="AM84" s="275"/>
      <c r="AN84" s="275"/>
      <c r="AO84" s="275"/>
      <c r="AP84" s="275"/>
      <c r="AQ84" s="275"/>
      <c r="AR84" s="275"/>
      <c r="AS84" s="275"/>
      <c r="AT84" s="275"/>
      <c r="AU84" s="275"/>
      <c r="AV84" s="275"/>
      <c r="AW84" s="275"/>
      <c r="AX84" s="275"/>
      <c r="AY84" s="276"/>
    </row>
    <row r="85" spans="1:51" x14ac:dyDescent="0.3">
      <c r="A85" s="1084" t="s">
        <v>290</v>
      </c>
      <c r="B85" s="1079"/>
      <c r="C85" s="1079"/>
      <c r="D85" s="1079"/>
      <c r="E85" s="1079"/>
      <c r="F85" s="1079"/>
      <c r="G85" s="1079"/>
      <c r="H85" s="1079"/>
      <c r="I85" s="1079"/>
      <c r="J85" s="1079"/>
      <c r="K85" s="1079"/>
      <c r="L85" s="1079"/>
      <c r="M85" s="1079"/>
      <c r="N85" s="1079"/>
      <c r="O85" s="1079"/>
      <c r="P85" s="1079"/>
      <c r="Q85" s="1079"/>
      <c r="R85" s="1079"/>
      <c r="S85" s="1079"/>
      <c r="T85" s="1079"/>
      <c r="U85" s="1079"/>
      <c r="V85" s="1079"/>
      <c r="W85" s="1079"/>
      <c r="X85" s="1079"/>
      <c r="Y85" s="1079"/>
      <c r="Z85" s="1079"/>
      <c r="AA85" s="1079"/>
      <c r="AB85" s="1079"/>
      <c r="AC85" s="1079"/>
      <c r="AD85" s="1079"/>
      <c r="AE85" s="1079"/>
      <c r="AF85" s="1079"/>
      <c r="AG85" s="1079"/>
      <c r="AH85" s="1079"/>
      <c r="AI85" s="1079"/>
      <c r="AJ85" s="1079"/>
      <c r="AK85" s="1079"/>
      <c r="AL85" s="1079"/>
      <c r="AM85" s="1079"/>
      <c r="AN85" s="1079"/>
      <c r="AO85" s="1079"/>
      <c r="AP85" s="1079"/>
      <c r="AQ85" s="1079"/>
      <c r="AR85" s="1079"/>
      <c r="AS85" s="1079"/>
      <c r="AT85" s="1079"/>
      <c r="AU85" s="1079"/>
      <c r="AV85" s="1079"/>
      <c r="AW85" s="1079"/>
      <c r="AX85" s="1079"/>
      <c r="AY85" s="1080"/>
    </row>
    <row r="86" spans="1:51" x14ac:dyDescent="0.3">
      <c r="A86" s="1085" t="s">
        <v>291</v>
      </c>
      <c r="B86" s="1086"/>
      <c r="C86" s="1086"/>
      <c r="D86" s="1086"/>
      <c r="E86" s="1086"/>
      <c r="F86" s="1086"/>
      <c r="G86" s="1086"/>
      <c r="H86" s="1086"/>
      <c r="I86" s="1086"/>
      <c r="J86" s="1086"/>
      <c r="K86" s="1086"/>
      <c r="L86" s="1086"/>
      <c r="M86" s="1086"/>
      <c r="N86" s="1086"/>
      <c r="O86" s="1086"/>
      <c r="P86" s="1086"/>
      <c r="Q86" s="1086"/>
      <c r="R86" s="1086"/>
      <c r="S86" s="1086"/>
      <c r="T86" s="1086"/>
      <c r="U86" s="1086"/>
      <c r="V86" s="1086"/>
      <c r="W86" s="1086"/>
      <c r="X86" s="1086"/>
      <c r="Y86" s="1086"/>
      <c r="Z86" s="1086"/>
      <c r="AA86" s="1086"/>
      <c r="AB86" s="1086"/>
      <c r="AC86" s="1086"/>
      <c r="AD86" s="1086"/>
      <c r="AE86" s="1086"/>
      <c r="AF86" s="1086"/>
      <c r="AG86" s="1086"/>
      <c r="AH86" s="1086"/>
      <c r="AI86" s="1086"/>
      <c r="AJ86" s="1086"/>
      <c r="AK86" s="1086"/>
      <c r="AL86" s="1086"/>
      <c r="AM86" s="1086"/>
      <c r="AN86" s="1086"/>
      <c r="AO86" s="1086"/>
      <c r="AP86" s="1086"/>
      <c r="AQ86" s="1086"/>
      <c r="AR86" s="1086"/>
      <c r="AS86" s="1086"/>
      <c r="AT86" s="1086"/>
      <c r="AU86" s="1086"/>
      <c r="AV86" s="1086"/>
      <c r="AW86" s="1086"/>
      <c r="AX86" s="1086"/>
      <c r="AY86" s="1087"/>
    </row>
    <row r="87" spans="1:51" x14ac:dyDescent="0.3">
      <c r="A87" s="1088" t="s">
        <v>292</v>
      </c>
      <c r="B87" s="1089"/>
      <c r="C87" s="1089"/>
      <c r="D87" s="1089"/>
      <c r="E87" s="1089"/>
      <c r="F87" s="1089"/>
      <c r="G87" s="1089"/>
      <c r="H87" s="1089"/>
      <c r="I87" s="1089"/>
      <c r="J87" s="1089"/>
      <c r="K87" s="1089"/>
      <c r="L87" s="1089"/>
      <c r="M87" s="1089"/>
      <c r="N87" s="1089"/>
      <c r="O87" s="1089"/>
      <c r="P87" s="1089"/>
      <c r="Q87" s="1089"/>
      <c r="R87" s="1089"/>
      <c r="S87" s="1089"/>
      <c r="T87" s="1089"/>
      <c r="U87" s="1089"/>
      <c r="V87" s="1089"/>
      <c r="W87" s="1089"/>
      <c r="X87" s="1089"/>
      <c r="Y87" s="1089"/>
      <c r="Z87" s="1089"/>
      <c r="AA87" s="1089"/>
      <c r="AB87" s="1089"/>
      <c r="AC87" s="1089"/>
      <c r="AD87" s="1089"/>
      <c r="AE87" s="1089"/>
      <c r="AF87" s="1089"/>
      <c r="AG87" s="1089"/>
      <c r="AH87" s="1089"/>
      <c r="AI87" s="1089"/>
      <c r="AJ87" s="1089"/>
      <c r="AK87" s="1089"/>
      <c r="AL87" s="1089"/>
      <c r="AM87" s="1089"/>
      <c r="AN87" s="1089"/>
      <c r="AO87" s="1089"/>
      <c r="AP87" s="1089"/>
      <c r="AQ87" s="1089"/>
      <c r="AR87" s="1089"/>
      <c r="AS87" s="1089"/>
      <c r="AT87" s="1089"/>
      <c r="AU87" s="1089"/>
      <c r="AV87" s="1089"/>
      <c r="AW87" s="1089"/>
      <c r="AX87" s="1089"/>
      <c r="AY87" s="1090"/>
    </row>
    <row r="88" spans="1:51" x14ac:dyDescent="0.3">
      <c r="A88" s="1075" t="s">
        <v>293</v>
      </c>
      <c r="B88" s="1076"/>
      <c r="C88" s="1076"/>
      <c r="D88" s="1076"/>
      <c r="E88" s="1076"/>
      <c r="F88" s="1076"/>
      <c r="G88" s="1076"/>
      <c r="H88" s="1076"/>
      <c r="I88" s="1076"/>
      <c r="J88" s="1076"/>
      <c r="K88" s="1076"/>
      <c r="L88" s="1076"/>
      <c r="M88" s="1076"/>
      <c r="N88" s="1076"/>
      <c r="O88" s="1076"/>
      <c r="P88" s="1076"/>
      <c r="Q88" s="1076"/>
      <c r="R88" s="1076"/>
      <c r="S88" s="1076"/>
      <c r="T88" s="1076"/>
      <c r="U88" s="1076"/>
      <c r="V88" s="1076"/>
      <c r="W88" s="1076"/>
      <c r="X88" s="1076"/>
      <c r="Y88" s="1076"/>
      <c r="Z88" s="1076"/>
      <c r="AA88" s="1076"/>
      <c r="AB88" s="1076"/>
      <c r="AC88" s="1076"/>
      <c r="AD88" s="1076"/>
      <c r="AE88" s="1076"/>
      <c r="AF88" s="1076"/>
      <c r="AG88" s="1076"/>
      <c r="AH88" s="1076"/>
      <c r="AI88" s="1076"/>
      <c r="AJ88" s="1076"/>
      <c r="AK88" s="1076"/>
      <c r="AL88" s="1076"/>
      <c r="AM88" s="1076"/>
      <c r="AN88" s="1076"/>
      <c r="AO88" s="1076"/>
      <c r="AP88" s="1076"/>
      <c r="AQ88" s="1076"/>
      <c r="AR88" s="1076"/>
      <c r="AS88" s="1076"/>
      <c r="AT88" s="1076"/>
      <c r="AU88" s="1076"/>
      <c r="AV88" s="1076"/>
      <c r="AW88" s="1076"/>
      <c r="AX88" s="1076"/>
      <c r="AY88" s="1077"/>
    </row>
    <row r="89" spans="1:51" x14ac:dyDescent="0.3">
      <c r="A89" s="1072" t="s">
        <v>294</v>
      </c>
      <c r="B89" s="1073"/>
      <c r="C89" s="1073"/>
      <c r="D89" s="1073"/>
      <c r="E89" s="1073"/>
      <c r="F89" s="1073"/>
      <c r="G89" s="1073"/>
      <c r="H89" s="1073"/>
      <c r="I89" s="1073"/>
      <c r="J89" s="1073"/>
      <c r="K89" s="1073"/>
      <c r="L89" s="1073"/>
      <c r="M89" s="1073"/>
      <c r="N89" s="1073"/>
      <c r="O89" s="1073"/>
      <c r="P89" s="1073"/>
      <c r="Q89" s="1073"/>
      <c r="R89" s="1073"/>
      <c r="S89" s="1073"/>
      <c r="T89" s="1073"/>
      <c r="U89" s="1073"/>
      <c r="V89" s="1073"/>
      <c r="W89" s="1073"/>
      <c r="X89" s="1073"/>
      <c r="Y89" s="1073"/>
      <c r="Z89" s="1073"/>
      <c r="AA89" s="1073"/>
      <c r="AB89" s="1073"/>
      <c r="AC89" s="1073"/>
      <c r="AD89" s="1073"/>
      <c r="AE89" s="1073"/>
      <c r="AF89" s="1073"/>
      <c r="AG89" s="1073"/>
      <c r="AH89" s="1073"/>
      <c r="AI89" s="1073"/>
      <c r="AJ89" s="1073"/>
      <c r="AK89" s="1073"/>
      <c r="AL89" s="1073"/>
      <c r="AM89" s="1073"/>
      <c r="AN89" s="1073"/>
      <c r="AO89" s="1073"/>
      <c r="AP89" s="1073"/>
      <c r="AQ89" s="1073"/>
      <c r="AR89" s="1073"/>
      <c r="AS89" s="1073"/>
      <c r="AT89" s="1073"/>
      <c r="AU89" s="1073"/>
      <c r="AV89" s="1073"/>
      <c r="AW89" s="1073"/>
      <c r="AX89" s="1073"/>
      <c r="AY89" s="1074"/>
    </row>
    <row r="90" spans="1:51" x14ac:dyDescent="0.3">
      <c r="A90" s="1075" t="s">
        <v>295</v>
      </c>
      <c r="B90" s="1076"/>
      <c r="C90" s="1076"/>
      <c r="D90" s="1076"/>
      <c r="E90" s="1076"/>
      <c r="F90" s="1076"/>
      <c r="G90" s="1076"/>
      <c r="H90" s="1076"/>
      <c r="I90" s="1076"/>
      <c r="J90" s="1076"/>
      <c r="K90" s="1076"/>
      <c r="L90" s="1076"/>
      <c r="M90" s="1076"/>
      <c r="N90" s="1076"/>
      <c r="O90" s="1076"/>
      <c r="P90" s="1076"/>
      <c r="Q90" s="1076"/>
      <c r="R90" s="1076"/>
      <c r="S90" s="1076"/>
      <c r="T90" s="1076"/>
      <c r="U90" s="1076"/>
      <c r="V90" s="1076"/>
      <c r="W90" s="1076"/>
      <c r="X90" s="1076"/>
      <c r="Y90" s="1076"/>
      <c r="Z90" s="1076"/>
      <c r="AA90" s="1076"/>
      <c r="AB90" s="1076"/>
      <c r="AC90" s="1076"/>
      <c r="AD90" s="1076"/>
      <c r="AE90" s="1076"/>
      <c r="AF90" s="1076"/>
      <c r="AG90" s="1076"/>
      <c r="AH90" s="1076"/>
      <c r="AI90" s="1076"/>
      <c r="AJ90" s="1076"/>
      <c r="AK90" s="1076"/>
      <c r="AL90" s="1076"/>
      <c r="AM90" s="1076"/>
      <c r="AN90" s="1076"/>
      <c r="AO90" s="1076"/>
      <c r="AP90" s="1076"/>
      <c r="AQ90" s="1076"/>
      <c r="AR90" s="1076"/>
      <c r="AS90" s="1076"/>
      <c r="AT90" s="1076"/>
      <c r="AU90" s="1076"/>
      <c r="AV90" s="1076"/>
      <c r="AW90" s="1076"/>
      <c r="AX90" s="1076"/>
      <c r="AY90" s="1077"/>
    </row>
    <row r="91" spans="1:51" x14ac:dyDescent="0.3">
      <c r="A91" s="1072" t="s">
        <v>296</v>
      </c>
      <c r="B91" s="1073"/>
      <c r="C91" s="1073"/>
      <c r="D91" s="1073"/>
      <c r="E91" s="1073"/>
      <c r="F91" s="1073"/>
      <c r="G91" s="1073"/>
      <c r="H91" s="1073"/>
      <c r="I91" s="1073"/>
      <c r="J91" s="1073"/>
      <c r="K91" s="1073"/>
      <c r="L91" s="1073"/>
      <c r="M91" s="1073"/>
      <c r="N91" s="1073"/>
      <c r="O91" s="1073"/>
      <c r="P91" s="1073"/>
      <c r="Q91" s="1073"/>
      <c r="R91" s="1073"/>
      <c r="S91" s="1073"/>
      <c r="T91" s="1073"/>
      <c r="U91" s="1073"/>
      <c r="V91" s="1073"/>
      <c r="W91" s="1073"/>
      <c r="X91" s="1073"/>
      <c r="Y91" s="1073"/>
      <c r="Z91" s="1073"/>
      <c r="AA91" s="1073"/>
      <c r="AB91" s="1073"/>
      <c r="AC91" s="1073"/>
      <c r="AD91" s="1073"/>
      <c r="AE91" s="1073"/>
      <c r="AF91" s="1073"/>
      <c r="AG91" s="1073"/>
      <c r="AH91" s="1073"/>
      <c r="AI91" s="1073"/>
      <c r="AJ91" s="1073"/>
      <c r="AK91" s="1073"/>
      <c r="AL91" s="1073"/>
      <c r="AM91" s="1073"/>
      <c r="AN91" s="1073"/>
      <c r="AO91" s="1073"/>
      <c r="AP91" s="1073"/>
      <c r="AQ91" s="1073"/>
      <c r="AR91" s="1073"/>
      <c r="AS91" s="1073"/>
      <c r="AT91" s="1073"/>
      <c r="AU91" s="1073"/>
      <c r="AV91" s="1073"/>
      <c r="AW91" s="1073"/>
      <c r="AX91" s="1073"/>
      <c r="AY91" s="1074"/>
    </row>
    <row r="92" spans="1:51" x14ac:dyDescent="0.3">
      <c r="A92" s="1075" t="s">
        <v>297</v>
      </c>
      <c r="B92" s="1076"/>
      <c r="C92" s="1076"/>
      <c r="D92" s="1076"/>
      <c r="E92" s="1076"/>
      <c r="F92" s="1076"/>
      <c r="G92" s="1076"/>
      <c r="H92" s="1076"/>
      <c r="I92" s="1076"/>
      <c r="J92" s="1076"/>
      <c r="K92" s="1076"/>
      <c r="L92" s="1076"/>
      <c r="M92" s="1076"/>
      <c r="N92" s="1076"/>
      <c r="O92" s="1076"/>
      <c r="P92" s="1076"/>
      <c r="Q92" s="1076"/>
      <c r="R92" s="1076"/>
      <c r="S92" s="1076"/>
      <c r="T92" s="1076"/>
      <c r="U92" s="1076"/>
      <c r="V92" s="1076"/>
      <c r="W92" s="1076"/>
      <c r="X92" s="1076"/>
      <c r="Y92" s="1076"/>
      <c r="Z92" s="1076"/>
      <c r="AA92" s="1076"/>
      <c r="AB92" s="1076"/>
      <c r="AC92" s="1076"/>
      <c r="AD92" s="1076"/>
      <c r="AE92" s="1076"/>
      <c r="AF92" s="1076"/>
      <c r="AG92" s="1076"/>
      <c r="AH92" s="1076"/>
      <c r="AI92" s="1076"/>
      <c r="AJ92" s="1076"/>
      <c r="AK92" s="1076"/>
      <c r="AL92" s="1076"/>
      <c r="AM92" s="1076"/>
      <c r="AN92" s="1076"/>
      <c r="AO92" s="1076"/>
      <c r="AP92" s="1076"/>
      <c r="AQ92" s="1076"/>
      <c r="AR92" s="1076"/>
      <c r="AS92" s="1076"/>
      <c r="AT92" s="1076"/>
      <c r="AU92" s="1076"/>
      <c r="AV92" s="1076"/>
      <c r="AW92" s="1076"/>
      <c r="AX92" s="1076"/>
      <c r="AY92" s="1077"/>
    </row>
    <row r="93" spans="1:51" x14ac:dyDescent="0.3">
      <c r="A93" s="1072" t="s">
        <v>298</v>
      </c>
      <c r="B93" s="1073"/>
      <c r="C93" s="1073"/>
      <c r="D93" s="1073"/>
      <c r="E93" s="1073"/>
      <c r="F93" s="1073"/>
      <c r="G93" s="1073"/>
      <c r="H93" s="1073"/>
      <c r="I93" s="1073"/>
      <c r="J93" s="1073"/>
      <c r="K93" s="1073"/>
      <c r="L93" s="1073"/>
      <c r="M93" s="1073"/>
      <c r="N93" s="1073"/>
      <c r="O93" s="1073"/>
      <c r="P93" s="1073"/>
      <c r="Q93" s="1073"/>
      <c r="R93" s="1073"/>
      <c r="S93" s="1073"/>
      <c r="T93" s="1073"/>
      <c r="U93" s="1073"/>
      <c r="V93" s="1073"/>
      <c r="W93" s="1073"/>
      <c r="X93" s="1073"/>
      <c r="Y93" s="1073"/>
      <c r="Z93" s="1073"/>
      <c r="AA93" s="1073"/>
      <c r="AB93" s="1073"/>
      <c r="AC93" s="1073"/>
      <c r="AD93" s="1073"/>
      <c r="AE93" s="1073"/>
      <c r="AF93" s="1073"/>
      <c r="AG93" s="1073"/>
      <c r="AH93" s="1073"/>
      <c r="AI93" s="1073"/>
      <c r="AJ93" s="1073"/>
      <c r="AK93" s="1073"/>
      <c r="AL93" s="1073"/>
      <c r="AM93" s="1073"/>
      <c r="AN93" s="1073"/>
      <c r="AO93" s="1073"/>
      <c r="AP93" s="1073"/>
      <c r="AQ93" s="1073"/>
      <c r="AR93" s="1073"/>
      <c r="AS93" s="1073"/>
      <c r="AT93" s="1073"/>
      <c r="AU93" s="1073"/>
      <c r="AV93" s="1073"/>
      <c r="AW93" s="1073"/>
      <c r="AX93" s="1073"/>
      <c r="AY93" s="1074"/>
    </row>
    <row r="94" spans="1:51" x14ac:dyDescent="0.3">
      <c r="A94" s="1075" t="s">
        <v>299</v>
      </c>
      <c r="B94" s="1076"/>
      <c r="C94" s="1076"/>
      <c r="D94" s="1076"/>
      <c r="E94" s="1076"/>
      <c r="F94" s="1076"/>
      <c r="G94" s="1076"/>
      <c r="H94" s="1076"/>
      <c r="I94" s="1076"/>
      <c r="J94" s="1076"/>
      <c r="K94" s="1076"/>
      <c r="L94" s="1076"/>
      <c r="M94" s="1076"/>
      <c r="N94" s="1076"/>
      <c r="O94" s="1076"/>
      <c r="P94" s="1076"/>
      <c r="Q94" s="1076"/>
      <c r="R94" s="1076"/>
      <c r="S94" s="1076"/>
      <c r="T94" s="1076"/>
      <c r="U94" s="1076"/>
      <c r="V94" s="1076"/>
      <c r="W94" s="1076"/>
      <c r="X94" s="1076"/>
      <c r="Y94" s="1076"/>
      <c r="Z94" s="1076"/>
      <c r="AA94" s="1076"/>
      <c r="AB94" s="1076"/>
      <c r="AC94" s="1076"/>
      <c r="AD94" s="1076"/>
      <c r="AE94" s="1076"/>
      <c r="AF94" s="1076"/>
      <c r="AG94" s="1076"/>
      <c r="AH94" s="1076"/>
      <c r="AI94" s="1076"/>
      <c r="AJ94" s="1076"/>
      <c r="AK94" s="1076"/>
      <c r="AL94" s="1076"/>
      <c r="AM94" s="1076"/>
      <c r="AN94" s="1076"/>
      <c r="AO94" s="1076"/>
      <c r="AP94" s="1076"/>
      <c r="AQ94" s="1076"/>
      <c r="AR94" s="1076"/>
      <c r="AS94" s="1076"/>
      <c r="AT94" s="1076"/>
      <c r="AU94" s="1076"/>
      <c r="AV94" s="1076"/>
      <c r="AW94" s="1076"/>
      <c r="AX94" s="1076"/>
      <c r="AY94" s="1077"/>
    </row>
    <row r="95" spans="1:51" x14ac:dyDescent="0.3">
      <c r="A95" s="1072" t="s">
        <v>300</v>
      </c>
      <c r="B95" s="1073"/>
      <c r="C95" s="1073"/>
      <c r="D95" s="1073"/>
      <c r="E95" s="1073"/>
      <c r="F95" s="1073"/>
      <c r="G95" s="1073"/>
      <c r="H95" s="1073"/>
      <c r="I95" s="1073"/>
      <c r="J95" s="1073"/>
      <c r="K95" s="1073"/>
      <c r="L95" s="1073"/>
      <c r="M95" s="1073"/>
      <c r="N95" s="1073"/>
      <c r="O95" s="1073"/>
      <c r="P95" s="1073"/>
      <c r="Q95" s="1073"/>
      <c r="R95" s="1073"/>
      <c r="S95" s="1073"/>
      <c r="T95" s="1073"/>
      <c r="U95" s="1073"/>
      <c r="V95" s="1073"/>
      <c r="W95" s="1073"/>
      <c r="X95" s="1073"/>
      <c r="Y95" s="1073"/>
      <c r="Z95" s="1073"/>
      <c r="AA95" s="1073"/>
      <c r="AB95" s="1073"/>
      <c r="AC95" s="1073"/>
      <c r="AD95" s="1073"/>
      <c r="AE95" s="1073"/>
      <c r="AF95" s="1073"/>
      <c r="AG95" s="1073"/>
      <c r="AH95" s="1073"/>
      <c r="AI95" s="1073"/>
      <c r="AJ95" s="1073"/>
      <c r="AK95" s="1073"/>
      <c r="AL95" s="1073"/>
      <c r="AM95" s="1073"/>
      <c r="AN95" s="1073"/>
      <c r="AO95" s="1073"/>
      <c r="AP95" s="1073"/>
      <c r="AQ95" s="1073"/>
      <c r="AR95" s="1073"/>
      <c r="AS95" s="1073"/>
      <c r="AT95" s="1073"/>
      <c r="AU95" s="1073"/>
      <c r="AV95" s="1073"/>
      <c r="AW95" s="1073"/>
      <c r="AX95" s="1073"/>
      <c r="AY95" s="1074"/>
    </row>
    <row r="96" spans="1:51" x14ac:dyDescent="0.3">
      <c r="A96" s="1075" t="s">
        <v>301</v>
      </c>
      <c r="B96" s="1076"/>
      <c r="C96" s="1076"/>
      <c r="D96" s="1076"/>
      <c r="E96" s="1076"/>
      <c r="F96" s="1076"/>
      <c r="G96" s="1076"/>
      <c r="H96" s="1076"/>
      <c r="I96" s="1076"/>
      <c r="J96" s="1076"/>
      <c r="K96" s="1076"/>
      <c r="L96" s="1076"/>
      <c r="M96" s="1076"/>
      <c r="N96" s="1076"/>
      <c r="O96" s="1076"/>
      <c r="P96" s="1076"/>
      <c r="Q96" s="1076"/>
      <c r="R96" s="1076"/>
      <c r="S96" s="1076"/>
      <c r="T96" s="1076"/>
      <c r="U96" s="1076"/>
      <c r="V96" s="1076"/>
      <c r="W96" s="1076"/>
      <c r="X96" s="1076"/>
      <c r="Y96" s="1076"/>
      <c r="Z96" s="1076"/>
      <c r="AA96" s="1076"/>
      <c r="AB96" s="1076"/>
      <c r="AC96" s="1076"/>
      <c r="AD96" s="1076"/>
      <c r="AE96" s="1076"/>
      <c r="AF96" s="1076"/>
      <c r="AG96" s="1076"/>
      <c r="AH96" s="1076"/>
      <c r="AI96" s="1076"/>
      <c r="AJ96" s="1076"/>
      <c r="AK96" s="1076"/>
      <c r="AL96" s="1076"/>
      <c r="AM96" s="1076"/>
      <c r="AN96" s="1076"/>
      <c r="AO96" s="1076"/>
      <c r="AP96" s="1076"/>
      <c r="AQ96" s="1076"/>
      <c r="AR96" s="1076"/>
      <c r="AS96" s="1076"/>
      <c r="AT96" s="1076"/>
      <c r="AU96" s="1076"/>
      <c r="AV96" s="1076"/>
      <c r="AW96" s="1076"/>
      <c r="AX96" s="1076"/>
      <c r="AY96" s="1077"/>
    </row>
    <row r="97" spans="1:51" x14ac:dyDescent="0.3">
      <c r="A97" s="1072" t="s">
        <v>302</v>
      </c>
      <c r="B97" s="1073"/>
      <c r="C97" s="1073"/>
      <c r="D97" s="1073"/>
      <c r="E97" s="1073"/>
      <c r="F97" s="1073"/>
      <c r="G97" s="1073"/>
      <c r="H97" s="1073"/>
      <c r="I97" s="1073"/>
      <c r="J97" s="1073"/>
      <c r="K97" s="1073"/>
      <c r="L97" s="1073"/>
      <c r="M97" s="1073"/>
      <c r="N97" s="1073"/>
      <c r="O97" s="1073"/>
      <c r="P97" s="1073"/>
      <c r="Q97" s="1073"/>
      <c r="R97" s="1073"/>
      <c r="S97" s="1073"/>
      <c r="T97" s="1073"/>
      <c r="U97" s="1073"/>
      <c r="V97" s="1073"/>
      <c r="W97" s="1073"/>
      <c r="X97" s="1073"/>
      <c r="Y97" s="1073"/>
      <c r="Z97" s="1073"/>
      <c r="AA97" s="1073"/>
      <c r="AB97" s="1073"/>
      <c r="AC97" s="1073"/>
      <c r="AD97" s="1073"/>
      <c r="AE97" s="1073"/>
      <c r="AF97" s="1073"/>
      <c r="AG97" s="1073"/>
      <c r="AH97" s="1073"/>
      <c r="AI97" s="1073"/>
      <c r="AJ97" s="1073"/>
      <c r="AK97" s="1073"/>
      <c r="AL97" s="1073"/>
      <c r="AM97" s="1073"/>
      <c r="AN97" s="1073"/>
      <c r="AO97" s="1073"/>
      <c r="AP97" s="1073"/>
      <c r="AQ97" s="1073"/>
      <c r="AR97" s="1073"/>
      <c r="AS97" s="1073"/>
      <c r="AT97" s="1073"/>
      <c r="AU97" s="1073"/>
      <c r="AV97" s="1073"/>
      <c r="AW97" s="1073"/>
      <c r="AX97" s="1073"/>
      <c r="AY97" s="1074"/>
    </row>
    <row r="98" spans="1:51" x14ac:dyDescent="0.3">
      <c r="A98" s="1075" t="s">
        <v>303</v>
      </c>
      <c r="B98" s="1076"/>
      <c r="C98" s="1076"/>
      <c r="D98" s="1076"/>
      <c r="E98" s="1076"/>
      <c r="F98" s="1076"/>
      <c r="G98" s="1076"/>
      <c r="H98" s="1076"/>
      <c r="I98" s="1076"/>
      <c r="J98" s="1076"/>
      <c r="K98" s="1076"/>
      <c r="L98" s="1076"/>
      <c r="M98" s="1076"/>
      <c r="N98" s="1076"/>
      <c r="O98" s="1076"/>
      <c r="P98" s="1076"/>
      <c r="Q98" s="1076"/>
      <c r="R98" s="1076"/>
      <c r="S98" s="1076"/>
      <c r="T98" s="1076"/>
      <c r="U98" s="1076"/>
      <c r="V98" s="1076"/>
      <c r="W98" s="1076"/>
      <c r="X98" s="1076"/>
      <c r="Y98" s="1076"/>
      <c r="Z98" s="1076"/>
      <c r="AA98" s="1076"/>
      <c r="AB98" s="1076"/>
      <c r="AC98" s="1076"/>
      <c r="AD98" s="1076"/>
      <c r="AE98" s="1076"/>
      <c r="AF98" s="1076"/>
      <c r="AG98" s="1076"/>
      <c r="AH98" s="1076"/>
      <c r="AI98" s="1076"/>
      <c r="AJ98" s="1076"/>
      <c r="AK98" s="1076"/>
      <c r="AL98" s="1076"/>
      <c r="AM98" s="1076"/>
      <c r="AN98" s="1076"/>
      <c r="AO98" s="1076"/>
      <c r="AP98" s="1076"/>
      <c r="AQ98" s="1076"/>
      <c r="AR98" s="1076"/>
      <c r="AS98" s="1076"/>
      <c r="AT98" s="1076"/>
      <c r="AU98" s="1076"/>
      <c r="AV98" s="1076"/>
      <c r="AW98" s="1076"/>
      <c r="AX98" s="1076"/>
      <c r="AY98" s="1077"/>
    </row>
    <row r="99" spans="1:51" x14ac:dyDescent="0.3">
      <c r="A99" s="1072" t="s">
        <v>304</v>
      </c>
      <c r="B99" s="1073"/>
      <c r="C99" s="1073"/>
      <c r="D99" s="1073"/>
      <c r="E99" s="1073"/>
      <c r="F99" s="1073"/>
      <c r="G99" s="1073"/>
      <c r="H99" s="1073"/>
      <c r="I99" s="1073"/>
      <c r="J99" s="1073"/>
      <c r="K99" s="1073"/>
      <c r="L99" s="1073"/>
      <c r="M99" s="1073"/>
      <c r="N99" s="1073"/>
      <c r="O99" s="1073"/>
      <c r="P99" s="1073"/>
      <c r="Q99" s="1073"/>
      <c r="R99" s="1073"/>
      <c r="S99" s="1073"/>
      <c r="T99" s="1073"/>
      <c r="U99" s="1073"/>
      <c r="V99" s="1073"/>
      <c r="W99" s="1073"/>
      <c r="X99" s="1073"/>
      <c r="Y99" s="1073"/>
      <c r="Z99" s="1073"/>
      <c r="AA99" s="1073"/>
      <c r="AB99" s="1073"/>
      <c r="AC99" s="1073"/>
      <c r="AD99" s="1073"/>
      <c r="AE99" s="1073"/>
      <c r="AF99" s="1073"/>
      <c r="AG99" s="1073"/>
      <c r="AH99" s="1073"/>
      <c r="AI99" s="1073"/>
      <c r="AJ99" s="1073"/>
      <c r="AK99" s="1073"/>
      <c r="AL99" s="1073"/>
      <c r="AM99" s="1073"/>
      <c r="AN99" s="1073"/>
      <c r="AO99" s="1073"/>
      <c r="AP99" s="1073"/>
      <c r="AQ99" s="1073"/>
      <c r="AR99" s="1073"/>
      <c r="AS99" s="1073"/>
      <c r="AT99" s="1073"/>
      <c r="AU99" s="1073"/>
      <c r="AV99" s="1073"/>
      <c r="AW99" s="1073"/>
      <c r="AX99" s="1073"/>
      <c r="AY99" s="1074"/>
    </row>
    <row r="100" spans="1:51" x14ac:dyDescent="0.3">
      <c r="A100" s="1075" t="s">
        <v>305</v>
      </c>
      <c r="B100" s="1076"/>
      <c r="C100" s="1076"/>
      <c r="D100" s="1076"/>
      <c r="E100" s="1076"/>
      <c r="F100" s="1076"/>
      <c r="G100" s="1076"/>
      <c r="H100" s="1076"/>
      <c r="I100" s="1076"/>
      <c r="J100" s="1076"/>
      <c r="K100" s="1076"/>
      <c r="L100" s="1076"/>
      <c r="M100" s="1076"/>
      <c r="N100" s="1076"/>
      <c r="O100" s="1076"/>
      <c r="P100" s="1076"/>
      <c r="Q100" s="1076"/>
      <c r="R100" s="1076"/>
      <c r="S100" s="1076"/>
      <c r="T100" s="1076"/>
      <c r="U100" s="1076"/>
      <c r="V100" s="1076"/>
      <c r="W100" s="1076"/>
      <c r="X100" s="1076"/>
      <c r="Y100" s="1076"/>
      <c r="Z100" s="1076"/>
      <c r="AA100" s="1076"/>
      <c r="AB100" s="1076"/>
      <c r="AC100" s="1076"/>
      <c r="AD100" s="1076"/>
      <c r="AE100" s="1076"/>
      <c r="AF100" s="1076"/>
      <c r="AG100" s="1076"/>
      <c r="AH100" s="1076"/>
      <c r="AI100" s="1076"/>
      <c r="AJ100" s="1076"/>
      <c r="AK100" s="1076"/>
      <c r="AL100" s="1076"/>
      <c r="AM100" s="1076"/>
      <c r="AN100" s="1076"/>
      <c r="AO100" s="1076"/>
      <c r="AP100" s="1076"/>
      <c r="AQ100" s="1076"/>
      <c r="AR100" s="1076"/>
      <c r="AS100" s="1076"/>
      <c r="AT100" s="1076"/>
      <c r="AU100" s="1076"/>
      <c r="AV100" s="1076"/>
      <c r="AW100" s="1076"/>
      <c r="AX100" s="1076"/>
      <c r="AY100" s="1077"/>
    </row>
    <row r="101" spans="1:51" x14ac:dyDescent="0.3">
      <c r="A101" s="1072" t="s">
        <v>306</v>
      </c>
      <c r="B101" s="1073"/>
      <c r="C101" s="1073"/>
      <c r="D101" s="1073"/>
      <c r="E101" s="1073"/>
      <c r="F101" s="1073"/>
      <c r="G101" s="1073"/>
      <c r="H101" s="1073"/>
      <c r="I101" s="1073"/>
      <c r="J101" s="1073"/>
      <c r="K101" s="1073"/>
      <c r="L101" s="1073"/>
      <c r="M101" s="1073"/>
      <c r="N101" s="1073"/>
      <c r="O101" s="1073"/>
      <c r="P101" s="1073"/>
      <c r="Q101" s="1073"/>
      <c r="R101" s="1073"/>
      <c r="S101" s="1073"/>
      <c r="T101" s="1073"/>
      <c r="U101" s="1073"/>
      <c r="V101" s="1073"/>
      <c r="W101" s="1073"/>
      <c r="X101" s="1073"/>
      <c r="Y101" s="1073"/>
      <c r="Z101" s="1073"/>
      <c r="AA101" s="1073"/>
      <c r="AB101" s="1073"/>
      <c r="AC101" s="1073"/>
      <c r="AD101" s="1073"/>
      <c r="AE101" s="1073"/>
      <c r="AF101" s="1073"/>
      <c r="AG101" s="1073"/>
      <c r="AH101" s="1073"/>
      <c r="AI101" s="1073"/>
      <c r="AJ101" s="1073"/>
      <c r="AK101" s="1073"/>
      <c r="AL101" s="1073"/>
      <c r="AM101" s="1073"/>
      <c r="AN101" s="1073"/>
      <c r="AO101" s="1073"/>
      <c r="AP101" s="1073"/>
      <c r="AQ101" s="1073"/>
      <c r="AR101" s="1073"/>
      <c r="AS101" s="1073"/>
      <c r="AT101" s="1073"/>
      <c r="AU101" s="1073"/>
      <c r="AV101" s="1073"/>
      <c r="AW101" s="1073"/>
      <c r="AX101" s="1073"/>
      <c r="AY101" s="1074"/>
    </row>
    <row r="102" spans="1:51" x14ac:dyDescent="0.3">
      <c r="A102" s="1075" t="s">
        <v>307</v>
      </c>
      <c r="B102" s="1076"/>
      <c r="C102" s="1076"/>
      <c r="D102" s="1076"/>
      <c r="E102" s="1076"/>
      <c r="F102" s="1076"/>
      <c r="G102" s="1076"/>
      <c r="H102" s="1076"/>
      <c r="I102" s="1076"/>
      <c r="J102" s="1076"/>
      <c r="K102" s="1076"/>
      <c r="L102" s="1076"/>
      <c r="M102" s="1076"/>
      <c r="N102" s="1076"/>
      <c r="O102" s="1076"/>
      <c r="P102" s="1076"/>
      <c r="Q102" s="1076"/>
      <c r="R102" s="1076"/>
      <c r="S102" s="1076"/>
      <c r="T102" s="1076"/>
      <c r="U102" s="1076"/>
      <c r="V102" s="1076"/>
      <c r="W102" s="1076"/>
      <c r="X102" s="1076"/>
      <c r="Y102" s="1076"/>
      <c r="Z102" s="1076"/>
      <c r="AA102" s="1076"/>
      <c r="AB102" s="1076"/>
      <c r="AC102" s="1076"/>
      <c r="AD102" s="1076"/>
      <c r="AE102" s="1076"/>
      <c r="AF102" s="1076"/>
      <c r="AG102" s="1076"/>
      <c r="AH102" s="1076"/>
      <c r="AI102" s="1076"/>
      <c r="AJ102" s="1076"/>
      <c r="AK102" s="1076"/>
      <c r="AL102" s="1076"/>
      <c r="AM102" s="1076"/>
      <c r="AN102" s="1076"/>
      <c r="AO102" s="1076"/>
      <c r="AP102" s="1076"/>
      <c r="AQ102" s="1076"/>
      <c r="AR102" s="1076"/>
      <c r="AS102" s="1076"/>
      <c r="AT102" s="1076"/>
      <c r="AU102" s="1076"/>
      <c r="AV102" s="1076"/>
      <c r="AW102" s="1076"/>
      <c r="AX102" s="1076"/>
      <c r="AY102" s="1077"/>
    </row>
    <row r="103" spans="1:51" x14ac:dyDescent="0.3">
      <c r="A103" s="1072" t="s">
        <v>308</v>
      </c>
      <c r="B103" s="1073"/>
      <c r="C103" s="1073"/>
      <c r="D103" s="1073"/>
      <c r="E103" s="1073"/>
      <c r="F103" s="1073"/>
      <c r="G103" s="1073"/>
      <c r="H103" s="1073"/>
      <c r="I103" s="1073"/>
      <c r="J103" s="1073"/>
      <c r="K103" s="1073"/>
      <c r="L103" s="1073"/>
      <c r="M103" s="1073"/>
      <c r="N103" s="1073"/>
      <c r="O103" s="1073"/>
      <c r="P103" s="1073"/>
      <c r="Q103" s="1073"/>
      <c r="R103" s="1073"/>
      <c r="S103" s="1073"/>
      <c r="T103" s="1073"/>
      <c r="U103" s="1073"/>
      <c r="V103" s="1073"/>
      <c r="W103" s="1073"/>
      <c r="X103" s="1073"/>
      <c r="Y103" s="1073"/>
      <c r="Z103" s="1073"/>
      <c r="AA103" s="1073"/>
      <c r="AB103" s="1073"/>
      <c r="AC103" s="1073"/>
      <c r="AD103" s="1073"/>
      <c r="AE103" s="1073"/>
      <c r="AF103" s="1073"/>
      <c r="AG103" s="1073"/>
      <c r="AH103" s="1073"/>
      <c r="AI103" s="1073"/>
      <c r="AJ103" s="1073"/>
      <c r="AK103" s="1073"/>
      <c r="AL103" s="1073"/>
      <c r="AM103" s="1073"/>
      <c r="AN103" s="1073"/>
      <c r="AO103" s="1073"/>
      <c r="AP103" s="1073"/>
      <c r="AQ103" s="1073"/>
      <c r="AR103" s="1073"/>
      <c r="AS103" s="1073"/>
      <c r="AT103" s="1073"/>
      <c r="AU103" s="1073"/>
      <c r="AV103" s="1073"/>
      <c r="AW103" s="1073"/>
      <c r="AX103" s="1073"/>
      <c r="AY103" s="1074"/>
    </row>
    <row r="104" spans="1:51" x14ac:dyDescent="0.3">
      <c r="A104" s="1075" t="s">
        <v>309</v>
      </c>
      <c r="B104" s="1076"/>
      <c r="C104" s="1076"/>
      <c r="D104" s="1076"/>
      <c r="E104" s="1076"/>
      <c r="F104" s="1076"/>
      <c r="G104" s="1076"/>
      <c r="H104" s="1076"/>
      <c r="I104" s="1076"/>
      <c r="J104" s="1076"/>
      <c r="K104" s="1076"/>
      <c r="L104" s="1076"/>
      <c r="M104" s="1076"/>
      <c r="N104" s="1076"/>
      <c r="O104" s="1076"/>
      <c r="P104" s="1076"/>
      <c r="Q104" s="1076"/>
      <c r="R104" s="1076"/>
      <c r="S104" s="1076"/>
      <c r="T104" s="1076"/>
      <c r="U104" s="1076"/>
      <c r="V104" s="1076"/>
      <c r="W104" s="1076"/>
      <c r="X104" s="1076"/>
      <c r="Y104" s="1076"/>
      <c r="Z104" s="1076"/>
      <c r="AA104" s="1076"/>
      <c r="AB104" s="1076"/>
      <c r="AC104" s="1076"/>
      <c r="AD104" s="1076"/>
      <c r="AE104" s="1076"/>
      <c r="AF104" s="1076"/>
      <c r="AG104" s="1076"/>
      <c r="AH104" s="1076"/>
      <c r="AI104" s="1076"/>
      <c r="AJ104" s="1076"/>
      <c r="AK104" s="1076"/>
      <c r="AL104" s="1076"/>
      <c r="AM104" s="1076"/>
      <c r="AN104" s="1076"/>
      <c r="AO104" s="1076"/>
      <c r="AP104" s="1076"/>
      <c r="AQ104" s="1076"/>
      <c r="AR104" s="1076"/>
      <c r="AS104" s="1076"/>
      <c r="AT104" s="1076"/>
      <c r="AU104" s="1076"/>
      <c r="AV104" s="1076"/>
      <c r="AW104" s="1076"/>
      <c r="AX104" s="1076"/>
      <c r="AY104" s="1077"/>
    </row>
    <row r="105" spans="1:51" x14ac:dyDescent="0.3">
      <c r="A105" s="1072" t="s">
        <v>310</v>
      </c>
      <c r="B105" s="1073"/>
      <c r="C105" s="1073"/>
      <c r="D105" s="1073"/>
      <c r="E105" s="1073"/>
      <c r="F105" s="1073"/>
      <c r="G105" s="1073"/>
      <c r="H105" s="1073"/>
      <c r="I105" s="1073"/>
      <c r="J105" s="1073"/>
      <c r="K105" s="1073"/>
      <c r="L105" s="1073"/>
      <c r="M105" s="1073"/>
      <c r="N105" s="1073"/>
      <c r="O105" s="1073"/>
      <c r="P105" s="1073"/>
      <c r="Q105" s="1073"/>
      <c r="R105" s="1073"/>
      <c r="S105" s="1073"/>
      <c r="T105" s="1073"/>
      <c r="U105" s="1073"/>
      <c r="V105" s="1073"/>
      <c r="W105" s="1073"/>
      <c r="X105" s="1073"/>
      <c r="Y105" s="1073"/>
      <c r="Z105" s="1073"/>
      <c r="AA105" s="1073"/>
      <c r="AB105" s="1073"/>
      <c r="AC105" s="1073"/>
      <c r="AD105" s="1073"/>
      <c r="AE105" s="1073"/>
      <c r="AF105" s="1073"/>
      <c r="AG105" s="1073"/>
      <c r="AH105" s="1073"/>
      <c r="AI105" s="1073"/>
      <c r="AJ105" s="1073"/>
      <c r="AK105" s="1073"/>
      <c r="AL105" s="1073"/>
      <c r="AM105" s="1073"/>
      <c r="AN105" s="1073"/>
      <c r="AO105" s="1073"/>
      <c r="AP105" s="1073"/>
      <c r="AQ105" s="1073"/>
      <c r="AR105" s="1073"/>
      <c r="AS105" s="1073"/>
      <c r="AT105" s="1073"/>
      <c r="AU105" s="1073"/>
      <c r="AV105" s="1073"/>
      <c r="AW105" s="1073"/>
      <c r="AX105" s="1073"/>
      <c r="AY105" s="1074"/>
    </row>
    <row r="106" spans="1:51" x14ac:dyDescent="0.3">
      <c r="A106" s="1075" t="s">
        <v>311</v>
      </c>
      <c r="B106" s="1076"/>
      <c r="C106" s="1076"/>
      <c r="D106" s="1076"/>
      <c r="E106" s="1076"/>
      <c r="F106" s="1076"/>
      <c r="G106" s="1076"/>
      <c r="H106" s="1076"/>
      <c r="I106" s="1076"/>
      <c r="J106" s="1076"/>
      <c r="K106" s="1076"/>
      <c r="L106" s="1076"/>
      <c r="M106" s="1076"/>
      <c r="N106" s="1076"/>
      <c r="O106" s="1076"/>
      <c r="P106" s="1076"/>
      <c r="Q106" s="1076"/>
      <c r="R106" s="1076"/>
      <c r="S106" s="1076"/>
      <c r="T106" s="1076"/>
      <c r="U106" s="1076"/>
      <c r="V106" s="1076"/>
      <c r="W106" s="1076"/>
      <c r="X106" s="1076"/>
      <c r="Y106" s="1076"/>
      <c r="Z106" s="1076"/>
      <c r="AA106" s="1076"/>
      <c r="AB106" s="1076"/>
      <c r="AC106" s="1076"/>
      <c r="AD106" s="1076"/>
      <c r="AE106" s="1076"/>
      <c r="AF106" s="1076"/>
      <c r="AG106" s="1076"/>
      <c r="AH106" s="1076"/>
      <c r="AI106" s="1076"/>
      <c r="AJ106" s="1076"/>
      <c r="AK106" s="1076"/>
      <c r="AL106" s="1076"/>
      <c r="AM106" s="1076"/>
      <c r="AN106" s="1076"/>
      <c r="AO106" s="1076"/>
      <c r="AP106" s="1076"/>
      <c r="AQ106" s="1076"/>
      <c r="AR106" s="1076"/>
      <c r="AS106" s="1076"/>
      <c r="AT106" s="1076"/>
      <c r="AU106" s="1076"/>
      <c r="AV106" s="1076"/>
      <c r="AW106" s="1076"/>
      <c r="AX106" s="1076"/>
      <c r="AY106" s="1077"/>
    </row>
    <row r="107" spans="1:51" x14ac:dyDescent="0.3">
      <c r="A107" s="1078" t="s">
        <v>312</v>
      </c>
      <c r="B107" s="1079"/>
      <c r="C107" s="1079"/>
      <c r="D107" s="1079"/>
      <c r="E107" s="1079"/>
      <c r="F107" s="1079"/>
      <c r="G107" s="1079"/>
      <c r="H107" s="1079"/>
      <c r="I107" s="1079"/>
      <c r="J107" s="1079"/>
      <c r="K107" s="1079"/>
      <c r="L107" s="1079"/>
      <c r="M107" s="1079"/>
      <c r="N107" s="1079"/>
      <c r="O107" s="1079"/>
      <c r="P107" s="1079"/>
      <c r="Q107" s="1079"/>
      <c r="R107" s="1079"/>
      <c r="S107" s="1079"/>
      <c r="T107" s="1079"/>
      <c r="U107" s="1079"/>
      <c r="V107" s="1079"/>
      <c r="W107" s="1079"/>
      <c r="X107" s="1079"/>
      <c r="Y107" s="1079"/>
      <c r="Z107" s="1079"/>
      <c r="AA107" s="1079"/>
      <c r="AB107" s="1079"/>
      <c r="AC107" s="1079"/>
      <c r="AD107" s="1079"/>
      <c r="AE107" s="1079"/>
      <c r="AF107" s="1079"/>
      <c r="AG107" s="1079"/>
      <c r="AH107" s="1079"/>
      <c r="AI107" s="1079"/>
      <c r="AJ107" s="1079"/>
      <c r="AK107" s="1079"/>
      <c r="AL107" s="1079"/>
      <c r="AM107" s="1079"/>
      <c r="AN107" s="1079"/>
      <c r="AO107" s="1079"/>
      <c r="AP107" s="1079"/>
      <c r="AQ107" s="1079"/>
      <c r="AR107" s="1079"/>
      <c r="AS107" s="1079"/>
      <c r="AT107" s="1079"/>
      <c r="AU107" s="1079"/>
      <c r="AV107" s="1079"/>
      <c r="AW107" s="1079"/>
      <c r="AX107" s="1079"/>
      <c r="AY107" s="1080"/>
    </row>
    <row r="108" spans="1:51" ht="15" thickBot="1" x14ac:dyDescent="0.35">
      <c r="A108" s="1081" t="s">
        <v>313</v>
      </c>
      <c r="B108" s="1082"/>
      <c r="C108" s="1082"/>
      <c r="D108" s="1082"/>
      <c r="E108" s="1082"/>
      <c r="F108" s="1082"/>
      <c r="G108" s="1082"/>
      <c r="H108" s="1082"/>
      <c r="I108" s="1082"/>
      <c r="J108" s="1082"/>
      <c r="K108" s="1082"/>
      <c r="L108" s="1082"/>
      <c r="M108" s="1082"/>
      <c r="N108" s="1082"/>
      <c r="O108" s="1082"/>
      <c r="P108" s="1082"/>
      <c r="Q108" s="1082"/>
      <c r="R108" s="1082"/>
      <c r="S108" s="1082"/>
      <c r="T108" s="1082"/>
      <c r="U108" s="1082"/>
      <c r="V108" s="1082"/>
      <c r="W108" s="1082"/>
      <c r="X108" s="1082"/>
      <c r="Y108" s="1082"/>
      <c r="Z108" s="1082"/>
      <c r="AA108" s="1082"/>
      <c r="AB108" s="1082"/>
      <c r="AC108" s="1082"/>
      <c r="AD108" s="1082"/>
      <c r="AE108" s="1082"/>
      <c r="AF108" s="1082"/>
      <c r="AG108" s="1082"/>
      <c r="AH108" s="1082"/>
      <c r="AI108" s="1082"/>
      <c r="AJ108" s="1082"/>
      <c r="AK108" s="1082"/>
      <c r="AL108" s="1082"/>
      <c r="AM108" s="1082"/>
      <c r="AN108" s="1082"/>
      <c r="AO108" s="1082"/>
      <c r="AP108" s="1082"/>
      <c r="AQ108" s="1082"/>
      <c r="AR108" s="1082"/>
      <c r="AS108" s="1082"/>
      <c r="AT108" s="1082"/>
      <c r="AU108" s="1082"/>
      <c r="AV108" s="1082"/>
      <c r="AW108" s="1082"/>
      <c r="AX108" s="1082"/>
      <c r="AY108" s="1083"/>
    </row>
  </sheetData>
  <sheetProtection algorithmName="SHA-512" hashValue="TADsNGDN4hvyoi1XkZBVDwhs9NXCIscQ7vaJYMxLRHXBrNqviNHQJ2b4W6vSSyfNMHu56aFNhXQNBNstP42E2g==" saltValue="xn3XZtxqslYDvCLN823dKg=="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86" priority="4">
      <formula>OR($B$8="Liquid", $B$8="Gas")</formula>
    </cfRule>
  </conditionalFormatting>
  <conditionalFormatting sqref="B52:F61">
    <cfRule type="expression" dxfId="85"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19" t="str">
        <f>template_label_unit_of_measurement_converter</f>
        <v>UNIT OF MEASUREMENT CONVERTER</v>
      </c>
      <c r="B1" s="1120"/>
      <c r="C1" s="1121"/>
    </row>
    <row r="2" spans="1:7" s="10" customFormat="1" ht="15" thickTop="1" x14ac:dyDescent="0.3">
      <c r="A2" s="18"/>
      <c r="B2" s="18"/>
      <c r="C2" s="18"/>
    </row>
    <row r="3" spans="1:7" ht="15" thickBot="1" x14ac:dyDescent="0.35">
      <c r="A3" s="10"/>
      <c r="B3" s="10"/>
      <c r="C3" s="10"/>
      <c r="D3" s="10"/>
    </row>
    <row r="4" spans="1:7" ht="15" thickBot="1" x14ac:dyDescent="0.35">
      <c r="A4" s="1116" t="str">
        <f>template_label_unit_of_measurement_of_mass_converter</f>
        <v>Unit of measurement of Mass Converter</v>
      </c>
      <c r="B4" s="1117"/>
      <c r="C4" s="1117"/>
      <c r="D4" s="1117"/>
      <c r="E4" s="50"/>
      <c r="G4" s="352" t="str">
        <f>template_label_usage_of_unit_of_measurement_converter</f>
        <v>Usage of Unit of Measurement Converter</v>
      </c>
    </row>
    <row r="5" spans="1:7" ht="15" thickBot="1" x14ac:dyDescent="0.35">
      <c r="A5" s="43" t="str">
        <f>template_label_from_capital_case</f>
        <v xml:space="preserve">From </v>
      </c>
      <c r="B5" s="156"/>
      <c r="C5" s="44" t="str">
        <f>template_label_to</f>
        <v>to</v>
      </c>
      <c r="D5" s="156"/>
      <c r="G5" s="329" t="str">
        <f>template_label_steps_to_follow_for_the_mass_table</f>
        <v>Steps to follow for the Mass table:</v>
      </c>
    </row>
    <row r="6" spans="1:7" ht="15" thickBot="1" x14ac:dyDescent="0.35">
      <c r="A6" s="10"/>
      <c r="B6" s="17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51"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351" t="str">
        <f>template_label_2_then_in_the_cell_b6_the_amount_of_mass_can_be_inserted</f>
        <v>2. Then in the cell B6 the amount of mass can be inserted.</v>
      </c>
    </row>
    <row r="8" spans="1:7" s="10" customFormat="1" ht="15" thickBot="1" x14ac:dyDescent="0.35">
      <c r="A8" s="1116" t="str">
        <f>template_label_unit_of_measurement_of_volume_converter</f>
        <v>Unit of measurement of Volume Converter</v>
      </c>
      <c r="B8" s="1117"/>
      <c r="C8" s="1117"/>
      <c r="D8" s="1118"/>
      <c r="G8" s="351"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56"/>
      <c r="C9" s="44" t="str">
        <f>template_label_to</f>
        <v>to</v>
      </c>
      <c r="D9" s="156"/>
      <c r="G9" s="351" t="str">
        <f>template_label_4_the_outcome_of_the_conversion_will_be_displayed_in_the_cell_d6</f>
        <v>4. The outcome of the conversion will be displayed in the cell D6.</v>
      </c>
    </row>
    <row r="10" spans="1:7" s="10" customFormat="1" ht="15" thickBot="1" x14ac:dyDescent="0.35">
      <c r="B10" s="17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116" t="str">
        <f>template_label_unit_of_measurement_of_energy_consumption_per_hour</f>
        <v>Unit of measurement of Energy Consumption per Hour</v>
      </c>
      <c r="B12" s="1117"/>
      <c r="C12" s="1117"/>
      <c r="D12" s="1118"/>
      <c r="G12" s="329" t="str">
        <f>template_label_unit_of_measurement_of_mass_converter_list</f>
        <v>▪ Unit of measurement of Mass Converter:</v>
      </c>
    </row>
    <row r="13" spans="1:7" s="10" customFormat="1" ht="15" thickBot="1" x14ac:dyDescent="0.35">
      <c r="A13" s="43" t="str">
        <f>template_label_from_capital_case</f>
        <v xml:space="preserve">From </v>
      </c>
      <c r="B13" s="156"/>
      <c r="C13" s="44" t="str">
        <f>template_label_to</f>
        <v>to</v>
      </c>
      <c r="D13" s="156"/>
      <c r="G13" s="351" t="s">
        <v>314</v>
      </c>
    </row>
    <row r="14" spans="1:7" s="10" customFormat="1" ht="15" thickBot="1" x14ac:dyDescent="0.35">
      <c r="B14" s="171"/>
      <c r="D14" s="21" t="str">
        <f>IF(OR(B13="",B14="",D13=""),"-",
IF(AND(B13="MWh - Megawatt hours",D13="MWh - Megawatt hours"),B14*1,
IF(AND(B13="TJ - Terajoule",D13="TJ - Terajoule"),B14*1,
IF(AND(B13="TJ - Terajoule",D13="MWh - Megawatt hours"),B14*277.778,
IF(AND(B13="MWh - Megawatt hours",D13="MWh - Megawatt hours"),B14/277.778,
"")))))</f>
        <v>-</v>
      </c>
      <c r="G14" s="351" t="s">
        <v>315</v>
      </c>
    </row>
    <row r="15" spans="1:7" s="10" customFormat="1" ht="15" thickBot="1" x14ac:dyDescent="0.35">
      <c r="G15" s="351" t="s">
        <v>316</v>
      </c>
    </row>
    <row r="16" spans="1:7" s="10" customFormat="1" ht="15" thickBot="1" x14ac:dyDescent="0.35">
      <c r="A16" s="1116" t="str">
        <f>template_label_unit_of_measurement_of_density_converter</f>
        <v>Unit of measurement of Density Converter</v>
      </c>
      <c r="B16" s="1117"/>
      <c r="C16" s="1117"/>
      <c r="D16" s="1118"/>
      <c r="G16" s="351" t="s">
        <v>317</v>
      </c>
    </row>
    <row r="17" spans="1:7" s="10" customFormat="1" ht="15" thickBot="1" x14ac:dyDescent="0.35">
      <c r="A17" s="43" t="str">
        <f>template_label_from_capital_case</f>
        <v xml:space="preserve">From </v>
      </c>
      <c r="B17" s="156"/>
      <c r="C17" s="44" t="str">
        <f>template_label_to</f>
        <v>to</v>
      </c>
      <c r="D17" s="156"/>
      <c r="G17" s="329" t="str">
        <f>template_label_unit_of_measurement_of_volume_converter_list</f>
        <v>▪ Unit of measurement of Volume Converter:</v>
      </c>
    </row>
    <row r="18" spans="1:7" s="10" customFormat="1" ht="15" thickBot="1" x14ac:dyDescent="0.35">
      <c r="B18" s="171"/>
      <c r="D18" s="21" t="str">
        <f>IF(OR(B17="",B16="",D17=""), "-", B18 * INDEX('Fuel Conversion Parameters'!L2:S9, MATCH(B17, 'Fuel Conversion Parameters'!K2:K9, 0), MATCH(D17, 'Fuel Conversion Parameters'!L1:S1, 0)))</f>
        <v>-</v>
      </c>
      <c r="G18" s="351" t="s">
        <v>318</v>
      </c>
    </row>
    <row r="19" spans="1:7" s="10" customFormat="1" ht="15" thickBot="1" x14ac:dyDescent="0.35">
      <c r="G19" s="351" t="s">
        <v>319</v>
      </c>
    </row>
    <row r="20" spans="1:7" s="10" customFormat="1" ht="15" customHeight="1" thickBot="1" x14ac:dyDescent="0.35">
      <c r="A20" s="1116" t="str">
        <f>template_label_unit_of_measurement_of_ncv_converter</f>
        <v>Unit of measurement of NCV Converter</v>
      </c>
      <c r="B20" s="1117"/>
      <c r="C20" s="1117"/>
      <c r="D20" s="1118"/>
      <c r="G20" s="329" t="str">
        <f>template_label_unit_of_measurement_of_energy_converter_list</f>
        <v>▪ Unit of measurement of Energy Converter:</v>
      </c>
    </row>
    <row r="21" spans="1:7" s="10" customFormat="1" ht="15" thickBot="1" x14ac:dyDescent="0.35">
      <c r="A21" s="43" t="str">
        <f>template_label_from_capital_case</f>
        <v xml:space="preserve">From </v>
      </c>
      <c r="B21" s="156"/>
      <c r="C21" s="44" t="str">
        <f>template_label_to</f>
        <v>to</v>
      </c>
      <c r="D21" s="156"/>
      <c r="G21" s="351" t="s">
        <v>320</v>
      </c>
    </row>
    <row r="22" spans="1:7" s="10" customFormat="1" ht="15" thickBot="1" x14ac:dyDescent="0.35">
      <c r="B22" s="171"/>
      <c r="D22" s="24" t="str">
        <f>IF(OR(B21="",B22="",D21=""), "-", B22 * INDEX('Fuel Conversion Parameters'!V2:AK13, MATCH(B21, 'Fuel Conversion Parameters'!U2:U13, 0), MATCH(D21, 'Fuel Conversion Parameters'!V1:AK1, 0)))</f>
        <v>-</v>
      </c>
      <c r="G22" s="351" t="s">
        <v>321</v>
      </c>
    </row>
    <row r="23" spans="1:7" s="10" customFormat="1" x14ac:dyDescent="0.3">
      <c r="G23" s="329" t="str">
        <f>template_label_unit_of_measurement_of_density_converter_list</f>
        <v>▪ Unit of measurement of Density Converter:</v>
      </c>
    </row>
    <row r="24" spans="1:7" s="10" customFormat="1" x14ac:dyDescent="0.3">
      <c r="G24" s="351" t="s">
        <v>144</v>
      </c>
    </row>
    <row r="25" spans="1:7" s="10" customFormat="1" x14ac:dyDescent="0.3">
      <c r="G25" s="351" t="s">
        <v>145</v>
      </c>
    </row>
    <row r="26" spans="1:7" s="10" customFormat="1" x14ac:dyDescent="0.3">
      <c r="G26" s="351" t="s">
        <v>146</v>
      </c>
    </row>
    <row r="27" spans="1:7" s="10" customFormat="1" x14ac:dyDescent="0.3">
      <c r="G27" s="351" t="s">
        <v>147</v>
      </c>
    </row>
    <row r="28" spans="1:7" s="10" customFormat="1" x14ac:dyDescent="0.3">
      <c r="G28" s="351" t="s">
        <v>148</v>
      </c>
    </row>
    <row r="29" spans="1:7" s="10" customFormat="1" x14ac:dyDescent="0.3">
      <c r="G29" s="351" t="s">
        <v>149</v>
      </c>
    </row>
    <row r="30" spans="1:7" s="10" customFormat="1" x14ac:dyDescent="0.3">
      <c r="G30" s="351" t="s">
        <v>150</v>
      </c>
    </row>
    <row r="31" spans="1:7" s="10" customFormat="1" x14ac:dyDescent="0.3">
      <c r="G31" s="351" t="s">
        <v>151</v>
      </c>
    </row>
    <row r="32" spans="1:7" s="10" customFormat="1" x14ac:dyDescent="0.3">
      <c r="G32" s="329" t="str">
        <f>template_label_unit_of_measurement_of_ncv_converter_list</f>
        <v>▪ Unit of measurement of NCV Converter:</v>
      </c>
    </row>
    <row r="33" spans="7:7" s="10" customFormat="1" x14ac:dyDescent="0.3">
      <c r="G33" s="351" t="s">
        <v>152</v>
      </c>
    </row>
    <row r="34" spans="7:7" s="10" customFormat="1" x14ac:dyDescent="0.3">
      <c r="G34" s="351" t="s">
        <v>153</v>
      </c>
    </row>
    <row r="35" spans="7:7" s="10" customFormat="1" x14ac:dyDescent="0.3">
      <c r="G35" s="351" t="s">
        <v>154</v>
      </c>
    </row>
    <row r="36" spans="7:7" s="10" customFormat="1" x14ac:dyDescent="0.3">
      <c r="G36" s="351" t="s">
        <v>155</v>
      </c>
    </row>
    <row r="37" spans="7:7" s="10" customFormat="1" x14ac:dyDescent="0.3">
      <c r="G37" s="351" t="s">
        <v>156</v>
      </c>
    </row>
    <row r="38" spans="7:7" s="10" customFormat="1" x14ac:dyDescent="0.3">
      <c r="G38" s="351" t="s">
        <v>157</v>
      </c>
    </row>
    <row r="39" spans="7:7" s="10" customFormat="1" x14ac:dyDescent="0.3">
      <c r="G39" s="351" t="s">
        <v>158</v>
      </c>
    </row>
    <row r="40" spans="7:7" s="10" customFormat="1" x14ac:dyDescent="0.3">
      <c r="G40" s="351" t="s">
        <v>159</v>
      </c>
    </row>
    <row r="41" spans="7:7" s="10" customFormat="1" x14ac:dyDescent="0.3">
      <c r="G41" s="351" t="s">
        <v>160</v>
      </c>
    </row>
    <row r="42" spans="7:7" s="10" customFormat="1" x14ac:dyDescent="0.3">
      <c r="G42" s="351" t="s">
        <v>161</v>
      </c>
    </row>
    <row r="43" spans="7:7" s="10" customFormat="1" x14ac:dyDescent="0.3">
      <c r="G43" s="351" t="s">
        <v>162</v>
      </c>
    </row>
    <row r="44" spans="7:7" s="10" customFormat="1" x14ac:dyDescent="0.3">
      <c r="G44" s="351" t="s">
        <v>163</v>
      </c>
    </row>
    <row r="45" spans="7:7" s="10" customFormat="1" x14ac:dyDescent="0.3">
      <c r="G45" s="351" t="s">
        <v>164</v>
      </c>
    </row>
    <row r="46" spans="7:7" s="10" customFormat="1" x14ac:dyDescent="0.3">
      <c r="G46" s="351" t="s">
        <v>165</v>
      </c>
    </row>
    <row r="47" spans="7:7" s="10" customFormat="1" x14ac:dyDescent="0.3">
      <c r="G47" s="351" t="s">
        <v>166</v>
      </c>
    </row>
    <row r="48" spans="7:7" s="10" customFormat="1" x14ac:dyDescent="0.3">
      <c r="G48" s="351" t="s">
        <v>167</v>
      </c>
    </row>
    <row r="49" spans="7:7" s="10" customFormat="1" x14ac:dyDescent="0.3"/>
    <row r="50" spans="7:7" s="10" customFormat="1" x14ac:dyDescent="0.3">
      <c r="G50" s="350"/>
    </row>
    <row r="51" spans="7:7" s="10" customFormat="1" x14ac:dyDescent="0.3"/>
    <row r="52" spans="7:7" s="10" customFormat="1" x14ac:dyDescent="0.3">
      <c r="G52" s="350"/>
    </row>
    <row r="53" spans="7:7" s="10" customFormat="1" x14ac:dyDescent="0.3"/>
    <row r="54" spans="7:7" s="10" customFormat="1" x14ac:dyDescent="0.3">
      <c r="G54" s="350"/>
    </row>
    <row r="55" spans="7:7" s="10" customFormat="1" x14ac:dyDescent="0.3"/>
    <row r="56" spans="7:7" s="10" customFormat="1" x14ac:dyDescent="0.3">
      <c r="G56" s="350"/>
    </row>
    <row r="57" spans="7:7" s="10" customFormat="1" x14ac:dyDescent="0.3"/>
    <row r="58" spans="7:7" s="10" customFormat="1" x14ac:dyDescent="0.3">
      <c r="G58" s="350"/>
    </row>
    <row r="59" spans="7:7" s="10" customFormat="1" x14ac:dyDescent="0.3"/>
    <row r="60" spans="7:7" s="10" customFormat="1" x14ac:dyDescent="0.3">
      <c r="G60" s="350"/>
    </row>
    <row r="61" spans="7:7" s="10" customFormat="1" x14ac:dyDescent="0.3"/>
    <row r="62" spans="7:7" s="10" customFormat="1" x14ac:dyDescent="0.3">
      <c r="G62" s="350"/>
    </row>
    <row r="63" spans="7:7" s="10" customFormat="1" x14ac:dyDescent="0.3"/>
    <row r="64" spans="7:7" s="10" customFormat="1" x14ac:dyDescent="0.3">
      <c r="G64" s="350"/>
    </row>
    <row r="65" spans="7:7" s="10" customFormat="1" x14ac:dyDescent="0.3"/>
    <row r="66" spans="7:7" s="10" customFormat="1" x14ac:dyDescent="0.3">
      <c r="G66" s="350"/>
    </row>
    <row r="67" spans="7:7" s="10" customFormat="1" x14ac:dyDescent="0.3"/>
    <row r="68" spans="7:7" s="10" customFormat="1" x14ac:dyDescent="0.3">
      <c r="G68" s="350"/>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23" t="s">
        <v>322</v>
      </c>
    </row>
    <row r="2" spans="1:1" x14ac:dyDescent="0.3">
      <c r="A2" s="224"/>
    </row>
    <row r="3" spans="1:1" x14ac:dyDescent="0.3">
      <c r="A3" s="224" t="s">
        <v>323</v>
      </c>
    </row>
    <row r="4" spans="1:1" x14ac:dyDescent="0.3">
      <c r="A4" s="224"/>
    </row>
    <row r="5" spans="1:1" x14ac:dyDescent="0.3">
      <c r="A5" s="224" t="s">
        <v>324</v>
      </c>
    </row>
    <row r="6" spans="1:1" x14ac:dyDescent="0.3">
      <c r="A6" s="224" t="s">
        <v>325</v>
      </c>
    </row>
    <row r="7" spans="1:1" x14ac:dyDescent="0.3">
      <c r="A7" s="224" t="s">
        <v>326</v>
      </c>
    </row>
    <row r="8" spans="1:1" x14ac:dyDescent="0.3">
      <c r="A8" s="224" t="s">
        <v>327</v>
      </c>
    </row>
    <row r="9" spans="1:1" x14ac:dyDescent="0.3">
      <c r="A9" s="224" t="s">
        <v>328</v>
      </c>
    </row>
    <row r="10" spans="1:1" x14ac:dyDescent="0.3">
      <c r="A10" s="224" t="s">
        <v>329</v>
      </c>
    </row>
    <row r="11" spans="1:1" x14ac:dyDescent="0.3">
      <c r="A11" s="224"/>
    </row>
    <row r="12" spans="1:1" x14ac:dyDescent="0.3">
      <c r="A12" s="224" t="s">
        <v>330</v>
      </c>
    </row>
    <row r="13" spans="1:1" x14ac:dyDescent="0.3">
      <c r="A13" s="224" t="s">
        <v>331</v>
      </c>
    </row>
    <row r="14" spans="1:1" x14ac:dyDescent="0.3">
      <c r="A14" s="224"/>
    </row>
    <row r="15" spans="1:1" x14ac:dyDescent="0.3">
      <c r="A15" s="224" t="s">
        <v>332</v>
      </c>
    </row>
    <row r="16" spans="1:1" x14ac:dyDescent="0.3">
      <c r="A16" s="224" t="s">
        <v>333</v>
      </c>
    </row>
    <row r="17" spans="1:1" x14ac:dyDescent="0.3">
      <c r="A17" s="224" t="s">
        <v>334</v>
      </c>
    </row>
    <row r="18" spans="1:1" x14ac:dyDescent="0.3">
      <c r="A18" s="224" t="s">
        <v>335</v>
      </c>
    </row>
    <row r="19" spans="1:1" x14ac:dyDescent="0.3">
      <c r="A19" s="224" t="s">
        <v>336</v>
      </c>
    </row>
    <row r="20" spans="1:1" x14ac:dyDescent="0.3">
      <c r="A20" s="224" t="s">
        <v>337</v>
      </c>
    </row>
    <row r="21" spans="1:1" ht="15" thickBot="1" x14ac:dyDescent="0.35">
      <c r="A21" s="225" t="s">
        <v>338</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B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33.109375" style="10" bestFit="1" customWidth="1"/>
    <col min="8" max="8" width="32.332031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1.109375" style="10" hidden="1" customWidth="1"/>
    <col min="52" max="52" width="0.44140625" style="10" hidden="1" customWidth="1"/>
    <col min="53" max="53" width="0.6640625" style="10" hidden="1" customWidth="1"/>
    <col min="54" max="54" width="9.33203125" style="10" hidden="1" customWidth="1"/>
    <col min="55" max="16384" width="9.33203125" style="10"/>
  </cols>
  <sheetData>
    <row r="1" spans="1:53" ht="28.5" customHeight="1" thickTop="1" thickBot="1" x14ac:dyDescent="0.45">
      <c r="A1" s="328" t="str">
        <f>template_label_fuel_converter</f>
        <v>FUEL CONVERTER</v>
      </c>
      <c r="B1" s="10"/>
      <c r="AL1" s="10"/>
      <c r="AN1" s="10"/>
      <c r="AO1" s="10"/>
      <c r="AP1" s="10"/>
    </row>
    <row r="2" spans="1:53" ht="39.450000000000003" customHeight="1" thickTop="1" x14ac:dyDescent="0.4">
      <c r="A2" s="353" t="str">
        <f>template_label_disclaimer</f>
        <v>DISCLAIMER:</v>
      </c>
      <c r="B2" s="10"/>
      <c r="AL2" s="10"/>
      <c r="AN2" s="10"/>
      <c r="AO2" s="10"/>
      <c r="AP2" s="10"/>
    </row>
    <row r="3" spans="1:53" ht="54" customHeight="1" x14ac:dyDescent="0.4">
      <c r="A3" s="1126"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26"/>
      <c r="C3" s="1126"/>
      <c r="D3" s="1126"/>
      <c r="E3" s="1126"/>
      <c r="F3" s="1126"/>
      <c r="G3" s="1126"/>
      <c r="H3" s="1126"/>
      <c r="I3" s="1126"/>
      <c r="J3" s="1126"/>
      <c r="K3" s="1126"/>
      <c r="AL3" s="10"/>
      <c r="AN3" s="10"/>
      <c r="AO3" s="10"/>
      <c r="AP3" s="10"/>
    </row>
    <row r="4" spans="1:53" ht="42.6" customHeight="1" x14ac:dyDescent="0.4">
      <c r="A4" s="1126"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26"/>
      <c r="C4" s="1126"/>
      <c r="D4" s="1126"/>
      <c r="E4" s="1126"/>
      <c r="F4" s="1126"/>
      <c r="G4" s="1126"/>
      <c r="H4" s="1126"/>
      <c r="I4" s="1126"/>
      <c r="J4" s="1126"/>
      <c r="K4" s="1126"/>
      <c r="AL4" s="10"/>
      <c r="AN4" s="10"/>
      <c r="AO4" s="10"/>
      <c r="AP4" s="10"/>
    </row>
    <row r="5" spans="1:53" ht="66.599999999999994" customHeight="1" thickBot="1" x14ac:dyDescent="0.45">
      <c r="A5" s="1126"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26"/>
      <c r="C5" s="1126"/>
      <c r="D5" s="1126"/>
      <c r="E5" s="1126"/>
      <c r="F5" s="1126"/>
      <c r="G5" s="1126"/>
      <c r="H5" s="1126"/>
      <c r="I5" s="1126"/>
      <c r="J5" s="1126"/>
      <c r="K5" s="1126"/>
      <c r="AL5" s="10"/>
      <c r="AN5" s="10"/>
      <c r="AO5" s="10"/>
      <c r="AP5" s="10"/>
    </row>
    <row r="6" spans="1:53" ht="35.4" customHeight="1" thickBot="1" x14ac:dyDescent="0.35">
      <c r="A6" s="331"/>
      <c r="B6" s="1145" t="str">
        <f>template_label_indicates_that_the_cell_should_be_filled_either_by_selecting_a_value_from_the_dropdown</f>
        <v>Indicates that the cell should be filled either by selecting a value from the dropdown (e.g. Type of fuel or Unit of Measurement) or by entering an amount.</v>
      </c>
      <c r="C6" s="1146"/>
      <c r="D6" s="1146"/>
      <c r="E6" s="1146"/>
      <c r="F6" s="1147"/>
      <c r="G6" s="332"/>
      <c r="H6" s="330"/>
      <c r="I6" s="330"/>
      <c r="J6" s="330"/>
      <c r="AL6" s="10"/>
      <c r="AN6" s="10"/>
      <c r="AO6" s="10"/>
      <c r="AP6" s="10"/>
    </row>
    <row r="7" spans="1:53" ht="44.4" customHeight="1" thickBot="1" x14ac:dyDescent="0.35">
      <c r="A7" s="333" t="s">
        <v>125</v>
      </c>
      <c r="B7" s="1145" t="str">
        <f>template_label_indicates_that_the_cell_is_automatically_calculated_and_that_no_data_entry_is_required</f>
        <v>Indicates that the cell is automatically calculated and that no data entry is required.</v>
      </c>
      <c r="C7" s="1146"/>
      <c r="D7" s="1146"/>
      <c r="E7" s="1146"/>
      <c r="F7" s="1147"/>
      <c r="G7" s="332"/>
      <c r="H7" s="330"/>
      <c r="I7" s="330"/>
      <c r="J7" s="330"/>
      <c r="AL7" s="10"/>
      <c r="AN7" s="10"/>
      <c r="AO7" s="10"/>
      <c r="AP7" s="10"/>
    </row>
    <row r="8" spans="1:53" ht="40.200000000000003" customHeight="1" thickBot="1" x14ac:dyDescent="0.35">
      <c r="A8" s="329"/>
      <c r="B8" s="10"/>
      <c r="AC8" s="334"/>
      <c r="AL8" s="10"/>
      <c r="AN8" s="10"/>
      <c r="AO8" s="10"/>
      <c r="AP8" s="10"/>
    </row>
    <row r="9" spans="1:53" ht="21.6" thickBot="1" x14ac:dyDescent="0.45">
      <c r="A9" s="420" t="str">
        <f>template_label_fuel_type</f>
        <v>Fuel type</v>
      </c>
      <c r="B9" s="420" t="str">
        <f>template_label_unit_of_measurement</f>
        <v>Unit of measurement</v>
      </c>
      <c r="C9" s="421" t="str">
        <f>template_label_amount</f>
        <v>Amount</v>
      </c>
      <c r="D9" s="421" t="str">
        <f>template_label_state_of_matter</f>
        <v>State of matter</v>
      </c>
      <c r="E9" s="422" t="str">
        <f>template_label_typical_renewable_state</f>
        <v>Typical renewable state</v>
      </c>
      <c r="F9" s="423" t="str">
        <f>template_label_calculated_energy_in_mwh</f>
        <v>Calculated Energy in MWh</v>
      </c>
      <c r="G9" s="484" t="str">
        <f>template_label_overall_validation_status_validation&amp;":"</f>
        <v>Overall Validation Status:</v>
      </c>
      <c r="H9" s="485"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COMPLETE</v>
      </c>
      <c r="J9" s="329" t="str">
        <f>template_label_usage_of_fuel_converter</f>
        <v>Usage of Fuel Converter:</v>
      </c>
      <c r="O9" s="362"/>
      <c r="P9" s="363"/>
      <c r="Q9" s="364"/>
      <c r="S9" s="362"/>
      <c r="T9" s="363"/>
      <c r="U9" s="364"/>
      <c r="W9" s="362"/>
      <c r="X9" s="363"/>
      <c r="Y9" s="364"/>
      <c r="AA9" s="362"/>
      <c r="AB9" s="363"/>
      <c r="AC9" s="364"/>
      <c r="AE9" s="362"/>
      <c r="AF9" s="363"/>
      <c r="AG9" s="364"/>
      <c r="AI9" s="362"/>
      <c r="AJ9" s="363"/>
      <c r="AK9" s="364"/>
      <c r="AL9" s="10"/>
      <c r="AM9" s="362"/>
      <c r="AN9" s="363"/>
      <c r="AO9" s="364"/>
      <c r="AP9" s="10"/>
      <c r="AQ9" s="362"/>
      <c r="AR9" s="363"/>
      <c r="AS9" s="364"/>
      <c r="AU9" s="362"/>
      <c r="AV9" s="363"/>
      <c r="AW9" s="364"/>
      <c r="AY9" s="362"/>
      <c r="AZ9" s="363"/>
      <c r="BA9" s="364"/>
    </row>
    <row r="10" spans="1:53" ht="15" thickBot="1" x14ac:dyDescent="0.35">
      <c r="A10" s="326" t="s">
        <v>126</v>
      </c>
      <c r="B10" s="326" t="s">
        <v>127</v>
      </c>
      <c r="C10" s="327">
        <v>1000</v>
      </c>
      <c r="D10" s="336" t="str">
        <f>P11</f>
        <v>Liquid</v>
      </c>
      <c r="E10" s="337" t="str">
        <f>P12</f>
        <v>Renewable</v>
      </c>
      <c r="F10" s="338">
        <f>IF(C10="","-",O23)</f>
        <v>6.3750051000000001</v>
      </c>
      <c r="G10" s="1148"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OK</v>
      </c>
      <c r="H10" s="1149"/>
      <c r="J10" s="10" t="str">
        <f>template_label_1_in_cell_a9_select_the_fuel_used_searching_for_it_or_scrolling_down_the_list_displayed_clicking_the_cell</f>
        <v>1. In cell A10 select the Fuel used, searching for it or scrolling down the list displayed clicking the cell</v>
      </c>
      <c r="O10" s="339" t="s">
        <v>128</v>
      </c>
      <c r="P10" s="365" t="str">
        <f>IF(A10="","-",A10)</f>
        <v>Biodiesel</v>
      </c>
      <c r="Q10" s="366"/>
      <c r="S10" s="339" t="s">
        <v>128</v>
      </c>
      <c r="T10" s="365" t="str">
        <f>IF(A11="","-",A11)</f>
        <v>Gas/Diesel oil</v>
      </c>
      <c r="U10" s="366"/>
      <c r="W10" s="339" t="s">
        <v>128</v>
      </c>
      <c r="X10" s="365" t="str">
        <f>IF(A12="","-",A12)</f>
        <v>-</v>
      </c>
      <c r="Y10" s="366"/>
      <c r="AA10" s="339" t="s">
        <v>128</v>
      </c>
      <c r="AB10" s="365" t="str">
        <f>IF(A13="","-",A13)</f>
        <v>-</v>
      </c>
      <c r="AC10" s="366"/>
      <c r="AE10" s="339" t="s">
        <v>128</v>
      </c>
      <c r="AF10" s="365" t="str">
        <f>IF(A14="","-",A14)</f>
        <v>-</v>
      </c>
      <c r="AG10" s="366"/>
      <c r="AI10" s="339" t="s">
        <v>128</v>
      </c>
      <c r="AJ10" s="365" t="str">
        <f>IF(A15="","-",A15)</f>
        <v>-</v>
      </c>
      <c r="AK10" s="366"/>
      <c r="AL10" s="10"/>
      <c r="AM10" s="339" t="s">
        <v>128</v>
      </c>
      <c r="AN10" s="365" t="str">
        <f>IF(A16="","-",A16)</f>
        <v>-</v>
      </c>
      <c r="AO10" s="366"/>
      <c r="AP10" s="10"/>
      <c r="AQ10" s="339" t="s">
        <v>128</v>
      </c>
      <c r="AR10" s="365" t="str">
        <f>IF(A17="","-",A17)</f>
        <v>-</v>
      </c>
      <c r="AS10" s="366"/>
      <c r="AU10" s="339" t="s">
        <v>128</v>
      </c>
      <c r="AV10" s="365" t="str">
        <f>IF(A18="","-",A18)</f>
        <v>-</v>
      </c>
      <c r="AW10" s="366"/>
      <c r="AY10" s="339" t="s">
        <v>128</v>
      </c>
      <c r="AZ10" s="365" t="str">
        <f>IF(A19="","-",A19)</f>
        <v>-</v>
      </c>
      <c r="BA10" s="366"/>
    </row>
    <row r="11" spans="1:53" ht="15" thickBot="1" x14ac:dyDescent="0.35">
      <c r="A11" s="326" t="s">
        <v>129</v>
      </c>
      <c r="B11" s="326" t="s">
        <v>127</v>
      </c>
      <c r="C11" s="327">
        <v>1000</v>
      </c>
      <c r="D11" s="340" t="str">
        <f>T11</f>
        <v>Liquid</v>
      </c>
      <c r="E11" s="341" t="str">
        <f>T12</f>
        <v>Non-renewable</v>
      </c>
      <c r="F11" s="338">
        <f>IF(C11="","-",S23)</f>
        <v>10.03334136</v>
      </c>
      <c r="G11" s="1122" t="str">
        <f t="shared" si="0"/>
        <v>OK</v>
      </c>
      <c r="H11" s="1123"/>
      <c r="J11" s="10" t="str">
        <f>template_label_2_in_cell_b9_select_the_unit_of_measurement_used</f>
        <v>2. In cell B10 select the Unit of measurement used</v>
      </c>
      <c r="O11" s="339" t="s">
        <v>130</v>
      </c>
      <c r="P11" s="367" t="str">
        <f>IF(OR(P10="", P10="-"), "-", IFERROR(IF(INDEX('Fuel Conversion Parameters'!$B$2:$B$61, MATCH(P10, 'Fuel Conversion Parameters'!$A$2:$A$61, 0))="", "MISSING VALUE", INDEX('Fuel Conversion Parameters'!$B$2:$B$61, MATCH(P10, 'Fuel Conversion Parameters'!$A$2:$A$61, 0))), "MISSING VALUE"))</f>
        <v>Liquid</v>
      </c>
      <c r="Q11" s="366"/>
      <c r="S11" s="339" t="s">
        <v>130</v>
      </c>
      <c r="T11" s="367" t="str">
        <f>IF(OR(T10="", T10="-"), "-", IFERROR(IF(INDEX('Fuel Conversion Parameters'!$B$2:$B$61, MATCH(T10, 'Fuel Conversion Parameters'!$A$2:$A$61, 0))="", "MISSING VALUE", INDEX('Fuel Conversion Parameters'!$B$2:$B$61, MATCH(T10, 'Fuel Conversion Parameters'!$A$2:$A$61, 0))), "MISSING VALUE"))</f>
        <v>Liquid</v>
      </c>
      <c r="U11" s="366"/>
      <c r="W11" s="339" t="s">
        <v>130</v>
      </c>
      <c r="X11" s="367" t="str">
        <f>IF(OR(X10="", X10="-"), "-", IFERROR(IF(INDEX('Fuel Conversion Parameters'!$B$2:$B$61, MATCH(X10, 'Fuel Conversion Parameters'!$A$2:$A$61, 0))="", "MISSING VALUE", INDEX('Fuel Conversion Parameters'!$B$2:$B$61, MATCH(X10, 'Fuel Conversion Parameters'!$A$2:$A$61, 0))), "MISSING VALUE"))</f>
        <v>-</v>
      </c>
      <c r="Y11" s="366"/>
      <c r="AA11" s="339" t="s">
        <v>130</v>
      </c>
      <c r="AB11" s="367" t="str">
        <f>IF(OR(AB10="", AB10="-"), "-", IFERROR(IF(INDEX('Fuel Conversion Parameters'!$B$2:$B$61, MATCH(AB10, 'Fuel Conversion Parameters'!$A$2:$A$61, 0))="", "MISSING VALUE", INDEX('Fuel Conversion Parameters'!$B$2:$B$61, MATCH(AB10, 'Fuel Conversion Parameters'!$A$2:$A$61, 0))), "MISSING VALUE"))</f>
        <v>-</v>
      </c>
      <c r="AC11" s="366"/>
      <c r="AE11" s="339" t="s">
        <v>130</v>
      </c>
      <c r="AF11" s="367" t="str">
        <f>IF(OR(AF10="", AF10="-"), "-", IFERROR(IF(INDEX('Fuel Conversion Parameters'!$B$2:$B$61, MATCH(AF10, 'Fuel Conversion Parameters'!$A$2:$A$61, 0))="", "MISSING VALUE", INDEX('Fuel Conversion Parameters'!$B$2:$B$61, MATCH(AF10, 'Fuel Conversion Parameters'!$A$2:$A$61, 0))), "MISSING VALUE"))</f>
        <v>-</v>
      </c>
      <c r="AG11" s="366"/>
      <c r="AI11" s="339" t="s">
        <v>130</v>
      </c>
      <c r="AJ11" s="367" t="str">
        <f>IF(OR(AJ10="", AJ10="-"), "-", IFERROR(IF(INDEX('Fuel Conversion Parameters'!$B$2:$B$61, MATCH(AJ10, 'Fuel Conversion Parameters'!$A$2:$A$61, 0))="", "MISSING VALUE", INDEX('Fuel Conversion Parameters'!$B$2:$B$61, MATCH(AJ10, 'Fuel Conversion Parameters'!$A$2:$A$61, 0))), "MISSING VALUE"))</f>
        <v>-</v>
      </c>
      <c r="AK11" s="366"/>
      <c r="AL11" s="10"/>
      <c r="AM11" s="339" t="s">
        <v>130</v>
      </c>
      <c r="AN11" s="367" t="str">
        <f>IF(OR(AN10="", AN10="-"), "-", IFERROR(IF(INDEX('Fuel Conversion Parameters'!$B$2:$B$61, MATCH(AN10, 'Fuel Conversion Parameters'!$A$2:$A$61, 0))="", "MISSING VALUE", INDEX('Fuel Conversion Parameters'!$B$2:$B$61, MATCH(AN10, 'Fuel Conversion Parameters'!$A$2:$A$61, 0))), "MISSING VALUE"))</f>
        <v>-</v>
      </c>
      <c r="AO11" s="366"/>
      <c r="AP11" s="10"/>
      <c r="AQ11" s="339" t="s">
        <v>130</v>
      </c>
      <c r="AR11" s="367" t="str">
        <f>IF(OR(AR10="", AR10="-"), "-", IFERROR(IF(INDEX('Fuel Conversion Parameters'!$B$2:$B$61, MATCH(AR10, 'Fuel Conversion Parameters'!$A$2:$A$61, 0))="", "MISSING VALUE", INDEX('Fuel Conversion Parameters'!$B$2:$B$61, MATCH(AR10, 'Fuel Conversion Parameters'!$A$2:$A$61, 0))), "MISSING VALUE"))</f>
        <v>-</v>
      </c>
      <c r="AS11" s="366"/>
      <c r="AU11" s="339" t="s">
        <v>130</v>
      </c>
      <c r="AV11" s="367" t="str">
        <f>IF(OR(AV10="", AV10="-"), "-", IFERROR(IF(INDEX('Fuel Conversion Parameters'!$B$2:$B$61, MATCH(AV10, 'Fuel Conversion Parameters'!$A$2:$A$61, 0))="", "MISSING VALUE", INDEX('Fuel Conversion Parameters'!$B$2:$B$61, MATCH(AV10, 'Fuel Conversion Parameters'!$A$2:$A$61, 0))), "MISSING VALUE"))</f>
        <v>-</v>
      </c>
      <c r="AW11" s="366"/>
      <c r="AY11" s="339" t="s">
        <v>130</v>
      </c>
      <c r="AZ11" s="367" t="str">
        <f>IF(OR(AZ10="", AZ10="-"), "-", IFERROR(IF(INDEX('Fuel Conversion Parameters'!$B$2:$B$61, MATCH(AZ10, 'Fuel Conversion Parameters'!$A$2:$A$61, 0))="", "MISSING VALUE", INDEX('Fuel Conversion Parameters'!$B$2:$B$61, MATCH(AZ10, 'Fuel Conversion Parameters'!$A$2:$A$61, 0))), "MISSING VALUE"))</f>
        <v>-</v>
      </c>
      <c r="BA11" s="366"/>
    </row>
    <row r="12" spans="1:53" ht="15" thickBot="1" x14ac:dyDescent="0.35">
      <c r="A12" s="326"/>
      <c r="B12" s="326"/>
      <c r="C12" s="327"/>
      <c r="D12" s="340" t="str">
        <f>X11</f>
        <v>-</v>
      </c>
      <c r="E12" s="341" t="str">
        <f>X12</f>
        <v>-</v>
      </c>
      <c r="F12" s="338" t="str">
        <f>IF(C12="","-",W23)</f>
        <v>-</v>
      </c>
      <c r="G12" s="1122" t="str">
        <f t="shared" si="0"/>
        <v/>
      </c>
      <c r="H12" s="1123"/>
      <c r="J12" s="10" t="str">
        <f>template_label_3_in_cell_c9_select_the_amount_of_fuel_used</f>
        <v>3. In cell C10 select the Amount of fuel used</v>
      </c>
      <c r="O12" s="339" t="s">
        <v>131</v>
      </c>
      <c r="P12" s="367" t="str">
        <f>IF(OR(P10="", P10="-"), "-", IFERROR(IF(INDEX('Fuel Conversion Parameters'!$F$2:$F$61, MATCH(P10, 'Fuel Conversion Parameters'!$A$2:$A$61, 0))="", "MISSING VALUE", INDEX('Fuel Conversion Parameters'!$F$2:$F$61, MATCH(P10, 'Fuel Conversion Parameters'!$A$2:$A$61, 0))), "MISSING VALUE"))</f>
        <v>Renewable</v>
      </c>
      <c r="Q12" s="366"/>
      <c r="S12" s="339" t="s">
        <v>131</v>
      </c>
      <c r="T12" s="367" t="str">
        <f>IF(OR(T10="", T10="-"), "-", IFERROR(IF(INDEX('Fuel Conversion Parameters'!$F$2:$F$61, MATCH(T10, 'Fuel Conversion Parameters'!$A$2:$A$61, 0))="", "MISSING VALUE", INDEX('Fuel Conversion Parameters'!$F$2:$F$61, MATCH(T10, 'Fuel Conversion Parameters'!$A$2:$A$61, 0))), "MISSING VALUE"))</f>
        <v>Non-renewable</v>
      </c>
      <c r="U12" s="366"/>
      <c r="W12" s="339" t="s">
        <v>131</v>
      </c>
      <c r="X12" s="367" t="str">
        <f>IF(OR(X10="", X10="-"), "-", IFERROR(IF(INDEX('Fuel Conversion Parameters'!$F$2:$F$61, MATCH(X10, 'Fuel Conversion Parameters'!$A$2:$A$61, 0))="", "MISSING VALUE", INDEX('Fuel Conversion Parameters'!$F$2:$F$61, MATCH(X10, 'Fuel Conversion Parameters'!$A$2:$A$61, 0))), "MISSING VALUE"))</f>
        <v>-</v>
      </c>
      <c r="Y12" s="366"/>
      <c r="AA12" s="339" t="s">
        <v>131</v>
      </c>
      <c r="AB12" s="367" t="str">
        <f>IF(OR(AB10="", AB10="-"), "-", IFERROR(IF(INDEX('Fuel Conversion Parameters'!$F$2:$F$61, MATCH(AB10, 'Fuel Conversion Parameters'!$A$2:$A$61, 0))="", "MISSING VALUE", INDEX('Fuel Conversion Parameters'!$F$2:$F$61, MATCH(AB10, 'Fuel Conversion Parameters'!$A$2:$A$61, 0))), "MISSING VALUE"))</f>
        <v>-</v>
      </c>
      <c r="AC12" s="366"/>
      <c r="AE12" s="339" t="s">
        <v>131</v>
      </c>
      <c r="AF12" s="367" t="str">
        <f>IF(OR(AF10="", AF10="-"), "-", IFERROR(IF(INDEX('Fuel Conversion Parameters'!$F$2:$F$61, MATCH(AF10, 'Fuel Conversion Parameters'!$A$2:$A$61, 0))="", "MISSING VALUE", INDEX('Fuel Conversion Parameters'!$F$2:$F$61, MATCH(AF10, 'Fuel Conversion Parameters'!$A$2:$A$61, 0))), "MISSING VALUE"))</f>
        <v>-</v>
      </c>
      <c r="AG12" s="366"/>
      <c r="AI12" s="339" t="s">
        <v>131</v>
      </c>
      <c r="AJ12" s="367" t="str">
        <f>IF(OR(AJ10="", AJ10="-"), "-", IFERROR(IF(INDEX('Fuel Conversion Parameters'!$F$2:$F$61, MATCH(AJ10, 'Fuel Conversion Parameters'!$A$2:$A$61, 0))="", "MISSING VALUE", INDEX('Fuel Conversion Parameters'!$F$2:$F$61, MATCH(AJ10, 'Fuel Conversion Parameters'!$A$2:$A$61, 0))), "MISSING VALUE"))</f>
        <v>-</v>
      </c>
      <c r="AK12" s="366"/>
      <c r="AL12" s="10"/>
      <c r="AM12" s="339" t="s">
        <v>131</v>
      </c>
      <c r="AN12" s="367" t="str">
        <f>IF(OR(AN10="", AN10="-"), "-", IFERROR(IF(INDEX('Fuel Conversion Parameters'!$F$2:$F$61, MATCH(AN10, 'Fuel Conversion Parameters'!$A$2:$A$61, 0))="", "MISSING VALUE", INDEX('Fuel Conversion Parameters'!$F$2:$F$61, MATCH(AN10, 'Fuel Conversion Parameters'!$A$2:$A$61, 0))), "MISSING VALUE"))</f>
        <v>-</v>
      </c>
      <c r="AO12" s="366"/>
      <c r="AP12" s="10"/>
      <c r="AQ12" s="339" t="s">
        <v>131</v>
      </c>
      <c r="AR12" s="367" t="str">
        <f>IF(OR(AR10="", AR10="-"), "-", IFERROR(IF(INDEX('Fuel Conversion Parameters'!$F$2:$F$61, MATCH(AR10, 'Fuel Conversion Parameters'!$A$2:$A$61, 0))="", "MISSING VALUE", INDEX('Fuel Conversion Parameters'!$F$2:$F$61, MATCH(AR10, 'Fuel Conversion Parameters'!$A$2:$A$61, 0))), "MISSING VALUE"))</f>
        <v>-</v>
      </c>
      <c r="AS12" s="366"/>
      <c r="AU12" s="339" t="s">
        <v>131</v>
      </c>
      <c r="AV12" s="367" t="str">
        <f>IF(OR(AV10="", AV10="-"), "-", IFERROR(IF(INDEX('Fuel Conversion Parameters'!$F$2:$F$61, MATCH(AV10, 'Fuel Conversion Parameters'!$A$2:$A$61, 0))="", "MISSING VALUE", INDEX('Fuel Conversion Parameters'!$F$2:$F$61, MATCH(AV10, 'Fuel Conversion Parameters'!$A$2:$A$61, 0))), "MISSING VALUE"))</f>
        <v>-</v>
      </c>
      <c r="AW12" s="366"/>
      <c r="AY12" s="339" t="s">
        <v>131</v>
      </c>
      <c r="AZ12" s="367" t="str">
        <f>IF(OR(AZ10="", AZ10="-"), "-", IFERROR(IF(INDEX('Fuel Conversion Parameters'!$F$2:$F$61, MATCH(AZ10, 'Fuel Conversion Parameters'!$A$2:$A$61, 0))="", "MISSING VALUE", INDEX('Fuel Conversion Parameters'!$F$2:$F$61, MATCH(AZ10, 'Fuel Conversion Parameters'!$A$2:$A$61, 0))), "MISSING VALUE"))</f>
        <v>-</v>
      </c>
      <c r="BA12" s="366"/>
    </row>
    <row r="13" spans="1:53" x14ac:dyDescent="0.3">
      <c r="A13" s="326"/>
      <c r="B13" s="326"/>
      <c r="C13" s="327"/>
      <c r="D13" s="340" t="str">
        <f>AB11</f>
        <v>-</v>
      </c>
      <c r="E13" s="341" t="str">
        <f>AB12</f>
        <v>-</v>
      </c>
      <c r="F13" s="338" t="str">
        <f>IF(C13="","-",AA23)</f>
        <v>-</v>
      </c>
      <c r="G13" s="1122" t="str">
        <f t="shared" si="0"/>
        <v/>
      </c>
      <c r="H13" s="1123"/>
      <c r="J13" s="10" t="str">
        <f>template_label_4_in_cell_d9_it_is_displayed_the_state_of_matter_for_the_fuel_selected</f>
        <v>4. In cell D10 it is displayed the State of matter for the Fuel selected</v>
      </c>
      <c r="O13" s="368"/>
      <c r="P13" s="19"/>
      <c r="Q13" s="366"/>
      <c r="S13" s="368"/>
      <c r="T13" s="19"/>
      <c r="U13" s="366"/>
      <c r="W13" s="368"/>
      <c r="X13" s="19"/>
      <c r="Y13" s="366"/>
      <c r="AA13" s="368"/>
      <c r="AB13" s="19"/>
      <c r="AC13" s="366"/>
      <c r="AE13" s="368"/>
      <c r="AF13" s="19"/>
      <c r="AG13" s="366"/>
      <c r="AI13" s="368"/>
      <c r="AJ13" s="19"/>
      <c r="AK13" s="366"/>
      <c r="AL13" s="10"/>
      <c r="AM13" s="368"/>
      <c r="AN13" s="19"/>
      <c r="AO13" s="366"/>
      <c r="AP13" s="10"/>
      <c r="AQ13" s="368"/>
      <c r="AR13" s="19"/>
      <c r="AS13" s="366"/>
      <c r="AU13" s="368"/>
      <c r="AV13" s="19"/>
      <c r="AW13" s="366"/>
      <c r="AY13" s="368"/>
      <c r="AZ13" s="19"/>
      <c r="BA13" s="366"/>
    </row>
    <row r="14" spans="1:53" x14ac:dyDescent="0.3">
      <c r="A14" s="326"/>
      <c r="B14" s="326"/>
      <c r="C14" s="327"/>
      <c r="D14" s="340" t="str">
        <f>AF11</f>
        <v>-</v>
      </c>
      <c r="E14" s="341" t="str">
        <f>AF12</f>
        <v>-</v>
      </c>
      <c r="F14" s="338" t="str">
        <f>IF(C14="","-",AE23)</f>
        <v>-</v>
      </c>
      <c r="G14" s="1122" t="str">
        <f t="shared" si="0"/>
        <v/>
      </c>
      <c r="H14" s="1123"/>
      <c r="J14" s="10" t="str">
        <f>template_label_5_in_cell_e9_it_is_displayed_the_typical_renewability_state_for_the_fuel_selected</f>
        <v>5. In cell E10 it is displayed the Typical renewability state for the Fuel selected</v>
      </c>
      <c r="O14" s="369"/>
      <c r="Q14" s="366"/>
      <c r="S14" s="369"/>
      <c r="U14" s="366"/>
      <c r="W14" s="369"/>
      <c r="Y14" s="366"/>
      <c r="AA14" s="369"/>
      <c r="AC14" s="366"/>
      <c r="AE14" s="369"/>
      <c r="AG14" s="366"/>
      <c r="AI14" s="369"/>
      <c r="AK14" s="366"/>
      <c r="AL14" s="10"/>
      <c r="AM14" s="369"/>
      <c r="AN14" s="10"/>
      <c r="AO14" s="366"/>
      <c r="AP14" s="10"/>
      <c r="AQ14" s="369"/>
      <c r="AS14" s="366"/>
      <c r="AU14" s="369"/>
      <c r="AW14" s="366"/>
      <c r="AY14" s="369"/>
      <c r="BA14" s="366"/>
    </row>
    <row r="15" spans="1:53" ht="15" thickBot="1" x14ac:dyDescent="0.35">
      <c r="A15" s="326"/>
      <c r="B15" s="326"/>
      <c r="C15" s="327"/>
      <c r="D15" s="340" t="str">
        <f>AJ11</f>
        <v>-</v>
      </c>
      <c r="E15" s="341" t="str">
        <f>AJ12</f>
        <v>-</v>
      </c>
      <c r="F15" s="338" t="str">
        <f>IF(C15="","-",AI23)</f>
        <v>-</v>
      </c>
      <c r="G15" s="1122" t="str">
        <f t="shared" si="0"/>
        <v/>
      </c>
      <c r="H15" s="1123"/>
      <c r="J15" s="10" t="str">
        <f>template_label_6_in_cell_f9_is_displayed_the_energy_produced_in_mega_watt_hours_by_the_amount_of_fuel_specified</f>
        <v>6. In cell F10 is displayed the Energy produced in Mega Watt hours by the Amount of Fuel specified</v>
      </c>
      <c r="O15" s="370"/>
      <c r="Q15" s="366"/>
      <c r="S15" s="370"/>
      <c r="U15" s="366"/>
      <c r="W15" s="369"/>
      <c r="Y15" s="366"/>
      <c r="AA15" s="369"/>
      <c r="AC15" s="366"/>
      <c r="AE15" s="369"/>
      <c r="AG15" s="366"/>
      <c r="AI15" s="369"/>
      <c r="AK15" s="366"/>
      <c r="AL15" s="10"/>
      <c r="AM15" s="369"/>
      <c r="AN15" s="10"/>
      <c r="AO15" s="366"/>
      <c r="AP15" s="10"/>
      <c r="AQ15" s="369"/>
      <c r="AS15" s="366"/>
      <c r="AU15" s="369"/>
      <c r="AW15" s="366"/>
      <c r="AY15" s="369"/>
      <c r="BA15" s="366"/>
    </row>
    <row r="16" spans="1:53" ht="15" thickBot="1" x14ac:dyDescent="0.35">
      <c r="A16" s="326"/>
      <c r="B16" s="326"/>
      <c r="C16" s="327"/>
      <c r="D16" s="340" t="str">
        <f>AN11</f>
        <v>-</v>
      </c>
      <c r="E16" s="341" t="str">
        <f>AN12</f>
        <v>-</v>
      </c>
      <c r="F16" s="338" t="str">
        <f>IF(C16="","-",AM23)</f>
        <v>-</v>
      </c>
      <c r="G16" s="1122" t="str">
        <f t="shared" si="0"/>
        <v/>
      </c>
      <c r="H16" s="1123"/>
      <c r="J16" s="10" t="str">
        <f>template_label_7_in_cell_a28_is_displayed_the_total_energy_in_mega_watt_hours</f>
        <v>7. In cell A29 is displayed the Total Energy in Mega Watt hours</v>
      </c>
      <c r="O16" s="371" t="s">
        <v>132</v>
      </c>
      <c r="P16" s="372" t="str">
        <f>B10</f>
        <v>L - Liter</v>
      </c>
      <c r="Q16" s="373"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71" t="s">
        <v>132</v>
      </c>
      <c r="T16" s="372" t="str">
        <f>B11</f>
        <v>L - Liter</v>
      </c>
      <c r="U16" s="373"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71" t="s">
        <v>132</v>
      </c>
      <c r="X16" s="372">
        <f>B12</f>
        <v>0</v>
      </c>
      <c r="Y16" s="36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71" t="s">
        <v>132</v>
      </c>
      <c r="AB16" s="372">
        <f>B13</f>
        <v>0</v>
      </c>
      <c r="AC16" s="373"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71" t="s">
        <v>132</v>
      </c>
      <c r="AF16" s="372">
        <f>B14</f>
        <v>0</v>
      </c>
      <c r="AG16" s="373"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71" t="s">
        <v>132</v>
      </c>
      <c r="AJ16" s="372">
        <f>B15</f>
        <v>0</v>
      </c>
      <c r="AK16" s="373"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71" t="s">
        <v>132</v>
      </c>
      <c r="AN16" s="372">
        <f>B16</f>
        <v>0</v>
      </c>
      <c r="AO16" s="373"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71" t="s">
        <v>132</v>
      </c>
      <c r="AR16" s="372">
        <f>B17</f>
        <v>0</v>
      </c>
      <c r="AS16" s="373"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71" t="s">
        <v>132</v>
      </c>
      <c r="AV16" s="372">
        <f>B18</f>
        <v>0</v>
      </c>
      <c r="AW16" s="373"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71" t="s">
        <v>132</v>
      </c>
      <c r="AZ16" s="372">
        <f>B19</f>
        <v>0</v>
      </c>
      <c r="BA16" s="373"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26"/>
      <c r="B17" s="326"/>
      <c r="C17" s="327"/>
      <c r="D17" s="340" t="str">
        <f>AR11</f>
        <v>-</v>
      </c>
      <c r="E17" s="341" t="str">
        <f>AR12</f>
        <v>-</v>
      </c>
      <c r="F17" s="338" t="str">
        <f>IF(C17="","-",AQ23)</f>
        <v>-</v>
      </c>
      <c r="G17" s="1122" t="str">
        <f t="shared" si="0"/>
        <v/>
      </c>
      <c r="H17" s="1123"/>
      <c r="J17" s="10" t="str">
        <f>template_label_8_in_cell_a31_is_displayed_the_total_renewable_energy_in_mega_watt_hours</f>
        <v>8. In cell A32 is displayed the Total Renewable Energy in Mega Watt hours</v>
      </c>
      <c r="O17" s="339" t="s">
        <v>133</v>
      </c>
      <c r="P17" s="374">
        <f>C10</f>
        <v>1000</v>
      </c>
      <c r="Q17" s="366"/>
      <c r="S17" s="339" t="s">
        <v>133</v>
      </c>
      <c r="T17" s="374">
        <f>C11</f>
        <v>1000</v>
      </c>
      <c r="U17" s="366"/>
      <c r="W17" s="339" t="s">
        <v>133</v>
      </c>
      <c r="X17" s="374">
        <f>C12</f>
        <v>0</v>
      </c>
      <c r="Y17" s="366"/>
      <c r="AA17" s="339" t="s">
        <v>133</v>
      </c>
      <c r="AB17" s="374">
        <f>C13</f>
        <v>0</v>
      </c>
      <c r="AC17" s="366"/>
      <c r="AE17" s="339" t="s">
        <v>133</v>
      </c>
      <c r="AF17" s="374">
        <f>C14</f>
        <v>0</v>
      </c>
      <c r="AG17" s="366"/>
      <c r="AI17" s="339" t="s">
        <v>133</v>
      </c>
      <c r="AJ17" s="374">
        <f>C15</f>
        <v>0</v>
      </c>
      <c r="AK17" s="366"/>
      <c r="AL17" s="10"/>
      <c r="AM17" s="339" t="s">
        <v>133</v>
      </c>
      <c r="AN17" s="374">
        <f>C16</f>
        <v>0</v>
      </c>
      <c r="AO17" s="366"/>
      <c r="AP17" s="10"/>
      <c r="AQ17" s="339" t="s">
        <v>133</v>
      </c>
      <c r="AR17" s="374">
        <f>C17</f>
        <v>0</v>
      </c>
      <c r="AS17" s="366"/>
      <c r="AU17" s="339" t="s">
        <v>133</v>
      </c>
      <c r="AV17" s="374">
        <f>C18</f>
        <v>0</v>
      </c>
      <c r="AW17" s="366"/>
      <c r="AY17" s="339" t="s">
        <v>133</v>
      </c>
      <c r="AZ17" s="374">
        <f>C19</f>
        <v>0</v>
      </c>
      <c r="BA17" s="366"/>
    </row>
    <row r="18" spans="1:53" x14ac:dyDescent="0.3">
      <c r="A18" s="326"/>
      <c r="B18" s="326"/>
      <c r="C18" s="327"/>
      <c r="D18" s="340" t="str">
        <f>AV11</f>
        <v>-</v>
      </c>
      <c r="E18" s="341" t="str">
        <f>AV12</f>
        <v>-</v>
      </c>
      <c r="F18" s="338" t="str">
        <f>IF(C18="","-",AU23)</f>
        <v>-</v>
      </c>
      <c r="G18" s="1122" t="str">
        <f t="shared" si="0"/>
        <v/>
      </c>
      <c r="H18" s="1123"/>
      <c r="J18" s="10" t="str">
        <f>template_label_9_in_cell_b31_is_displayed_the_total_nonrenewable_energy_in_mega_watt_hours</f>
        <v>9. In cell B32 is displayed the Total Non-renewable Energy in Mega Watt hours</v>
      </c>
      <c r="K18" s="342"/>
      <c r="L18" s="342"/>
      <c r="M18" s="342"/>
      <c r="O18" s="369">
        <f>IFERROR(VLOOKUP(P10, 'Fuel Conversion Parameters'!$A:$C, 3, FALSE), "")</f>
        <v>27</v>
      </c>
      <c r="P18" s="377">
        <f>IF(P16="g - gram",P17*0.000000001,
IF(P16="Kg - Kilogram",P17*0.000001,
IF(P16="t - tonne",P17*0.001,
IF(P16="Gg - Gigagram",P17*1,
IF(P16="m³ - cubic meters",P17*1000,
IF(P16="L - Liter",P17*1,
""))))))</f>
        <v>1000</v>
      </c>
      <c r="Q18" s="366"/>
      <c r="S18" s="369">
        <f>IFERROR(VLOOKUP(T10, 'Fuel Conversion Parameters'!$A:$C, 3, FALSE), "")</f>
        <v>43</v>
      </c>
      <c r="T18" s="377">
        <f>IF(T16="g - gram",T17*0.000000001,
IF(T16="Kg - Kilogram",T17*0.000001,
IF(T16="t - tonne",T17*0.001,
IF(T16="Gg - Gigagram",T17*1,
IF(T16="m³ - cubic meters",T17*1000,
IF(T16="L - Liter",T17*1,
""))))))</f>
        <v>1000</v>
      </c>
      <c r="U18" s="366"/>
      <c r="W18" s="369" t="str">
        <f>IFERROR(VLOOKUP(X10, 'Fuel Conversion Parameters'!$A:$C, 3, FALSE), "")</f>
        <v/>
      </c>
      <c r="X18" s="377" t="str">
        <f>IF(X16="g - gram",X17*0.000000001,
IF(X16="Kg - Kilogram",X17*0.000001,
IF(X16="t - tonne",X17*0.001,
IF(X16="Gg - Gigagram",X17*1,
IF(X16="m³ - cubic meters",X17*1000,
IF(X16="L - Liter",X17*1,
""))))))</f>
        <v/>
      </c>
      <c r="Y18" s="366"/>
      <c r="AA18" s="369" t="str">
        <f>IFERROR(VLOOKUP(AB10, 'Fuel Conversion Parameters'!$A:$C, 3, FALSE), "")</f>
        <v/>
      </c>
      <c r="AB18" s="377" t="str">
        <f>IF(AB16="g - gram",AB17*0.000000001,
IF(AB16="Kg - Kilogram",AB17*0.000001,
IF(AB16="t - tonne",AB17*0.001,
IF(AB16="Gg - Gigagram",AB17*1,
IF(AB16="m³ - cubic meters",AB17*1000,
IF(AB16="L - Liter",AB17*1,
""))))))</f>
        <v/>
      </c>
      <c r="AC18" s="366"/>
      <c r="AE18" s="369" t="str">
        <f>IFERROR(VLOOKUP(AF10, 'Fuel Conversion Parameters'!$A:$C, 3, FALSE), "")</f>
        <v/>
      </c>
      <c r="AF18" s="377" t="str">
        <f>IF(AF16="g - gram",AF17*0.000000001,
IF(AF16="Kg - Kilogram",AF17*0.000001,
IF(AF16="t - tonne",AF17*0.001,
IF(AF16="Gg - Gigagram",AF17*1,
IF(AF16="m³ - cubic meters",AF17*1000,
IF(AF16="L - Liter",AF17*1,
""))))))</f>
        <v/>
      </c>
      <c r="AG18" s="366"/>
      <c r="AI18" s="369" t="str">
        <f>IFERROR(VLOOKUP(AJ10, 'Fuel Conversion Parameters'!$A:$C, 3, FALSE), "")</f>
        <v/>
      </c>
      <c r="AJ18" s="377" t="str">
        <f>IF(AJ16="g - gram",AJ17*0.000000001,
IF(AJ16="Kg - Kilogram",AJ17*0.000001,
IF(AJ16="t - tonne",AJ17*0.001,
IF(AJ16="Gg - Gigagram",AJ17*1,
IF(AJ16="m³ - cubic meters",AJ17*1000,
IF(AJ16="L - Liter",AJ17*1,
""))))))</f>
        <v/>
      </c>
      <c r="AK18" s="366"/>
      <c r="AL18" s="10"/>
      <c r="AM18" s="369" t="str">
        <f>IFERROR(VLOOKUP(AN10, 'Fuel Conversion Parameters'!$A:$C, 3, FALSE), "")</f>
        <v/>
      </c>
      <c r="AN18" s="377" t="str">
        <f>IF(AN16="g - gram",AN17*0.000000001,
IF(AN16="Kg - Kilogram",AN17*0.000001,
IF(AN16="t - tonne",AN17*0.001,
IF(AN16="Gg - Gigagram",AN17*1,
IF(AN16="m³ - cubic meters",AN17*1000,
IF(AN16="L - Liter",AN17*1,
""))))))</f>
        <v/>
      </c>
      <c r="AO18" s="366"/>
      <c r="AP18" s="10"/>
      <c r="AQ18" s="380" t="str">
        <f>IFERROR(VLOOKUP(AR10, 'Fuel Conversion Parameters'!$A:$C, 3, FALSE), "")</f>
        <v/>
      </c>
      <c r="AR18" s="377" t="str">
        <f>IF(AR16="g - gram",AR17*0.000000001,
IF(AR16="Kg - Kilogram",AR17*0.000001,
IF(AR16="t - tonne",AR17*0.001,
IF(AR16="Gg - Gigagram",AR17*1,
IF(AR16="m³ - cubic meters",AR17*1000,
IF(AR16="L - Liter",AR17*1,
""))))))</f>
        <v/>
      </c>
      <c r="AS18" s="366"/>
      <c r="AU18" s="369" t="str">
        <f>IFERROR(VLOOKUP(AV10, 'Fuel Conversion Parameters'!$A:$C, 3, FALSE), "")</f>
        <v/>
      </c>
      <c r="AV18" s="377" t="str">
        <f>IF(AV16="g - gram",AV17*0.000000001,
IF(AV16="Kg - Kilogram",AV17*0.000001,
IF(AV16="t - tonne",AV17*0.001,
IF(AV16="Gg - Gigagram",AV17*1,
IF(AV16="m³ - cubic meters",AV17*1000,
IF(AV16="L - Liter",AV17*1,
""))))))</f>
        <v/>
      </c>
      <c r="AW18" s="366"/>
      <c r="AY18" s="369" t="str">
        <f>IFERROR(VLOOKUP(AZ10, 'Fuel Conversion Parameters'!$A:$C, 3, FALSE), "")</f>
        <v/>
      </c>
      <c r="AZ18" s="377" t="str">
        <f>IF(AZ16="g - gram",AZ17*0.000000001,
IF(AZ16="Kg - Kilogram",AZ17*0.000001,
IF(AZ16="t - tonne",AZ17*0.001,
IF(AZ16="Gg - Gigagram",AZ17*1,
IF(AZ16="m³ - cubic meters",AZ17*1000,
IF(AZ16="L - Liter",AZ17*1,
""))))))</f>
        <v/>
      </c>
      <c r="BA18" s="366"/>
    </row>
    <row r="19" spans="1:53" ht="15" thickBot="1" x14ac:dyDescent="0.35">
      <c r="A19" s="381"/>
      <c r="B19" s="381"/>
      <c r="C19" s="382"/>
      <c r="D19" s="343" t="str">
        <f>AZ11</f>
        <v>-</v>
      </c>
      <c r="E19" s="344" t="str">
        <f>AZ12</f>
        <v>-</v>
      </c>
      <c r="F19" s="383" t="str">
        <f>IF(C19="","-",AY23)</f>
        <v>-</v>
      </c>
      <c r="G19" s="1124" t="str">
        <f t="shared" si="0"/>
        <v/>
      </c>
      <c r="H19" s="1125"/>
      <c r="J19" s="354" t="str">
        <f>template_label_10_further_notes_can_be_found_below</f>
        <v>10. Further notes can be found below</v>
      </c>
      <c r="O19" s="369">
        <f>IFERROR(
    IF(AND(P11="Solid"),P18,
        IF(AND(P11="Liquid"),P18*_xlfn.XLOOKUP(P10,'Fuel Conversion Parameters'!$A$2:$A$51,'Fuel Conversion Parameters'!$D$2:$D$51)*10^(-6),
            IF(AND(P11="Gaseous"),P18*_xlfn.XLOOKUP(P10,'Fuel Conversion Parameters'!$A$2:$A$51,'Fuel Conversion Parameters'!$E$2:$E$51)*10^(-3)*10^(-6),"")
        )
    ),
    ""
)</f>
        <v>8.4999999999999995E-4</v>
      </c>
      <c r="P19" s="18"/>
      <c r="Q19" s="366"/>
      <c r="S19" s="369">
        <f>IFERROR(
    IF(AND(T11="Solid"),T18,
        IF(AND(T11="Liquid"),T18*_xlfn.XLOOKUP(T10,'Fuel Conversion Parameters'!$A$2:$A$61,'Fuel Conversion Parameters'!$D$2:$D$61)*10^(-6),
            IF(AND(T11="Gaseous"),T18*_xlfn.XLOOKUP(T10,'Fuel Conversion Parameters'!$A$2:$A$61,'Fuel Conversion Parameters'!$E$2:$E$61)*10^(-3)*10^(-6),"")
        )
    ),
    ""
)</f>
        <v>8.3999999999999993E-4</v>
      </c>
      <c r="T19" s="18"/>
      <c r="U19" s="366"/>
      <c r="W19" s="369" t="str">
        <f>IFERROR(
    IF(AND(X11="Solid"),X18,
        IF(AND(X11="Liquid"),X18*_xlfn.XLOOKUP(X10,'Fuel Conversion Parameters'!$A$2:$A$61,'Fuel Conversion Parameters'!$D$2:$D$61)*10^(-6),
            IF(AND(X11="Gaseous"),X18*_xlfn.XLOOKUP(X10,'Fuel Conversion Parameters'!$A$2:$A$61,'Fuel Conversion Parameters'!$E$2:$E$61)*10^(-3)*10^(-6),"")
        )
    ),
    ""
)</f>
        <v/>
      </c>
      <c r="X19" s="18"/>
      <c r="Y19" s="366"/>
      <c r="AA19" s="369" t="str">
        <f>IFERROR(
    IF(AND(AB11="Solid"),AB18,
        IF(AND(AB11="Liquid"),AB18*_xlfn.XLOOKUP(AB10,'Fuel Conversion Parameters'!$A$2:$A$61,'Fuel Conversion Parameters'!$D$2:$D$61)*10^(-6),
            IF(AND(AB11="Gaseous"),AB18*_xlfn.XLOOKUP(AB10,'Fuel Conversion Parameters'!$A$2:$A$61,'Fuel Conversion Parameters'!$E$2:$E$61)*10^(-3)*10^(-6),"")
        )
    ),
    ""
)</f>
        <v/>
      </c>
      <c r="AB19" s="18"/>
      <c r="AC19" s="366"/>
      <c r="AE19" s="369" t="str">
        <f>IFERROR(
    IF(AND(AF11="Solid"),AF18,
        IF(AND(AF11="Liquid"),AF18*_xlfn.XLOOKUP(AF10,'Fuel Conversion Parameters'!$A$2:$A$61,'Fuel Conversion Parameters'!$D$2:$D$61)*10^(-6),
            IF(AND(AF11="Gaseous"),AF18*_xlfn.XLOOKUP(AF10,'Fuel Conversion Parameters'!$A$2:$A$61,'Fuel Conversion Parameters'!$E$2:$E$61)*10^(-3)*10^(-6),"")
        )
    ),
    ""
)</f>
        <v/>
      </c>
      <c r="AF19" s="18"/>
      <c r="AG19" s="366"/>
      <c r="AI19" s="369" t="str">
        <f>IFERROR(
    IF(AND(AJ11="Solid"),AJ18,
        IF(AND(AJ11="Liquid"),AJ18*_xlfn.XLOOKUP(AJ10,'Fuel Conversion Parameters'!$A$2:$A$61,'Fuel Conversion Parameters'!$D$2:$D$61)*10^(-6),
            IF(AND(AJ11="Gaseous"),AJ18*_xlfn.XLOOKUP(AJ10,'Fuel Conversion Parameters'!$A$2:$A$61,'Fuel Conversion Parameters'!$E$2:$E$61)*10^(-3)*10^(-6),"")
        )
    ),
    ""
)</f>
        <v/>
      </c>
      <c r="AJ19" s="18"/>
      <c r="AK19" s="366"/>
      <c r="AL19" s="10"/>
      <c r="AM19" s="380" t="str">
        <f>IFERROR(
    IF(AND(AN11="Solid"),AN18,
        IF(AND(AN11="Liquid"),AN18*_xlfn.XLOOKUP(AN10,'Fuel Conversion Parameters'!$A$2:$A$61,'Fuel Conversion Parameters'!$D$2:$D$61)*10^(-6),
            IF(AND(AN11="Gaseous"),AN18*_xlfn.XLOOKUP(AN10,'Fuel Conversion Parameters'!$A$2:$A$61,'Fuel Conversion Parameters'!$E$2:$E$61)*10^(-3)*10^(-6),"")
        )
    ),
    ""
)</f>
        <v/>
      </c>
      <c r="AN19" s="18"/>
      <c r="AO19" s="366"/>
      <c r="AP19" s="10"/>
      <c r="AQ19" s="380" t="str">
        <f>IFERROR(
    IF(AND(AR11="Solid"),AR18,
        IF(AND(AR11="Liquid"),AR18*_xlfn.XLOOKUP(AR10,'Fuel Conversion Parameters'!$A$2:$A$61,'Fuel Conversion Parameters'!$D$2:$D$61)*10^(-6),
            IF(AND(AR11="Gaseous"),AR18*_xlfn.XLOOKUP(AR10,'Fuel Conversion Parameters'!$A$2:$A$61,'Fuel Conversion Parameters'!$E$2:$E$61)*10^(-3)*10^(-6),"")
        )
    ),
    ""
)</f>
        <v/>
      </c>
      <c r="AR19" s="18"/>
      <c r="AS19" s="366"/>
      <c r="AU19" s="369" t="str">
        <f>IFERROR(
    IF(AND(AV11="Solid"),AV18,
        IF(AND(AV11="Liquid"),AV18*_xlfn.XLOOKUP(AV10,'Fuel Conversion Parameters'!$A$2:$A$61,'Fuel Conversion Parameters'!$D$2:$D$61)*10^(-6),
            IF(AND(AV11="Gaseous"),AV18*_xlfn.XLOOKUP(AV10,'Fuel Conversion Parameters'!$A$2:$A$61,'Fuel Conversion Parameters'!$E$2:$E$61)*10^(-3)*10^(-6),"")
        )
    ),
    ""
)</f>
        <v/>
      </c>
      <c r="AV19" s="18"/>
      <c r="AW19" s="366"/>
      <c r="AY19" s="369" t="str">
        <f>IFERROR(
    IF(AND(AZ11="Solid"),AZ18,
        IF(AND(AZ11="Liquid"),AZ18*_xlfn.XLOOKUP(AZ10,'Fuel Conversion Parameters'!$A$2:$A$61,'Fuel Conversion Parameters'!$D$2:$D$61)*10^(-6),
            IF(AND(AZ11="Gaseous"),AZ18*_xlfn.XLOOKUP(AZ10,'Fuel Conversion Parameters'!$A$2:$A$61,'Fuel Conversion Parameters'!$E$2:$E$61)*10^(-3)*10^(-6),"")
        )
    ),
    ""
)</f>
        <v/>
      </c>
      <c r="AZ19" s="18"/>
      <c r="BA19" s="366"/>
    </row>
    <row r="20" spans="1:53" x14ac:dyDescent="0.3">
      <c r="A20" s="10"/>
      <c r="B20" s="10"/>
      <c r="O20" s="378">
        <f>IFERROR(IF(OR(O19="", O18=""), "", O19*O18), "")</f>
        <v>2.2949999999999998E-2</v>
      </c>
      <c r="Q20" s="366"/>
      <c r="S20" s="378">
        <f>IFERROR(IF(OR(S19="", S18=""), "", S19*S18), "")</f>
        <v>3.6119999999999999E-2</v>
      </c>
      <c r="U20" s="366"/>
      <c r="W20" s="378" t="str">
        <f>IFERROR(IF(OR(W19="", W18=""), "", W19*W18), "")</f>
        <v/>
      </c>
      <c r="Y20" s="366"/>
      <c r="AA20" s="378" t="str">
        <f>IFERROR(IF(OR(AA19="", AA18=""), "", AA19*AA18), "")</f>
        <v/>
      </c>
      <c r="AC20" s="366"/>
      <c r="AE20" s="378" t="str">
        <f>IFERROR(IF(OR(AE19="", AE18=""), "", AE19*AE18), "")</f>
        <v/>
      </c>
      <c r="AG20" s="366"/>
      <c r="AI20" s="378" t="str">
        <f>IFERROR(IF(OR(AI19="", AI18=""), "", AI19*AI18), "")</f>
        <v/>
      </c>
      <c r="AK20" s="366"/>
      <c r="AL20" s="10"/>
      <c r="AM20" s="378" t="str">
        <f>IFERROR(IF(OR(AM19="", AM18=""), "", AM19*AM18), "")</f>
        <v/>
      </c>
      <c r="AN20" s="10"/>
      <c r="AO20" s="366"/>
      <c r="AP20" s="10"/>
      <c r="AQ20" s="378" t="str">
        <f>IFERROR(IF(OR(AQ19="", AQ18=""), "", AQ19*AQ18), "")</f>
        <v/>
      </c>
      <c r="AS20" s="366"/>
      <c r="AU20" s="378" t="str">
        <f>IFERROR(IF(OR(AU19="", AU18=""), "", AU19*AU18), "")</f>
        <v/>
      </c>
      <c r="AW20" s="366"/>
      <c r="AY20" s="378" t="str">
        <f>IFERROR(IF(OR(AY19="", AY18=""), "", AY19*AY18), "")</f>
        <v/>
      </c>
      <c r="BA20" s="366"/>
    </row>
    <row r="21" spans="1:53" ht="15" thickBot="1" x14ac:dyDescent="0.35">
      <c r="A21" s="10"/>
      <c r="B21" s="10"/>
      <c r="I21" s="342"/>
      <c r="J21" s="342"/>
      <c r="K21" s="342"/>
      <c r="L21" s="342"/>
      <c r="M21" s="342"/>
      <c r="O21" s="369">
        <f>IFERROR(O20, "")</f>
        <v>2.2949999999999998E-2</v>
      </c>
      <c r="Q21" s="366"/>
      <c r="S21" s="369">
        <f>IFERROR(S20, "")</f>
        <v>3.6119999999999999E-2</v>
      </c>
      <c r="U21" s="366"/>
      <c r="W21" s="379" t="str">
        <f>IFERROR(W20, "")</f>
        <v/>
      </c>
      <c r="Y21" s="366"/>
      <c r="AA21" s="369" t="str">
        <f>IFERROR(AA20, "")</f>
        <v/>
      </c>
      <c r="AC21" s="366"/>
      <c r="AE21" s="369" t="str">
        <f>IFERROR(AE20, "")</f>
        <v/>
      </c>
      <c r="AG21" s="366"/>
      <c r="AI21" s="369" t="str">
        <f>IFERROR(AI20, "")</f>
        <v/>
      </c>
      <c r="AK21" s="366"/>
      <c r="AL21" s="10"/>
      <c r="AM21" s="380" t="str">
        <f>IFERROR(AM20, "")</f>
        <v/>
      </c>
      <c r="AN21" s="10"/>
      <c r="AO21" s="366"/>
      <c r="AP21" s="10"/>
      <c r="AQ21" s="380" t="str">
        <f>IFERROR(AQ20, "")</f>
        <v/>
      </c>
      <c r="AS21" s="366"/>
      <c r="AU21" s="369" t="str">
        <f>IFERROR(AU20, "")</f>
        <v/>
      </c>
      <c r="AW21" s="366"/>
      <c r="AY21" s="369" t="str">
        <f>IFERROR(AY20, "")</f>
        <v/>
      </c>
      <c r="BA21" s="366"/>
    </row>
    <row r="22" spans="1:53" ht="15" thickBot="1" x14ac:dyDescent="0.35">
      <c r="A22" s="10"/>
      <c r="B22" s="10"/>
      <c r="O22" s="339" t="s">
        <v>134</v>
      </c>
      <c r="P22" s="10" t="str">
        <f>IFERROR(IF(AND(P17&lt;&gt;0,O23=0),"ERROR",""),"")</f>
        <v/>
      </c>
      <c r="Q22" s="366"/>
      <c r="S22" s="339" t="s">
        <v>134</v>
      </c>
      <c r="T22" s="10" t="str">
        <f>IFERROR(IF(AND(T17&lt;&gt;0,S23=0),"ERROR",""),"")</f>
        <v/>
      </c>
      <c r="U22" s="366"/>
      <c r="W22" s="339" t="s">
        <v>134</v>
      </c>
      <c r="X22" s="10" t="str">
        <f>IFERROR(IF(AND(X17&lt;&gt;0,W23=0),"ERROR",""),"")</f>
        <v/>
      </c>
      <c r="Y22" s="366"/>
      <c r="AA22" s="339" t="s">
        <v>134</v>
      </c>
      <c r="AB22" s="10" t="str">
        <f>IFERROR(IF(AND(AB17&lt;&gt;0,AA23=0),"ERROR",""),"")</f>
        <v/>
      </c>
      <c r="AC22" s="366"/>
      <c r="AE22" s="339" t="s">
        <v>134</v>
      </c>
      <c r="AF22" s="10" t="str">
        <f>IFERROR(IF(AND(AF17&lt;&gt;0,AE23=0),"ERROR",""),"")</f>
        <v/>
      </c>
      <c r="AG22" s="366"/>
      <c r="AI22" s="339" t="s">
        <v>134</v>
      </c>
      <c r="AJ22" s="10" t="str">
        <f>IFERROR(IF(AND(AJ17&lt;&gt;0,AI23=0),"ERROR",""),"")</f>
        <v/>
      </c>
      <c r="AK22" s="366"/>
      <c r="AL22" s="10"/>
      <c r="AM22" s="339" t="s">
        <v>134</v>
      </c>
      <c r="AN22" s="10" t="str">
        <f>IFERROR(IF(AND(AN17&lt;&gt;0,AM23=0),"ERROR",""),"")</f>
        <v/>
      </c>
      <c r="AO22" s="366"/>
      <c r="AP22" s="10"/>
      <c r="AQ22" s="339" t="s">
        <v>134</v>
      </c>
      <c r="AR22" s="10" t="str">
        <f>IFERROR(IF(AND(AR17&lt;&gt;0,AQ23=0),"ERROR",""),"")</f>
        <v/>
      </c>
      <c r="AS22" s="366"/>
      <c r="AU22" s="339" t="s">
        <v>134</v>
      </c>
      <c r="AV22" s="10" t="str">
        <f>IFERROR(IF(AND(AV17&lt;&gt;0,AU23=0),"ERROR",""),"")</f>
        <v/>
      </c>
      <c r="AW22" s="366"/>
      <c r="AY22" s="339" t="s">
        <v>134</v>
      </c>
      <c r="AZ22" s="10" t="str">
        <f>IFERROR(IF(AND(AZ17&lt;&gt;0,AY23=0),"ERROR",""),"")</f>
        <v/>
      </c>
      <c r="BA22" s="366"/>
    </row>
    <row r="23" spans="1:53" x14ac:dyDescent="0.3">
      <c r="A23" s="1133" t="str">
        <f>template_label_transfer_the_total_results_to_the_b3_fuel_energy_consumption_reporting_cell</f>
        <v>Transfer the total calculated results to the B3 "Fuel Energy Consumption" reporting cell</v>
      </c>
      <c r="B23" s="1134"/>
      <c r="C23" s="1135"/>
      <c r="D23" s="1139" t="b">
        <v>1</v>
      </c>
      <c r="E23" s="1140"/>
      <c r="F23" s="1141"/>
      <c r="O23" s="376">
        <f>IF(OR(
   O21="",
   P17="",
   Q16="Liquid fuel: please change unit of measurement, select one among m³ and L",
   Q16="Gaseous fuel: please change unit of measurement, select one among m³ and L",
   Q16="Solid fuel: please change unit of measurement, select one among Gg, t, Kg and g"
),
"-",
IFERROR(O21*277.778, "")
)</f>
        <v>6.3750051000000001</v>
      </c>
      <c r="P23" s="334"/>
      <c r="Q23" s="375"/>
      <c r="S23" s="376">
        <f>IF(OR(
   S21="",
   T17="",
   U16="Liquid fuel: please change unit of measurement, select one among m³ and L",
   U16="Gaseous fuel: please change unit of measurement, select one among m³ and L",
   U16="Solid fuel: please change unit of measurement, select one among Gg, t, Kg and g"
),
"-",
IFERROR(S21*277.778, "")
)</f>
        <v>10.03334136</v>
      </c>
      <c r="T23" s="334"/>
      <c r="U23" s="375"/>
      <c r="W23" s="376"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34"/>
      <c r="Y23" s="375"/>
      <c r="AA23" s="376"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34"/>
      <c r="AC23" s="375"/>
      <c r="AE23" s="376"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34"/>
      <c r="AG23" s="375"/>
      <c r="AI23" s="376"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34"/>
      <c r="AK23" s="375"/>
      <c r="AL23" s="10"/>
      <c r="AM23" s="376"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34"/>
      <c r="AO23" s="375"/>
      <c r="AP23" s="10"/>
      <c r="AQ23" s="376"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34"/>
      <c r="AS23" s="375"/>
      <c r="AU23" s="376"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34"/>
      <c r="AW23" s="375"/>
      <c r="AY23" s="376"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34"/>
      <c r="BA23" s="375"/>
    </row>
    <row r="24" spans="1:53" ht="15" thickBot="1" x14ac:dyDescent="0.35">
      <c r="A24" s="1136"/>
      <c r="B24" s="1137"/>
      <c r="C24" s="1138"/>
      <c r="D24" s="1142"/>
      <c r="E24" s="1143"/>
      <c r="F24" s="1144"/>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29" t="str">
        <f>template_label_total_energy</f>
        <v>Total Energy [MWh]</v>
      </c>
      <c r="B28" s="1130"/>
      <c r="AL28" s="10"/>
      <c r="AN28" s="10"/>
      <c r="AO28" s="10"/>
      <c r="AP28" s="10"/>
    </row>
    <row r="29" spans="1:53" ht="15" thickBot="1" x14ac:dyDescent="0.35">
      <c r="A29" s="1131" cm="1">
        <f t="array" ref="A29">_xlfn.IFS(AND(A32="-",B32="-"),"-",AND(A32="-",B32&lt;&gt;"-"),B32,AND(A32&lt;&gt;"-",B32="-"),A32,AND(A32&lt;&gt;"-",B32&lt;&gt;"-"),A32+B32)</f>
        <v>16.408346460000001</v>
      </c>
      <c r="B29" s="1132"/>
      <c r="AL29" s="10"/>
      <c r="AN29" s="10"/>
      <c r="AO29" s="10"/>
      <c r="AP29" s="10"/>
    </row>
    <row r="30" spans="1:53" ht="15" thickBot="1" x14ac:dyDescent="0.35">
      <c r="A30" s="10"/>
      <c r="B30" s="10"/>
      <c r="AL30" s="10"/>
      <c r="AN30" s="10"/>
      <c r="AO30" s="10"/>
    </row>
    <row r="31" spans="1:53" ht="15" thickBot="1" x14ac:dyDescent="0.35">
      <c r="A31" s="339" t="str">
        <f>template_label_total_renewable_energy</f>
        <v>Total Renewable Energy [MWh]</v>
      </c>
      <c r="B31" s="335" t="str">
        <f>template_label_total_nonrenewable_energy</f>
        <v>Total Non-renewable Energy [MWh]</v>
      </c>
      <c r="AN31" s="10"/>
      <c r="AO31" s="10"/>
      <c r="AP31" s="10"/>
    </row>
    <row r="32" spans="1:53" ht="15" thickBot="1" x14ac:dyDescent="0.35">
      <c r="A32" s="345" cm="1">
        <f t="array" ref="A32">_xlfn.IFS(AND(H9=template_label_complete, COUNTIF(E10:E19, "Renewable") = 0), "-",
AND(H9=template_label_complete, COUNTIF(E10:E19, "Renewable") &gt; 0), SUMIF(E10:E19,"Renewable",F10:F19),
H9=template_label_incomplete, "-",
H9="-", "-")</f>
        <v>6.3750051000000001</v>
      </c>
      <c r="B32" s="345" cm="1">
        <f t="array" ref="B32">_xlfn.IFS(AND(H9=template_label_complete, COUNTIF(E10:E19, "Non-renewable") = 0), "-",
AND(H9=template_label_complete, COUNTIF(E10:E19, "Non-renewable") &gt; 0), SUMIF(E10:E19,"Non-renewable",F10:F19),
H9=template_label_incomplete, "-",
H9="-", "-")</f>
        <v>10.03334136</v>
      </c>
      <c r="R32" s="329"/>
      <c r="AL32" s="10"/>
      <c r="AN32" s="10"/>
      <c r="AO32" s="10"/>
      <c r="AP32" s="10"/>
    </row>
    <row r="33" spans="1:42" x14ac:dyDescent="0.3">
      <c r="A33" s="34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29" t="str">
        <f>template_label_further_notes</f>
        <v>Further notes:</v>
      </c>
      <c r="B36" s="10"/>
      <c r="AL36" s="10"/>
      <c r="AN36" s="10"/>
      <c r="AO36" s="10"/>
      <c r="AP36" s="10"/>
    </row>
    <row r="37" spans="1:42" ht="257.39999999999998" customHeight="1" x14ac:dyDescent="0.3">
      <c r="A37" s="923"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23"/>
      <c r="AL37" s="10"/>
      <c r="AN37" s="10"/>
      <c r="AO37" s="10"/>
      <c r="AP37" s="10"/>
    </row>
    <row r="38" spans="1:42" x14ac:dyDescent="0.3">
      <c r="A38" s="10"/>
      <c r="B38" s="10"/>
      <c r="AL38" s="10"/>
      <c r="AN38" s="10"/>
      <c r="AO38" s="10"/>
      <c r="AP38" s="10"/>
    </row>
    <row r="39" spans="1:42" x14ac:dyDescent="0.3">
      <c r="A39" s="1127" t="str">
        <f>template_label_energy_consumption_per_hour_in_mwh_for_solid_fuels</f>
        <v>Energy Consumption per Hour in MWh for Solid Fuels:</v>
      </c>
      <c r="B39" s="1127"/>
      <c r="AL39" s="10"/>
      <c r="AN39" s="10"/>
      <c r="AO39" s="10"/>
      <c r="AP39" s="10"/>
    </row>
    <row r="40" spans="1:42" ht="18" x14ac:dyDescent="0.35">
      <c r="A40" s="1128" t="str">
        <f>template_label_energy_solid_fuels</f>
        <v>Energy [MWh] = Mass [t] * NCV [MWh/t]</v>
      </c>
      <c r="B40" s="1128"/>
      <c r="AL40" s="10"/>
      <c r="AN40" s="10"/>
      <c r="AO40" s="10"/>
      <c r="AP40" s="10"/>
    </row>
    <row r="41" spans="1:42" x14ac:dyDescent="0.3">
      <c r="A41" s="1127"/>
      <c r="B41" s="1127"/>
      <c r="AL41" s="10"/>
      <c r="AN41" s="10"/>
      <c r="AO41" s="10"/>
      <c r="AP41" s="10"/>
    </row>
    <row r="42" spans="1:42" x14ac:dyDescent="0.3">
      <c r="A42" s="1127" t="str">
        <f>template_label_energy_consumption_per_hour_in_mwh_for_liquid_fuels</f>
        <v>Energy Consumption per Hour in MWh for Liquid Fuels:</v>
      </c>
      <c r="B42" s="1127"/>
      <c r="AL42" s="10"/>
      <c r="AN42" s="10"/>
      <c r="AO42" s="10"/>
      <c r="AP42" s="10"/>
    </row>
    <row r="43" spans="1:42" ht="18" x14ac:dyDescent="0.35">
      <c r="A43" s="1128" t="str">
        <f>template_label_mass_liquid_fuels</f>
        <v>Mass [t] = Volume [L] * Density [t/L]</v>
      </c>
      <c r="B43" s="1128"/>
      <c r="AL43" s="10"/>
      <c r="AN43" s="10"/>
      <c r="AO43" s="10"/>
      <c r="AP43" s="10"/>
    </row>
    <row r="44" spans="1:42" ht="18" x14ac:dyDescent="0.35">
      <c r="A44" s="1128" t="str">
        <f>template_label_energy_liquid_fuels</f>
        <v>Energy [MWh] = Mass [t] * [MWh/t]</v>
      </c>
      <c r="B44" s="1128"/>
      <c r="AL44" s="10"/>
      <c r="AN44" s="10"/>
      <c r="AO44" s="10"/>
      <c r="AP44" s="10"/>
    </row>
    <row r="45" spans="1:42" x14ac:dyDescent="0.3">
      <c r="A45" s="1127"/>
      <c r="B45" s="1127"/>
      <c r="AL45" s="10"/>
      <c r="AN45" s="10"/>
      <c r="AO45" s="10"/>
      <c r="AP45" s="10"/>
    </row>
    <row r="46" spans="1:42" x14ac:dyDescent="0.3">
      <c r="A46" s="1127" t="str">
        <f>template_label_energy_consumption_per_hour_in_mwh_for_gaseous_fuels</f>
        <v>Energy Consumption per Hour in MWh for Gaseous Fuels:</v>
      </c>
      <c r="B46" s="1127"/>
      <c r="AL46" s="10"/>
      <c r="AN46" s="10"/>
      <c r="AO46" s="10"/>
      <c r="AP46" s="10"/>
    </row>
    <row r="47" spans="1:42" ht="18" x14ac:dyDescent="0.35">
      <c r="A47" s="1128" t="str">
        <f>template_label_mass_gaseous_fuels</f>
        <v>Mass [t] = Volume [m³] * Density [t/m³]</v>
      </c>
      <c r="B47" s="1128"/>
      <c r="C47" s="349"/>
      <c r="AL47" s="10"/>
      <c r="AN47" s="10"/>
      <c r="AO47" s="10"/>
      <c r="AP47" s="10"/>
    </row>
    <row r="48" spans="1:42" ht="18" x14ac:dyDescent="0.35">
      <c r="A48" s="1128" t="str">
        <f>template_label_energy_gaseous_fuels</f>
        <v>Energy [MWh] = Mass [t] * NCV [MWh/t]</v>
      </c>
      <c r="B48" s="1128"/>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nDFAIo9s7BSWDUM2NsBXvr/jn0fbieReYh5Q2uFgkKnjb0+36x2DkjN4Oc0u9beYG98cOZy6/waKGkTXGMzZuw==" saltValue="UP/uqJXb8TSw3oAQOw29kA==" spinCount="100000" sheet="1" objects="1" scenarios="1"/>
  <mergeCells count="3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G17:H17"/>
    <mergeCell ref="G18:H18"/>
    <mergeCell ref="G19:H19"/>
    <mergeCell ref="G12:H12"/>
    <mergeCell ref="G13:H13"/>
    <mergeCell ref="G14:H14"/>
    <mergeCell ref="G15:H15"/>
    <mergeCell ref="G16:H16"/>
  </mergeCells>
  <conditionalFormatting sqref="A6">
    <cfRule type="expression" dxfId="84" priority="581">
      <formula>OR($P$11="Solid", $P$11="Gas")</formula>
    </cfRule>
  </conditionalFormatting>
  <conditionalFormatting sqref="D10">
    <cfRule type="expression" dxfId="83" priority="13">
      <formula>$D$10="MISSING VALUE"</formula>
    </cfRule>
  </conditionalFormatting>
  <conditionalFormatting sqref="D11">
    <cfRule type="expression" dxfId="82" priority="14">
      <formula>$D$11="MISSING VALUE"</formula>
    </cfRule>
  </conditionalFormatting>
  <conditionalFormatting sqref="D12">
    <cfRule type="expression" dxfId="81" priority="15">
      <formula>$D$12="MISSING VALUE"</formula>
    </cfRule>
  </conditionalFormatting>
  <conditionalFormatting sqref="D13">
    <cfRule type="expression" dxfId="80" priority="16">
      <formula>$D$13="MISSING VALUE"</formula>
    </cfRule>
  </conditionalFormatting>
  <conditionalFormatting sqref="D14">
    <cfRule type="expression" dxfId="79" priority="17">
      <formula>$D$14="MISSING VALUE"</formula>
    </cfRule>
  </conditionalFormatting>
  <conditionalFormatting sqref="D15">
    <cfRule type="expression" dxfId="78" priority="18">
      <formula>$D$15="MISSING VALUE"</formula>
    </cfRule>
  </conditionalFormatting>
  <conditionalFormatting sqref="D16">
    <cfRule type="expression" dxfId="77" priority="19">
      <formula>$D$16="MISSING VALUE"</formula>
    </cfRule>
  </conditionalFormatting>
  <conditionalFormatting sqref="D17">
    <cfRule type="expression" dxfId="76" priority="20">
      <formula>$D$17="MISSING VALUE"</formula>
    </cfRule>
  </conditionalFormatting>
  <conditionalFormatting sqref="D18">
    <cfRule type="expression" dxfId="75" priority="21">
      <formula>$D$18="MISSING VALUE"</formula>
    </cfRule>
  </conditionalFormatting>
  <conditionalFormatting sqref="D19">
    <cfRule type="expression" dxfId="74" priority="23">
      <formula>$D$19="MISSING VALUE"</formula>
    </cfRule>
  </conditionalFormatting>
  <conditionalFormatting sqref="E10">
    <cfRule type="expression" dxfId="73" priority="5">
      <formula>$E$10="MISSING VALUE"</formula>
    </cfRule>
  </conditionalFormatting>
  <conditionalFormatting sqref="E11">
    <cfRule type="expression" dxfId="72" priority="6">
      <formula>$E$11="MISSING VALUE"</formula>
    </cfRule>
  </conditionalFormatting>
  <conditionalFormatting sqref="E12">
    <cfRule type="expression" dxfId="71" priority="7">
      <formula>$E$12="MISSING VALUE"</formula>
    </cfRule>
  </conditionalFormatting>
  <conditionalFormatting sqref="E13">
    <cfRule type="expression" dxfId="70" priority="8">
      <formula>$E$13="MISSING VALUE"</formula>
    </cfRule>
  </conditionalFormatting>
  <conditionalFormatting sqref="E14">
    <cfRule type="expression" dxfId="69" priority="9">
      <formula>$E$14="MISSING VALUE"</formula>
    </cfRule>
  </conditionalFormatting>
  <conditionalFormatting sqref="E15">
    <cfRule type="expression" dxfId="68" priority="10">
      <formula>$E$15="MISSING VALUE"</formula>
    </cfRule>
  </conditionalFormatting>
  <conditionalFormatting sqref="E16">
    <cfRule type="expression" dxfId="67" priority="11">
      <formula>$E$16="MISSING VALUE"</formula>
    </cfRule>
  </conditionalFormatting>
  <conditionalFormatting sqref="E17">
    <cfRule type="expression" dxfId="66" priority="12">
      <formula>$E$17="MISSING VALUE"</formula>
    </cfRule>
  </conditionalFormatting>
  <conditionalFormatting sqref="E18">
    <cfRule type="expression" dxfId="65" priority="4">
      <formula>$E$18="MISSING VALUE"</formula>
    </cfRule>
  </conditionalFormatting>
  <conditionalFormatting sqref="E19">
    <cfRule type="expression" dxfId="64" priority="22">
      <formula>$E$19="MISSING VALUE"</formula>
    </cfRule>
  </conditionalFormatting>
  <conditionalFormatting sqref="G10:G19">
    <cfRule type="expression" dxfId="63" priority="1">
      <formula>$G10=template_label_ok</formula>
    </cfRule>
    <cfRule type="expression" dxfId="62" priority="25">
      <formula>$G10=template_label_solid_warning</formula>
    </cfRule>
    <cfRule type="expression" dxfId="61" priority="28">
      <formula>$G10=template_label_gaseous_warning</formula>
    </cfRule>
    <cfRule type="expression" dxfId="60" priority="29">
      <formula>$G10=template_label_liquid_warning</formula>
    </cfRule>
  </conditionalFormatting>
  <conditionalFormatting sqref="H9">
    <cfRule type="expression" dxfId="59" priority="2">
      <formula>$H$9=template_label_complete</formula>
    </cfRule>
    <cfRule type="expression" dxfId="58" priority="3">
      <formula>$H$9=template_label_incomplete</formula>
    </cfRule>
  </conditionalFormatting>
  <conditionalFormatting sqref="P11">
    <cfRule type="expression" dxfId="57" priority="48">
      <formula>$P$11="MISSING VALUE"</formula>
    </cfRule>
  </conditionalFormatting>
  <conditionalFormatting sqref="P12">
    <cfRule type="expression" dxfId="56" priority="158">
      <formula>$P$12="MISSING VALUE"</formula>
    </cfRule>
  </conditionalFormatting>
  <conditionalFormatting sqref="Q16 U16 Y16 AC16 AG16 AK16 AO16 AS16 AW16 BA16">
    <cfRule type="expression" dxfId="55" priority="127">
      <formula>Q$16="Solid fuel: please change unit of measurement, select one among Gg, t, Kg and g"</formula>
    </cfRule>
    <cfRule type="expression" dxfId="54" priority="128">
      <formula>Q$16="Solid fuel: please select one unit of measurement among Gg, t, Kg and g"</formula>
    </cfRule>
    <cfRule type="expression" dxfId="53" priority="129">
      <formula>Q$16="Gaseous fuel: please change unit of measurement, select one among m³ and L"</formula>
    </cfRule>
    <cfRule type="expression" dxfId="52" priority="131">
      <formula>Q$16="Gaseous fuel: please select one unit of measurement among m³ and L"</formula>
    </cfRule>
    <cfRule type="expression" dxfId="51" priority="132">
      <formula>Q$16="Liquid fuel: please select one unit of measurement among m³ and L"</formula>
    </cfRule>
    <cfRule type="expression" dxfId="50" priority="130">
      <formula>Q$16="Liquid fuel: please change unit of measurement, select one among m³ and L"</formula>
    </cfRule>
  </conditionalFormatting>
  <conditionalFormatting sqref="T11">
    <cfRule type="expression" dxfId="49" priority="133">
      <formula>$T$11="MISSING VALUE"</formula>
    </cfRule>
  </conditionalFormatting>
  <conditionalFormatting sqref="T12">
    <cfRule type="expression" dxfId="48" priority="152">
      <formula>$T$12="MISSING VALUE"</formula>
    </cfRule>
  </conditionalFormatting>
  <conditionalFormatting sqref="X11">
    <cfRule type="expression" dxfId="47" priority="45">
      <formula>$T$11="MISSING VALUE"</formula>
    </cfRule>
  </conditionalFormatting>
  <conditionalFormatting sqref="X12">
    <cfRule type="expression" dxfId="46" priority="44">
      <formula>$T$12="MISSING VALUE"</formula>
    </cfRule>
  </conditionalFormatting>
  <conditionalFormatting sqref="AB11">
    <cfRule type="expression" dxfId="45" priority="43">
      <formula>$T$11="MISSING VALUE"</formula>
    </cfRule>
  </conditionalFormatting>
  <conditionalFormatting sqref="AB12">
    <cfRule type="expression" dxfId="44" priority="42">
      <formula>$T$12="MISSING VALUE"</formula>
    </cfRule>
  </conditionalFormatting>
  <conditionalFormatting sqref="AF11">
    <cfRule type="expression" dxfId="43" priority="41">
      <formula>$T$11="MISSING VALUE"</formula>
    </cfRule>
  </conditionalFormatting>
  <conditionalFormatting sqref="AF12">
    <cfRule type="expression" dxfId="42" priority="40">
      <formula>$T$12="MISSING VALUE"</formula>
    </cfRule>
  </conditionalFormatting>
  <conditionalFormatting sqref="AJ11">
    <cfRule type="expression" dxfId="41" priority="39">
      <formula>$T$11="MISSING VALUE"</formula>
    </cfRule>
  </conditionalFormatting>
  <conditionalFormatting sqref="AJ12">
    <cfRule type="expression" dxfId="40" priority="38">
      <formula>$T$12="MISSING VALUE"</formula>
    </cfRule>
  </conditionalFormatting>
  <conditionalFormatting sqref="AN11">
    <cfRule type="expression" dxfId="39" priority="37">
      <formula>$T$11="MISSING VALUE"</formula>
    </cfRule>
  </conditionalFormatting>
  <conditionalFormatting sqref="AN12">
    <cfRule type="expression" dxfId="38" priority="36">
      <formula>$T$12="MISSING VALUE"</formula>
    </cfRule>
  </conditionalFormatting>
  <conditionalFormatting sqref="AR11">
    <cfRule type="expression" dxfId="37" priority="35">
      <formula>$T$11="MISSING VALUE"</formula>
    </cfRule>
  </conditionalFormatting>
  <conditionalFormatting sqref="AR12">
    <cfRule type="expression" dxfId="36" priority="34">
      <formula>$T$12="MISSING VALUE"</formula>
    </cfRule>
  </conditionalFormatting>
  <conditionalFormatting sqref="AV11">
    <cfRule type="expression" dxfId="35" priority="33">
      <formula>$T$11="MISSING VALUE"</formula>
    </cfRule>
  </conditionalFormatting>
  <conditionalFormatting sqref="AV12">
    <cfRule type="expression" dxfId="34" priority="32">
      <formula>$T$12="MISSING VALUE"</formula>
    </cfRule>
  </conditionalFormatting>
  <conditionalFormatting sqref="AZ11">
    <cfRule type="expression" dxfId="33" priority="31">
      <formula>$T$11="MISSING VALUE"</formula>
    </cfRule>
  </conditionalFormatting>
  <conditionalFormatting sqref="AZ12">
    <cfRule type="expression" dxfId="32"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664062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6640625" bestFit="1" customWidth="1"/>
    <col min="19" max="19" width="46.6640625" bestFit="1" customWidth="1"/>
    <col min="20" max="20" width="100.33203125" bestFit="1" customWidth="1"/>
    <col min="21" max="21" width="12.6640625" bestFit="1" customWidth="1"/>
    <col min="23" max="23" width="31.44140625" customWidth="1"/>
    <col min="24" max="24" width="255.44140625" bestFit="1" customWidth="1"/>
    <col min="25" max="25" width="17.44140625" customWidth="1"/>
    <col min="26" max="26" width="28.6640625" customWidth="1"/>
    <col min="27" max="27" width="23.33203125" customWidth="1"/>
    <col min="28" max="28" width="17.6640625" customWidth="1"/>
    <col min="29" max="29" width="43.44140625" bestFit="1" customWidth="1"/>
  </cols>
  <sheetData>
    <row r="1" spans="1:30" ht="72" x14ac:dyDescent="0.3">
      <c r="A1" s="279" t="s">
        <v>339</v>
      </c>
      <c r="B1" s="435" t="s">
        <v>340</v>
      </c>
      <c r="C1" s="6" t="s">
        <v>341</v>
      </c>
      <c r="D1" s="6" t="s">
        <v>342</v>
      </c>
      <c r="E1" s="6" t="s">
        <v>343</v>
      </c>
      <c r="F1" s="6" t="s">
        <v>344</v>
      </c>
      <c r="G1" s="257" t="s">
        <v>345</v>
      </c>
      <c r="H1" s="257" t="s">
        <v>346</v>
      </c>
      <c r="I1" s="257" t="s">
        <v>347</v>
      </c>
      <c r="J1" s="6" t="s">
        <v>348</v>
      </c>
      <c r="K1" s="6" t="s">
        <v>132</v>
      </c>
      <c r="L1" s="6" t="s">
        <v>349</v>
      </c>
      <c r="M1" s="6" t="s">
        <v>350</v>
      </c>
      <c r="N1" s="6" t="s">
        <v>351</v>
      </c>
      <c r="O1" s="257" t="s">
        <v>352</v>
      </c>
      <c r="P1" s="6" t="s">
        <v>353</v>
      </c>
      <c r="Q1" s="6" t="s">
        <v>354</v>
      </c>
      <c r="R1" s="6" t="s">
        <v>355</v>
      </c>
      <c r="S1" s="6" t="s">
        <v>356</v>
      </c>
      <c r="T1" s="6" t="s">
        <v>357</v>
      </c>
      <c r="U1" s="6" t="s">
        <v>358</v>
      </c>
      <c r="V1" s="6" t="s">
        <v>355</v>
      </c>
      <c r="W1" s="280" t="s">
        <v>359</v>
      </c>
      <c r="X1" s="281" t="s">
        <v>360</v>
      </c>
      <c r="Y1" s="280" t="s">
        <v>361</v>
      </c>
      <c r="Z1" s="282" t="s">
        <v>362</v>
      </c>
      <c r="AA1" s="11" t="s">
        <v>363</v>
      </c>
      <c r="AB1" s="11" t="s">
        <v>364</v>
      </c>
      <c r="AC1" s="11" t="s">
        <v>365</v>
      </c>
      <c r="AD1" s="11" t="s">
        <v>366</v>
      </c>
    </row>
    <row r="2" spans="1:30" x14ac:dyDescent="0.3">
      <c r="A2" t="s">
        <v>367</v>
      </c>
      <c r="B2" s="283" t="s">
        <v>368</v>
      </c>
      <c r="C2" s="284" t="s">
        <v>369</v>
      </c>
      <c r="D2" t="s">
        <v>370</v>
      </c>
      <c r="E2" t="str">
        <f>RIGHT(D2,2)</f>
        <v>AD</v>
      </c>
      <c r="F2" t="s">
        <v>371</v>
      </c>
      <c r="G2" t="s">
        <v>59</v>
      </c>
      <c r="H2" t="s">
        <v>372</v>
      </c>
      <c r="I2" t="s">
        <v>373</v>
      </c>
      <c r="J2" t="s">
        <v>16</v>
      </c>
      <c r="K2" t="s">
        <v>58</v>
      </c>
      <c r="L2" t="s">
        <v>374</v>
      </c>
      <c r="M2" t="s">
        <v>375</v>
      </c>
      <c r="N2" t="s">
        <v>376</v>
      </c>
      <c r="O2" t="s">
        <v>66</v>
      </c>
      <c r="P2" t="s">
        <v>377</v>
      </c>
      <c r="Q2">
        <v>2000</v>
      </c>
      <c r="R2">
        <v>1</v>
      </c>
      <c r="S2" t="s">
        <v>56</v>
      </c>
      <c r="T2" t="str">
        <f>template_label_b1_basis_for_preparation_validation</f>
        <v>B1 - Basis for Preparation</v>
      </c>
      <c r="U2" s="285">
        <v>1</v>
      </c>
      <c r="V2" t="s">
        <v>378</v>
      </c>
      <c r="W2" t="s">
        <v>58</v>
      </c>
      <c r="X2" s="38" t="s">
        <v>379</v>
      </c>
      <c r="Y2" t="s">
        <v>380</v>
      </c>
      <c r="Z2" s="2" t="s">
        <v>381</v>
      </c>
      <c r="AA2">
        <v>1</v>
      </c>
      <c r="AB2" t="s">
        <v>5</v>
      </c>
      <c r="AC2" t="s">
        <v>382</v>
      </c>
      <c r="AD2" t="b">
        <v>1</v>
      </c>
    </row>
    <row r="3" spans="1:30" ht="28.8" x14ac:dyDescent="0.3">
      <c r="A3" s="284" t="s">
        <v>383</v>
      </c>
      <c r="B3" s="286" t="s">
        <v>384</v>
      </c>
      <c r="C3" s="284" t="s">
        <v>385</v>
      </c>
      <c r="D3" t="s">
        <v>386</v>
      </c>
      <c r="E3" t="str">
        <f t="shared" ref="E3:E66" si="0">RIGHT(D3,2)</f>
        <v>AE</v>
      </c>
      <c r="F3" t="s">
        <v>387</v>
      </c>
      <c r="G3" t="s">
        <v>60</v>
      </c>
      <c r="H3" t="s">
        <v>388</v>
      </c>
      <c r="I3" t="s">
        <v>389</v>
      </c>
      <c r="J3" t="s">
        <v>390</v>
      </c>
      <c r="K3" t="s">
        <v>70</v>
      </c>
      <c r="L3" t="s">
        <v>391</v>
      </c>
      <c r="M3" t="s">
        <v>392</v>
      </c>
      <c r="N3" t="s">
        <v>393</v>
      </c>
      <c r="O3" t="s">
        <v>87</v>
      </c>
      <c r="P3" t="s">
        <v>394</v>
      </c>
      <c r="Q3">
        <v>2001</v>
      </c>
      <c r="R3">
        <v>2</v>
      </c>
      <c r="S3" t="s">
        <v>395</v>
      </c>
      <c r="T3" s="38" t="str">
        <f>template_label_b2_practices_policies_and_future_initiatives_for_transitioning_towards_a_more_sustainable_economy_validation</f>
        <v xml:space="preserve">B2 - Practices, policies and future initiatives for transitioning towards a more sustainable economy </v>
      </c>
      <c r="U3" s="285">
        <v>2</v>
      </c>
      <c r="V3" t="s">
        <v>396</v>
      </c>
      <c r="W3" t="s">
        <v>70</v>
      </c>
      <c r="X3" t="s">
        <v>397</v>
      </c>
      <c r="Y3" t="s">
        <v>398</v>
      </c>
      <c r="Z3" s="2" t="s">
        <v>25</v>
      </c>
      <c r="AA3">
        <v>2</v>
      </c>
      <c r="AB3" t="s">
        <v>399</v>
      </c>
      <c r="AC3" t="s">
        <v>11</v>
      </c>
      <c r="AD3" t="b">
        <v>0</v>
      </c>
    </row>
    <row r="4" spans="1:30" x14ac:dyDescent="0.3">
      <c r="A4" s="283" t="s">
        <v>368</v>
      </c>
      <c r="B4" s="286" t="s">
        <v>400</v>
      </c>
      <c r="C4" s="284" t="s">
        <v>401</v>
      </c>
      <c r="D4" t="s">
        <v>402</v>
      </c>
      <c r="E4" t="str">
        <f t="shared" si="0"/>
        <v>AF</v>
      </c>
      <c r="F4" t="s">
        <v>403</v>
      </c>
      <c r="G4" t="s">
        <v>404</v>
      </c>
      <c r="I4" t="s">
        <v>405</v>
      </c>
      <c r="J4" t="s">
        <v>406</v>
      </c>
      <c r="K4" t="s">
        <v>407</v>
      </c>
      <c r="L4" t="s">
        <v>408</v>
      </c>
      <c r="M4" t="s">
        <v>409</v>
      </c>
      <c r="P4" t="s">
        <v>410</v>
      </c>
      <c r="Q4">
        <v>2002</v>
      </c>
      <c r="R4">
        <v>3</v>
      </c>
      <c r="T4" t="str">
        <f>template_label_b3_energy_and_greenhouse_gas_emissions_validation</f>
        <v>B3 - Energy and greenhouse gas emissions</v>
      </c>
      <c r="U4" s="285">
        <v>3</v>
      </c>
      <c r="V4" t="s">
        <v>411</v>
      </c>
      <c r="X4" t="s">
        <v>412</v>
      </c>
      <c r="Y4" t="s">
        <v>413</v>
      </c>
      <c r="AA4">
        <v>3</v>
      </c>
      <c r="AB4" t="s">
        <v>414</v>
      </c>
    </row>
    <row r="5" spans="1:30" x14ac:dyDescent="0.3">
      <c r="A5" s="286" t="s">
        <v>384</v>
      </c>
      <c r="B5" s="286" t="s">
        <v>415</v>
      </c>
      <c r="C5" s="284" t="s">
        <v>416</v>
      </c>
      <c r="D5" t="s">
        <v>417</v>
      </c>
      <c r="E5" t="str">
        <f t="shared" si="0"/>
        <v>AG</v>
      </c>
      <c r="F5" t="s">
        <v>418</v>
      </c>
      <c r="G5" t="s">
        <v>419</v>
      </c>
      <c r="I5" t="s">
        <v>420</v>
      </c>
      <c r="J5" t="s">
        <v>421</v>
      </c>
      <c r="M5" t="s">
        <v>422</v>
      </c>
      <c r="Q5">
        <v>2003</v>
      </c>
      <c r="R5">
        <v>4</v>
      </c>
      <c r="T5" s="38" t="str">
        <f>template_label_b4_pollution_of_air_water_and_soil_validation</f>
        <v>B4 - Pollution of air, water and soil</v>
      </c>
      <c r="U5" s="285">
        <v>4</v>
      </c>
      <c r="V5" t="s">
        <v>423</v>
      </c>
      <c r="X5" t="s">
        <v>424</v>
      </c>
      <c r="Y5" t="s">
        <v>425</v>
      </c>
      <c r="AA5">
        <v>4</v>
      </c>
      <c r="AB5" t="s">
        <v>426</v>
      </c>
    </row>
    <row r="6" spans="1:30" x14ac:dyDescent="0.3">
      <c r="A6" s="287" t="s">
        <v>427</v>
      </c>
      <c r="B6" s="286" t="s">
        <v>428</v>
      </c>
      <c r="C6" s="284" t="s">
        <v>429</v>
      </c>
      <c r="D6" t="s">
        <v>430</v>
      </c>
      <c r="E6" t="str">
        <f t="shared" si="0"/>
        <v>AI</v>
      </c>
      <c r="F6" t="s">
        <v>431</v>
      </c>
      <c r="G6" t="s">
        <v>432</v>
      </c>
      <c r="I6" t="s">
        <v>433</v>
      </c>
      <c r="J6" t="s">
        <v>434</v>
      </c>
      <c r="M6" t="s">
        <v>435</v>
      </c>
      <c r="Q6">
        <v>2004</v>
      </c>
      <c r="R6">
        <v>5</v>
      </c>
      <c r="T6" s="38" t="str">
        <f>template_label_b5_biodiversity_validation</f>
        <v>B5 - Biodiversity</v>
      </c>
      <c r="U6" s="285">
        <v>5</v>
      </c>
      <c r="V6" t="s">
        <v>436</v>
      </c>
      <c r="X6" t="s">
        <v>437</v>
      </c>
      <c r="Y6" t="s">
        <v>438</v>
      </c>
      <c r="AA6">
        <v>5</v>
      </c>
    </row>
    <row r="7" spans="1:30" x14ac:dyDescent="0.3">
      <c r="A7" s="287" t="s">
        <v>439</v>
      </c>
      <c r="B7" s="286" t="s">
        <v>440</v>
      </c>
      <c r="C7" s="284" t="s">
        <v>93</v>
      </c>
      <c r="D7" t="s">
        <v>441</v>
      </c>
      <c r="E7" t="str">
        <f t="shared" si="0"/>
        <v>AL</v>
      </c>
      <c r="F7" t="s">
        <v>442</v>
      </c>
      <c r="G7" t="s">
        <v>443</v>
      </c>
      <c r="I7" t="s">
        <v>444</v>
      </c>
      <c r="M7" t="s">
        <v>445</v>
      </c>
      <c r="Q7">
        <v>2005</v>
      </c>
      <c r="R7">
        <v>6</v>
      </c>
      <c r="T7" s="38" t="str">
        <f>template_label_b6_water_validation</f>
        <v>B6 - Water</v>
      </c>
      <c r="U7" s="285">
        <v>6</v>
      </c>
      <c r="V7" t="s">
        <v>446</v>
      </c>
      <c r="X7" t="s">
        <v>447</v>
      </c>
      <c r="Y7" t="s">
        <v>448</v>
      </c>
      <c r="AA7">
        <v>6</v>
      </c>
    </row>
    <row r="8" spans="1:30" x14ac:dyDescent="0.3">
      <c r="A8" s="287" t="s">
        <v>449</v>
      </c>
      <c r="B8" s="286" t="s">
        <v>450</v>
      </c>
      <c r="C8" s="284" t="s">
        <v>451</v>
      </c>
      <c r="D8" t="s">
        <v>452</v>
      </c>
      <c r="E8" t="str">
        <f t="shared" si="0"/>
        <v>AM</v>
      </c>
      <c r="F8" t="s">
        <v>453</v>
      </c>
      <c r="G8" t="s">
        <v>454</v>
      </c>
      <c r="I8" t="s">
        <v>455</v>
      </c>
      <c r="M8" t="s">
        <v>456</v>
      </c>
      <c r="Q8">
        <v>2006</v>
      </c>
      <c r="R8">
        <v>7</v>
      </c>
      <c r="T8" s="38" t="str">
        <f>template_label_b7_resource_use_circular_economy_and_waste_management_validation</f>
        <v>B7 - Resource use, circular economy and waste management</v>
      </c>
      <c r="U8" s="285">
        <v>7</v>
      </c>
      <c r="V8" t="s">
        <v>457</v>
      </c>
      <c r="X8" t="s">
        <v>458</v>
      </c>
      <c r="Y8" t="s">
        <v>459</v>
      </c>
      <c r="AA8">
        <v>7</v>
      </c>
    </row>
    <row r="9" spans="1:30" x14ac:dyDescent="0.3">
      <c r="A9" s="287" t="s">
        <v>460</v>
      </c>
      <c r="B9" s="286" t="s">
        <v>461</v>
      </c>
      <c r="C9" s="284" t="s">
        <v>462</v>
      </c>
      <c r="D9" t="s">
        <v>463</v>
      </c>
      <c r="E9" t="str">
        <f t="shared" si="0"/>
        <v>AN</v>
      </c>
      <c r="F9" t="s">
        <v>464</v>
      </c>
      <c r="G9" t="s">
        <v>465</v>
      </c>
      <c r="I9" t="s">
        <v>466</v>
      </c>
      <c r="M9" t="s">
        <v>467</v>
      </c>
      <c r="Q9">
        <v>2007</v>
      </c>
      <c r="R9">
        <v>8</v>
      </c>
      <c r="T9" t="str">
        <f>template_label_b8_workforce_general_characteristics_validation</f>
        <v>B8 - Workforce - General characteristics</v>
      </c>
      <c r="U9" s="285">
        <v>8</v>
      </c>
      <c r="V9" t="s">
        <v>468</v>
      </c>
      <c r="X9" t="s">
        <v>469</v>
      </c>
      <c r="Y9" t="s">
        <v>470</v>
      </c>
      <c r="AA9">
        <v>8</v>
      </c>
    </row>
    <row r="10" spans="1:30" x14ac:dyDescent="0.3">
      <c r="A10" s="287" t="s">
        <v>471</v>
      </c>
      <c r="B10" s="283" t="s">
        <v>472</v>
      </c>
      <c r="C10" s="284" t="s">
        <v>473</v>
      </c>
      <c r="D10" t="s">
        <v>474</v>
      </c>
      <c r="E10" t="str">
        <f t="shared" si="0"/>
        <v>AO</v>
      </c>
      <c r="F10" t="s">
        <v>475</v>
      </c>
      <c r="G10" t="s">
        <v>476</v>
      </c>
      <c r="I10" t="s">
        <v>477</v>
      </c>
      <c r="M10" t="s">
        <v>478</v>
      </c>
      <c r="Q10">
        <v>2008</v>
      </c>
      <c r="R10">
        <v>9</v>
      </c>
      <c r="T10" s="38" t="str">
        <f>template_label_b9_workforce_health_and_safety_validation</f>
        <v>B9 - Workforce - Health and safety</v>
      </c>
      <c r="U10" s="285">
        <v>9</v>
      </c>
      <c r="V10" t="s">
        <v>479</v>
      </c>
      <c r="X10" t="s">
        <v>480</v>
      </c>
      <c r="Y10" t="s">
        <v>481</v>
      </c>
      <c r="AA10">
        <v>9</v>
      </c>
    </row>
    <row r="11" spans="1:30" x14ac:dyDescent="0.3">
      <c r="A11" s="287" t="s">
        <v>482</v>
      </c>
      <c r="B11" s="286" t="s">
        <v>483</v>
      </c>
      <c r="C11" s="284" t="s">
        <v>484</v>
      </c>
      <c r="D11" t="s">
        <v>485</v>
      </c>
      <c r="E11" t="str">
        <f t="shared" si="0"/>
        <v>AQ</v>
      </c>
      <c r="F11" t="s">
        <v>486</v>
      </c>
      <c r="G11" t="s">
        <v>487</v>
      </c>
      <c r="I11" t="s">
        <v>488</v>
      </c>
      <c r="M11" t="s">
        <v>489</v>
      </c>
      <c r="Q11">
        <v>2009</v>
      </c>
      <c r="R11">
        <v>10</v>
      </c>
      <c r="T11" s="38" t="str">
        <f>template_label_b10_workforce_remuneration_collective_bargaining_and_training_validation</f>
        <v>B10 - Workforce - Remuneration, collective bargaining and training</v>
      </c>
      <c r="U11" s="285">
        <v>10</v>
      </c>
      <c r="V11" t="s">
        <v>490</v>
      </c>
      <c r="X11" t="s">
        <v>491</v>
      </c>
      <c r="Y11" t="s">
        <v>492</v>
      </c>
      <c r="AA11">
        <v>10</v>
      </c>
    </row>
    <row r="12" spans="1:30" x14ac:dyDescent="0.3">
      <c r="A12" s="287" t="s">
        <v>493</v>
      </c>
      <c r="B12" s="286" t="s">
        <v>494</v>
      </c>
      <c r="C12" s="284" t="s">
        <v>495</v>
      </c>
      <c r="D12" t="s">
        <v>496</v>
      </c>
      <c r="E12" t="str">
        <f t="shared" si="0"/>
        <v>AR</v>
      </c>
      <c r="F12" t="s">
        <v>497</v>
      </c>
      <c r="G12" t="s">
        <v>498</v>
      </c>
      <c r="I12" t="s">
        <v>499</v>
      </c>
      <c r="M12" t="s">
        <v>500</v>
      </c>
      <c r="Q12">
        <v>2010</v>
      </c>
      <c r="R12">
        <v>11</v>
      </c>
      <c r="T12" s="38" t="str">
        <f>template_label_b11_convictions_and_fines_for_corruption_and_bribery_validation</f>
        <v>B11 - Convictions and fines for corruption and bribery</v>
      </c>
      <c r="U12" s="285">
        <v>11</v>
      </c>
      <c r="V12" t="s">
        <v>501</v>
      </c>
      <c r="X12" t="s">
        <v>502</v>
      </c>
      <c r="Y12" t="s">
        <v>503</v>
      </c>
      <c r="AA12">
        <v>11</v>
      </c>
    </row>
    <row r="13" spans="1:30" x14ac:dyDescent="0.3">
      <c r="A13" s="286" t="s">
        <v>400</v>
      </c>
      <c r="B13" s="286" t="s">
        <v>504</v>
      </c>
      <c r="C13" s="284" t="s">
        <v>505</v>
      </c>
      <c r="D13" t="s">
        <v>506</v>
      </c>
      <c r="E13" t="str">
        <f t="shared" si="0"/>
        <v>AS</v>
      </c>
      <c r="F13" t="s">
        <v>507</v>
      </c>
      <c r="G13" t="s">
        <v>508</v>
      </c>
      <c r="I13" t="s">
        <v>509</v>
      </c>
      <c r="Q13">
        <v>2011</v>
      </c>
      <c r="R13">
        <v>12</v>
      </c>
      <c r="T13" s="38" t="str">
        <f>template_label_c1_strategy_business_model_and_sustainability_related_initiatives_validation</f>
        <v>C1 - Strategy: Business Model and Sustainability - Related Initiatives</v>
      </c>
      <c r="U13" s="285">
        <v>12</v>
      </c>
      <c r="V13" t="s">
        <v>510</v>
      </c>
      <c r="X13" t="s">
        <v>511</v>
      </c>
      <c r="Y13" t="s">
        <v>512</v>
      </c>
      <c r="AA13">
        <v>12</v>
      </c>
    </row>
    <row r="14" spans="1:30" x14ac:dyDescent="0.3">
      <c r="A14" s="287" t="s">
        <v>513</v>
      </c>
      <c r="B14" s="286" t="s">
        <v>514</v>
      </c>
      <c r="C14" s="284" t="s">
        <v>515</v>
      </c>
      <c r="D14" t="s">
        <v>516</v>
      </c>
      <c r="E14" t="str">
        <f t="shared" si="0"/>
        <v>AT</v>
      </c>
      <c r="F14" t="s">
        <v>517</v>
      </c>
      <c r="G14" t="s">
        <v>518</v>
      </c>
      <c r="I14" t="s">
        <v>519</v>
      </c>
      <c r="Q14">
        <v>2012</v>
      </c>
      <c r="T14" s="38" t="str">
        <f>template_label_c2_description_of_practices_policies_and_future_initiatives_for_transitioning_towards_a_more_sustainable_economy_validation</f>
        <v>C2 - Description of practices, policies and future initiatives for transitioning towards a more sustainable economy</v>
      </c>
      <c r="X14" t="s">
        <v>520</v>
      </c>
      <c r="Y14" t="s">
        <v>521</v>
      </c>
      <c r="AA14">
        <v>13</v>
      </c>
    </row>
    <row r="15" spans="1:30" x14ac:dyDescent="0.3">
      <c r="A15" s="287" t="s">
        <v>522</v>
      </c>
      <c r="B15" s="283" t="s">
        <v>523</v>
      </c>
      <c r="C15" s="284" t="s">
        <v>524</v>
      </c>
      <c r="D15" t="s">
        <v>525</v>
      </c>
      <c r="E15" t="str">
        <f t="shared" si="0"/>
        <v>AU</v>
      </c>
      <c r="F15" t="s">
        <v>526</v>
      </c>
      <c r="G15" t="s">
        <v>527</v>
      </c>
      <c r="I15" t="s">
        <v>528</v>
      </c>
      <c r="Q15">
        <v>2013</v>
      </c>
      <c r="T15" t="str">
        <f>template_label_c3_ghg_reduction_targets_and_climate_transition_validation</f>
        <v>C3 - GHG reduction targets and climate transition</v>
      </c>
      <c r="X15" t="s">
        <v>529</v>
      </c>
      <c r="Y15" t="s">
        <v>530</v>
      </c>
      <c r="AA15">
        <v>14</v>
      </c>
    </row>
    <row r="16" spans="1:30" x14ac:dyDescent="0.3">
      <c r="A16" s="287" t="s">
        <v>531</v>
      </c>
      <c r="B16" s="286" t="s">
        <v>532</v>
      </c>
      <c r="C16" s="284" t="s">
        <v>533</v>
      </c>
      <c r="D16" t="s">
        <v>534</v>
      </c>
      <c r="E16" t="str">
        <f t="shared" si="0"/>
        <v>AW</v>
      </c>
      <c r="F16" t="s">
        <v>535</v>
      </c>
      <c r="G16" t="s">
        <v>536</v>
      </c>
      <c r="I16" t="s">
        <v>537</v>
      </c>
      <c r="Q16">
        <v>2014</v>
      </c>
      <c r="T16" s="38" t="str">
        <f>template_label_c4_climate_risks_validation</f>
        <v>C4 - Climate risks</v>
      </c>
      <c r="X16" t="s">
        <v>538</v>
      </c>
      <c r="Y16" t="s">
        <v>539</v>
      </c>
      <c r="AA16">
        <v>15</v>
      </c>
    </row>
    <row r="17" spans="1:27" x14ac:dyDescent="0.3">
      <c r="A17" s="287" t="s">
        <v>540</v>
      </c>
      <c r="B17" s="286" t="s">
        <v>541</v>
      </c>
      <c r="C17" s="284" t="s">
        <v>542</v>
      </c>
      <c r="D17" t="s">
        <v>543</v>
      </c>
      <c r="E17" t="str">
        <f t="shared" si="0"/>
        <v>AX</v>
      </c>
      <c r="F17" t="s">
        <v>544</v>
      </c>
      <c r="G17" t="s">
        <v>545</v>
      </c>
      <c r="I17" t="s">
        <v>546</v>
      </c>
      <c r="Q17">
        <v>2015</v>
      </c>
      <c r="T17" s="38" t="str">
        <f>template_label_c5_additional_general_workforce_characteristics_validation</f>
        <v>C5 - Additional (general) workforce characteristics</v>
      </c>
      <c r="X17" t="s">
        <v>547</v>
      </c>
      <c r="Y17" t="s">
        <v>548</v>
      </c>
      <c r="AA17">
        <v>16</v>
      </c>
    </row>
    <row r="18" spans="1:27" x14ac:dyDescent="0.3">
      <c r="A18" s="287" t="s">
        <v>549</v>
      </c>
      <c r="B18" s="286" t="s">
        <v>550</v>
      </c>
      <c r="C18" s="284" t="s">
        <v>551</v>
      </c>
      <c r="D18" t="s">
        <v>552</v>
      </c>
      <c r="E18" t="str">
        <f t="shared" si="0"/>
        <v>AZ</v>
      </c>
      <c r="F18" t="s">
        <v>553</v>
      </c>
      <c r="G18" t="s">
        <v>554</v>
      </c>
      <c r="I18" t="s">
        <v>555</v>
      </c>
      <c r="Q18">
        <v>2016</v>
      </c>
      <c r="T18" s="38" t="str">
        <f>template_label_c6_additional_own_workforce_information_human_rights_policies_and_processes_validation</f>
        <v>C6 - Additional own workforce information - Human rights policies and processes</v>
      </c>
      <c r="X18" t="s">
        <v>556</v>
      </c>
      <c r="Y18" t="s">
        <v>557</v>
      </c>
      <c r="AA18">
        <v>17</v>
      </c>
    </row>
    <row r="19" spans="1:27" x14ac:dyDescent="0.3">
      <c r="A19" s="287" t="s">
        <v>558</v>
      </c>
      <c r="B19" s="284" t="s">
        <v>383</v>
      </c>
      <c r="C19" s="284" t="s">
        <v>559</v>
      </c>
      <c r="D19" t="s">
        <v>560</v>
      </c>
      <c r="E19" t="str">
        <f t="shared" si="0"/>
        <v>BA</v>
      </c>
      <c r="F19" t="s">
        <v>561</v>
      </c>
      <c r="G19" t="s">
        <v>562</v>
      </c>
      <c r="I19" t="s">
        <v>563</v>
      </c>
      <c r="Q19">
        <v>2017</v>
      </c>
      <c r="T19" s="38" t="str">
        <f>template_label_c7_severe_negative_human_rights_incidents_validation</f>
        <v>C7 - Severe negative human rights incidents</v>
      </c>
      <c r="X19" t="s">
        <v>564</v>
      </c>
      <c r="Y19" t="s">
        <v>565</v>
      </c>
      <c r="AA19">
        <v>18</v>
      </c>
    </row>
    <row r="20" spans="1:27" x14ac:dyDescent="0.3">
      <c r="A20" s="287" t="s">
        <v>566</v>
      </c>
      <c r="B20" s="283" t="s">
        <v>567</v>
      </c>
      <c r="C20" s="284" t="s">
        <v>568</v>
      </c>
      <c r="D20" t="s">
        <v>569</v>
      </c>
      <c r="E20" t="str">
        <f t="shared" si="0"/>
        <v>BB</v>
      </c>
      <c r="F20" t="s">
        <v>570</v>
      </c>
      <c r="G20" t="s">
        <v>571</v>
      </c>
      <c r="I20" t="s">
        <v>572</v>
      </c>
      <c r="Q20">
        <v>2018</v>
      </c>
      <c r="T20" t="str">
        <f>template_label_c8_revenues_from_certain_sectors_and_exclusion_from_eu_reference_benchmarks_validation</f>
        <v>C8 - Revenues from certain activities and exclusion from EU reference benchmarks</v>
      </c>
      <c r="X20" t="s">
        <v>573</v>
      </c>
      <c r="Y20" t="s">
        <v>574</v>
      </c>
      <c r="AA20">
        <v>19</v>
      </c>
    </row>
    <row r="21" spans="1:27" x14ac:dyDescent="0.3">
      <c r="A21" s="287" t="s">
        <v>575</v>
      </c>
      <c r="B21" s="286" t="s">
        <v>576</v>
      </c>
      <c r="C21" s="284" t="s">
        <v>577</v>
      </c>
      <c r="D21" t="s">
        <v>578</v>
      </c>
      <c r="E21" t="str">
        <f t="shared" si="0"/>
        <v>BD</v>
      </c>
      <c r="F21" t="s">
        <v>579</v>
      </c>
      <c r="G21" t="s">
        <v>580</v>
      </c>
      <c r="I21" t="s">
        <v>581</v>
      </c>
      <c r="Q21">
        <v>2019</v>
      </c>
      <c r="T21" t="str">
        <f>template_label_c9_gender_diversity_ratio_in_the_governance_body_validation</f>
        <v>C9 - Gender diversity ratio in the governance body</v>
      </c>
      <c r="X21" t="s">
        <v>582</v>
      </c>
      <c r="Y21" t="s">
        <v>583</v>
      </c>
      <c r="AA21">
        <v>20</v>
      </c>
    </row>
    <row r="22" spans="1:27" x14ac:dyDescent="0.3">
      <c r="A22" s="287" t="s">
        <v>584</v>
      </c>
      <c r="B22" s="286" t="s">
        <v>585</v>
      </c>
      <c r="C22" s="284" t="s">
        <v>92</v>
      </c>
      <c r="D22" t="s">
        <v>586</v>
      </c>
      <c r="E22" t="str">
        <f t="shared" si="0"/>
        <v>BE</v>
      </c>
      <c r="F22" t="s">
        <v>587</v>
      </c>
      <c r="G22" t="s">
        <v>588</v>
      </c>
      <c r="I22" t="s">
        <v>589</v>
      </c>
      <c r="Q22">
        <v>2020</v>
      </c>
      <c r="X22" t="s">
        <v>590</v>
      </c>
      <c r="Y22" t="s">
        <v>591</v>
      </c>
      <c r="AA22">
        <v>21</v>
      </c>
    </row>
    <row r="23" spans="1:27" x14ac:dyDescent="0.3">
      <c r="A23" s="286" t="s">
        <v>415</v>
      </c>
      <c r="B23" s="283" t="s">
        <v>592</v>
      </c>
      <c r="C23" s="284" t="s">
        <v>593</v>
      </c>
      <c r="D23" t="s">
        <v>594</v>
      </c>
      <c r="E23" t="str">
        <f t="shared" si="0"/>
        <v>BF</v>
      </c>
      <c r="F23" s="88"/>
      <c r="G23" t="s">
        <v>595</v>
      </c>
      <c r="I23" t="s">
        <v>596</v>
      </c>
      <c r="Q23">
        <v>2021</v>
      </c>
      <c r="X23" t="s">
        <v>597</v>
      </c>
      <c r="Y23" t="s">
        <v>598</v>
      </c>
      <c r="AA23">
        <v>22</v>
      </c>
    </row>
    <row r="24" spans="1:27" x14ac:dyDescent="0.3">
      <c r="A24" s="287" t="s">
        <v>599</v>
      </c>
      <c r="B24" s="286" t="s">
        <v>600</v>
      </c>
      <c r="C24" s="284" t="s">
        <v>601</v>
      </c>
      <c r="D24" t="s">
        <v>602</v>
      </c>
      <c r="E24" t="str">
        <f t="shared" si="0"/>
        <v>BG</v>
      </c>
      <c r="F24" s="357"/>
      <c r="G24" t="s">
        <v>603</v>
      </c>
      <c r="I24" t="s">
        <v>604</v>
      </c>
      <c r="Q24">
        <v>2022</v>
      </c>
      <c r="X24" t="s">
        <v>605</v>
      </c>
      <c r="Y24" t="s">
        <v>606</v>
      </c>
      <c r="AA24">
        <v>23</v>
      </c>
    </row>
    <row r="25" spans="1:27" x14ac:dyDescent="0.3">
      <c r="A25" s="286" t="s">
        <v>428</v>
      </c>
      <c r="B25" s="286" t="s">
        <v>607</v>
      </c>
      <c r="C25" s="284" t="s">
        <v>608</v>
      </c>
      <c r="D25" t="s">
        <v>609</v>
      </c>
      <c r="E25" t="str">
        <f t="shared" si="0"/>
        <v>BH</v>
      </c>
      <c r="F25" s="357"/>
      <c r="G25" t="s">
        <v>610</v>
      </c>
      <c r="I25" t="s">
        <v>611</v>
      </c>
      <c r="Q25">
        <v>2023</v>
      </c>
      <c r="X25" t="s">
        <v>612</v>
      </c>
      <c r="Y25" t="s">
        <v>613</v>
      </c>
      <c r="AA25">
        <v>24</v>
      </c>
    </row>
    <row r="26" spans="1:27" x14ac:dyDescent="0.3">
      <c r="A26" s="287" t="s">
        <v>614</v>
      </c>
      <c r="B26" s="283" t="s">
        <v>615</v>
      </c>
      <c r="C26" s="284" t="s">
        <v>616</v>
      </c>
      <c r="D26" t="s">
        <v>617</v>
      </c>
      <c r="E26" t="str">
        <f t="shared" si="0"/>
        <v>BI</v>
      </c>
      <c r="F26" s="357"/>
      <c r="G26" t="s">
        <v>618</v>
      </c>
      <c r="I26" t="s">
        <v>619</v>
      </c>
      <c r="Q26">
        <v>2024</v>
      </c>
      <c r="X26" t="s">
        <v>620</v>
      </c>
      <c r="Y26" t="s">
        <v>621</v>
      </c>
      <c r="AA26">
        <v>25</v>
      </c>
    </row>
    <row r="27" spans="1:27" x14ac:dyDescent="0.3">
      <c r="A27" s="287" t="s">
        <v>622</v>
      </c>
      <c r="B27" s="286" t="s">
        <v>623</v>
      </c>
      <c r="C27" s="284" t="s">
        <v>624</v>
      </c>
      <c r="D27" t="s">
        <v>625</v>
      </c>
      <c r="E27" t="str">
        <f t="shared" si="0"/>
        <v>BJ</v>
      </c>
      <c r="F27" s="357"/>
      <c r="G27" t="s">
        <v>626</v>
      </c>
      <c r="I27" t="s">
        <v>627</v>
      </c>
      <c r="Q27">
        <v>2025</v>
      </c>
      <c r="X27" t="s">
        <v>628</v>
      </c>
      <c r="Y27" t="s">
        <v>629</v>
      </c>
      <c r="AA27">
        <v>26</v>
      </c>
    </row>
    <row r="28" spans="1:27" x14ac:dyDescent="0.3">
      <c r="A28" s="287" t="s">
        <v>630</v>
      </c>
      <c r="B28" s="286" t="s">
        <v>631</v>
      </c>
      <c r="C28" s="284" t="s">
        <v>632</v>
      </c>
      <c r="D28" t="s">
        <v>633</v>
      </c>
      <c r="E28" t="str">
        <f t="shared" si="0"/>
        <v>BL</v>
      </c>
      <c r="F28" s="357"/>
      <c r="G28" t="s">
        <v>634</v>
      </c>
      <c r="I28" t="s">
        <v>635</v>
      </c>
      <c r="Q28">
        <v>2026</v>
      </c>
      <c r="X28" t="s">
        <v>636</v>
      </c>
      <c r="Y28" t="s">
        <v>637</v>
      </c>
      <c r="AA28">
        <v>27</v>
      </c>
    </row>
    <row r="29" spans="1:27" x14ac:dyDescent="0.3">
      <c r="A29" s="287" t="s">
        <v>638</v>
      </c>
      <c r="B29" s="283" t="s">
        <v>639</v>
      </c>
      <c r="C29" s="284" t="s">
        <v>640</v>
      </c>
      <c r="D29" t="s">
        <v>641</v>
      </c>
      <c r="E29" t="str">
        <f t="shared" si="0"/>
        <v>BM</v>
      </c>
      <c r="F29" s="357"/>
      <c r="G29" t="s">
        <v>642</v>
      </c>
      <c r="I29" t="s">
        <v>643</v>
      </c>
      <c r="Q29">
        <v>2027</v>
      </c>
      <c r="X29" t="s">
        <v>644</v>
      </c>
      <c r="Y29" t="s">
        <v>645</v>
      </c>
      <c r="AA29">
        <v>28</v>
      </c>
    </row>
    <row r="30" spans="1:27" x14ac:dyDescent="0.3">
      <c r="A30" s="287" t="s">
        <v>646</v>
      </c>
      <c r="B30" s="286" t="s">
        <v>647</v>
      </c>
      <c r="C30" s="284" t="s">
        <v>648</v>
      </c>
      <c r="D30" t="s">
        <v>649</v>
      </c>
      <c r="E30" t="str">
        <f t="shared" si="0"/>
        <v>BN</v>
      </c>
      <c r="F30" s="88"/>
      <c r="G30" t="s">
        <v>650</v>
      </c>
      <c r="I30" t="s">
        <v>651</v>
      </c>
      <c r="Q30">
        <v>2028</v>
      </c>
      <c r="X30" t="s">
        <v>652</v>
      </c>
      <c r="Y30" t="s">
        <v>653</v>
      </c>
      <c r="AA30">
        <v>29</v>
      </c>
    </row>
    <row r="31" spans="1:27" x14ac:dyDescent="0.3">
      <c r="A31" s="287" t="s">
        <v>654</v>
      </c>
      <c r="B31" s="286" t="s">
        <v>655</v>
      </c>
      <c r="C31" s="284" t="s">
        <v>656</v>
      </c>
      <c r="D31" t="s">
        <v>657</v>
      </c>
      <c r="E31" t="str">
        <f t="shared" si="0"/>
        <v>BO</v>
      </c>
      <c r="F31" s="357"/>
      <c r="G31" t="s">
        <v>658</v>
      </c>
      <c r="I31" t="s">
        <v>659</v>
      </c>
      <c r="Q31">
        <v>2029</v>
      </c>
      <c r="X31" t="s">
        <v>660</v>
      </c>
      <c r="Y31" t="s">
        <v>661</v>
      </c>
      <c r="AA31">
        <v>30</v>
      </c>
    </row>
    <row r="32" spans="1:27" x14ac:dyDescent="0.3">
      <c r="A32" s="287" t="s">
        <v>662</v>
      </c>
      <c r="B32" s="283" t="s">
        <v>663</v>
      </c>
      <c r="C32" s="284" t="s">
        <v>664</v>
      </c>
      <c r="D32" t="s">
        <v>665</v>
      </c>
      <c r="E32" t="str">
        <f t="shared" si="0"/>
        <v>BQ</v>
      </c>
      <c r="F32" s="356"/>
      <c r="G32" t="s">
        <v>666</v>
      </c>
      <c r="I32" t="s">
        <v>667</v>
      </c>
      <c r="Q32">
        <v>2030</v>
      </c>
      <c r="X32" t="s">
        <v>668</v>
      </c>
      <c r="Y32" t="s">
        <v>669</v>
      </c>
      <c r="AA32">
        <v>31</v>
      </c>
    </row>
    <row r="33" spans="1:25" x14ac:dyDescent="0.3">
      <c r="A33" s="287" t="s">
        <v>670</v>
      </c>
      <c r="B33" s="286" t="s">
        <v>671</v>
      </c>
      <c r="C33" s="284" t="s">
        <v>672</v>
      </c>
      <c r="D33" t="s">
        <v>673</v>
      </c>
      <c r="E33" t="str">
        <f t="shared" si="0"/>
        <v>BR</v>
      </c>
      <c r="F33" s="356"/>
      <c r="G33" t="s">
        <v>674</v>
      </c>
      <c r="I33" t="s">
        <v>675</v>
      </c>
      <c r="Q33">
        <v>2031</v>
      </c>
      <c r="X33" t="s">
        <v>676</v>
      </c>
      <c r="Y33" t="s">
        <v>677</v>
      </c>
    </row>
    <row r="34" spans="1:25" x14ac:dyDescent="0.3">
      <c r="A34" s="286" t="s">
        <v>440</v>
      </c>
      <c r="B34" s="286" t="s">
        <v>678</v>
      </c>
      <c r="C34" s="284" t="s">
        <v>679</v>
      </c>
      <c r="D34" t="s">
        <v>680</v>
      </c>
      <c r="E34" t="str">
        <f t="shared" si="0"/>
        <v>BS</v>
      </c>
      <c r="F34" s="356"/>
      <c r="G34" t="s">
        <v>681</v>
      </c>
      <c r="I34" t="s">
        <v>682</v>
      </c>
      <c r="Q34">
        <v>2032</v>
      </c>
      <c r="X34" t="s">
        <v>683</v>
      </c>
      <c r="Y34" t="s">
        <v>684</v>
      </c>
    </row>
    <row r="35" spans="1:25" x14ac:dyDescent="0.3">
      <c r="A35" s="287" t="s">
        <v>685</v>
      </c>
      <c r="B35" s="284" t="s">
        <v>686</v>
      </c>
      <c r="C35" s="284" t="s">
        <v>687</v>
      </c>
      <c r="D35" t="s">
        <v>688</v>
      </c>
      <c r="E35" t="str">
        <f t="shared" si="0"/>
        <v>BT</v>
      </c>
      <c r="F35" s="357"/>
      <c r="G35" t="s">
        <v>689</v>
      </c>
      <c r="I35" t="s">
        <v>690</v>
      </c>
      <c r="Q35">
        <v>2033</v>
      </c>
      <c r="X35" t="s">
        <v>691</v>
      </c>
      <c r="Y35" t="s">
        <v>692</v>
      </c>
    </row>
    <row r="36" spans="1:25" x14ac:dyDescent="0.3">
      <c r="A36" s="286" t="s">
        <v>450</v>
      </c>
      <c r="B36" s="283" t="s">
        <v>693</v>
      </c>
      <c r="C36" s="284" t="s">
        <v>694</v>
      </c>
      <c r="D36" t="s">
        <v>695</v>
      </c>
      <c r="E36" t="str">
        <f t="shared" si="0"/>
        <v>BU</v>
      </c>
      <c r="F36" s="357"/>
      <c r="G36" t="s">
        <v>696</v>
      </c>
      <c r="I36" t="s">
        <v>697</v>
      </c>
      <c r="Q36">
        <v>2034</v>
      </c>
      <c r="X36" t="s">
        <v>698</v>
      </c>
      <c r="Y36" t="s">
        <v>699</v>
      </c>
    </row>
    <row r="37" spans="1:25" x14ac:dyDescent="0.3">
      <c r="A37" s="287" t="s">
        <v>700</v>
      </c>
      <c r="B37" s="286" t="s">
        <v>701</v>
      </c>
      <c r="C37" s="284" t="s">
        <v>702</v>
      </c>
      <c r="D37" t="s">
        <v>703</v>
      </c>
      <c r="E37" t="str">
        <f t="shared" si="0"/>
        <v>BV</v>
      </c>
      <c r="F37" s="357"/>
      <c r="G37" t="s">
        <v>704</v>
      </c>
      <c r="I37" t="s">
        <v>705</v>
      </c>
      <c r="Q37">
        <v>2035</v>
      </c>
      <c r="X37" t="s">
        <v>706</v>
      </c>
      <c r="Y37" t="s">
        <v>707</v>
      </c>
    </row>
    <row r="38" spans="1:25" x14ac:dyDescent="0.3">
      <c r="A38" s="287" t="s">
        <v>708</v>
      </c>
      <c r="B38" s="286" t="s">
        <v>709</v>
      </c>
      <c r="C38" s="284" t="s">
        <v>710</v>
      </c>
      <c r="D38" t="s">
        <v>711</v>
      </c>
      <c r="E38" t="str">
        <f t="shared" si="0"/>
        <v>BW</v>
      </c>
      <c r="F38" s="357"/>
      <c r="G38" t="s">
        <v>712</v>
      </c>
      <c r="I38" t="s">
        <v>713</v>
      </c>
      <c r="Q38">
        <v>2036</v>
      </c>
      <c r="X38" t="s">
        <v>714</v>
      </c>
      <c r="Y38" t="s">
        <v>715</v>
      </c>
    </row>
    <row r="39" spans="1:25" x14ac:dyDescent="0.3">
      <c r="A39" s="287" t="s">
        <v>716</v>
      </c>
      <c r="B39" s="286" t="s">
        <v>717</v>
      </c>
      <c r="C39" s="284" t="s">
        <v>718</v>
      </c>
      <c r="D39" t="s">
        <v>719</v>
      </c>
      <c r="E39" t="str">
        <f t="shared" si="0"/>
        <v>BY</v>
      </c>
      <c r="F39" s="357"/>
      <c r="G39" t="s">
        <v>720</v>
      </c>
      <c r="I39" t="s">
        <v>721</v>
      </c>
      <c r="Q39">
        <v>2037</v>
      </c>
      <c r="X39" t="s">
        <v>722</v>
      </c>
      <c r="Y39" t="s">
        <v>723</v>
      </c>
    </row>
    <row r="40" spans="1:25" x14ac:dyDescent="0.3">
      <c r="A40" s="286" t="s">
        <v>461</v>
      </c>
      <c r="B40" s="286" t="s">
        <v>724</v>
      </c>
      <c r="C40" s="284" t="s">
        <v>725</v>
      </c>
      <c r="D40" t="s">
        <v>726</v>
      </c>
      <c r="E40" t="str">
        <f t="shared" si="0"/>
        <v>BZ</v>
      </c>
      <c r="F40" s="357"/>
      <c r="G40" t="s">
        <v>727</v>
      </c>
      <c r="I40" t="s">
        <v>728</v>
      </c>
      <c r="Q40">
        <v>2038</v>
      </c>
      <c r="X40" t="s">
        <v>729</v>
      </c>
      <c r="Y40" t="s">
        <v>730</v>
      </c>
    </row>
    <row r="41" spans="1:25" x14ac:dyDescent="0.3">
      <c r="A41" s="287" t="s">
        <v>731</v>
      </c>
      <c r="B41" s="286" t="s">
        <v>732</v>
      </c>
      <c r="C41" s="284" t="s">
        <v>733</v>
      </c>
      <c r="D41" t="s">
        <v>734</v>
      </c>
      <c r="E41" t="str">
        <f t="shared" si="0"/>
        <v>CA</v>
      </c>
      <c r="F41" s="357"/>
      <c r="G41" t="s">
        <v>735</v>
      </c>
      <c r="I41" t="s">
        <v>736</v>
      </c>
      <c r="Q41">
        <v>2039</v>
      </c>
      <c r="X41" t="s">
        <v>737</v>
      </c>
      <c r="Y41" t="s">
        <v>738</v>
      </c>
    </row>
    <row r="42" spans="1:25" x14ac:dyDescent="0.3">
      <c r="A42" s="283" t="s">
        <v>472</v>
      </c>
      <c r="B42" s="286" t="s">
        <v>739</v>
      </c>
      <c r="C42" s="284" t="s">
        <v>740</v>
      </c>
      <c r="D42" t="s">
        <v>741</v>
      </c>
      <c r="E42" t="str">
        <f t="shared" si="0"/>
        <v>CC</v>
      </c>
      <c r="F42" s="357"/>
      <c r="G42" t="s">
        <v>742</v>
      </c>
      <c r="I42" t="s">
        <v>743</v>
      </c>
      <c r="Q42">
        <v>2040</v>
      </c>
      <c r="X42" t="s">
        <v>744</v>
      </c>
      <c r="Y42" t="s">
        <v>745</v>
      </c>
    </row>
    <row r="43" spans="1:25" x14ac:dyDescent="0.3">
      <c r="A43" s="286" t="s">
        <v>483</v>
      </c>
      <c r="B43" s="286" t="s">
        <v>746</v>
      </c>
      <c r="C43" s="284" t="s">
        <v>747</v>
      </c>
      <c r="D43" t="s">
        <v>748</v>
      </c>
      <c r="E43" t="str">
        <f t="shared" si="0"/>
        <v>CD</v>
      </c>
      <c r="F43" s="357"/>
      <c r="G43" t="s">
        <v>749</v>
      </c>
      <c r="I43" t="s">
        <v>750</v>
      </c>
      <c r="Q43">
        <v>2041</v>
      </c>
      <c r="X43" t="s">
        <v>751</v>
      </c>
      <c r="Y43" t="s">
        <v>752</v>
      </c>
    </row>
    <row r="44" spans="1:25" x14ac:dyDescent="0.3">
      <c r="A44" s="287" t="s">
        <v>753</v>
      </c>
      <c r="B44" s="286" t="s">
        <v>754</v>
      </c>
      <c r="C44" s="284" t="s">
        <v>755</v>
      </c>
      <c r="D44" t="s">
        <v>756</v>
      </c>
      <c r="E44" t="str">
        <f t="shared" si="0"/>
        <v>CF</v>
      </c>
      <c r="F44" s="357"/>
      <c r="G44" t="s">
        <v>757</v>
      </c>
      <c r="I44" t="s">
        <v>758</v>
      </c>
      <c r="Q44">
        <v>2042</v>
      </c>
      <c r="X44" t="s">
        <v>759</v>
      </c>
      <c r="Y44" t="s">
        <v>760</v>
      </c>
    </row>
    <row r="45" spans="1:25" x14ac:dyDescent="0.3">
      <c r="A45" s="286" t="s">
        <v>494</v>
      </c>
      <c r="B45" s="286" t="s">
        <v>761</v>
      </c>
      <c r="C45" s="284" t="s">
        <v>762</v>
      </c>
      <c r="D45" t="s">
        <v>763</v>
      </c>
      <c r="E45" t="str">
        <f t="shared" si="0"/>
        <v>CG</v>
      </c>
      <c r="F45" s="357"/>
      <c r="G45" t="s">
        <v>764</v>
      </c>
      <c r="I45" t="s">
        <v>765</v>
      </c>
      <c r="Q45">
        <v>2043</v>
      </c>
      <c r="X45" t="s">
        <v>766</v>
      </c>
      <c r="Y45" t="s">
        <v>767</v>
      </c>
    </row>
    <row r="46" spans="1:25" x14ac:dyDescent="0.3">
      <c r="A46" s="287" t="s">
        <v>768</v>
      </c>
      <c r="B46" s="283" t="s">
        <v>769</v>
      </c>
      <c r="C46" s="284" t="s">
        <v>770</v>
      </c>
      <c r="D46" t="s">
        <v>771</v>
      </c>
      <c r="E46" t="str">
        <f t="shared" si="0"/>
        <v>CH</v>
      </c>
      <c r="F46" s="357"/>
      <c r="G46" t="s">
        <v>772</v>
      </c>
      <c r="I46" t="s">
        <v>773</v>
      </c>
      <c r="Q46">
        <v>2044</v>
      </c>
      <c r="X46" t="s">
        <v>774</v>
      </c>
      <c r="Y46" t="s">
        <v>775</v>
      </c>
    </row>
    <row r="47" spans="1:25" x14ac:dyDescent="0.3">
      <c r="A47" s="286" t="s">
        <v>504</v>
      </c>
      <c r="B47" s="286" t="s">
        <v>776</v>
      </c>
      <c r="C47" s="284" t="s">
        <v>777</v>
      </c>
      <c r="D47" t="s">
        <v>778</v>
      </c>
      <c r="E47" t="str">
        <f t="shared" si="0"/>
        <v>CI</v>
      </c>
      <c r="F47" s="88"/>
      <c r="G47" t="s">
        <v>779</v>
      </c>
      <c r="I47" t="s">
        <v>780</v>
      </c>
      <c r="Q47">
        <v>2045</v>
      </c>
      <c r="X47" t="s">
        <v>781</v>
      </c>
      <c r="Y47" t="s">
        <v>782</v>
      </c>
    </row>
    <row r="48" spans="1:25" x14ac:dyDescent="0.3">
      <c r="A48" s="287" t="s">
        <v>783</v>
      </c>
      <c r="B48" s="283" t="s">
        <v>784</v>
      </c>
      <c r="C48" s="284" t="s">
        <v>785</v>
      </c>
      <c r="D48" t="s">
        <v>786</v>
      </c>
      <c r="E48" t="str">
        <f t="shared" si="0"/>
        <v>CK</v>
      </c>
      <c r="F48" s="357"/>
      <c r="G48" t="s">
        <v>787</v>
      </c>
      <c r="I48" t="s">
        <v>788</v>
      </c>
      <c r="Q48">
        <v>2046</v>
      </c>
      <c r="X48" t="s">
        <v>789</v>
      </c>
      <c r="Y48" t="s">
        <v>790</v>
      </c>
    </row>
    <row r="49" spans="1:25" x14ac:dyDescent="0.3">
      <c r="A49" s="286" t="s">
        <v>514</v>
      </c>
      <c r="B49" s="286" t="s">
        <v>791</v>
      </c>
      <c r="C49" s="284" t="s">
        <v>792</v>
      </c>
      <c r="D49" t="s">
        <v>793</v>
      </c>
      <c r="E49" t="str">
        <f t="shared" si="0"/>
        <v>CL</v>
      </c>
      <c r="F49" s="356"/>
      <c r="G49" t="s">
        <v>794</v>
      </c>
      <c r="I49" t="s">
        <v>795</v>
      </c>
      <c r="Q49">
        <v>2047</v>
      </c>
      <c r="X49" t="s">
        <v>796</v>
      </c>
      <c r="Y49" t="s">
        <v>7</v>
      </c>
    </row>
    <row r="50" spans="1:25" x14ac:dyDescent="0.3">
      <c r="A50" s="287" t="s">
        <v>797</v>
      </c>
      <c r="B50" s="283" t="s">
        <v>798</v>
      </c>
      <c r="C50" s="284" t="s">
        <v>799</v>
      </c>
      <c r="D50" t="s">
        <v>800</v>
      </c>
      <c r="E50" t="str">
        <f t="shared" si="0"/>
        <v>CM</v>
      </c>
      <c r="F50" s="357"/>
      <c r="G50" t="s">
        <v>801</v>
      </c>
      <c r="I50" t="s">
        <v>802</v>
      </c>
      <c r="Q50">
        <v>2048</v>
      </c>
      <c r="X50" t="s">
        <v>803</v>
      </c>
      <c r="Y50" t="s">
        <v>804</v>
      </c>
    </row>
    <row r="51" spans="1:25" x14ac:dyDescent="0.3">
      <c r="A51" s="283" t="s">
        <v>523</v>
      </c>
      <c r="B51" s="286" t="s">
        <v>805</v>
      </c>
      <c r="C51" s="284" t="s">
        <v>806</v>
      </c>
      <c r="D51" t="s">
        <v>807</v>
      </c>
      <c r="E51" t="str">
        <f t="shared" si="0"/>
        <v>CN</v>
      </c>
      <c r="F51" s="357"/>
      <c r="G51" t="s">
        <v>808</v>
      </c>
      <c r="I51" t="s">
        <v>809</v>
      </c>
      <c r="Q51">
        <v>2049</v>
      </c>
      <c r="X51" t="s">
        <v>810</v>
      </c>
      <c r="Y51" t="s">
        <v>811</v>
      </c>
    </row>
    <row r="52" spans="1:25" x14ac:dyDescent="0.3">
      <c r="A52" s="286" t="s">
        <v>532</v>
      </c>
      <c r="B52" s="286" t="s">
        <v>812</v>
      </c>
      <c r="C52" s="284" t="s">
        <v>813</v>
      </c>
      <c r="D52" t="s">
        <v>814</v>
      </c>
      <c r="E52" t="str">
        <f t="shared" si="0"/>
        <v>CO</v>
      </c>
      <c r="F52" s="357"/>
      <c r="G52" t="s">
        <v>815</v>
      </c>
      <c r="I52" t="s">
        <v>816</v>
      </c>
      <c r="Q52">
        <v>2050</v>
      </c>
      <c r="X52" t="s">
        <v>817</v>
      </c>
      <c r="Y52" t="s">
        <v>818</v>
      </c>
    </row>
    <row r="53" spans="1:25" x14ac:dyDescent="0.3">
      <c r="A53" s="287" t="s">
        <v>819</v>
      </c>
      <c r="B53" s="286" t="s">
        <v>820</v>
      </c>
      <c r="C53" s="284" t="s">
        <v>821</v>
      </c>
      <c r="D53" t="s">
        <v>822</v>
      </c>
      <c r="E53" t="str">
        <f t="shared" si="0"/>
        <v>CR</v>
      </c>
      <c r="F53" s="88"/>
      <c r="G53" t="s">
        <v>823</v>
      </c>
      <c r="I53" t="s">
        <v>824</v>
      </c>
      <c r="Q53">
        <v>2051</v>
      </c>
      <c r="X53" t="s">
        <v>825</v>
      </c>
      <c r="Y53" t="s">
        <v>826</v>
      </c>
    </row>
    <row r="54" spans="1:25" x14ac:dyDescent="0.3">
      <c r="A54" s="287" t="s">
        <v>827</v>
      </c>
      <c r="B54" s="286" t="s">
        <v>828</v>
      </c>
      <c r="C54" s="284" t="s">
        <v>829</v>
      </c>
      <c r="D54" t="s">
        <v>830</v>
      </c>
      <c r="E54" t="str">
        <f t="shared" si="0"/>
        <v>CS</v>
      </c>
      <c r="F54" s="357"/>
      <c r="G54" t="s">
        <v>831</v>
      </c>
      <c r="I54" t="s">
        <v>832</v>
      </c>
      <c r="Q54">
        <v>2052</v>
      </c>
      <c r="X54" t="s">
        <v>833</v>
      </c>
      <c r="Y54" t="s">
        <v>834</v>
      </c>
    </row>
    <row r="55" spans="1:25" x14ac:dyDescent="0.3">
      <c r="A55" s="286" t="s">
        <v>541</v>
      </c>
      <c r="B55" s="283" t="s">
        <v>835</v>
      </c>
      <c r="C55" s="284" t="s">
        <v>836</v>
      </c>
      <c r="D55" t="s">
        <v>837</v>
      </c>
      <c r="E55" t="str">
        <f t="shared" si="0"/>
        <v>CU</v>
      </c>
      <c r="F55" s="357"/>
      <c r="G55" t="s">
        <v>838</v>
      </c>
      <c r="I55" t="s">
        <v>839</v>
      </c>
      <c r="Q55">
        <v>2053</v>
      </c>
      <c r="X55" t="s">
        <v>840</v>
      </c>
      <c r="Y55" t="s">
        <v>841</v>
      </c>
    </row>
    <row r="56" spans="1:25" x14ac:dyDescent="0.3">
      <c r="A56" s="287" t="s">
        <v>842</v>
      </c>
      <c r="B56" s="286" t="s">
        <v>843</v>
      </c>
      <c r="C56" s="284" t="s">
        <v>844</v>
      </c>
      <c r="D56" t="s">
        <v>845</v>
      </c>
      <c r="E56" t="str">
        <f t="shared" si="0"/>
        <v>CV</v>
      </c>
      <c r="F56" s="357"/>
      <c r="G56" t="s">
        <v>846</v>
      </c>
      <c r="I56" t="s">
        <v>847</v>
      </c>
      <c r="Q56">
        <v>2054</v>
      </c>
      <c r="X56" t="s">
        <v>848</v>
      </c>
      <c r="Y56" t="s">
        <v>849</v>
      </c>
    </row>
    <row r="57" spans="1:25" x14ac:dyDescent="0.3">
      <c r="A57" s="287" t="s">
        <v>850</v>
      </c>
      <c r="B57" s="286" t="s">
        <v>851</v>
      </c>
      <c r="C57" s="284" t="s">
        <v>852</v>
      </c>
      <c r="D57" t="s">
        <v>853</v>
      </c>
      <c r="E57" t="str">
        <f t="shared" si="0"/>
        <v>CW</v>
      </c>
      <c r="F57" s="357"/>
      <c r="G57" t="s">
        <v>854</v>
      </c>
      <c r="I57" t="s">
        <v>855</v>
      </c>
      <c r="Q57">
        <v>2055</v>
      </c>
      <c r="X57" t="s">
        <v>856</v>
      </c>
      <c r="Y57" t="s">
        <v>857</v>
      </c>
    </row>
    <row r="58" spans="1:25" x14ac:dyDescent="0.3">
      <c r="A58" s="286" t="s">
        <v>550</v>
      </c>
      <c r="B58" s="283" t="s">
        <v>858</v>
      </c>
      <c r="C58" s="284" t="s">
        <v>859</v>
      </c>
      <c r="D58" t="s">
        <v>860</v>
      </c>
      <c r="E58" t="str">
        <f t="shared" si="0"/>
        <v>CX</v>
      </c>
      <c r="F58" s="357"/>
      <c r="G58" t="s">
        <v>861</v>
      </c>
      <c r="I58" t="s">
        <v>862</v>
      </c>
      <c r="Q58">
        <v>2056</v>
      </c>
      <c r="X58" t="s">
        <v>863</v>
      </c>
      <c r="Y58" t="s">
        <v>864</v>
      </c>
    </row>
    <row r="59" spans="1:25" x14ac:dyDescent="0.3">
      <c r="A59" s="287" t="s">
        <v>865</v>
      </c>
      <c r="B59" s="286" t="s">
        <v>866</v>
      </c>
      <c r="C59" s="284" t="s">
        <v>867</v>
      </c>
      <c r="D59" t="s">
        <v>868</v>
      </c>
      <c r="E59" t="str">
        <f t="shared" si="0"/>
        <v>CY</v>
      </c>
      <c r="F59" s="357"/>
      <c r="G59" t="s">
        <v>869</v>
      </c>
      <c r="I59" t="s">
        <v>870</v>
      </c>
      <c r="Q59">
        <v>2057</v>
      </c>
      <c r="X59" t="s">
        <v>871</v>
      </c>
      <c r="Y59" t="s">
        <v>872</v>
      </c>
    </row>
    <row r="60" spans="1:25" x14ac:dyDescent="0.3">
      <c r="A60" s="284" t="s">
        <v>686</v>
      </c>
      <c r="B60" s="286" t="s">
        <v>873</v>
      </c>
      <c r="C60" s="284" t="s">
        <v>874</v>
      </c>
      <c r="D60" t="s">
        <v>875</v>
      </c>
      <c r="E60" t="str">
        <f t="shared" si="0"/>
        <v>CZ</v>
      </c>
      <c r="F60" s="357"/>
      <c r="G60" t="s">
        <v>876</v>
      </c>
      <c r="I60" t="s">
        <v>877</v>
      </c>
      <c r="Q60">
        <v>2058</v>
      </c>
      <c r="X60" t="s">
        <v>878</v>
      </c>
      <c r="Y60" t="s">
        <v>879</v>
      </c>
    </row>
    <row r="61" spans="1:25" x14ac:dyDescent="0.3">
      <c r="A61" s="283" t="s">
        <v>567</v>
      </c>
      <c r="B61" s="287" t="s">
        <v>880</v>
      </c>
      <c r="C61" s="284" t="s">
        <v>881</v>
      </c>
      <c r="D61" t="s">
        <v>882</v>
      </c>
      <c r="E61" t="str">
        <f t="shared" si="0"/>
        <v>DE</v>
      </c>
      <c r="F61" s="88"/>
      <c r="G61" t="s">
        <v>883</v>
      </c>
      <c r="I61" t="s">
        <v>884</v>
      </c>
      <c r="Q61">
        <v>2059</v>
      </c>
      <c r="X61" t="s">
        <v>885</v>
      </c>
      <c r="Y61" t="s">
        <v>886</v>
      </c>
    </row>
    <row r="62" spans="1:25" x14ac:dyDescent="0.3">
      <c r="A62" s="286" t="s">
        <v>576</v>
      </c>
      <c r="B62" s="283" t="s">
        <v>887</v>
      </c>
      <c r="C62" s="284" t="s">
        <v>888</v>
      </c>
      <c r="D62" t="s">
        <v>889</v>
      </c>
      <c r="E62" t="str">
        <f t="shared" si="0"/>
        <v>DJ</v>
      </c>
      <c r="F62" s="357"/>
      <c r="G62" t="s">
        <v>890</v>
      </c>
      <c r="I62" t="s">
        <v>891</v>
      </c>
      <c r="Q62">
        <v>2060</v>
      </c>
      <c r="X62" t="s">
        <v>892</v>
      </c>
      <c r="Y62" t="s">
        <v>893</v>
      </c>
    </row>
    <row r="63" spans="1:25" x14ac:dyDescent="0.3">
      <c r="A63" s="287" t="s">
        <v>894</v>
      </c>
      <c r="B63" s="286" t="s">
        <v>895</v>
      </c>
      <c r="C63" s="284" t="s">
        <v>896</v>
      </c>
      <c r="D63" t="s">
        <v>897</v>
      </c>
      <c r="E63" t="str">
        <f t="shared" si="0"/>
        <v>DK</v>
      </c>
      <c r="F63" s="357"/>
      <c r="G63" t="s">
        <v>898</v>
      </c>
      <c r="I63" t="s">
        <v>899</v>
      </c>
      <c r="Q63">
        <v>2061</v>
      </c>
      <c r="X63" t="s">
        <v>900</v>
      </c>
      <c r="Y63" t="s">
        <v>901</v>
      </c>
    </row>
    <row r="64" spans="1:25" x14ac:dyDescent="0.3">
      <c r="A64" s="286" t="s">
        <v>585</v>
      </c>
      <c r="B64" s="286" t="s">
        <v>902</v>
      </c>
      <c r="C64" s="284" t="s">
        <v>903</v>
      </c>
      <c r="D64" t="s">
        <v>904</v>
      </c>
      <c r="E64" t="str">
        <f t="shared" si="0"/>
        <v>DM</v>
      </c>
      <c r="F64" s="357"/>
      <c r="G64" t="s">
        <v>905</v>
      </c>
      <c r="I64" t="s">
        <v>906</v>
      </c>
      <c r="Q64">
        <v>2062</v>
      </c>
      <c r="X64" t="s">
        <v>907</v>
      </c>
      <c r="Y64" t="s">
        <v>908</v>
      </c>
    </row>
    <row r="65" spans="1:25" x14ac:dyDescent="0.3">
      <c r="A65" s="287" t="s">
        <v>909</v>
      </c>
      <c r="B65" s="283" t="s">
        <v>910</v>
      </c>
      <c r="C65" s="284" t="s">
        <v>911</v>
      </c>
      <c r="D65" t="s">
        <v>912</v>
      </c>
      <c r="E65" t="str">
        <f t="shared" si="0"/>
        <v>DO</v>
      </c>
      <c r="F65" s="357"/>
      <c r="G65" t="s">
        <v>913</v>
      </c>
      <c r="I65" t="s">
        <v>914</v>
      </c>
      <c r="Q65">
        <v>2063</v>
      </c>
      <c r="X65" t="s">
        <v>915</v>
      </c>
      <c r="Y65" t="s">
        <v>916</v>
      </c>
    </row>
    <row r="66" spans="1:25" x14ac:dyDescent="0.3">
      <c r="A66" s="283" t="s">
        <v>592</v>
      </c>
      <c r="B66" s="286" t="s">
        <v>917</v>
      </c>
      <c r="C66" s="284" t="s">
        <v>918</v>
      </c>
      <c r="D66" t="s">
        <v>919</v>
      </c>
      <c r="E66" t="str">
        <f t="shared" si="0"/>
        <v>DZ</v>
      </c>
      <c r="F66" s="88"/>
      <c r="G66" t="s">
        <v>920</v>
      </c>
      <c r="I66" t="s">
        <v>921</v>
      </c>
      <c r="Q66">
        <v>2064</v>
      </c>
      <c r="X66" t="s">
        <v>922</v>
      </c>
      <c r="Y66" t="s">
        <v>923</v>
      </c>
    </row>
    <row r="67" spans="1:25" x14ac:dyDescent="0.3">
      <c r="A67" s="286" t="s">
        <v>600</v>
      </c>
      <c r="B67" s="286" t="s">
        <v>924</v>
      </c>
      <c r="C67" s="284" t="s">
        <v>925</v>
      </c>
      <c r="D67" t="s">
        <v>926</v>
      </c>
      <c r="E67" t="str">
        <f t="shared" ref="E67:E130" si="1">RIGHT(D67,2)</f>
        <v>EC</v>
      </c>
      <c r="F67" s="357"/>
      <c r="G67" t="s">
        <v>927</v>
      </c>
      <c r="I67" t="s">
        <v>928</v>
      </c>
      <c r="Q67">
        <v>2065</v>
      </c>
      <c r="X67" t="s">
        <v>929</v>
      </c>
      <c r="Y67" t="s">
        <v>930</v>
      </c>
    </row>
    <row r="68" spans="1:25" x14ac:dyDescent="0.3">
      <c r="A68" s="287" t="s">
        <v>931</v>
      </c>
      <c r="B68" s="283" t="s">
        <v>932</v>
      </c>
      <c r="C68" s="284" t="s">
        <v>933</v>
      </c>
      <c r="D68" t="s">
        <v>934</v>
      </c>
      <c r="E68" t="str">
        <f t="shared" si="1"/>
        <v>EE</v>
      </c>
      <c r="F68" s="357"/>
      <c r="G68" t="s">
        <v>935</v>
      </c>
      <c r="I68" t="s">
        <v>936</v>
      </c>
      <c r="Q68">
        <v>2066</v>
      </c>
      <c r="X68" t="s">
        <v>937</v>
      </c>
      <c r="Y68" t="s">
        <v>938</v>
      </c>
    </row>
    <row r="69" spans="1:25" x14ac:dyDescent="0.3">
      <c r="A69" s="286" t="s">
        <v>607</v>
      </c>
      <c r="B69" s="286" t="s">
        <v>939</v>
      </c>
      <c r="C69" s="284" t="s">
        <v>940</v>
      </c>
      <c r="D69" t="s">
        <v>941</v>
      </c>
      <c r="E69" t="str">
        <f t="shared" si="1"/>
        <v>EG</v>
      </c>
      <c r="F69" s="356"/>
      <c r="G69" t="s">
        <v>942</v>
      </c>
      <c r="I69" t="s">
        <v>943</v>
      </c>
      <c r="Q69">
        <v>2067</v>
      </c>
      <c r="X69" t="s">
        <v>944</v>
      </c>
      <c r="Y69" t="s">
        <v>945</v>
      </c>
    </row>
    <row r="70" spans="1:25" x14ac:dyDescent="0.3">
      <c r="A70" s="287" t="s">
        <v>946</v>
      </c>
      <c r="B70" s="286" t="s">
        <v>947</v>
      </c>
      <c r="C70" s="284" t="s">
        <v>948</v>
      </c>
      <c r="D70" t="s">
        <v>949</v>
      </c>
      <c r="E70" t="str">
        <f t="shared" si="1"/>
        <v>EH</v>
      </c>
      <c r="F70" s="356"/>
      <c r="G70" t="s">
        <v>950</v>
      </c>
      <c r="I70" t="s">
        <v>951</v>
      </c>
      <c r="Q70">
        <v>2068</v>
      </c>
      <c r="X70" t="s">
        <v>952</v>
      </c>
      <c r="Y70" t="s">
        <v>953</v>
      </c>
    </row>
    <row r="71" spans="1:25" x14ac:dyDescent="0.3">
      <c r="A71" s="283" t="s">
        <v>615</v>
      </c>
      <c r="B71" s="283" t="s">
        <v>954</v>
      </c>
      <c r="C71" s="284" t="s">
        <v>955</v>
      </c>
      <c r="D71" t="s">
        <v>956</v>
      </c>
      <c r="E71" t="str">
        <f t="shared" si="1"/>
        <v>ER</v>
      </c>
      <c r="F71" s="356"/>
      <c r="G71" t="s">
        <v>957</v>
      </c>
      <c r="I71" t="s">
        <v>958</v>
      </c>
      <c r="Q71">
        <v>2069</v>
      </c>
      <c r="X71" t="s">
        <v>959</v>
      </c>
      <c r="Y71" t="s">
        <v>960</v>
      </c>
    </row>
    <row r="72" spans="1:25" x14ac:dyDescent="0.3">
      <c r="A72" s="286" t="s">
        <v>623</v>
      </c>
      <c r="B72" s="286" t="s">
        <v>961</v>
      </c>
      <c r="C72" s="284" t="s">
        <v>962</v>
      </c>
      <c r="D72" t="s">
        <v>963</v>
      </c>
      <c r="E72" t="str">
        <f t="shared" si="1"/>
        <v>ES</v>
      </c>
      <c r="F72" s="356"/>
      <c r="G72" t="s">
        <v>964</v>
      </c>
      <c r="I72" t="s">
        <v>965</v>
      </c>
      <c r="Q72">
        <v>2070</v>
      </c>
      <c r="X72" t="s">
        <v>966</v>
      </c>
      <c r="Y72" t="s">
        <v>967</v>
      </c>
    </row>
    <row r="73" spans="1:25" x14ac:dyDescent="0.3">
      <c r="A73" s="287" t="s">
        <v>968</v>
      </c>
      <c r="B73" s="286" t="s">
        <v>969</v>
      </c>
      <c r="C73" s="284" t="s">
        <v>970</v>
      </c>
      <c r="D73" t="s">
        <v>971</v>
      </c>
      <c r="E73" t="str">
        <f t="shared" si="1"/>
        <v>ET</v>
      </c>
      <c r="F73" s="356"/>
      <c r="G73" t="s">
        <v>972</v>
      </c>
      <c r="I73" t="s">
        <v>973</v>
      </c>
      <c r="Q73">
        <v>2071</v>
      </c>
      <c r="X73" t="s">
        <v>974</v>
      </c>
      <c r="Y73" t="s">
        <v>975</v>
      </c>
    </row>
    <row r="74" spans="1:25" x14ac:dyDescent="0.3">
      <c r="A74" s="286" t="s">
        <v>631</v>
      </c>
      <c r="B74" s="283" t="s">
        <v>976</v>
      </c>
      <c r="C74" s="284" t="s">
        <v>977</v>
      </c>
      <c r="D74" t="s">
        <v>978</v>
      </c>
      <c r="E74" t="str">
        <f t="shared" si="1"/>
        <v>FI</v>
      </c>
      <c r="F74" s="356"/>
      <c r="G74" t="s">
        <v>979</v>
      </c>
      <c r="I74" t="s">
        <v>980</v>
      </c>
      <c r="Q74">
        <v>2072</v>
      </c>
      <c r="X74" t="s">
        <v>981</v>
      </c>
      <c r="Y74" t="s">
        <v>982</v>
      </c>
    </row>
    <row r="75" spans="1:25" x14ac:dyDescent="0.3">
      <c r="A75" s="287" t="s">
        <v>983</v>
      </c>
      <c r="B75" s="286" t="s">
        <v>984</v>
      </c>
      <c r="C75" s="284" t="s">
        <v>985</v>
      </c>
      <c r="D75" t="s">
        <v>986</v>
      </c>
      <c r="E75" t="str">
        <f t="shared" si="1"/>
        <v>FJ</v>
      </c>
      <c r="F75" s="357"/>
      <c r="G75" t="s">
        <v>987</v>
      </c>
      <c r="I75" t="s">
        <v>988</v>
      </c>
      <c r="Q75">
        <v>2073</v>
      </c>
      <c r="X75" t="s">
        <v>989</v>
      </c>
      <c r="Y75" t="s">
        <v>990</v>
      </c>
    </row>
    <row r="76" spans="1:25" x14ac:dyDescent="0.3">
      <c r="A76" s="287" t="s">
        <v>991</v>
      </c>
      <c r="B76" s="286" t="s">
        <v>992</v>
      </c>
      <c r="C76" s="284" t="s">
        <v>993</v>
      </c>
      <c r="D76" t="s">
        <v>994</v>
      </c>
      <c r="E76" t="str">
        <f t="shared" si="1"/>
        <v>FK</v>
      </c>
      <c r="F76" s="357"/>
      <c r="G76" t="s">
        <v>995</v>
      </c>
      <c r="I76" t="s">
        <v>996</v>
      </c>
      <c r="Q76">
        <v>2074</v>
      </c>
      <c r="X76" t="s">
        <v>997</v>
      </c>
      <c r="Y76" t="s">
        <v>998</v>
      </c>
    </row>
    <row r="77" spans="1:25" x14ac:dyDescent="0.3">
      <c r="A77" s="283" t="s">
        <v>639</v>
      </c>
      <c r="B77" s="286" t="s">
        <v>999</v>
      </c>
      <c r="C77" s="284" t="s">
        <v>1000</v>
      </c>
      <c r="D77" t="s">
        <v>1001</v>
      </c>
      <c r="E77" t="str">
        <f t="shared" si="1"/>
        <v>FM</v>
      </c>
      <c r="F77" s="357"/>
      <c r="G77" t="s">
        <v>1002</v>
      </c>
      <c r="I77" t="s">
        <v>1003</v>
      </c>
      <c r="Q77">
        <v>2075</v>
      </c>
      <c r="X77" t="s">
        <v>1004</v>
      </c>
      <c r="Y77" t="s">
        <v>1005</v>
      </c>
    </row>
    <row r="78" spans="1:25" x14ac:dyDescent="0.3">
      <c r="A78" s="286" t="s">
        <v>647</v>
      </c>
      <c r="B78" s="286" t="s">
        <v>1006</v>
      </c>
      <c r="C78" s="284" t="s">
        <v>1007</v>
      </c>
      <c r="D78" t="s">
        <v>1008</v>
      </c>
      <c r="E78" t="str">
        <f t="shared" si="1"/>
        <v>FO</v>
      </c>
      <c r="F78" s="357"/>
      <c r="G78" t="s">
        <v>1009</v>
      </c>
      <c r="I78" t="s">
        <v>1010</v>
      </c>
      <c r="Q78">
        <v>2076</v>
      </c>
      <c r="X78" t="s">
        <v>1011</v>
      </c>
      <c r="Y78" t="s">
        <v>1012</v>
      </c>
    </row>
    <row r="79" spans="1:25" x14ac:dyDescent="0.3">
      <c r="A79" s="287" t="s">
        <v>1013</v>
      </c>
      <c r="B79" s="286" t="s">
        <v>1014</v>
      </c>
      <c r="C79" s="284" t="s">
        <v>1015</v>
      </c>
      <c r="D79" t="s">
        <v>1016</v>
      </c>
      <c r="E79" t="str">
        <f t="shared" si="1"/>
        <v>FR</v>
      </c>
      <c r="F79" s="357"/>
      <c r="G79" t="s">
        <v>1017</v>
      </c>
      <c r="I79" t="s">
        <v>1018</v>
      </c>
      <c r="Q79">
        <v>2077</v>
      </c>
      <c r="X79" t="s">
        <v>1019</v>
      </c>
      <c r="Y79" t="s">
        <v>1020</v>
      </c>
    </row>
    <row r="80" spans="1:25" x14ac:dyDescent="0.3">
      <c r="A80" s="287" t="s">
        <v>1021</v>
      </c>
      <c r="B80" s="286" t="s">
        <v>1022</v>
      </c>
      <c r="C80" s="284" t="s">
        <v>1023</v>
      </c>
      <c r="D80" t="s">
        <v>1024</v>
      </c>
      <c r="E80" t="str">
        <f t="shared" si="1"/>
        <v>GA</v>
      </c>
      <c r="F80" s="357"/>
      <c r="G80" t="s">
        <v>1025</v>
      </c>
      <c r="I80" t="s">
        <v>1026</v>
      </c>
      <c r="Q80">
        <v>2078</v>
      </c>
      <c r="X80" t="s">
        <v>1027</v>
      </c>
      <c r="Y80" t="s">
        <v>1028</v>
      </c>
    </row>
    <row r="81" spans="1:25" x14ac:dyDescent="0.3">
      <c r="A81" s="286" t="s">
        <v>655</v>
      </c>
      <c r="B81" s="283" t="s">
        <v>1029</v>
      </c>
      <c r="C81" s="284" t="s">
        <v>1030</v>
      </c>
      <c r="D81" t="s">
        <v>1031</v>
      </c>
      <c r="E81" t="str">
        <f t="shared" si="1"/>
        <v>GB</v>
      </c>
      <c r="F81" s="356"/>
      <c r="G81" t="s">
        <v>1032</v>
      </c>
      <c r="I81" t="s">
        <v>1033</v>
      </c>
      <c r="Q81">
        <v>2079</v>
      </c>
      <c r="X81" t="s">
        <v>1034</v>
      </c>
      <c r="Y81" t="s">
        <v>1035</v>
      </c>
    </row>
    <row r="82" spans="1:25" x14ac:dyDescent="0.3">
      <c r="A82" s="287" t="s">
        <v>1036</v>
      </c>
      <c r="B82" s="286" t="s">
        <v>1037</v>
      </c>
      <c r="C82" s="284" t="s">
        <v>1038</v>
      </c>
      <c r="D82" t="s">
        <v>1039</v>
      </c>
      <c r="E82" t="str">
        <f t="shared" si="1"/>
        <v>GD</v>
      </c>
      <c r="F82" s="356"/>
      <c r="G82" t="s">
        <v>1040</v>
      </c>
      <c r="I82" t="s">
        <v>1041</v>
      </c>
      <c r="Q82">
        <v>2080</v>
      </c>
      <c r="X82" t="s">
        <v>1042</v>
      </c>
      <c r="Y82" t="s">
        <v>1043</v>
      </c>
    </row>
    <row r="83" spans="1:25" x14ac:dyDescent="0.3">
      <c r="A83" s="287" t="s">
        <v>1044</v>
      </c>
      <c r="B83" s="286" t="s">
        <v>1045</v>
      </c>
      <c r="C83" s="284" t="s">
        <v>1046</v>
      </c>
      <c r="D83" t="s">
        <v>1047</v>
      </c>
      <c r="E83" t="str">
        <f t="shared" si="1"/>
        <v>GE</v>
      </c>
      <c r="F83" s="356"/>
      <c r="G83" t="s">
        <v>1048</v>
      </c>
      <c r="I83" t="s">
        <v>1049</v>
      </c>
      <c r="Q83">
        <v>2081</v>
      </c>
      <c r="X83" t="s">
        <v>1050</v>
      </c>
      <c r="Y83" t="s">
        <v>1051</v>
      </c>
    </row>
    <row r="84" spans="1:25" x14ac:dyDescent="0.3">
      <c r="A84" s="287" t="s">
        <v>1052</v>
      </c>
      <c r="B84" s="283" t="s">
        <v>1053</v>
      </c>
      <c r="C84" s="284" t="s">
        <v>1054</v>
      </c>
      <c r="D84" t="s">
        <v>1055</v>
      </c>
      <c r="E84" t="str">
        <f t="shared" si="1"/>
        <v>GF</v>
      </c>
      <c r="F84" s="357"/>
      <c r="G84" t="s">
        <v>1056</v>
      </c>
      <c r="I84" t="s">
        <v>1057</v>
      </c>
      <c r="Q84">
        <v>2082</v>
      </c>
      <c r="X84" t="s">
        <v>1058</v>
      </c>
      <c r="Y84" t="s">
        <v>1059</v>
      </c>
    </row>
    <row r="85" spans="1:25" x14ac:dyDescent="0.3">
      <c r="A85" s="287" t="s">
        <v>1060</v>
      </c>
      <c r="B85" s="286" t="s">
        <v>1061</v>
      </c>
      <c r="C85" s="284" t="s">
        <v>1062</v>
      </c>
      <c r="D85" t="s">
        <v>1063</v>
      </c>
      <c r="E85" t="str">
        <f t="shared" si="1"/>
        <v>GG</v>
      </c>
      <c r="F85" s="357"/>
      <c r="G85" t="s">
        <v>1064</v>
      </c>
      <c r="I85" t="s">
        <v>1065</v>
      </c>
      <c r="Q85">
        <v>2083</v>
      </c>
      <c r="X85" t="s">
        <v>1066</v>
      </c>
      <c r="Y85" t="s">
        <v>1067</v>
      </c>
    </row>
    <row r="86" spans="1:25" x14ac:dyDescent="0.3">
      <c r="A86" s="283" t="s">
        <v>663</v>
      </c>
      <c r="B86" s="286" t="s">
        <v>1068</v>
      </c>
      <c r="C86" s="284" t="s">
        <v>1069</v>
      </c>
      <c r="D86" t="s">
        <v>1070</v>
      </c>
      <c r="E86" t="str">
        <f t="shared" si="1"/>
        <v>GH</v>
      </c>
      <c r="F86" s="88"/>
      <c r="G86" t="s">
        <v>1071</v>
      </c>
      <c r="I86" t="s">
        <v>1072</v>
      </c>
      <c r="Q86">
        <v>2084</v>
      </c>
      <c r="X86" t="s">
        <v>1073</v>
      </c>
      <c r="Y86" t="s">
        <v>1074</v>
      </c>
    </row>
    <row r="87" spans="1:25" x14ac:dyDescent="0.3">
      <c r="A87" s="286" t="s">
        <v>671</v>
      </c>
      <c r="B87" s="283" t="s">
        <v>1075</v>
      </c>
      <c r="C87" s="284" t="s">
        <v>1076</v>
      </c>
      <c r="D87" t="s">
        <v>1077</v>
      </c>
      <c r="E87" t="str">
        <f t="shared" si="1"/>
        <v>GI</v>
      </c>
      <c r="F87" s="357"/>
      <c r="G87" t="s">
        <v>1078</v>
      </c>
      <c r="I87" t="s">
        <v>1079</v>
      </c>
      <c r="Q87">
        <v>2085</v>
      </c>
      <c r="X87" t="s">
        <v>1080</v>
      </c>
      <c r="Y87" t="s">
        <v>1081</v>
      </c>
    </row>
    <row r="88" spans="1:25" x14ac:dyDescent="0.3">
      <c r="A88" s="287" t="s">
        <v>1082</v>
      </c>
      <c r="B88" s="286" t="s">
        <v>1083</v>
      </c>
      <c r="C88" s="284" t="s">
        <v>1084</v>
      </c>
      <c r="D88" t="s">
        <v>1085</v>
      </c>
      <c r="E88" t="str">
        <f t="shared" si="1"/>
        <v>GL</v>
      </c>
      <c r="F88" s="357"/>
      <c r="G88" t="s">
        <v>1086</v>
      </c>
      <c r="I88" t="s">
        <v>1087</v>
      </c>
      <c r="Q88">
        <v>2086</v>
      </c>
      <c r="X88" t="s">
        <v>1088</v>
      </c>
      <c r="Y88" t="s">
        <v>1089</v>
      </c>
    </row>
    <row r="89" spans="1:25" x14ac:dyDescent="0.3">
      <c r="A89" s="286" t="s">
        <v>678</v>
      </c>
      <c r="B89" s="286" t="s">
        <v>1090</v>
      </c>
      <c r="C89" s="284" t="s">
        <v>1091</v>
      </c>
      <c r="D89" t="s">
        <v>1092</v>
      </c>
      <c r="E89" t="str">
        <f t="shared" si="1"/>
        <v>GM</v>
      </c>
      <c r="F89" s="357"/>
      <c r="G89" t="s">
        <v>1093</v>
      </c>
      <c r="I89" t="s">
        <v>1094</v>
      </c>
      <c r="Q89">
        <v>2087</v>
      </c>
      <c r="X89" t="s">
        <v>1095</v>
      </c>
      <c r="Y89" t="s">
        <v>1096</v>
      </c>
    </row>
    <row r="90" spans="1:25" x14ac:dyDescent="0.3">
      <c r="A90" s="287" t="s">
        <v>1097</v>
      </c>
      <c r="B90" s="286" t="s">
        <v>1098</v>
      </c>
      <c r="C90" s="284" t="s">
        <v>1099</v>
      </c>
      <c r="D90" t="s">
        <v>1100</v>
      </c>
      <c r="E90" t="str">
        <f t="shared" si="1"/>
        <v>GN</v>
      </c>
      <c r="F90" s="357"/>
      <c r="G90" t="s">
        <v>1101</v>
      </c>
      <c r="I90" t="s">
        <v>1102</v>
      </c>
      <c r="Q90">
        <v>2088</v>
      </c>
      <c r="X90" t="s">
        <v>1103</v>
      </c>
      <c r="Y90" t="s">
        <v>1104</v>
      </c>
    </row>
    <row r="91" spans="1:25" x14ac:dyDescent="0.3">
      <c r="A91" s="284" t="s">
        <v>1105</v>
      </c>
      <c r="B91" s="286" t="s">
        <v>1106</v>
      </c>
      <c r="C91" s="284" t="s">
        <v>1107</v>
      </c>
      <c r="D91" t="s">
        <v>1108</v>
      </c>
      <c r="E91" t="str">
        <f t="shared" si="1"/>
        <v>GP</v>
      </c>
      <c r="F91" s="357"/>
      <c r="G91" t="s">
        <v>1109</v>
      </c>
      <c r="I91" t="s">
        <v>1110</v>
      </c>
      <c r="Q91">
        <v>2089</v>
      </c>
      <c r="X91" t="s">
        <v>1111</v>
      </c>
      <c r="Y91" t="s">
        <v>1112</v>
      </c>
    </row>
    <row r="92" spans="1:25" x14ac:dyDescent="0.3">
      <c r="A92" s="283" t="s">
        <v>693</v>
      </c>
      <c r="B92" s="286" t="s">
        <v>1113</v>
      </c>
      <c r="C92" s="284" t="s">
        <v>1114</v>
      </c>
      <c r="D92" t="s">
        <v>1115</v>
      </c>
      <c r="E92" t="str">
        <f t="shared" si="1"/>
        <v>GQ</v>
      </c>
      <c r="F92" s="357"/>
      <c r="G92" t="s">
        <v>1116</v>
      </c>
      <c r="I92" t="s">
        <v>1117</v>
      </c>
      <c r="Q92">
        <v>2090</v>
      </c>
      <c r="X92" t="s">
        <v>1118</v>
      </c>
      <c r="Y92" t="s">
        <v>1119</v>
      </c>
    </row>
    <row r="93" spans="1:25" x14ac:dyDescent="0.3">
      <c r="A93" s="286" t="s">
        <v>701</v>
      </c>
      <c r="B93" s="286" t="s">
        <v>1120</v>
      </c>
      <c r="C93" s="284" t="s">
        <v>1121</v>
      </c>
      <c r="D93" t="s">
        <v>1122</v>
      </c>
      <c r="E93" t="str">
        <f t="shared" si="1"/>
        <v>GR</v>
      </c>
      <c r="F93" s="357"/>
      <c r="G93" t="s">
        <v>1123</v>
      </c>
      <c r="I93" t="s">
        <v>1124</v>
      </c>
      <c r="Q93">
        <v>2091</v>
      </c>
      <c r="X93" t="s">
        <v>1125</v>
      </c>
      <c r="Y93" t="s">
        <v>1126</v>
      </c>
    </row>
    <row r="94" spans="1:25" x14ac:dyDescent="0.3">
      <c r="A94" s="287" t="s">
        <v>1127</v>
      </c>
      <c r="B94" s="286" t="s">
        <v>1128</v>
      </c>
      <c r="C94" s="284" t="s">
        <v>1129</v>
      </c>
      <c r="D94" t="s">
        <v>1130</v>
      </c>
      <c r="E94" t="str">
        <f t="shared" si="1"/>
        <v>GS</v>
      </c>
      <c r="F94" s="357"/>
      <c r="G94" t="s">
        <v>1131</v>
      </c>
      <c r="I94" t="s">
        <v>1132</v>
      </c>
      <c r="Q94">
        <v>2092</v>
      </c>
      <c r="X94" t="s">
        <v>1133</v>
      </c>
      <c r="Y94" t="s">
        <v>1134</v>
      </c>
    </row>
    <row r="95" spans="1:25" x14ac:dyDescent="0.3">
      <c r="A95" s="287" t="s">
        <v>1135</v>
      </c>
      <c r="B95" s="286" t="s">
        <v>1136</v>
      </c>
      <c r="C95" s="284" t="s">
        <v>1137</v>
      </c>
      <c r="D95" t="s">
        <v>1138</v>
      </c>
      <c r="E95" t="str">
        <f t="shared" si="1"/>
        <v>GT</v>
      </c>
      <c r="F95" s="88"/>
      <c r="G95" t="s">
        <v>1139</v>
      </c>
      <c r="I95" t="s">
        <v>1140</v>
      </c>
      <c r="Q95">
        <v>2093</v>
      </c>
      <c r="X95" t="s">
        <v>1141</v>
      </c>
      <c r="Y95" t="s">
        <v>1142</v>
      </c>
    </row>
    <row r="96" spans="1:25" x14ac:dyDescent="0.3">
      <c r="A96" s="287" t="s">
        <v>1143</v>
      </c>
      <c r="B96" s="283" t="s">
        <v>1144</v>
      </c>
      <c r="C96" s="284" t="s">
        <v>1145</v>
      </c>
      <c r="D96" t="s">
        <v>1146</v>
      </c>
      <c r="E96" t="str">
        <f t="shared" si="1"/>
        <v>GU</v>
      </c>
      <c r="F96" s="357"/>
      <c r="I96" t="s">
        <v>1147</v>
      </c>
      <c r="Q96">
        <v>2094</v>
      </c>
      <c r="X96" t="s">
        <v>1148</v>
      </c>
      <c r="Y96" t="s">
        <v>1149</v>
      </c>
    </row>
    <row r="97" spans="1:25" x14ac:dyDescent="0.3">
      <c r="A97" s="286" t="s">
        <v>709</v>
      </c>
      <c r="B97" s="286" t="s">
        <v>1150</v>
      </c>
      <c r="C97" s="284" t="s">
        <v>1151</v>
      </c>
      <c r="D97" t="s">
        <v>1152</v>
      </c>
      <c r="E97" t="str">
        <f t="shared" si="1"/>
        <v>GW</v>
      </c>
      <c r="F97" s="357"/>
      <c r="I97" t="s">
        <v>1153</v>
      </c>
      <c r="Q97">
        <v>2095</v>
      </c>
      <c r="X97" t="s">
        <v>1154</v>
      </c>
      <c r="Y97" t="s">
        <v>1155</v>
      </c>
    </row>
    <row r="98" spans="1:25" x14ac:dyDescent="0.3">
      <c r="A98" s="287" t="s">
        <v>1156</v>
      </c>
      <c r="B98" s="286" t="s">
        <v>1157</v>
      </c>
      <c r="C98" s="284" t="s">
        <v>1158</v>
      </c>
      <c r="D98" t="s">
        <v>1159</v>
      </c>
      <c r="E98" t="str">
        <f t="shared" si="1"/>
        <v>GY</v>
      </c>
      <c r="F98" s="357"/>
      <c r="I98" t="s">
        <v>1160</v>
      </c>
      <c r="Q98">
        <v>2096</v>
      </c>
      <c r="X98" t="s">
        <v>1161</v>
      </c>
      <c r="Y98" t="s">
        <v>1162</v>
      </c>
    </row>
    <row r="99" spans="1:25" x14ac:dyDescent="0.3">
      <c r="A99" s="286" t="s">
        <v>717</v>
      </c>
      <c r="B99" s="286" t="s">
        <v>1163</v>
      </c>
      <c r="C99" s="284" t="s">
        <v>1164</v>
      </c>
      <c r="D99" t="s">
        <v>1165</v>
      </c>
      <c r="E99" t="str">
        <f t="shared" si="1"/>
        <v>HK</v>
      </c>
      <c r="F99" s="88"/>
      <c r="I99" t="s">
        <v>1166</v>
      </c>
      <c r="Q99">
        <v>2097</v>
      </c>
      <c r="X99" t="s">
        <v>1167</v>
      </c>
      <c r="Y99" t="s">
        <v>1168</v>
      </c>
    </row>
    <row r="100" spans="1:25" x14ac:dyDescent="0.3">
      <c r="A100" s="287" t="s">
        <v>1169</v>
      </c>
      <c r="B100" s="286" t="s">
        <v>1170</v>
      </c>
      <c r="C100" s="284" t="s">
        <v>1171</v>
      </c>
      <c r="D100" t="s">
        <v>1172</v>
      </c>
      <c r="E100" t="str">
        <f t="shared" si="1"/>
        <v>HM</v>
      </c>
      <c r="F100" s="357"/>
      <c r="I100" t="s">
        <v>1173</v>
      </c>
      <c r="Q100">
        <v>2098</v>
      </c>
      <c r="X100" t="s">
        <v>1174</v>
      </c>
      <c r="Y100" t="s">
        <v>1175</v>
      </c>
    </row>
    <row r="101" spans="1:25" x14ac:dyDescent="0.3">
      <c r="A101" s="287" t="s">
        <v>1176</v>
      </c>
      <c r="B101" s="286" t="s">
        <v>1177</v>
      </c>
      <c r="C101" s="284" t="s">
        <v>1178</v>
      </c>
      <c r="D101" t="s">
        <v>1179</v>
      </c>
      <c r="E101" t="str">
        <f t="shared" si="1"/>
        <v>HN</v>
      </c>
      <c r="F101" s="357"/>
      <c r="I101" t="s">
        <v>1180</v>
      </c>
      <c r="Q101">
        <v>2099</v>
      </c>
      <c r="X101" t="s">
        <v>1181</v>
      </c>
      <c r="Y101" t="s">
        <v>1182</v>
      </c>
    </row>
    <row r="102" spans="1:25" x14ac:dyDescent="0.3">
      <c r="A102" s="287" t="s">
        <v>1183</v>
      </c>
      <c r="B102" s="283" t="s">
        <v>1184</v>
      </c>
      <c r="C102" s="284" t="s">
        <v>1185</v>
      </c>
      <c r="D102" t="s">
        <v>1186</v>
      </c>
      <c r="E102" t="str">
        <f t="shared" si="1"/>
        <v>HR</v>
      </c>
      <c r="F102" s="357"/>
      <c r="I102" t="s">
        <v>1187</v>
      </c>
      <c r="Q102">
        <v>2100</v>
      </c>
      <c r="X102" t="s">
        <v>1188</v>
      </c>
      <c r="Y102" t="s">
        <v>1189</v>
      </c>
    </row>
    <row r="103" spans="1:25" x14ac:dyDescent="0.3">
      <c r="A103" s="286" t="s">
        <v>724</v>
      </c>
      <c r="B103" s="286" t="s">
        <v>1190</v>
      </c>
      <c r="C103" s="284" t="s">
        <v>1191</v>
      </c>
      <c r="D103" t="s">
        <v>1192</v>
      </c>
      <c r="E103" t="str">
        <f t="shared" si="1"/>
        <v>HT</v>
      </c>
      <c r="F103" s="357"/>
      <c r="I103" t="s">
        <v>1193</v>
      </c>
      <c r="X103" t="s">
        <v>1194</v>
      </c>
      <c r="Y103" t="s">
        <v>1195</v>
      </c>
    </row>
    <row r="104" spans="1:25" x14ac:dyDescent="0.3">
      <c r="A104" s="287" t="s">
        <v>1196</v>
      </c>
      <c r="B104" s="286" t="s">
        <v>1197</v>
      </c>
      <c r="C104" s="284" t="s">
        <v>1198</v>
      </c>
      <c r="D104" t="s">
        <v>1199</v>
      </c>
      <c r="E104" t="str">
        <f t="shared" si="1"/>
        <v>HU</v>
      </c>
      <c r="F104" s="357"/>
      <c r="I104" t="s">
        <v>1200</v>
      </c>
      <c r="X104" t="s">
        <v>1201</v>
      </c>
      <c r="Y104" t="s">
        <v>1202</v>
      </c>
    </row>
    <row r="105" spans="1:25" x14ac:dyDescent="0.3">
      <c r="A105" s="287" t="s">
        <v>1203</v>
      </c>
      <c r="B105" s="286" t="s">
        <v>1204</v>
      </c>
      <c r="C105" s="284" t="s">
        <v>1205</v>
      </c>
      <c r="D105" t="s">
        <v>1206</v>
      </c>
      <c r="E105" t="str">
        <f t="shared" si="1"/>
        <v>ID</v>
      </c>
      <c r="F105" s="357"/>
      <c r="I105" t="s">
        <v>1207</v>
      </c>
      <c r="X105" t="s">
        <v>1208</v>
      </c>
      <c r="Y105" t="s">
        <v>1209</v>
      </c>
    </row>
    <row r="106" spans="1:25" x14ac:dyDescent="0.3">
      <c r="A106" s="286" t="s">
        <v>732</v>
      </c>
      <c r="B106" s="286" t="s">
        <v>1210</v>
      </c>
      <c r="C106" s="284" t="s">
        <v>1211</v>
      </c>
      <c r="D106" t="s">
        <v>1212</v>
      </c>
      <c r="E106" t="str">
        <f t="shared" si="1"/>
        <v>IE</v>
      </c>
      <c r="F106" s="357"/>
      <c r="I106" t="s">
        <v>1213</v>
      </c>
      <c r="X106" t="s">
        <v>1214</v>
      </c>
      <c r="Y106" t="s">
        <v>1215</v>
      </c>
    </row>
    <row r="107" spans="1:25" x14ac:dyDescent="0.3">
      <c r="A107" s="287" t="s">
        <v>1216</v>
      </c>
      <c r="B107" s="286" t="s">
        <v>1217</v>
      </c>
      <c r="C107" s="284" t="s">
        <v>1218</v>
      </c>
      <c r="D107" t="s">
        <v>1219</v>
      </c>
      <c r="E107" t="str">
        <f t="shared" si="1"/>
        <v>IL</v>
      </c>
      <c r="F107" s="88"/>
      <c r="I107" t="s">
        <v>1220</v>
      </c>
      <c r="X107" t="s">
        <v>1221</v>
      </c>
      <c r="Y107" t="s">
        <v>1222</v>
      </c>
    </row>
    <row r="108" spans="1:25" x14ac:dyDescent="0.3">
      <c r="A108" s="287" t="s">
        <v>1223</v>
      </c>
      <c r="B108" s="286" t="s">
        <v>1224</v>
      </c>
      <c r="C108" s="284" t="s">
        <v>1225</v>
      </c>
      <c r="D108" t="s">
        <v>1226</v>
      </c>
      <c r="E108" t="str">
        <f t="shared" si="1"/>
        <v>IM</v>
      </c>
      <c r="F108" s="357"/>
      <c r="I108" t="s">
        <v>1227</v>
      </c>
      <c r="X108" t="s">
        <v>1228</v>
      </c>
      <c r="Y108" t="s">
        <v>1229</v>
      </c>
    </row>
    <row r="109" spans="1:25" x14ac:dyDescent="0.3">
      <c r="A109" s="286" t="s">
        <v>739</v>
      </c>
      <c r="B109" s="286" t="s">
        <v>1230</v>
      </c>
      <c r="C109" s="284" t="s">
        <v>1231</v>
      </c>
      <c r="D109" t="s">
        <v>1232</v>
      </c>
      <c r="E109" t="str">
        <f t="shared" si="1"/>
        <v>IN</v>
      </c>
      <c r="F109" s="357"/>
      <c r="I109" t="s">
        <v>1233</v>
      </c>
      <c r="X109" t="s">
        <v>1234</v>
      </c>
      <c r="Y109" t="s">
        <v>1235</v>
      </c>
    </row>
    <row r="110" spans="1:25" x14ac:dyDescent="0.3">
      <c r="A110" s="287" t="s">
        <v>1236</v>
      </c>
      <c r="B110" s="283" t="s">
        <v>1237</v>
      </c>
      <c r="C110" s="284" t="s">
        <v>1238</v>
      </c>
      <c r="D110" t="s">
        <v>1239</v>
      </c>
      <c r="E110" t="str">
        <f t="shared" si="1"/>
        <v>IO</v>
      </c>
      <c r="F110" s="88"/>
      <c r="I110" t="s">
        <v>1240</v>
      </c>
      <c r="X110" t="s">
        <v>1241</v>
      </c>
      <c r="Y110" t="s">
        <v>1242</v>
      </c>
    </row>
    <row r="111" spans="1:25" x14ac:dyDescent="0.3">
      <c r="A111" s="287" t="s">
        <v>1243</v>
      </c>
      <c r="B111" s="286" t="s">
        <v>1244</v>
      </c>
      <c r="C111" s="284" t="s">
        <v>1245</v>
      </c>
      <c r="D111" t="s">
        <v>1246</v>
      </c>
      <c r="E111" t="str">
        <f t="shared" si="1"/>
        <v>IQ</v>
      </c>
      <c r="F111" s="357"/>
      <c r="I111" t="s">
        <v>1247</v>
      </c>
      <c r="X111" t="s">
        <v>1248</v>
      </c>
      <c r="Y111" t="s">
        <v>1249</v>
      </c>
    </row>
    <row r="112" spans="1:25" x14ac:dyDescent="0.3">
      <c r="A112" s="286" t="s">
        <v>746</v>
      </c>
      <c r="B112" s="286" t="s">
        <v>1250</v>
      </c>
      <c r="C112" s="284" t="s">
        <v>1251</v>
      </c>
      <c r="D112" t="s">
        <v>1252</v>
      </c>
      <c r="E112" t="str">
        <f t="shared" si="1"/>
        <v>IR</v>
      </c>
      <c r="F112" s="357"/>
      <c r="I112" t="s">
        <v>1253</v>
      </c>
      <c r="X112" t="s">
        <v>1254</v>
      </c>
      <c r="Y112" t="s">
        <v>1255</v>
      </c>
    </row>
    <row r="113" spans="1:25" x14ac:dyDescent="0.3">
      <c r="A113" s="287" t="s">
        <v>1256</v>
      </c>
      <c r="B113" s="286" t="s">
        <v>1257</v>
      </c>
      <c r="C113" s="284" t="s">
        <v>1258</v>
      </c>
      <c r="D113" t="s">
        <v>1259</v>
      </c>
      <c r="E113" t="str">
        <f t="shared" si="1"/>
        <v>IS</v>
      </c>
      <c r="F113" s="357"/>
      <c r="I113" t="s">
        <v>1260</v>
      </c>
      <c r="X113" t="s">
        <v>1261</v>
      </c>
      <c r="Y113" t="s">
        <v>1262</v>
      </c>
    </row>
    <row r="114" spans="1:25" x14ac:dyDescent="0.3">
      <c r="A114" s="287" t="s">
        <v>1263</v>
      </c>
      <c r="B114" s="286" t="s">
        <v>1264</v>
      </c>
      <c r="C114" s="284" t="s">
        <v>29</v>
      </c>
      <c r="D114" t="s">
        <v>1265</v>
      </c>
      <c r="E114" t="str">
        <f t="shared" si="1"/>
        <v>IT</v>
      </c>
      <c r="F114" s="357"/>
      <c r="I114" t="s">
        <v>75</v>
      </c>
      <c r="X114" t="s">
        <v>1266</v>
      </c>
      <c r="Y114" t="s">
        <v>1267</v>
      </c>
    </row>
    <row r="115" spans="1:25" x14ac:dyDescent="0.3">
      <c r="A115" s="287" t="s">
        <v>1268</v>
      </c>
      <c r="B115" s="286" t="s">
        <v>1269</v>
      </c>
      <c r="C115" s="284" t="s">
        <v>1270</v>
      </c>
      <c r="D115" t="s">
        <v>1271</v>
      </c>
      <c r="E115" t="str">
        <f t="shared" si="1"/>
        <v>JE</v>
      </c>
      <c r="F115" s="88"/>
      <c r="I115" t="s">
        <v>1272</v>
      </c>
      <c r="X115" t="s">
        <v>1273</v>
      </c>
      <c r="Y115" t="s">
        <v>1274</v>
      </c>
    </row>
    <row r="116" spans="1:25" x14ac:dyDescent="0.3">
      <c r="A116" s="286" t="s">
        <v>754</v>
      </c>
      <c r="B116" s="286" t="s">
        <v>1275</v>
      </c>
      <c r="C116" s="284" t="s">
        <v>1276</v>
      </c>
      <c r="D116" t="s">
        <v>1277</v>
      </c>
      <c r="E116" t="str">
        <f t="shared" si="1"/>
        <v>JM</v>
      </c>
      <c r="F116" s="357"/>
      <c r="I116" t="s">
        <v>1278</v>
      </c>
      <c r="X116" t="s">
        <v>1279</v>
      </c>
      <c r="Y116" t="s">
        <v>1280</v>
      </c>
    </row>
    <row r="117" spans="1:25" x14ac:dyDescent="0.3">
      <c r="A117" s="287" t="s">
        <v>1281</v>
      </c>
      <c r="B117" s="286" t="s">
        <v>1282</v>
      </c>
      <c r="C117" s="284" t="s">
        <v>1283</v>
      </c>
      <c r="D117" t="s">
        <v>1284</v>
      </c>
      <c r="E117" t="str">
        <f t="shared" si="1"/>
        <v>JO</v>
      </c>
      <c r="F117" s="357"/>
      <c r="I117" t="s">
        <v>1285</v>
      </c>
      <c r="X117" t="s">
        <v>1286</v>
      </c>
      <c r="Y117" t="s">
        <v>1287</v>
      </c>
    </row>
    <row r="118" spans="1:25" x14ac:dyDescent="0.3">
      <c r="A118" s="287" t="s">
        <v>1288</v>
      </c>
      <c r="B118" s="283" t="s">
        <v>1289</v>
      </c>
      <c r="C118" s="284" t="s">
        <v>1290</v>
      </c>
      <c r="D118" t="s">
        <v>1291</v>
      </c>
      <c r="E118" t="str">
        <f t="shared" si="1"/>
        <v>JP</v>
      </c>
      <c r="F118" s="357"/>
      <c r="I118" t="s">
        <v>1292</v>
      </c>
      <c r="X118" t="s">
        <v>1293</v>
      </c>
      <c r="Y118" t="s">
        <v>1294</v>
      </c>
    </row>
    <row r="119" spans="1:25" x14ac:dyDescent="0.3">
      <c r="A119" s="287" t="s">
        <v>1295</v>
      </c>
      <c r="B119" s="286" t="s">
        <v>1296</v>
      </c>
      <c r="C119" s="284" t="s">
        <v>1297</v>
      </c>
      <c r="D119" t="s">
        <v>1298</v>
      </c>
      <c r="E119" t="str">
        <f t="shared" si="1"/>
        <v>KE</v>
      </c>
      <c r="F119" s="88"/>
      <c r="I119" t="s">
        <v>1299</v>
      </c>
      <c r="X119" t="s">
        <v>1300</v>
      </c>
      <c r="Y119" t="s">
        <v>1301</v>
      </c>
    </row>
    <row r="120" spans="1:25" x14ac:dyDescent="0.3">
      <c r="A120" s="287" t="s">
        <v>1302</v>
      </c>
      <c r="B120" s="286" t="s">
        <v>1303</v>
      </c>
      <c r="C120" s="284" t="s">
        <v>1304</v>
      </c>
      <c r="D120" t="s">
        <v>1305</v>
      </c>
      <c r="E120" t="str">
        <f t="shared" si="1"/>
        <v>KG</v>
      </c>
      <c r="F120" s="357"/>
      <c r="I120" t="s">
        <v>1306</v>
      </c>
      <c r="X120" t="s">
        <v>1307</v>
      </c>
      <c r="Y120" t="s">
        <v>1308</v>
      </c>
    </row>
    <row r="121" spans="1:25" x14ac:dyDescent="0.3">
      <c r="A121" s="287" t="s">
        <v>1309</v>
      </c>
      <c r="B121" s="286" t="s">
        <v>1310</v>
      </c>
      <c r="C121" s="284" t="s">
        <v>1311</v>
      </c>
      <c r="D121" t="s">
        <v>1312</v>
      </c>
      <c r="E121" t="str">
        <f t="shared" si="1"/>
        <v>KH</v>
      </c>
      <c r="F121" s="357"/>
      <c r="I121" t="s">
        <v>74</v>
      </c>
      <c r="X121" t="s">
        <v>1313</v>
      </c>
      <c r="Y121" t="s">
        <v>1314</v>
      </c>
    </row>
    <row r="122" spans="1:25" x14ac:dyDescent="0.3">
      <c r="A122" s="287" t="s">
        <v>1315</v>
      </c>
      <c r="B122" s="286" t="s">
        <v>1316</v>
      </c>
      <c r="C122" s="284" t="s">
        <v>1317</v>
      </c>
      <c r="D122" t="s">
        <v>1318</v>
      </c>
      <c r="E122" t="str">
        <f t="shared" si="1"/>
        <v>KI</v>
      </c>
      <c r="F122" s="357"/>
      <c r="I122" t="s">
        <v>1319</v>
      </c>
      <c r="X122" t="s">
        <v>1320</v>
      </c>
      <c r="Y122" t="s">
        <v>1321</v>
      </c>
    </row>
    <row r="123" spans="1:25" x14ac:dyDescent="0.3">
      <c r="A123" s="287" t="s">
        <v>1322</v>
      </c>
      <c r="B123" s="286" t="s">
        <v>1323</v>
      </c>
      <c r="C123" s="284" t="s">
        <v>1324</v>
      </c>
      <c r="D123" t="s">
        <v>1325</v>
      </c>
      <c r="E123" t="str">
        <f t="shared" si="1"/>
        <v>KM</v>
      </c>
      <c r="F123" s="357"/>
      <c r="I123" t="s">
        <v>1326</v>
      </c>
      <c r="X123" t="s">
        <v>1327</v>
      </c>
      <c r="Y123" t="s">
        <v>1328</v>
      </c>
    </row>
    <row r="124" spans="1:25" x14ac:dyDescent="0.3">
      <c r="A124" s="286" t="s">
        <v>761</v>
      </c>
      <c r="B124" s="286" t="s">
        <v>1329</v>
      </c>
      <c r="C124" s="284" t="s">
        <v>1330</v>
      </c>
      <c r="D124" t="s">
        <v>1331</v>
      </c>
      <c r="E124" t="str">
        <f t="shared" si="1"/>
        <v>KN</v>
      </c>
      <c r="F124" s="357"/>
      <c r="I124" t="s">
        <v>1332</v>
      </c>
      <c r="X124" t="s">
        <v>1333</v>
      </c>
      <c r="Y124" t="s">
        <v>1334</v>
      </c>
    </row>
    <row r="125" spans="1:25" x14ac:dyDescent="0.3">
      <c r="A125" s="287" t="s">
        <v>1335</v>
      </c>
      <c r="B125" s="283" t="s">
        <v>1336</v>
      </c>
      <c r="C125" s="284" t="s">
        <v>1337</v>
      </c>
      <c r="D125" t="s">
        <v>1338</v>
      </c>
      <c r="E125" t="str">
        <f t="shared" si="1"/>
        <v>KP</v>
      </c>
      <c r="F125" s="88"/>
      <c r="I125" t="s">
        <v>1339</v>
      </c>
      <c r="X125" t="s">
        <v>1340</v>
      </c>
      <c r="Y125" t="s">
        <v>1341</v>
      </c>
    </row>
    <row r="126" spans="1:25" x14ac:dyDescent="0.3">
      <c r="A126" s="287" t="s">
        <v>1342</v>
      </c>
      <c r="B126" s="286" t="s">
        <v>1343</v>
      </c>
      <c r="C126" s="284" t="s">
        <v>1344</v>
      </c>
      <c r="D126" t="s">
        <v>1345</v>
      </c>
      <c r="E126" t="str">
        <f t="shared" si="1"/>
        <v>KR</v>
      </c>
      <c r="F126" s="357"/>
      <c r="I126" t="s">
        <v>1346</v>
      </c>
      <c r="X126" t="s">
        <v>1347</v>
      </c>
      <c r="Y126" t="s">
        <v>1348</v>
      </c>
    </row>
    <row r="127" spans="1:25" x14ac:dyDescent="0.3">
      <c r="A127" s="283" t="s">
        <v>769</v>
      </c>
      <c r="B127" s="286" t="s">
        <v>1349</v>
      </c>
      <c r="C127" s="284" t="s">
        <v>1350</v>
      </c>
      <c r="D127" t="s">
        <v>1351</v>
      </c>
      <c r="E127" t="str">
        <f t="shared" si="1"/>
        <v>KW</v>
      </c>
      <c r="F127" s="357"/>
      <c r="I127" t="s">
        <v>1352</v>
      </c>
      <c r="X127" t="s">
        <v>1353</v>
      </c>
      <c r="Y127" t="s">
        <v>1354</v>
      </c>
    </row>
    <row r="128" spans="1:25" x14ac:dyDescent="0.3">
      <c r="A128" s="286" t="s">
        <v>776</v>
      </c>
      <c r="B128" s="286" t="s">
        <v>1355</v>
      </c>
      <c r="C128" s="284" t="s">
        <v>1356</v>
      </c>
      <c r="D128" t="s">
        <v>1357</v>
      </c>
      <c r="E128" t="str">
        <f t="shared" si="1"/>
        <v>KY</v>
      </c>
      <c r="F128" s="357"/>
      <c r="I128" t="s">
        <v>1358</v>
      </c>
      <c r="X128" t="s">
        <v>1359</v>
      </c>
      <c r="Y128" t="s">
        <v>1360</v>
      </c>
    </row>
    <row r="129" spans="1:25" x14ac:dyDescent="0.3">
      <c r="A129" s="287" t="s">
        <v>1361</v>
      </c>
      <c r="B129" s="286" t="s">
        <v>1362</v>
      </c>
      <c r="C129" s="284" t="s">
        <v>1363</v>
      </c>
      <c r="D129" t="s">
        <v>1364</v>
      </c>
      <c r="E129" t="str">
        <f t="shared" si="1"/>
        <v>KZ</v>
      </c>
      <c r="F129" s="357"/>
      <c r="I129" t="s">
        <v>1365</v>
      </c>
      <c r="X129" t="s">
        <v>1366</v>
      </c>
      <c r="Y129" t="s">
        <v>1367</v>
      </c>
    </row>
    <row r="130" spans="1:25" x14ac:dyDescent="0.3">
      <c r="A130" s="287" t="s">
        <v>1368</v>
      </c>
      <c r="B130" s="286" t="s">
        <v>1369</v>
      </c>
      <c r="C130" s="284" t="s">
        <v>1370</v>
      </c>
      <c r="D130" t="s">
        <v>1371</v>
      </c>
      <c r="E130" t="str">
        <f t="shared" si="1"/>
        <v>LA</v>
      </c>
      <c r="F130" s="357"/>
      <c r="I130" t="s">
        <v>1372</v>
      </c>
      <c r="X130" t="s">
        <v>1373</v>
      </c>
      <c r="Y130" t="s">
        <v>1374</v>
      </c>
    </row>
    <row r="131" spans="1:25" x14ac:dyDescent="0.3">
      <c r="A131" s="287" t="s">
        <v>1375</v>
      </c>
      <c r="B131" s="283" t="s">
        <v>1376</v>
      </c>
      <c r="C131" s="284" t="s">
        <v>1377</v>
      </c>
      <c r="D131" t="s">
        <v>1378</v>
      </c>
      <c r="E131" t="str">
        <f t="shared" ref="E131:E194" si="2">RIGHT(D131,2)</f>
        <v>LB</v>
      </c>
      <c r="F131" s="88"/>
      <c r="I131" t="s">
        <v>1379</v>
      </c>
      <c r="X131" t="s">
        <v>1380</v>
      </c>
      <c r="Y131" t="s">
        <v>1381</v>
      </c>
    </row>
    <row r="132" spans="1:25" x14ac:dyDescent="0.3">
      <c r="A132" s="287" t="s">
        <v>1382</v>
      </c>
      <c r="B132" s="286" t="s">
        <v>1383</v>
      </c>
      <c r="C132" s="284" t="s">
        <v>1384</v>
      </c>
      <c r="D132" t="s">
        <v>1385</v>
      </c>
      <c r="E132" t="str">
        <f t="shared" si="2"/>
        <v>LC</v>
      </c>
      <c r="F132" s="357"/>
      <c r="I132" t="s">
        <v>1386</v>
      </c>
      <c r="X132" t="s">
        <v>1387</v>
      </c>
      <c r="Y132" t="s">
        <v>1388</v>
      </c>
    </row>
    <row r="133" spans="1:25" x14ac:dyDescent="0.3">
      <c r="A133" s="287" t="s">
        <v>1389</v>
      </c>
      <c r="B133" s="286" t="s">
        <v>1390</v>
      </c>
      <c r="C133" s="284" t="s">
        <v>1391</v>
      </c>
      <c r="D133" t="s">
        <v>1392</v>
      </c>
      <c r="E133" t="str">
        <f t="shared" si="2"/>
        <v>LI</v>
      </c>
      <c r="F133" s="357"/>
      <c r="I133" t="s">
        <v>1393</v>
      </c>
      <c r="X133" t="s">
        <v>1394</v>
      </c>
      <c r="Y133" t="s">
        <v>1395</v>
      </c>
    </row>
    <row r="134" spans="1:25" x14ac:dyDescent="0.3">
      <c r="A134" s="287" t="s">
        <v>1396</v>
      </c>
      <c r="B134" s="286" t="s">
        <v>1397</v>
      </c>
      <c r="C134" s="284" t="s">
        <v>1398</v>
      </c>
      <c r="D134" t="s">
        <v>1399</v>
      </c>
      <c r="E134" t="str">
        <f t="shared" si="2"/>
        <v>LK</v>
      </c>
      <c r="F134" s="357"/>
      <c r="I134" t="s">
        <v>1400</v>
      </c>
      <c r="Y134" t="s">
        <v>1401</v>
      </c>
    </row>
    <row r="135" spans="1:25" x14ac:dyDescent="0.3">
      <c r="A135" s="287" t="s">
        <v>1402</v>
      </c>
      <c r="B135" s="283" t="s">
        <v>1403</v>
      </c>
      <c r="C135" s="284" t="s">
        <v>1404</v>
      </c>
      <c r="D135" t="s">
        <v>1405</v>
      </c>
      <c r="E135" t="str">
        <f t="shared" si="2"/>
        <v>LR</v>
      </c>
      <c r="F135" s="88"/>
      <c r="I135" t="s">
        <v>1406</v>
      </c>
      <c r="Y135" t="s">
        <v>1407</v>
      </c>
    </row>
    <row r="136" spans="1:25" x14ac:dyDescent="0.3">
      <c r="A136" s="283" t="s">
        <v>784</v>
      </c>
      <c r="B136" s="286" t="s">
        <v>1408</v>
      </c>
      <c r="C136" s="284" t="s">
        <v>1409</v>
      </c>
      <c r="D136" t="s">
        <v>1410</v>
      </c>
      <c r="E136" t="str">
        <f t="shared" si="2"/>
        <v>LS</v>
      </c>
      <c r="F136" s="357"/>
      <c r="I136" t="s">
        <v>1411</v>
      </c>
      <c r="Y136" t="s">
        <v>1412</v>
      </c>
    </row>
    <row r="137" spans="1:25" x14ac:dyDescent="0.3">
      <c r="A137" s="286" t="s">
        <v>791</v>
      </c>
      <c r="B137" s="286" t="s">
        <v>1413</v>
      </c>
      <c r="C137" s="284" t="s">
        <v>1414</v>
      </c>
      <c r="D137" t="s">
        <v>1415</v>
      </c>
      <c r="E137" t="str">
        <f t="shared" si="2"/>
        <v>LT</v>
      </c>
      <c r="F137" s="357"/>
      <c r="I137" t="s">
        <v>1416</v>
      </c>
      <c r="Y137" t="s">
        <v>1417</v>
      </c>
    </row>
    <row r="138" spans="1:25" x14ac:dyDescent="0.3">
      <c r="A138" s="287" t="s">
        <v>1418</v>
      </c>
      <c r="B138" s="286" t="s">
        <v>1419</v>
      </c>
      <c r="C138" s="284" t="s">
        <v>1420</v>
      </c>
      <c r="D138" t="s">
        <v>1421</v>
      </c>
      <c r="E138" t="str">
        <f t="shared" si="2"/>
        <v>LU</v>
      </c>
      <c r="F138" s="356"/>
      <c r="I138" t="s">
        <v>1422</v>
      </c>
      <c r="Y138" t="s">
        <v>1423</v>
      </c>
    </row>
    <row r="139" spans="1:25" x14ac:dyDescent="0.3">
      <c r="A139" s="283" t="s">
        <v>798</v>
      </c>
      <c r="B139" s="286" t="s">
        <v>1424</v>
      </c>
      <c r="C139" s="284" t="s">
        <v>1425</v>
      </c>
      <c r="D139" t="s">
        <v>1426</v>
      </c>
      <c r="E139" t="str">
        <f t="shared" si="2"/>
        <v>LV</v>
      </c>
      <c r="F139" s="357"/>
      <c r="I139" t="s">
        <v>1427</v>
      </c>
      <c r="Y139" t="s">
        <v>1428</v>
      </c>
    </row>
    <row r="140" spans="1:25" x14ac:dyDescent="0.3">
      <c r="A140" s="286" t="s">
        <v>805</v>
      </c>
      <c r="B140" s="286" t="s">
        <v>1429</v>
      </c>
      <c r="C140" s="284" t="s">
        <v>1430</v>
      </c>
      <c r="D140" t="s">
        <v>1431</v>
      </c>
      <c r="E140" t="str">
        <f t="shared" si="2"/>
        <v>LY</v>
      </c>
      <c r="F140" s="88"/>
      <c r="I140" t="s">
        <v>1432</v>
      </c>
      <c r="Y140" t="s">
        <v>1433</v>
      </c>
    </row>
    <row r="141" spans="1:25" x14ac:dyDescent="0.3">
      <c r="A141" s="287" t="s">
        <v>1434</v>
      </c>
      <c r="B141" s="283" t="s">
        <v>1435</v>
      </c>
      <c r="C141" s="284" t="s">
        <v>1436</v>
      </c>
      <c r="D141" t="s">
        <v>1437</v>
      </c>
      <c r="E141" t="str">
        <f t="shared" si="2"/>
        <v>MA</v>
      </c>
      <c r="F141" s="357"/>
      <c r="I141" t="s">
        <v>1438</v>
      </c>
      <c r="Y141" t="s">
        <v>1439</v>
      </c>
    </row>
    <row r="142" spans="1:25" x14ac:dyDescent="0.3">
      <c r="A142" s="286" t="s">
        <v>812</v>
      </c>
      <c r="B142" s="286" t="s">
        <v>1440</v>
      </c>
      <c r="C142" s="284" t="s">
        <v>1441</v>
      </c>
      <c r="D142" t="s">
        <v>1442</v>
      </c>
      <c r="E142" t="str">
        <f t="shared" si="2"/>
        <v>MC</v>
      </c>
      <c r="F142" s="357"/>
      <c r="I142" t="s">
        <v>1443</v>
      </c>
      <c r="Y142" t="s">
        <v>1444</v>
      </c>
    </row>
    <row r="143" spans="1:25" x14ac:dyDescent="0.3">
      <c r="A143" s="287" t="s">
        <v>1445</v>
      </c>
      <c r="B143" s="283" t="s">
        <v>1446</v>
      </c>
      <c r="C143" s="284" t="s">
        <v>1447</v>
      </c>
      <c r="D143" t="s">
        <v>1448</v>
      </c>
      <c r="E143" t="str">
        <f t="shared" si="2"/>
        <v>MD</v>
      </c>
      <c r="F143" s="356"/>
      <c r="I143" t="s">
        <v>1449</v>
      </c>
      <c r="Y143" t="s">
        <v>1450</v>
      </c>
    </row>
    <row r="144" spans="1:25" x14ac:dyDescent="0.3">
      <c r="A144" s="286" t="s">
        <v>820</v>
      </c>
      <c r="B144" s="286" t="s">
        <v>1451</v>
      </c>
      <c r="C144" s="284" t="s">
        <v>1452</v>
      </c>
      <c r="D144" t="s">
        <v>1453</v>
      </c>
      <c r="E144" t="str">
        <f t="shared" si="2"/>
        <v>ME</v>
      </c>
      <c r="F144" s="357"/>
      <c r="I144" t="s">
        <v>1454</v>
      </c>
      <c r="Y144" t="s">
        <v>1455</v>
      </c>
    </row>
    <row r="145" spans="1:25" x14ac:dyDescent="0.3">
      <c r="A145" s="287" t="s">
        <v>1456</v>
      </c>
      <c r="B145" s="286" t="s">
        <v>1457</v>
      </c>
      <c r="C145" s="284" t="s">
        <v>1458</v>
      </c>
      <c r="D145" t="s">
        <v>1459</v>
      </c>
      <c r="E145" t="str">
        <f t="shared" si="2"/>
        <v>MF</v>
      </c>
      <c r="F145" s="357"/>
      <c r="I145" t="s">
        <v>1460</v>
      </c>
      <c r="Y145" t="s">
        <v>1461</v>
      </c>
    </row>
    <row r="146" spans="1:25" x14ac:dyDescent="0.3">
      <c r="A146" s="286" t="s">
        <v>828</v>
      </c>
      <c r="B146" s="286" t="s">
        <v>1462</v>
      </c>
      <c r="C146" s="284" t="s">
        <v>1463</v>
      </c>
      <c r="D146" t="s">
        <v>1464</v>
      </c>
      <c r="E146" t="str">
        <f t="shared" si="2"/>
        <v>MG</v>
      </c>
      <c r="F146" s="356"/>
      <c r="I146" t="s">
        <v>1465</v>
      </c>
      <c r="Y146" t="s">
        <v>1466</v>
      </c>
    </row>
    <row r="147" spans="1:25" x14ac:dyDescent="0.3">
      <c r="A147" s="287" t="s">
        <v>1467</v>
      </c>
      <c r="B147" s="286" t="s">
        <v>1468</v>
      </c>
      <c r="C147" s="284" t="s">
        <v>1469</v>
      </c>
      <c r="D147" t="s">
        <v>1470</v>
      </c>
      <c r="E147" t="str">
        <f t="shared" si="2"/>
        <v>MH</v>
      </c>
      <c r="F147" s="88"/>
      <c r="I147" t="s">
        <v>1471</v>
      </c>
      <c r="Y147" t="s">
        <v>1472</v>
      </c>
    </row>
    <row r="148" spans="1:25" x14ac:dyDescent="0.3">
      <c r="A148" s="287" t="s">
        <v>1473</v>
      </c>
      <c r="B148" s="286" t="s">
        <v>1474</v>
      </c>
      <c r="C148" s="284" t="s">
        <v>1475</v>
      </c>
      <c r="D148" t="s">
        <v>1476</v>
      </c>
      <c r="E148" t="str">
        <f t="shared" si="2"/>
        <v>MK</v>
      </c>
      <c r="F148" s="357"/>
      <c r="I148" t="s">
        <v>1477</v>
      </c>
      <c r="Y148" t="s">
        <v>1478</v>
      </c>
    </row>
    <row r="149" spans="1:25" x14ac:dyDescent="0.3">
      <c r="A149" s="287" t="s">
        <v>1479</v>
      </c>
      <c r="B149" s="286" t="s">
        <v>1480</v>
      </c>
      <c r="C149" s="284" t="s">
        <v>1481</v>
      </c>
      <c r="D149" t="s">
        <v>1482</v>
      </c>
      <c r="E149" t="str">
        <f t="shared" si="2"/>
        <v>ML</v>
      </c>
      <c r="F149" s="357"/>
      <c r="I149" t="s">
        <v>1483</v>
      </c>
      <c r="Y149" t="s">
        <v>1484</v>
      </c>
    </row>
    <row r="150" spans="1:25" x14ac:dyDescent="0.3">
      <c r="A150" s="287" t="s">
        <v>1485</v>
      </c>
      <c r="B150" s="283" t="s">
        <v>1486</v>
      </c>
      <c r="C150" s="284" t="s">
        <v>1487</v>
      </c>
      <c r="D150" t="s">
        <v>1488</v>
      </c>
      <c r="E150" t="str">
        <f t="shared" si="2"/>
        <v>MM</v>
      </c>
      <c r="F150" s="357"/>
      <c r="I150" t="s">
        <v>1489</v>
      </c>
      <c r="Y150" t="s">
        <v>1490</v>
      </c>
    </row>
    <row r="151" spans="1:25" x14ac:dyDescent="0.3">
      <c r="A151" s="287" t="s">
        <v>1491</v>
      </c>
      <c r="B151" s="286" t="s">
        <v>1492</v>
      </c>
      <c r="C151" s="284" t="s">
        <v>1493</v>
      </c>
      <c r="D151" t="s">
        <v>1494</v>
      </c>
      <c r="E151" t="str">
        <f t="shared" si="2"/>
        <v>MN</v>
      </c>
      <c r="F151" s="356"/>
      <c r="I151" t="s">
        <v>1495</v>
      </c>
      <c r="Y151" t="s">
        <v>1496</v>
      </c>
    </row>
    <row r="152" spans="1:25" x14ac:dyDescent="0.3">
      <c r="A152" s="287" t="s">
        <v>1497</v>
      </c>
      <c r="B152" s="286" t="s">
        <v>1498</v>
      </c>
      <c r="C152" s="284" t="s">
        <v>1499</v>
      </c>
      <c r="D152" t="s">
        <v>1500</v>
      </c>
      <c r="E152" t="str">
        <f t="shared" si="2"/>
        <v>MO</v>
      </c>
      <c r="F152" s="356"/>
      <c r="I152" t="s">
        <v>1501</v>
      </c>
      <c r="Y152" t="s">
        <v>1502</v>
      </c>
    </row>
    <row r="153" spans="1:25" x14ac:dyDescent="0.3">
      <c r="A153" s="287" t="s">
        <v>1503</v>
      </c>
      <c r="B153" s="284" t="s">
        <v>1105</v>
      </c>
      <c r="C153" s="284" t="s">
        <v>1504</v>
      </c>
      <c r="D153" t="s">
        <v>1505</v>
      </c>
      <c r="E153" t="str">
        <f t="shared" si="2"/>
        <v>MP</v>
      </c>
      <c r="F153" s="356"/>
      <c r="I153" t="s">
        <v>1506</v>
      </c>
      <c r="Y153" t="s">
        <v>1507</v>
      </c>
    </row>
    <row r="154" spans="1:25" x14ac:dyDescent="0.3">
      <c r="A154" s="283" t="s">
        <v>835</v>
      </c>
      <c r="B154" s="283" t="s">
        <v>1508</v>
      </c>
      <c r="C154" s="284" t="s">
        <v>1509</v>
      </c>
      <c r="D154" t="s">
        <v>1510</v>
      </c>
      <c r="E154" t="str">
        <f t="shared" si="2"/>
        <v>MQ</v>
      </c>
      <c r="F154" s="357"/>
      <c r="I154" t="s">
        <v>1511</v>
      </c>
      <c r="Y154" t="s">
        <v>1512</v>
      </c>
    </row>
    <row r="155" spans="1:25" x14ac:dyDescent="0.3">
      <c r="A155" s="286" t="s">
        <v>843</v>
      </c>
      <c r="B155" s="286" t="s">
        <v>1513</v>
      </c>
      <c r="C155" s="284" t="s">
        <v>1514</v>
      </c>
      <c r="D155" t="s">
        <v>1515</v>
      </c>
      <c r="E155" t="str">
        <f t="shared" si="2"/>
        <v>MR</v>
      </c>
      <c r="F155" s="357"/>
      <c r="I155" t="s">
        <v>1516</v>
      </c>
      <c r="Y155" t="s">
        <v>1517</v>
      </c>
    </row>
    <row r="156" spans="1:25" x14ac:dyDescent="0.3">
      <c r="A156" s="287" t="s">
        <v>1518</v>
      </c>
      <c r="B156" s="286" t="s">
        <v>1519</v>
      </c>
      <c r="C156" s="284" t="s">
        <v>1520</v>
      </c>
      <c r="D156" t="s">
        <v>1521</v>
      </c>
      <c r="E156" t="str">
        <f t="shared" si="2"/>
        <v>MS</v>
      </c>
      <c r="F156" s="88"/>
      <c r="I156" t="s">
        <v>1522</v>
      </c>
      <c r="Y156" t="s">
        <v>1523</v>
      </c>
    </row>
    <row r="157" spans="1:25" x14ac:dyDescent="0.3">
      <c r="A157" s="286" t="s">
        <v>851</v>
      </c>
      <c r="B157" s="286" t="s">
        <v>1524</v>
      </c>
      <c r="C157" s="284" t="s">
        <v>1525</v>
      </c>
      <c r="D157" t="s">
        <v>1526</v>
      </c>
      <c r="E157" t="str">
        <f t="shared" si="2"/>
        <v>MT</v>
      </c>
      <c r="F157" s="357"/>
      <c r="I157" t="s">
        <v>1527</v>
      </c>
      <c r="Y157" t="s">
        <v>1528</v>
      </c>
    </row>
    <row r="158" spans="1:25" x14ac:dyDescent="0.3">
      <c r="A158" s="287" t="s">
        <v>1529</v>
      </c>
      <c r="B158" s="286" t="s">
        <v>1530</v>
      </c>
      <c r="C158" s="284" t="s">
        <v>1531</v>
      </c>
      <c r="D158" t="s">
        <v>1532</v>
      </c>
      <c r="E158" t="str">
        <f t="shared" si="2"/>
        <v>MU</v>
      </c>
      <c r="F158" s="88"/>
      <c r="I158" t="s">
        <v>1533</v>
      </c>
      <c r="Y158" t="s">
        <v>1534</v>
      </c>
    </row>
    <row r="159" spans="1:25" x14ac:dyDescent="0.3">
      <c r="A159" s="287" t="s">
        <v>1535</v>
      </c>
      <c r="B159" s="284" t="s">
        <v>1536</v>
      </c>
      <c r="C159" s="284" t="s">
        <v>1537</v>
      </c>
      <c r="D159" t="s">
        <v>1538</v>
      </c>
      <c r="E159" t="str">
        <f t="shared" si="2"/>
        <v>MV</v>
      </c>
      <c r="F159" s="88"/>
      <c r="I159" t="s">
        <v>1539</v>
      </c>
      <c r="Y159" t="s">
        <v>1540</v>
      </c>
    </row>
    <row r="160" spans="1:25" x14ac:dyDescent="0.3">
      <c r="A160" s="287" t="s">
        <v>1541</v>
      </c>
      <c r="B160" s="283" t="s">
        <v>1542</v>
      </c>
      <c r="C160" s="284" t="s">
        <v>1543</v>
      </c>
      <c r="D160" t="s">
        <v>1544</v>
      </c>
      <c r="E160" t="str">
        <f t="shared" si="2"/>
        <v>MW</v>
      </c>
      <c r="F160" s="88"/>
      <c r="I160" t="s">
        <v>1545</v>
      </c>
      <c r="Y160" t="s">
        <v>1546</v>
      </c>
    </row>
    <row r="161" spans="1:25" x14ac:dyDescent="0.3">
      <c r="A161" s="287" t="s">
        <v>1547</v>
      </c>
      <c r="B161" s="286" t="s">
        <v>1548</v>
      </c>
      <c r="C161" s="284" t="s">
        <v>1549</v>
      </c>
      <c r="D161" t="s">
        <v>1550</v>
      </c>
      <c r="E161" t="str">
        <f t="shared" si="2"/>
        <v>MX</v>
      </c>
      <c r="F161" s="88"/>
      <c r="I161" t="s">
        <v>1551</v>
      </c>
      <c r="Y161" t="s">
        <v>1552</v>
      </c>
    </row>
    <row r="162" spans="1:25" x14ac:dyDescent="0.3">
      <c r="A162" s="287" t="s">
        <v>1553</v>
      </c>
      <c r="B162" s="283" t="s">
        <v>1554</v>
      </c>
      <c r="C162" s="284" t="s">
        <v>1555</v>
      </c>
      <c r="D162" t="s">
        <v>1556</v>
      </c>
      <c r="E162" t="str">
        <f t="shared" si="2"/>
        <v>MY</v>
      </c>
      <c r="I162" t="s">
        <v>1557</v>
      </c>
      <c r="Y162" t="s">
        <v>1558</v>
      </c>
    </row>
    <row r="163" spans="1:25" x14ac:dyDescent="0.3">
      <c r="A163" s="283" t="s">
        <v>858</v>
      </c>
      <c r="B163" s="286" t="s">
        <v>1559</v>
      </c>
      <c r="C163" s="284" t="s">
        <v>1560</v>
      </c>
      <c r="D163" t="s">
        <v>1561</v>
      </c>
      <c r="E163" t="str">
        <f t="shared" si="2"/>
        <v>MZ</v>
      </c>
      <c r="I163" t="s">
        <v>1562</v>
      </c>
      <c r="Y163" t="s">
        <v>1563</v>
      </c>
    </row>
    <row r="164" spans="1:25" x14ac:dyDescent="0.3">
      <c r="A164" s="286" t="s">
        <v>866</v>
      </c>
      <c r="B164" s="283" t="s">
        <v>1564</v>
      </c>
      <c r="C164" s="284" t="s">
        <v>1565</v>
      </c>
      <c r="D164" t="s">
        <v>1566</v>
      </c>
      <c r="E164" t="str">
        <f t="shared" si="2"/>
        <v>NA</v>
      </c>
      <c r="I164" t="s">
        <v>1567</v>
      </c>
      <c r="Y164" t="s">
        <v>1568</v>
      </c>
    </row>
    <row r="165" spans="1:25" x14ac:dyDescent="0.3">
      <c r="A165" s="287" t="s">
        <v>1569</v>
      </c>
      <c r="B165" s="286" t="s">
        <v>1570</v>
      </c>
      <c r="C165" s="284" t="s">
        <v>1571</v>
      </c>
      <c r="D165" t="s">
        <v>1572</v>
      </c>
      <c r="E165" t="str">
        <f t="shared" si="2"/>
        <v>NC</v>
      </c>
      <c r="I165" t="s">
        <v>1573</v>
      </c>
      <c r="Y165" t="s">
        <v>1574</v>
      </c>
    </row>
    <row r="166" spans="1:25" x14ac:dyDescent="0.3">
      <c r="A166" s="287" t="s">
        <v>1575</v>
      </c>
      <c r="B166" s="286" t="s">
        <v>1576</v>
      </c>
      <c r="C166" s="284" t="s">
        <v>1577</v>
      </c>
      <c r="D166" t="s">
        <v>1578</v>
      </c>
      <c r="E166" t="str">
        <f t="shared" si="2"/>
        <v>NE</v>
      </c>
      <c r="I166" t="s">
        <v>1579</v>
      </c>
      <c r="Y166" t="s">
        <v>1580</v>
      </c>
    </row>
    <row r="167" spans="1:25" x14ac:dyDescent="0.3">
      <c r="A167" s="286" t="s">
        <v>873</v>
      </c>
      <c r="B167" s="286" t="s">
        <v>1581</v>
      </c>
      <c r="C167" s="284" t="s">
        <v>1582</v>
      </c>
      <c r="D167" t="s">
        <v>1583</v>
      </c>
      <c r="E167" t="str">
        <f t="shared" si="2"/>
        <v>NF</v>
      </c>
      <c r="I167" t="s">
        <v>1584</v>
      </c>
      <c r="Y167" t="s">
        <v>1585</v>
      </c>
    </row>
    <row r="168" spans="1:25" x14ac:dyDescent="0.3">
      <c r="A168" s="287" t="s">
        <v>880</v>
      </c>
      <c r="B168" s="283" t="s">
        <v>1586</v>
      </c>
      <c r="C168" s="284" t="s">
        <v>1587</v>
      </c>
      <c r="D168" t="s">
        <v>1588</v>
      </c>
      <c r="E168" t="str">
        <f t="shared" si="2"/>
        <v>NG</v>
      </c>
      <c r="I168" t="s">
        <v>1589</v>
      </c>
      <c r="Y168" t="s">
        <v>1590</v>
      </c>
    </row>
    <row r="169" spans="1:25" x14ac:dyDescent="0.3">
      <c r="A169" s="283" t="s">
        <v>887</v>
      </c>
      <c r="B169" s="286" t="s">
        <v>1591</v>
      </c>
      <c r="C169" s="284" t="s">
        <v>1592</v>
      </c>
      <c r="D169" t="s">
        <v>1593</v>
      </c>
      <c r="E169" t="str">
        <f t="shared" si="2"/>
        <v>NI</v>
      </c>
      <c r="I169" t="s">
        <v>1594</v>
      </c>
      <c r="Y169" t="s">
        <v>1595</v>
      </c>
    </row>
    <row r="170" spans="1:25" x14ac:dyDescent="0.3">
      <c r="A170" s="286" t="s">
        <v>895</v>
      </c>
      <c r="B170" s="284" t="s">
        <v>1596</v>
      </c>
      <c r="C170" s="284" t="s">
        <v>1597</v>
      </c>
      <c r="D170" t="s">
        <v>1598</v>
      </c>
      <c r="E170" t="str">
        <f t="shared" si="2"/>
        <v>NL</v>
      </c>
      <c r="I170" t="s">
        <v>1599</v>
      </c>
      <c r="Y170" t="s">
        <v>1600</v>
      </c>
    </row>
    <row r="171" spans="1:25" x14ac:dyDescent="0.3">
      <c r="A171" s="287" t="s">
        <v>1601</v>
      </c>
      <c r="B171" s="283" t="s">
        <v>1602</v>
      </c>
      <c r="C171" s="284" t="s">
        <v>1603</v>
      </c>
      <c r="D171" t="s">
        <v>1604</v>
      </c>
      <c r="E171" t="str">
        <f t="shared" si="2"/>
        <v>NO</v>
      </c>
      <c r="I171" t="s">
        <v>1605</v>
      </c>
    </row>
    <row r="172" spans="1:25" x14ac:dyDescent="0.3">
      <c r="A172" s="287" t="s">
        <v>1606</v>
      </c>
      <c r="B172" s="286" t="s">
        <v>1607</v>
      </c>
      <c r="C172" s="284" t="s">
        <v>1608</v>
      </c>
      <c r="D172" t="s">
        <v>1609</v>
      </c>
      <c r="E172" t="str">
        <f t="shared" si="2"/>
        <v>NP</v>
      </c>
      <c r="I172" t="s">
        <v>1610</v>
      </c>
    </row>
    <row r="173" spans="1:25" x14ac:dyDescent="0.3">
      <c r="A173" s="286" t="s">
        <v>902</v>
      </c>
      <c r="B173" s="283" t="s">
        <v>1611</v>
      </c>
      <c r="C173" s="284" t="s">
        <v>1612</v>
      </c>
      <c r="D173" t="s">
        <v>1613</v>
      </c>
      <c r="E173" t="str">
        <f t="shared" si="2"/>
        <v>NR</v>
      </c>
      <c r="I173" t="s">
        <v>1614</v>
      </c>
    </row>
    <row r="174" spans="1:25" x14ac:dyDescent="0.3">
      <c r="A174" s="287" t="s">
        <v>1615</v>
      </c>
      <c r="B174" s="286" t="s">
        <v>1616</v>
      </c>
      <c r="C174" s="284" t="s">
        <v>1617</v>
      </c>
      <c r="D174" t="s">
        <v>1618</v>
      </c>
      <c r="E174" t="str">
        <f t="shared" si="2"/>
        <v>NT</v>
      </c>
      <c r="I174" t="s">
        <v>1619</v>
      </c>
    </row>
    <row r="175" spans="1:25" x14ac:dyDescent="0.3">
      <c r="A175" s="287" t="s">
        <v>1620</v>
      </c>
      <c r="B175" s="286" t="s">
        <v>1621</v>
      </c>
      <c r="C175" s="284" t="s">
        <v>1622</v>
      </c>
      <c r="D175" t="s">
        <v>1623</v>
      </c>
      <c r="E175" t="str">
        <f t="shared" si="2"/>
        <v>NU</v>
      </c>
      <c r="I175" t="s">
        <v>1624</v>
      </c>
    </row>
    <row r="176" spans="1:25" x14ac:dyDescent="0.3">
      <c r="A176" s="287" t="s">
        <v>1625</v>
      </c>
      <c r="B176" s="286" t="s">
        <v>1626</v>
      </c>
      <c r="C176" s="284" t="s">
        <v>1627</v>
      </c>
      <c r="D176" t="s">
        <v>1628</v>
      </c>
      <c r="E176" t="str">
        <f t="shared" si="2"/>
        <v>NZ</v>
      </c>
      <c r="I176" t="s">
        <v>1629</v>
      </c>
    </row>
    <row r="177" spans="1:9" x14ac:dyDescent="0.3">
      <c r="A177" s="287" t="s">
        <v>1630</v>
      </c>
      <c r="B177" s="283" t="s">
        <v>1631</v>
      </c>
      <c r="C177" s="284" t="s">
        <v>1632</v>
      </c>
      <c r="D177" t="s">
        <v>1633</v>
      </c>
      <c r="E177" t="str">
        <f t="shared" si="2"/>
        <v>OM</v>
      </c>
      <c r="I177" t="s">
        <v>1634</v>
      </c>
    </row>
    <row r="178" spans="1:9" x14ac:dyDescent="0.3">
      <c r="A178" s="287" t="s">
        <v>1635</v>
      </c>
      <c r="B178" s="286" t="s">
        <v>1636</v>
      </c>
      <c r="C178" s="284" t="s">
        <v>1637</v>
      </c>
      <c r="D178" t="s">
        <v>1638</v>
      </c>
      <c r="E178" t="str">
        <f t="shared" si="2"/>
        <v>PA</v>
      </c>
      <c r="I178" t="s">
        <v>1639</v>
      </c>
    </row>
    <row r="179" spans="1:9" x14ac:dyDescent="0.3">
      <c r="A179" s="287" t="s">
        <v>1640</v>
      </c>
      <c r="B179" s="286" t="s">
        <v>1641</v>
      </c>
      <c r="C179" s="284" t="s">
        <v>1642</v>
      </c>
      <c r="D179" t="s">
        <v>1643</v>
      </c>
      <c r="E179" t="str">
        <f t="shared" si="2"/>
        <v>PE</v>
      </c>
      <c r="I179" t="s">
        <v>1644</v>
      </c>
    </row>
    <row r="180" spans="1:9" x14ac:dyDescent="0.3">
      <c r="A180" s="287" t="s">
        <v>1645</v>
      </c>
      <c r="B180" s="286" t="s">
        <v>1646</v>
      </c>
      <c r="C180" s="284" t="s">
        <v>1647</v>
      </c>
      <c r="D180" t="s">
        <v>1648</v>
      </c>
      <c r="E180" t="str">
        <f t="shared" si="2"/>
        <v>PF</v>
      </c>
      <c r="I180" t="s">
        <v>1649</v>
      </c>
    </row>
    <row r="181" spans="1:9" x14ac:dyDescent="0.3">
      <c r="A181" s="287" t="s">
        <v>1650</v>
      </c>
      <c r="B181" s="286" t="s">
        <v>1651</v>
      </c>
      <c r="C181" s="284" t="s">
        <v>1652</v>
      </c>
      <c r="D181" t="s">
        <v>1653</v>
      </c>
      <c r="E181" t="str">
        <f t="shared" si="2"/>
        <v>PG</v>
      </c>
      <c r="I181" t="s">
        <v>1654</v>
      </c>
    </row>
    <row r="182" spans="1:9" x14ac:dyDescent="0.3">
      <c r="A182" s="283" t="s">
        <v>910</v>
      </c>
      <c r="B182" s="286" t="s">
        <v>1655</v>
      </c>
      <c r="C182" s="284" t="s">
        <v>1656</v>
      </c>
      <c r="D182" t="s">
        <v>1657</v>
      </c>
      <c r="E182" t="str">
        <f t="shared" si="2"/>
        <v>PH</v>
      </c>
      <c r="I182" t="s">
        <v>1658</v>
      </c>
    </row>
    <row r="183" spans="1:9" x14ac:dyDescent="0.3">
      <c r="A183" s="286" t="s">
        <v>917</v>
      </c>
      <c r="B183" s="286" t="s">
        <v>1659</v>
      </c>
      <c r="C183" s="284" t="s">
        <v>1660</v>
      </c>
      <c r="D183" t="s">
        <v>1661</v>
      </c>
      <c r="E183" t="str">
        <f t="shared" si="2"/>
        <v>PK</v>
      </c>
      <c r="I183" t="s">
        <v>1662</v>
      </c>
    </row>
    <row r="184" spans="1:9" x14ac:dyDescent="0.3">
      <c r="A184" s="287" t="s">
        <v>1663</v>
      </c>
      <c r="B184" s="286" t="s">
        <v>1664</v>
      </c>
      <c r="C184" s="284" t="s">
        <v>1665</v>
      </c>
      <c r="D184" t="s">
        <v>1666</v>
      </c>
      <c r="E184" t="str">
        <f t="shared" si="2"/>
        <v>PL</v>
      </c>
      <c r="I184" t="s">
        <v>1667</v>
      </c>
    </row>
    <row r="185" spans="1:9" x14ac:dyDescent="0.3">
      <c r="A185" s="287" t="s">
        <v>1668</v>
      </c>
      <c r="B185" s="284" t="s">
        <v>1669</v>
      </c>
      <c r="C185" s="284" t="s">
        <v>1670</v>
      </c>
      <c r="D185" t="s">
        <v>1671</v>
      </c>
      <c r="E185" t="str">
        <f t="shared" si="2"/>
        <v>PM</v>
      </c>
      <c r="I185" t="s">
        <v>1672</v>
      </c>
    </row>
    <row r="186" spans="1:9" x14ac:dyDescent="0.3">
      <c r="A186" s="286" t="s">
        <v>924</v>
      </c>
      <c r="B186" s="283" t="s">
        <v>1673</v>
      </c>
      <c r="C186" s="284" t="s">
        <v>1674</v>
      </c>
      <c r="D186" t="s">
        <v>1675</v>
      </c>
      <c r="E186" t="str">
        <f t="shared" si="2"/>
        <v>PN</v>
      </c>
      <c r="I186" t="s">
        <v>1676</v>
      </c>
    </row>
    <row r="187" spans="1:9" x14ac:dyDescent="0.3">
      <c r="A187" s="287" t="s">
        <v>1677</v>
      </c>
      <c r="B187" s="286" t="s">
        <v>1678</v>
      </c>
      <c r="C187" s="284" t="s">
        <v>1679</v>
      </c>
      <c r="D187" t="s">
        <v>1680</v>
      </c>
      <c r="E187" t="str">
        <f t="shared" si="2"/>
        <v>PR</v>
      </c>
      <c r="I187" t="s">
        <v>1681</v>
      </c>
    </row>
    <row r="188" spans="1:9" x14ac:dyDescent="0.3">
      <c r="A188" s="287" t="s">
        <v>1682</v>
      </c>
      <c r="B188" s="286" t="s">
        <v>1683</v>
      </c>
      <c r="C188" s="284" t="s">
        <v>1684</v>
      </c>
      <c r="D188" t="s">
        <v>1685</v>
      </c>
      <c r="E188" t="str">
        <f t="shared" si="2"/>
        <v>PS</v>
      </c>
      <c r="I188" t="s">
        <v>1686</v>
      </c>
    </row>
    <row r="189" spans="1:9" x14ac:dyDescent="0.3">
      <c r="A189" s="287" t="s">
        <v>1687</v>
      </c>
      <c r="B189" s="286" t="s">
        <v>1688</v>
      </c>
      <c r="C189" s="284" t="s">
        <v>1689</v>
      </c>
      <c r="D189" t="s">
        <v>1690</v>
      </c>
      <c r="E189" t="str">
        <f t="shared" si="2"/>
        <v>PT</v>
      </c>
      <c r="I189" t="s">
        <v>1691</v>
      </c>
    </row>
    <row r="190" spans="1:9" x14ac:dyDescent="0.3">
      <c r="A190" s="287" t="s">
        <v>1692</v>
      </c>
      <c r="B190" s="286" t="s">
        <v>1693</v>
      </c>
      <c r="C190" s="284" t="s">
        <v>1694</v>
      </c>
      <c r="D190" t="s">
        <v>1695</v>
      </c>
      <c r="E190" t="str">
        <f t="shared" si="2"/>
        <v>PW</v>
      </c>
      <c r="I190" t="s">
        <v>1696</v>
      </c>
    </row>
    <row r="191" spans="1:9" x14ac:dyDescent="0.3">
      <c r="A191" s="287" t="s">
        <v>1697</v>
      </c>
      <c r="B191" s="286" t="s">
        <v>1698</v>
      </c>
      <c r="C191" s="284" t="s">
        <v>1699</v>
      </c>
      <c r="D191" t="s">
        <v>1700</v>
      </c>
      <c r="E191" t="str">
        <f t="shared" si="2"/>
        <v>PY</v>
      </c>
      <c r="I191" t="s">
        <v>1701</v>
      </c>
    </row>
    <row r="192" spans="1:9" x14ac:dyDescent="0.3">
      <c r="A192" s="283" t="s">
        <v>932</v>
      </c>
      <c r="B192" s="286" t="s">
        <v>1702</v>
      </c>
      <c r="C192" s="284" t="s">
        <v>1703</v>
      </c>
      <c r="D192" t="s">
        <v>1704</v>
      </c>
      <c r="E192" t="str">
        <f t="shared" si="2"/>
        <v>QA</v>
      </c>
      <c r="I192" t="s">
        <v>1705</v>
      </c>
    </row>
    <row r="193" spans="1:9" x14ac:dyDescent="0.3">
      <c r="A193" s="286" t="s">
        <v>939</v>
      </c>
      <c r="B193" s="286" t="s">
        <v>1706</v>
      </c>
      <c r="C193" s="284" t="s">
        <v>1707</v>
      </c>
      <c r="D193" t="s">
        <v>1708</v>
      </c>
      <c r="E193" t="str">
        <f t="shared" si="2"/>
        <v>RE</v>
      </c>
      <c r="I193" t="s">
        <v>1709</v>
      </c>
    </row>
    <row r="194" spans="1:9" x14ac:dyDescent="0.3">
      <c r="A194" s="287" t="s">
        <v>1710</v>
      </c>
      <c r="B194" s="286" t="s">
        <v>1711</v>
      </c>
      <c r="C194" s="284" t="s">
        <v>1712</v>
      </c>
      <c r="D194" t="s">
        <v>1713</v>
      </c>
      <c r="E194" t="str">
        <f t="shared" si="2"/>
        <v>RO</v>
      </c>
      <c r="I194" t="s">
        <v>1714</v>
      </c>
    </row>
    <row r="195" spans="1:9" x14ac:dyDescent="0.3">
      <c r="A195" s="287" t="s">
        <v>1715</v>
      </c>
      <c r="B195" s="286" t="s">
        <v>1716</v>
      </c>
      <c r="C195" s="284" t="s">
        <v>1717</v>
      </c>
      <c r="D195" t="s">
        <v>1718</v>
      </c>
      <c r="E195" t="str">
        <f t="shared" ref="E195:E257" si="3">RIGHT(D195,2)</f>
        <v>RS</v>
      </c>
      <c r="I195" t="s">
        <v>1719</v>
      </c>
    </row>
    <row r="196" spans="1:9" x14ac:dyDescent="0.3">
      <c r="A196" s="287" t="s">
        <v>1720</v>
      </c>
      <c r="B196" s="283" t="s">
        <v>1721</v>
      </c>
      <c r="C196" s="284" t="s">
        <v>1722</v>
      </c>
      <c r="D196" t="s">
        <v>1723</v>
      </c>
      <c r="E196" t="str">
        <f t="shared" si="3"/>
        <v>RU</v>
      </c>
      <c r="I196" t="s">
        <v>1724</v>
      </c>
    </row>
    <row r="197" spans="1:9" x14ac:dyDescent="0.3">
      <c r="A197" s="287" t="s">
        <v>1725</v>
      </c>
      <c r="B197" s="286" t="s">
        <v>1726</v>
      </c>
      <c r="C197" s="284" t="s">
        <v>1727</v>
      </c>
      <c r="D197" t="s">
        <v>1728</v>
      </c>
      <c r="E197" t="str">
        <f t="shared" si="3"/>
        <v>RW</v>
      </c>
      <c r="I197" t="s">
        <v>1729</v>
      </c>
    </row>
    <row r="198" spans="1:9" x14ac:dyDescent="0.3">
      <c r="A198" s="286" t="s">
        <v>947</v>
      </c>
      <c r="B198" s="286" t="s">
        <v>1730</v>
      </c>
      <c r="C198" s="284" t="s">
        <v>1731</v>
      </c>
      <c r="D198" t="s">
        <v>1732</v>
      </c>
      <c r="E198" t="str">
        <f t="shared" si="3"/>
        <v>SA</v>
      </c>
      <c r="I198" t="s">
        <v>1733</v>
      </c>
    </row>
    <row r="199" spans="1:9" x14ac:dyDescent="0.3">
      <c r="A199" s="287" t="s">
        <v>1734</v>
      </c>
      <c r="B199" s="286" t="s">
        <v>1735</v>
      </c>
      <c r="C199" s="284" t="s">
        <v>1736</v>
      </c>
      <c r="D199" t="s">
        <v>1737</v>
      </c>
      <c r="E199" t="str">
        <f t="shared" si="3"/>
        <v>SB</v>
      </c>
      <c r="I199" t="s">
        <v>1738</v>
      </c>
    </row>
    <row r="200" spans="1:9" x14ac:dyDescent="0.3">
      <c r="A200" s="283" t="s">
        <v>954</v>
      </c>
      <c r="B200" s="286" t="s">
        <v>1739</v>
      </c>
      <c r="C200" s="284" t="s">
        <v>1740</v>
      </c>
      <c r="D200" t="s">
        <v>1741</v>
      </c>
      <c r="E200" t="str">
        <f t="shared" si="3"/>
        <v>SC</v>
      </c>
      <c r="I200" t="s">
        <v>1742</v>
      </c>
    </row>
    <row r="201" spans="1:9" x14ac:dyDescent="0.3">
      <c r="A201" s="286" t="s">
        <v>961</v>
      </c>
      <c r="B201" s="286" t="s">
        <v>1743</v>
      </c>
      <c r="C201" s="284" t="s">
        <v>1744</v>
      </c>
      <c r="D201" t="s">
        <v>1745</v>
      </c>
      <c r="E201" t="str">
        <f t="shared" si="3"/>
        <v>SD</v>
      </c>
      <c r="I201" t="s">
        <v>1746</v>
      </c>
    </row>
    <row r="202" spans="1:9" x14ac:dyDescent="0.3">
      <c r="A202" s="287" t="s">
        <v>1747</v>
      </c>
      <c r="B202" s="286" t="s">
        <v>1748</v>
      </c>
      <c r="C202" s="284" t="s">
        <v>1749</v>
      </c>
      <c r="D202" t="s">
        <v>1750</v>
      </c>
      <c r="E202" t="str">
        <f t="shared" si="3"/>
        <v>SE</v>
      </c>
      <c r="I202" t="s">
        <v>1751</v>
      </c>
    </row>
    <row r="203" spans="1:9" x14ac:dyDescent="0.3">
      <c r="A203" s="286" t="s">
        <v>969</v>
      </c>
      <c r="B203" s="286" t="s">
        <v>1752</v>
      </c>
      <c r="C203" s="284" t="s">
        <v>1753</v>
      </c>
      <c r="D203" t="s">
        <v>1754</v>
      </c>
      <c r="E203" t="str">
        <f t="shared" si="3"/>
        <v>SG</v>
      </c>
      <c r="I203" t="s">
        <v>1755</v>
      </c>
    </row>
    <row r="204" spans="1:9" x14ac:dyDescent="0.3">
      <c r="A204" s="287" t="s">
        <v>1756</v>
      </c>
      <c r="B204" s="286" t="s">
        <v>1757</v>
      </c>
      <c r="C204" s="284" t="s">
        <v>1758</v>
      </c>
      <c r="D204" t="s">
        <v>1759</v>
      </c>
      <c r="E204" t="str">
        <f t="shared" si="3"/>
        <v>SH</v>
      </c>
      <c r="I204" t="s">
        <v>1760</v>
      </c>
    </row>
    <row r="205" spans="1:9" x14ac:dyDescent="0.3">
      <c r="A205" s="283" t="s">
        <v>976</v>
      </c>
      <c r="B205" s="286" t="s">
        <v>1761</v>
      </c>
      <c r="C205" s="284" t="s">
        <v>1762</v>
      </c>
      <c r="D205" t="s">
        <v>1763</v>
      </c>
      <c r="E205" t="str">
        <f t="shared" si="3"/>
        <v>SI</v>
      </c>
      <c r="I205" t="s">
        <v>1764</v>
      </c>
    </row>
    <row r="206" spans="1:9" x14ac:dyDescent="0.3">
      <c r="A206" s="286" t="s">
        <v>984</v>
      </c>
      <c r="B206" s="284" t="s">
        <v>1765</v>
      </c>
      <c r="C206" s="284" t="s">
        <v>1766</v>
      </c>
      <c r="D206" t="s">
        <v>1767</v>
      </c>
      <c r="E206" t="str">
        <f t="shared" si="3"/>
        <v>SJ</v>
      </c>
      <c r="I206" t="s">
        <v>1768</v>
      </c>
    </row>
    <row r="207" spans="1:9" x14ac:dyDescent="0.3">
      <c r="A207" s="287" t="s">
        <v>1769</v>
      </c>
      <c r="B207" s="283" t="s">
        <v>1770</v>
      </c>
      <c r="C207" s="284" t="s">
        <v>1771</v>
      </c>
      <c r="D207" t="s">
        <v>1772</v>
      </c>
      <c r="E207" t="str">
        <f t="shared" si="3"/>
        <v>SK</v>
      </c>
      <c r="I207" t="s">
        <v>1773</v>
      </c>
    </row>
    <row r="208" spans="1:9" x14ac:dyDescent="0.3">
      <c r="A208" s="287" t="s">
        <v>1774</v>
      </c>
      <c r="B208" s="286" t="s">
        <v>1775</v>
      </c>
      <c r="C208" s="284" t="s">
        <v>1776</v>
      </c>
      <c r="D208" t="s">
        <v>1777</v>
      </c>
      <c r="E208" t="str">
        <f t="shared" si="3"/>
        <v>SL</v>
      </c>
      <c r="I208" t="s">
        <v>1778</v>
      </c>
    </row>
    <row r="209" spans="1:9" x14ac:dyDescent="0.3">
      <c r="A209" s="287" t="s">
        <v>1779</v>
      </c>
      <c r="B209" s="286" t="s">
        <v>1780</v>
      </c>
      <c r="C209" s="284" t="s">
        <v>1781</v>
      </c>
      <c r="D209" t="s">
        <v>1782</v>
      </c>
      <c r="E209" t="str">
        <f t="shared" si="3"/>
        <v>SM</v>
      </c>
      <c r="I209" t="s">
        <v>1783</v>
      </c>
    </row>
    <row r="210" spans="1:9" x14ac:dyDescent="0.3">
      <c r="A210" s="287" t="s">
        <v>1784</v>
      </c>
      <c r="B210" s="286" t="s">
        <v>1785</v>
      </c>
      <c r="C210" s="284" t="s">
        <v>1786</v>
      </c>
      <c r="D210" t="s">
        <v>1787</v>
      </c>
      <c r="E210" t="str">
        <f t="shared" si="3"/>
        <v>SN</v>
      </c>
      <c r="I210" t="s">
        <v>1788</v>
      </c>
    </row>
    <row r="211" spans="1:9" x14ac:dyDescent="0.3">
      <c r="A211" s="287" t="s">
        <v>1789</v>
      </c>
      <c r="B211" s="286" t="s">
        <v>1790</v>
      </c>
      <c r="C211" s="284" t="s">
        <v>1791</v>
      </c>
      <c r="D211" t="s">
        <v>1792</v>
      </c>
      <c r="E211" t="str">
        <f t="shared" si="3"/>
        <v>SO</v>
      </c>
      <c r="I211" t="s">
        <v>1793</v>
      </c>
    </row>
    <row r="212" spans="1:9" x14ac:dyDescent="0.3">
      <c r="A212" s="287" t="s">
        <v>1794</v>
      </c>
      <c r="B212" s="286" t="s">
        <v>1795</v>
      </c>
      <c r="C212" s="284" t="s">
        <v>1796</v>
      </c>
      <c r="D212" t="s">
        <v>1797</v>
      </c>
      <c r="E212" t="str">
        <f t="shared" si="3"/>
        <v>SR</v>
      </c>
      <c r="I212" t="s">
        <v>1798</v>
      </c>
    </row>
    <row r="213" spans="1:9" x14ac:dyDescent="0.3">
      <c r="A213" s="287" t="s">
        <v>1799</v>
      </c>
      <c r="B213" s="283" t="s">
        <v>1800</v>
      </c>
      <c r="C213" s="284" t="s">
        <v>1801</v>
      </c>
      <c r="D213" t="s">
        <v>1802</v>
      </c>
      <c r="E213" t="str">
        <f t="shared" si="3"/>
        <v>SS</v>
      </c>
      <c r="I213" t="s">
        <v>1803</v>
      </c>
    </row>
    <row r="214" spans="1:9" x14ac:dyDescent="0.3">
      <c r="A214" s="286" t="s">
        <v>992</v>
      </c>
      <c r="B214" s="286" t="s">
        <v>1804</v>
      </c>
      <c r="C214" s="284" t="s">
        <v>1805</v>
      </c>
      <c r="D214" t="s">
        <v>1806</v>
      </c>
      <c r="E214" t="str">
        <f t="shared" si="3"/>
        <v>ST</v>
      </c>
      <c r="I214" t="s">
        <v>1807</v>
      </c>
    </row>
    <row r="215" spans="1:9" x14ac:dyDescent="0.3">
      <c r="A215" s="287" t="s">
        <v>1808</v>
      </c>
      <c r="B215" s="286" t="s">
        <v>1809</v>
      </c>
      <c r="C215" s="284" t="s">
        <v>1810</v>
      </c>
      <c r="D215" t="s">
        <v>1811</v>
      </c>
      <c r="E215" t="str">
        <f t="shared" si="3"/>
        <v>SV</v>
      </c>
      <c r="I215" t="s">
        <v>1812</v>
      </c>
    </row>
    <row r="216" spans="1:9" x14ac:dyDescent="0.3">
      <c r="A216" s="286" t="s">
        <v>999</v>
      </c>
      <c r="B216" s="286" t="s">
        <v>1813</v>
      </c>
      <c r="C216" s="284" t="s">
        <v>1814</v>
      </c>
      <c r="D216" t="s">
        <v>1815</v>
      </c>
      <c r="E216" t="str">
        <f t="shared" si="3"/>
        <v>SX</v>
      </c>
      <c r="I216" t="s">
        <v>1816</v>
      </c>
    </row>
    <row r="217" spans="1:9" x14ac:dyDescent="0.3">
      <c r="A217" s="287" t="s">
        <v>1817</v>
      </c>
      <c r="B217" s="286" t="s">
        <v>1818</v>
      </c>
      <c r="C217" s="284" t="s">
        <v>1819</v>
      </c>
      <c r="D217" t="s">
        <v>1820</v>
      </c>
      <c r="E217" t="str">
        <f t="shared" si="3"/>
        <v>SY</v>
      </c>
      <c r="I217" t="s">
        <v>1821</v>
      </c>
    </row>
    <row r="218" spans="1:9" x14ac:dyDescent="0.3">
      <c r="A218" s="286" t="s">
        <v>1006</v>
      </c>
      <c r="B218" s="283" t="s">
        <v>1822</v>
      </c>
      <c r="C218" s="284" t="s">
        <v>1823</v>
      </c>
      <c r="D218" t="s">
        <v>1824</v>
      </c>
      <c r="E218" t="str">
        <f t="shared" si="3"/>
        <v>SZ</v>
      </c>
      <c r="I218" t="s">
        <v>1825</v>
      </c>
    </row>
    <row r="219" spans="1:9" x14ac:dyDescent="0.3">
      <c r="A219" s="287" t="s">
        <v>1826</v>
      </c>
      <c r="B219" s="286" t="s">
        <v>1827</v>
      </c>
      <c r="C219" s="284" t="s">
        <v>1828</v>
      </c>
      <c r="D219" t="s">
        <v>1829</v>
      </c>
      <c r="E219" t="str">
        <f t="shared" si="3"/>
        <v>TC</v>
      </c>
      <c r="I219" t="s">
        <v>1830</v>
      </c>
    </row>
    <row r="220" spans="1:9" x14ac:dyDescent="0.3">
      <c r="A220" s="287" t="s">
        <v>1831</v>
      </c>
      <c r="B220" s="286" t="s">
        <v>1832</v>
      </c>
      <c r="C220" s="284" t="s">
        <v>1833</v>
      </c>
      <c r="D220" t="s">
        <v>1834</v>
      </c>
      <c r="E220" t="str">
        <f t="shared" si="3"/>
        <v>TD</v>
      </c>
      <c r="I220" t="s">
        <v>1835</v>
      </c>
    </row>
    <row r="221" spans="1:9" x14ac:dyDescent="0.3">
      <c r="A221" s="286" t="s">
        <v>1014</v>
      </c>
      <c r="B221" s="283" t="s">
        <v>1836</v>
      </c>
      <c r="C221" s="284" t="s">
        <v>1837</v>
      </c>
      <c r="D221" t="s">
        <v>1838</v>
      </c>
      <c r="E221" t="str">
        <f t="shared" si="3"/>
        <v>TF</v>
      </c>
      <c r="I221" t="s">
        <v>1839</v>
      </c>
    </row>
    <row r="222" spans="1:9" x14ac:dyDescent="0.3">
      <c r="A222" s="287" t="s">
        <v>1840</v>
      </c>
      <c r="B222" s="286" t="s">
        <v>1841</v>
      </c>
      <c r="C222" s="284" t="s">
        <v>1842</v>
      </c>
      <c r="D222" t="s">
        <v>1843</v>
      </c>
      <c r="E222" t="str">
        <f t="shared" si="3"/>
        <v>TG</v>
      </c>
      <c r="I222" t="s">
        <v>1844</v>
      </c>
    </row>
    <row r="223" spans="1:9" x14ac:dyDescent="0.3">
      <c r="A223" s="287" t="s">
        <v>1845</v>
      </c>
      <c r="B223" s="286" t="s">
        <v>1846</v>
      </c>
      <c r="C223" s="284" t="s">
        <v>1847</v>
      </c>
      <c r="D223" t="s">
        <v>1848</v>
      </c>
      <c r="E223" t="str">
        <f t="shared" si="3"/>
        <v>TH</v>
      </c>
      <c r="I223" t="s">
        <v>1849</v>
      </c>
    </row>
    <row r="224" spans="1:9" x14ac:dyDescent="0.3">
      <c r="A224" s="286" t="s">
        <v>1022</v>
      </c>
      <c r="B224" s="286" t="s">
        <v>1850</v>
      </c>
      <c r="C224" s="284" t="s">
        <v>1851</v>
      </c>
      <c r="D224" t="s">
        <v>1852</v>
      </c>
      <c r="E224" t="str">
        <f t="shared" si="3"/>
        <v>TJ</v>
      </c>
      <c r="I224" t="s">
        <v>1853</v>
      </c>
    </row>
    <row r="225" spans="1:9" x14ac:dyDescent="0.3">
      <c r="A225" s="287" t="s">
        <v>1854</v>
      </c>
      <c r="B225" s="283" t="s">
        <v>1855</v>
      </c>
      <c r="C225" s="284" t="s">
        <v>1856</v>
      </c>
      <c r="D225" t="s">
        <v>1857</v>
      </c>
      <c r="E225" t="str">
        <f t="shared" si="3"/>
        <v>TK</v>
      </c>
      <c r="I225" t="s">
        <v>1858</v>
      </c>
    </row>
    <row r="226" spans="1:9" x14ac:dyDescent="0.3">
      <c r="A226" s="283" t="s">
        <v>1029</v>
      </c>
      <c r="B226" s="286" t="s">
        <v>1859</v>
      </c>
      <c r="C226" s="284" t="s">
        <v>1860</v>
      </c>
      <c r="D226" t="s">
        <v>1861</v>
      </c>
      <c r="E226" t="str">
        <f t="shared" si="3"/>
        <v>TL</v>
      </c>
      <c r="I226" t="s">
        <v>1862</v>
      </c>
    </row>
    <row r="227" spans="1:9" x14ac:dyDescent="0.3">
      <c r="A227" s="286" t="s">
        <v>1037</v>
      </c>
      <c r="B227" s="286" t="s">
        <v>1863</v>
      </c>
      <c r="C227" s="284" t="s">
        <v>1864</v>
      </c>
      <c r="D227" t="s">
        <v>1865</v>
      </c>
      <c r="E227" t="str">
        <f t="shared" si="3"/>
        <v>TM</v>
      </c>
      <c r="I227" t="s">
        <v>1866</v>
      </c>
    </row>
    <row r="228" spans="1:9" x14ac:dyDescent="0.3">
      <c r="A228" s="287" t="s">
        <v>1867</v>
      </c>
      <c r="B228" s="286" t="s">
        <v>1868</v>
      </c>
      <c r="C228" s="284" t="s">
        <v>1869</v>
      </c>
      <c r="D228" t="s">
        <v>1870</v>
      </c>
      <c r="E228" t="str">
        <f t="shared" si="3"/>
        <v>TN</v>
      </c>
      <c r="I228" t="s">
        <v>1871</v>
      </c>
    </row>
    <row r="229" spans="1:9" x14ac:dyDescent="0.3">
      <c r="A229" s="286" t="s">
        <v>1045</v>
      </c>
      <c r="B229" s="284" t="s">
        <v>1872</v>
      </c>
      <c r="C229" s="284" t="s">
        <v>1873</v>
      </c>
      <c r="D229" t="s">
        <v>1874</v>
      </c>
      <c r="E229" t="str">
        <f t="shared" si="3"/>
        <v>TO</v>
      </c>
      <c r="I229" t="s">
        <v>1875</v>
      </c>
    </row>
    <row r="230" spans="1:9" x14ac:dyDescent="0.3">
      <c r="A230" s="287" t="s">
        <v>1876</v>
      </c>
      <c r="B230" s="283" t="s">
        <v>1877</v>
      </c>
      <c r="C230" s="284" t="s">
        <v>1878</v>
      </c>
      <c r="D230" t="s">
        <v>1879</v>
      </c>
      <c r="E230" t="str">
        <f t="shared" si="3"/>
        <v>TP</v>
      </c>
      <c r="I230" t="s">
        <v>1880</v>
      </c>
    </row>
    <row r="231" spans="1:9" x14ac:dyDescent="0.3">
      <c r="A231" s="283" t="s">
        <v>1053</v>
      </c>
      <c r="B231" s="286" t="s">
        <v>1881</v>
      </c>
      <c r="C231" s="284" t="s">
        <v>1882</v>
      </c>
      <c r="D231" t="s">
        <v>1883</v>
      </c>
      <c r="E231" t="str">
        <f t="shared" si="3"/>
        <v>TR</v>
      </c>
      <c r="I231" t="s">
        <v>1884</v>
      </c>
    </row>
    <row r="232" spans="1:9" x14ac:dyDescent="0.3">
      <c r="A232" s="286" t="s">
        <v>1061</v>
      </c>
      <c r="B232" s="286" t="s">
        <v>1885</v>
      </c>
      <c r="C232" s="284" t="s">
        <v>1886</v>
      </c>
      <c r="D232" t="s">
        <v>1887</v>
      </c>
      <c r="E232" t="str">
        <f t="shared" si="3"/>
        <v>TT</v>
      </c>
      <c r="I232" t="s">
        <v>1888</v>
      </c>
    </row>
    <row r="233" spans="1:9" x14ac:dyDescent="0.3">
      <c r="A233" s="287" t="s">
        <v>1889</v>
      </c>
      <c r="B233" s="286" t="s">
        <v>1890</v>
      </c>
      <c r="C233" s="284" t="s">
        <v>1891</v>
      </c>
      <c r="D233" t="s">
        <v>1892</v>
      </c>
      <c r="E233" t="str">
        <f t="shared" si="3"/>
        <v>TV</v>
      </c>
      <c r="I233" t="s">
        <v>1893</v>
      </c>
    </row>
    <row r="234" spans="1:9" x14ac:dyDescent="0.3">
      <c r="A234" s="287" t="s">
        <v>1894</v>
      </c>
      <c r="B234" s="286" t="s">
        <v>1895</v>
      </c>
      <c r="C234" s="284" t="s">
        <v>1896</v>
      </c>
      <c r="D234" t="s">
        <v>1897</v>
      </c>
      <c r="E234" t="str">
        <f t="shared" si="3"/>
        <v>TW</v>
      </c>
      <c r="I234" t="s">
        <v>1898</v>
      </c>
    </row>
    <row r="235" spans="1:9" x14ac:dyDescent="0.3">
      <c r="A235" s="286" t="s">
        <v>1068</v>
      </c>
      <c r="B235" s="286" t="s">
        <v>1899</v>
      </c>
      <c r="C235" s="284" t="s">
        <v>1900</v>
      </c>
      <c r="D235" t="s">
        <v>1901</v>
      </c>
      <c r="E235" t="str">
        <f t="shared" si="3"/>
        <v>TZ</v>
      </c>
      <c r="I235" t="s">
        <v>1902</v>
      </c>
    </row>
    <row r="236" spans="1:9" x14ac:dyDescent="0.3">
      <c r="A236" s="287" t="s">
        <v>1903</v>
      </c>
      <c r="B236" s="283" t="s">
        <v>1904</v>
      </c>
      <c r="C236" s="284" t="s">
        <v>1905</v>
      </c>
      <c r="D236" t="s">
        <v>1906</v>
      </c>
      <c r="E236" t="str">
        <f t="shared" si="3"/>
        <v>UA</v>
      </c>
      <c r="I236" t="s">
        <v>1907</v>
      </c>
    </row>
    <row r="237" spans="1:9" x14ac:dyDescent="0.3">
      <c r="A237" s="287" t="s">
        <v>1908</v>
      </c>
      <c r="B237" s="286" t="s">
        <v>1909</v>
      </c>
      <c r="C237" s="284" t="s">
        <v>1910</v>
      </c>
      <c r="D237" t="s">
        <v>1911</v>
      </c>
      <c r="E237" t="str">
        <f t="shared" si="3"/>
        <v>UG</v>
      </c>
      <c r="I237" t="s">
        <v>1912</v>
      </c>
    </row>
    <row r="238" spans="1:9" x14ac:dyDescent="0.3">
      <c r="A238" s="287" t="s">
        <v>1913</v>
      </c>
      <c r="B238" s="286" t="s">
        <v>1914</v>
      </c>
      <c r="C238" s="284" t="s">
        <v>1915</v>
      </c>
      <c r="D238" t="s">
        <v>1916</v>
      </c>
      <c r="E238" t="str">
        <f t="shared" si="3"/>
        <v>UM</v>
      </c>
      <c r="I238" t="s">
        <v>1917</v>
      </c>
    </row>
    <row r="239" spans="1:9" x14ac:dyDescent="0.3">
      <c r="A239" s="287" t="s">
        <v>1918</v>
      </c>
      <c r="B239" s="287" t="s">
        <v>1919</v>
      </c>
      <c r="C239" s="284" t="s">
        <v>1920</v>
      </c>
      <c r="D239" t="s">
        <v>1921</v>
      </c>
      <c r="E239" t="str">
        <f t="shared" si="3"/>
        <v>US</v>
      </c>
      <c r="I239" t="s">
        <v>1922</v>
      </c>
    </row>
    <row r="240" spans="1:9" x14ac:dyDescent="0.3">
      <c r="A240" s="287" t="s">
        <v>1923</v>
      </c>
      <c r="B240" s="286" t="s">
        <v>1924</v>
      </c>
      <c r="C240" s="284" t="s">
        <v>1925</v>
      </c>
      <c r="D240" t="s">
        <v>1926</v>
      </c>
      <c r="E240" t="str">
        <f t="shared" si="3"/>
        <v>UY</v>
      </c>
      <c r="I240" t="s">
        <v>1927</v>
      </c>
    </row>
    <row r="241" spans="1:9" x14ac:dyDescent="0.3">
      <c r="A241" s="287" t="s">
        <v>1928</v>
      </c>
      <c r="B241" s="286" t="s">
        <v>1929</v>
      </c>
      <c r="C241" s="284" t="s">
        <v>1930</v>
      </c>
      <c r="D241" t="s">
        <v>1931</v>
      </c>
      <c r="E241" t="str">
        <f t="shared" si="3"/>
        <v>UZ</v>
      </c>
      <c r="I241" t="s">
        <v>1932</v>
      </c>
    </row>
    <row r="242" spans="1:9" x14ac:dyDescent="0.3">
      <c r="A242" s="283" t="s">
        <v>1075</v>
      </c>
      <c r="B242" s="284" t="s">
        <v>1933</v>
      </c>
      <c r="C242" s="284" t="s">
        <v>1934</v>
      </c>
      <c r="D242" t="s">
        <v>1935</v>
      </c>
      <c r="E242" t="str">
        <f t="shared" si="3"/>
        <v>VA</v>
      </c>
      <c r="I242" t="s">
        <v>1936</v>
      </c>
    </row>
    <row r="243" spans="1:9" x14ac:dyDescent="0.3">
      <c r="A243" s="286" t="s">
        <v>1083</v>
      </c>
      <c r="B243" s="283" t="s">
        <v>1937</v>
      </c>
      <c r="C243" s="284" t="s">
        <v>1938</v>
      </c>
      <c r="D243" t="s">
        <v>1939</v>
      </c>
      <c r="E243" t="str">
        <f t="shared" si="3"/>
        <v>VC</v>
      </c>
      <c r="I243" t="s">
        <v>1940</v>
      </c>
    </row>
    <row r="244" spans="1:9" x14ac:dyDescent="0.3">
      <c r="A244" s="287" t="s">
        <v>1941</v>
      </c>
      <c r="B244" s="286" t="s">
        <v>1942</v>
      </c>
      <c r="C244" s="284" t="s">
        <v>1943</v>
      </c>
      <c r="D244" t="s">
        <v>1944</v>
      </c>
      <c r="E244" t="str">
        <f t="shared" si="3"/>
        <v>VE</v>
      </c>
      <c r="I244" t="s">
        <v>1945</v>
      </c>
    </row>
    <row r="245" spans="1:9" x14ac:dyDescent="0.3">
      <c r="A245" s="287" t="s">
        <v>1946</v>
      </c>
      <c r="B245" s="286" t="s">
        <v>1947</v>
      </c>
      <c r="C245" s="284" t="s">
        <v>1948</v>
      </c>
      <c r="D245" t="s">
        <v>1949</v>
      </c>
      <c r="E245" t="str">
        <f t="shared" si="3"/>
        <v>VG</v>
      </c>
      <c r="I245" t="s">
        <v>1950</v>
      </c>
    </row>
    <row r="246" spans="1:9" x14ac:dyDescent="0.3">
      <c r="A246" s="287" t="s">
        <v>1951</v>
      </c>
      <c r="B246" s="283" t="s">
        <v>1952</v>
      </c>
      <c r="C246" s="284" t="s">
        <v>1953</v>
      </c>
      <c r="D246" t="s">
        <v>1954</v>
      </c>
      <c r="E246" t="str">
        <f t="shared" si="3"/>
        <v>VI</v>
      </c>
      <c r="I246" t="s">
        <v>1955</v>
      </c>
    </row>
    <row r="247" spans="1:9" x14ac:dyDescent="0.3">
      <c r="A247" s="287" t="s">
        <v>1956</v>
      </c>
      <c r="B247" s="286" t="s">
        <v>1957</v>
      </c>
      <c r="C247" s="284" t="s">
        <v>1958</v>
      </c>
      <c r="D247" t="s">
        <v>1959</v>
      </c>
      <c r="E247" t="str">
        <f t="shared" si="3"/>
        <v>VN</v>
      </c>
      <c r="I247" t="s">
        <v>1960</v>
      </c>
    </row>
    <row r="248" spans="1:9" x14ac:dyDescent="0.3">
      <c r="A248" s="287" t="s">
        <v>1961</v>
      </c>
      <c r="B248" s="286" t="s">
        <v>1962</v>
      </c>
      <c r="C248" s="284" t="s">
        <v>1963</v>
      </c>
      <c r="D248" t="s">
        <v>1964</v>
      </c>
      <c r="E248" t="str">
        <f t="shared" si="3"/>
        <v>VU</v>
      </c>
      <c r="I248" t="s">
        <v>1965</v>
      </c>
    </row>
    <row r="249" spans="1:9" x14ac:dyDescent="0.3">
      <c r="A249" s="286" t="s">
        <v>1090</v>
      </c>
      <c r="B249" s="283" t="s">
        <v>1966</v>
      </c>
      <c r="C249" s="284" t="s">
        <v>1967</v>
      </c>
      <c r="D249" t="s">
        <v>1968</v>
      </c>
      <c r="E249" t="str">
        <f t="shared" si="3"/>
        <v>WF</v>
      </c>
      <c r="I249" t="s">
        <v>1969</v>
      </c>
    </row>
    <row r="250" spans="1:9" x14ac:dyDescent="0.3">
      <c r="A250" s="287" t="s">
        <v>1970</v>
      </c>
      <c r="B250" s="286" t="s">
        <v>1971</v>
      </c>
      <c r="C250" s="284" t="s">
        <v>1972</v>
      </c>
      <c r="D250" t="s">
        <v>1973</v>
      </c>
      <c r="E250" t="str">
        <f t="shared" si="3"/>
        <v>WS</v>
      </c>
      <c r="I250" t="s">
        <v>1974</v>
      </c>
    </row>
    <row r="251" spans="1:9" x14ac:dyDescent="0.3">
      <c r="A251" s="286" t="s">
        <v>1098</v>
      </c>
      <c r="B251" s="286" t="s">
        <v>1975</v>
      </c>
      <c r="C251" s="284" t="s">
        <v>1976</v>
      </c>
      <c r="D251" t="s">
        <v>1977</v>
      </c>
      <c r="E251" t="str">
        <f t="shared" si="3"/>
        <v>YE</v>
      </c>
      <c r="I251" t="s">
        <v>1978</v>
      </c>
    </row>
    <row r="252" spans="1:9" x14ac:dyDescent="0.3">
      <c r="A252" s="287" t="s">
        <v>1979</v>
      </c>
      <c r="B252" s="286" t="s">
        <v>1980</v>
      </c>
      <c r="C252" s="284" t="s">
        <v>1981</v>
      </c>
      <c r="D252" t="s">
        <v>1982</v>
      </c>
      <c r="E252" t="str">
        <f t="shared" si="3"/>
        <v>YT</v>
      </c>
      <c r="I252" t="s">
        <v>1983</v>
      </c>
    </row>
    <row r="253" spans="1:9" x14ac:dyDescent="0.3">
      <c r="A253" s="287" t="s">
        <v>1984</v>
      </c>
      <c r="B253" s="284" t="s">
        <v>1985</v>
      </c>
      <c r="C253" s="284" t="s">
        <v>1986</v>
      </c>
      <c r="D253" t="s">
        <v>1987</v>
      </c>
      <c r="E253" t="str">
        <f t="shared" si="3"/>
        <v>YU</v>
      </c>
      <c r="I253" t="s">
        <v>1988</v>
      </c>
    </row>
    <row r="254" spans="1:9" x14ac:dyDescent="0.3">
      <c r="A254" s="286" t="s">
        <v>1106</v>
      </c>
      <c r="B254" s="283" t="s">
        <v>1989</v>
      </c>
      <c r="C254" s="284" t="s">
        <v>1990</v>
      </c>
      <c r="D254" t="s">
        <v>1991</v>
      </c>
      <c r="E254" t="str">
        <f t="shared" si="3"/>
        <v>ZA</v>
      </c>
      <c r="I254" t="s">
        <v>1992</v>
      </c>
    </row>
    <row r="255" spans="1:9" x14ac:dyDescent="0.3">
      <c r="A255" s="287" t="s">
        <v>1993</v>
      </c>
      <c r="B255" s="286" t="s">
        <v>1994</v>
      </c>
      <c r="C255" s="284" t="s">
        <v>1995</v>
      </c>
      <c r="D255" t="s">
        <v>1996</v>
      </c>
      <c r="E255" t="str">
        <f t="shared" si="3"/>
        <v>ZM</v>
      </c>
      <c r="I255" t="s">
        <v>1997</v>
      </c>
    </row>
    <row r="256" spans="1:9" x14ac:dyDescent="0.3">
      <c r="A256" s="287" t="s">
        <v>1998</v>
      </c>
      <c r="B256" s="286" t="s">
        <v>1999</v>
      </c>
      <c r="C256" s="284" t="s">
        <v>2000</v>
      </c>
      <c r="D256" t="s">
        <v>2001</v>
      </c>
      <c r="E256" t="str">
        <f t="shared" si="3"/>
        <v>ZR</v>
      </c>
      <c r="I256" t="s">
        <v>2002</v>
      </c>
    </row>
    <row r="257" spans="1:9" x14ac:dyDescent="0.3">
      <c r="A257" s="287" t="s">
        <v>2003</v>
      </c>
      <c r="B257" s="286" t="s">
        <v>2004</v>
      </c>
      <c r="C257" s="284" t="s">
        <v>2005</v>
      </c>
      <c r="D257" t="s">
        <v>2006</v>
      </c>
      <c r="E257" t="str">
        <f t="shared" si="3"/>
        <v>ZW</v>
      </c>
      <c r="I257" t="s">
        <v>2007</v>
      </c>
    </row>
    <row r="258" spans="1:9" x14ac:dyDescent="0.3">
      <c r="A258" s="287" t="s">
        <v>2008</v>
      </c>
      <c r="B258" s="283" t="s">
        <v>2009</v>
      </c>
      <c r="I258" t="s">
        <v>2010</v>
      </c>
    </row>
    <row r="259" spans="1:9" x14ac:dyDescent="0.3">
      <c r="A259" s="287" t="s">
        <v>2011</v>
      </c>
      <c r="B259" s="286" t="s">
        <v>2012</v>
      </c>
      <c r="I259" t="s">
        <v>2013</v>
      </c>
    </row>
    <row r="260" spans="1:9" x14ac:dyDescent="0.3">
      <c r="A260" s="286" t="s">
        <v>1113</v>
      </c>
      <c r="B260" s="286" t="s">
        <v>2014</v>
      </c>
      <c r="I260" t="s">
        <v>2015</v>
      </c>
    </row>
    <row r="261" spans="1:9" x14ac:dyDescent="0.3">
      <c r="A261" s="287" t="s">
        <v>2016</v>
      </c>
      <c r="B261" s="286" t="s">
        <v>2017</v>
      </c>
      <c r="I261" t="s">
        <v>2018</v>
      </c>
    </row>
    <row r="262" spans="1:9" x14ac:dyDescent="0.3">
      <c r="A262" s="287" t="s">
        <v>2019</v>
      </c>
      <c r="B262" s="283" t="s">
        <v>2020</v>
      </c>
      <c r="I262" t="s">
        <v>2021</v>
      </c>
    </row>
    <row r="263" spans="1:9" x14ac:dyDescent="0.3">
      <c r="A263" s="286" t="s">
        <v>1120</v>
      </c>
      <c r="B263" s="286" t="s">
        <v>2022</v>
      </c>
      <c r="I263" t="s">
        <v>2023</v>
      </c>
    </row>
    <row r="264" spans="1:9" x14ac:dyDescent="0.3">
      <c r="A264" s="287" t="s">
        <v>2024</v>
      </c>
      <c r="B264" s="286" t="s">
        <v>2025</v>
      </c>
      <c r="I264" t="s">
        <v>2026</v>
      </c>
    </row>
    <row r="265" spans="1:9" x14ac:dyDescent="0.3">
      <c r="A265" s="287" t="s">
        <v>2027</v>
      </c>
      <c r="B265" s="284" t="s">
        <v>2028</v>
      </c>
      <c r="I265" t="s">
        <v>2029</v>
      </c>
    </row>
    <row r="266" spans="1:9" x14ac:dyDescent="0.3">
      <c r="A266" s="287" t="s">
        <v>2030</v>
      </c>
      <c r="B266" s="283" t="s">
        <v>2031</v>
      </c>
      <c r="I266" t="s">
        <v>2032</v>
      </c>
    </row>
    <row r="267" spans="1:9" x14ac:dyDescent="0.3">
      <c r="A267" s="287" t="s">
        <v>2033</v>
      </c>
      <c r="B267" s="286" t="s">
        <v>2034</v>
      </c>
      <c r="I267" t="s">
        <v>2035</v>
      </c>
    </row>
    <row r="268" spans="1:9" x14ac:dyDescent="0.3">
      <c r="A268" s="287" t="s">
        <v>2036</v>
      </c>
      <c r="B268" s="286" t="s">
        <v>2037</v>
      </c>
      <c r="I268" t="s">
        <v>2038</v>
      </c>
    </row>
    <row r="269" spans="1:9" x14ac:dyDescent="0.3">
      <c r="A269" s="287" t="s">
        <v>2039</v>
      </c>
      <c r="B269" s="286" t="s">
        <v>2040</v>
      </c>
      <c r="I269" t="s">
        <v>2041</v>
      </c>
    </row>
    <row r="270" spans="1:9" x14ac:dyDescent="0.3">
      <c r="A270" s="286" t="s">
        <v>1128</v>
      </c>
      <c r="B270" s="286" t="s">
        <v>2042</v>
      </c>
      <c r="I270" t="s">
        <v>2043</v>
      </c>
    </row>
    <row r="271" spans="1:9" x14ac:dyDescent="0.3">
      <c r="A271" s="287" t="s">
        <v>2044</v>
      </c>
      <c r="B271" s="283" t="s">
        <v>2045</v>
      </c>
      <c r="I271" t="s">
        <v>2046</v>
      </c>
    </row>
    <row r="272" spans="1:9" x14ac:dyDescent="0.3">
      <c r="A272" s="286" t="s">
        <v>1136</v>
      </c>
      <c r="B272" s="286" t="s">
        <v>2047</v>
      </c>
      <c r="I272" t="s">
        <v>2048</v>
      </c>
    </row>
    <row r="273" spans="1:9" x14ac:dyDescent="0.3">
      <c r="A273" s="287" t="s">
        <v>2049</v>
      </c>
      <c r="B273" s="286" t="s">
        <v>2050</v>
      </c>
      <c r="I273" t="s">
        <v>2051</v>
      </c>
    </row>
    <row r="274" spans="1:9" x14ac:dyDescent="0.3">
      <c r="A274" s="287" t="s">
        <v>2052</v>
      </c>
      <c r="B274" s="286" t="s">
        <v>2053</v>
      </c>
      <c r="I274" t="s">
        <v>2054</v>
      </c>
    </row>
    <row r="275" spans="1:9" x14ac:dyDescent="0.3">
      <c r="A275" s="283" t="s">
        <v>1144</v>
      </c>
      <c r="B275" s="283" t="s">
        <v>2055</v>
      </c>
      <c r="I275" t="s">
        <v>2056</v>
      </c>
    </row>
    <row r="276" spans="1:9" x14ac:dyDescent="0.3">
      <c r="A276" s="286" t="s">
        <v>1150</v>
      </c>
      <c r="B276" s="286" t="s">
        <v>2057</v>
      </c>
      <c r="I276" t="s">
        <v>2058</v>
      </c>
    </row>
    <row r="277" spans="1:9" x14ac:dyDescent="0.3">
      <c r="A277" s="287" t="s">
        <v>2059</v>
      </c>
      <c r="B277" s="286" t="s">
        <v>2060</v>
      </c>
      <c r="I277" t="s">
        <v>2061</v>
      </c>
    </row>
    <row r="278" spans="1:9" x14ac:dyDescent="0.3">
      <c r="A278" s="286" t="s">
        <v>1157</v>
      </c>
      <c r="B278" s="286" t="s">
        <v>2062</v>
      </c>
      <c r="I278" t="s">
        <v>2063</v>
      </c>
    </row>
    <row r="279" spans="1:9" x14ac:dyDescent="0.3">
      <c r="A279" s="287" t="s">
        <v>2064</v>
      </c>
      <c r="B279" s="284" t="s">
        <v>2065</v>
      </c>
      <c r="I279" t="s">
        <v>2066</v>
      </c>
    </row>
    <row r="280" spans="1:9" x14ac:dyDescent="0.3">
      <c r="A280" s="286" t="s">
        <v>1163</v>
      </c>
      <c r="B280" s="283" t="s">
        <v>2067</v>
      </c>
      <c r="I280" t="s">
        <v>2068</v>
      </c>
    </row>
    <row r="281" spans="1:9" x14ac:dyDescent="0.3">
      <c r="A281" s="287" t="s">
        <v>2069</v>
      </c>
      <c r="B281" s="286" t="s">
        <v>2070</v>
      </c>
      <c r="I281" t="s">
        <v>2071</v>
      </c>
    </row>
    <row r="282" spans="1:9" x14ac:dyDescent="0.3">
      <c r="A282" s="287" t="s">
        <v>2072</v>
      </c>
      <c r="B282" s="286" t="s">
        <v>2073</v>
      </c>
      <c r="I282" t="s">
        <v>2074</v>
      </c>
    </row>
    <row r="283" spans="1:9" x14ac:dyDescent="0.3">
      <c r="A283" s="287" t="s">
        <v>2075</v>
      </c>
      <c r="B283" s="286" t="s">
        <v>2076</v>
      </c>
      <c r="I283" t="s">
        <v>2077</v>
      </c>
    </row>
    <row r="284" spans="1:9" x14ac:dyDescent="0.3">
      <c r="A284" s="287" t="s">
        <v>2078</v>
      </c>
      <c r="B284" s="284" t="s">
        <v>2079</v>
      </c>
      <c r="I284" t="s">
        <v>2080</v>
      </c>
    </row>
    <row r="285" spans="1:9" x14ac:dyDescent="0.3">
      <c r="A285" s="286" t="s">
        <v>1170</v>
      </c>
      <c r="B285" s="283" t="s">
        <v>2081</v>
      </c>
      <c r="I285" t="s">
        <v>2082</v>
      </c>
    </row>
    <row r="286" spans="1:9" x14ac:dyDescent="0.3">
      <c r="A286" s="287" t="s">
        <v>2083</v>
      </c>
      <c r="B286" s="286" t="s">
        <v>2084</v>
      </c>
      <c r="I286" t="s">
        <v>2085</v>
      </c>
    </row>
    <row r="287" spans="1:9" x14ac:dyDescent="0.3">
      <c r="A287" s="287" t="s">
        <v>2086</v>
      </c>
      <c r="B287" s="286" t="s">
        <v>2087</v>
      </c>
      <c r="I287" t="s">
        <v>2088</v>
      </c>
    </row>
    <row r="288" spans="1:9" x14ac:dyDescent="0.3">
      <c r="A288" s="287" t="s">
        <v>2089</v>
      </c>
      <c r="B288" s="283" t="s">
        <v>2090</v>
      </c>
      <c r="I288" t="s">
        <v>2091</v>
      </c>
    </row>
    <row r="289" spans="1:9" x14ac:dyDescent="0.3">
      <c r="A289" s="287" t="s">
        <v>2092</v>
      </c>
      <c r="B289" s="286" t="s">
        <v>2093</v>
      </c>
      <c r="I289" t="s">
        <v>2094</v>
      </c>
    </row>
    <row r="290" spans="1:9" x14ac:dyDescent="0.3">
      <c r="A290" s="287" t="s">
        <v>2095</v>
      </c>
      <c r="B290" s="286" t="s">
        <v>2096</v>
      </c>
      <c r="I290" t="s">
        <v>2097</v>
      </c>
    </row>
    <row r="291" spans="1:9" x14ac:dyDescent="0.3">
      <c r="A291" s="287" t="s">
        <v>2098</v>
      </c>
      <c r="B291" s="283" t="s">
        <v>2099</v>
      </c>
      <c r="I291" t="s">
        <v>2100</v>
      </c>
    </row>
    <row r="292" spans="1:9" x14ac:dyDescent="0.3">
      <c r="A292" s="286" t="s">
        <v>1177</v>
      </c>
      <c r="B292" s="286" t="s">
        <v>2101</v>
      </c>
      <c r="I292" t="s">
        <v>2102</v>
      </c>
    </row>
    <row r="293" spans="1:9" x14ac:dyDescent="0.3">
      <c r="A293" s="287" t="s">
        <v>2103</v>
      </c>
      <c r="B293" s="286" t="s">
        <v>2104</v>
      </c>
      <c r="I293" t="s">
        <v>2105</v>
      </c>
    </row>
    <row r="294" spans="1:9" x14ac:dyDescent="0.3">
      <c r="A294" s="287" t="s">
        <v>2106</v>
      </c>
      <c r="B294" s="283" t="s">
        <v>2107</v>
      </c>
      <c r="I294" t="s">
        <v>2108</v>
      </c>
    </row>
    <row r="295" spans="1:9" x14ac:dyDescent="0.3">
      <c r="A295" s="287" t="s">
        <v>2109</v>
      </c>
      <c r="B295" s="286" t="s">
        <v>2110</v>
      </c>
      <c r="I295" t="s">
        <v>2111</v>
      </c>
    </row>
    <row r="296" spans="1:9" x14ac:dyDescent="0.3">
      <c r="A296" s="287" t="s">
        <v>2112</v>
      </c>
      <c r="B296" s="286" t="s">
        <v>2113</v>
      </c>
      <c r="I296" t="s">
        <v>2114</v>
      </c>
    </row>
    <row r="297" spans="1:9" x14ac:dyDescent="0.3">
      <c r="A297" s="283" t="s">
        <v>1184</v>
      </c>
      <c r="B297" s="283" t="s">
        <v>2115</v>
      </c>
      <c r="I297" t="s">
        <v>2116</v>
      </c>
    </row>
    <row r="298" spans="1:9" x14ac:dyDescent="0.3">
      <c r="A298" s="286" t="s">
        <v>1190</v>
      </c>
      <c r="B298" s="286" t="s">
        <v>2117</v>
      </c>
      <c r="I298" t="s">
        <v>2118</v>
      </c>
    </row>
    <row r="299" spans="1:9" x14ac:dyDescent="0.3">
      <c r="A299" s="287" t="s">
        <v>2119</v>
      </c>
      <c r="B299" s="286" t="s">
        <v>2120</v>
      </c>
      <c r="I299" t="s">
        <v>2121</v>
      </c>
    </row>
    <row r="300" spans="1:9" x14ac:dyDescent="0.3">
      <c r="A300" s="287" t="s">
        <v>2122</v>
      </c>
      <c r="B300" s="286" t="s">
        <v>2123</v>
      </c>
      <c r="I300" t="s">
        <v>2124</v>
      </c>
    </row>
    <row r="301" spans="1:9" x14ac:dyDescent="0.3">
      <c r="A301" s="286" t="s">
        <v>1197</v>
      </c>
      <c r="B301" s="283" t="s">
        <v>2125</v>
      </c>
      <c r="I301" t="s">
        <v>2126</v>
      </c>
    </row>
    <row r="302" spans="1:9" x14ac:dyDescent="0.3">
      <c r="A302" s="287" t="s">
        <v>2127</v>
      </c>
      <c r="B302" s="286" t="s">
        <v>2128</v>
      </c>
      <c r="I302" t="s">
        <v>2129</v>
      </c>
    </row>
    <row r="303" spans="1:9" x14ac:dyDescent="0.3">
      <c r="A303" s="287" t="s">
        <v>2130</v>
      </c>
      <c r="B303" s="286" t="s">
        <v>2131</v>
      </c>
      <c r="I303" t="s">
        <v>2132</v>
      </c>
    </row>
    <row r="304" spans="1:9" x14ac:dyDescent="0.3">
      <c r="A304" s="286" t="s">
        <v>1204</v>
      </c>
      <c r="B304" s="286" t="s">
        <v>2133</v>
      </c>
      <c r="I304" t="s">
        <v>2134</v>
      </c>
    </row>
    <row r="305" spans="1:9" x14ac:dyDescent="0.3">
      <c r="A305" s="287" t="s">
        <v>2135</v>
      </c>
      <c r="B305" s="286" t="s">
        <v>2136</v>
      </c>
      <c r="I305" t="s">
        <v>2137</v>
      </c>
    </row>
    <row r="306" spans="1:9" x14ac:dyDescent="0.3">
      <c r="A306" s="286" t="s">
        <v>1210</v>
      </c>
      <c r="B306" s="283" t="s">
        <v>2138</v>
      </c>
      <c r="I306" t="s">
        <v>2139</v>
      </c>
    </row>
    <row r="307" spans="1:9" x14ac:dyDescent="0.3">
      <c r="A307" s="287" t="s">
        <v>2140</v>
      </c>
      <c r="B307" s="286" t="s">
        <v>2141</v>
      </c>
      <c r="I307" t="s">
        <v>2142</v>
      </c>
    </row>
    <row r="308" spans="1:9" x14ac:dyDescent="0.3">
      <c r="A308" s="286" t="s">
        <v>1217</v>
      </c>
      <c r="B308" s="284" t="s">
        <v>2143</v>
      </c>
      <c r="I308" t="s">
        <v>2144</v>
      </c>
    </row>
    <row r="309" spans="1:9" x14ac:dyDescent="0.3">
      <c r="A309" s="287" t="s">
        <v>2145</v>
      </c>
      <c r="B309" s="283" t="s">
        <v>2146</v>
      </c>
      <c r="I309" t="s">
        <v>2147</v>
      </c>
    </row>
    <row r="310" spans="1:9" x14ac:dyDescent="0.3">
      <c r="A310" s="287" t="s">
        <v>2148</v>
      </c>
      <c r="B310" s="286" t="s">
        <v>2149</v>
      </c>
      <c r="I310" t="s">
        <v>2150</v>
      </c>
    </row>
    <row r="311" spans="1:9" x14ac:dyDescent="0.3">
      <c r="A311" s="287" t="s">
        <v>2151</v>
      </c>
      <c r="B311" s="286" t="s">
        <v>2152</v>
      </c>
      <c r="I311" t="s">
        <v>2153</v>
      </c>
    </row>
    <row r="312" spans="1:9" x14ac:dyDescent="0.3">
      <c r="A312" s="286" t="s">
        <v>1224</v>
      </c>
      <c r="B312" s="286" t="s">
        <v>2154</v>
      </c>
      <c r="I312" t="s">
        <v>2155</v>
      </c>
    </row>
    <row r="313" spans="1:9" x14ac:dyDescent="0.3">
      <c r="A313" s="287" t="s">
        <v>2156</v>
      </c>
      <c r="B313" s="286" t="s">
        <v>2157</v>
      </c>
      <c r="I313" t="s">
        <v>2158</v>
      </c>
    </row>
    <row r="314" spans="1:9" x14ac:dyDescent="0.3">
      <c r="A314" s="287" t="s">
        <v>2159</v>
      </c>
      <c r="B314" s="286" t="s">
        <v>2160</v>
      </c>
      <c r="I314" t="s">
        <v>2161</v>
      </c>
    </row>
    <row r="315" spans="1:9" x14ac:dyDescent="0.3">
      <c r="A315" s="287" t="s">
        <v>2162</v>
      </c>
      <c r="B315" s="283" t="s">
        <v>2163</v>
      </c>
      <c r="I315" t="s">
        <v>2164</v>
      </c>
    </row>
    <row r="316" spans="1:9" x14ac:dyDescent="0.3">
      <c r="A316" s="286" t="s">
        <v>1230</v>
      </c>
      <c r="B316" s="286" t="s">
        <v>2165</v>
      </c>
      <c r="I316" t="s">
        <v>2166</v>
      </c>
    </row>
    <row r="317" spans="1:9" x14ac:dyDescent="0.3">
      <c r="A317" s="287" t="s">
        <v>2167</v>
      </c>
      <c r="B317" s="286" t="s">
        <v>2168</v>
      </c>
      <c r="I317" t="s">
        <v>2169</v>
      </c>
    </row>
    <row r="318" spans="1:9" x14ac:dyDescent="0.3">
      <c r="A318" s="287" t="s">
        <v>2170</v>
      </c>
      <c r="B318" s="283" t="s">
        <v>2171</v>
      </c>
      <c r="I318" t="s">
        <v>2172</v>
      </c>
    </row>
    <row r="319" spans="1:9" x14ac:dyDescent="0.3">
      <c r="A319" s="287" t="s">
        <v>2173</v>
      </c>
      <c r="B319" s="286" t="s">
        <v>2174</v>
      </c>
      <c r="I319" t="s">
        <v>2175</v>
      </c>
    </row>
    <row r="320" spans="1:9" x14ac:dyDescent="0.3">
      <c r="A320" s="287" t="s">
        <v>2176</v>
      </c>
      <c r="B320" s="286" t="s">
        <v>2177</v>
      </c>
      <c r="I320" t="s">
        <v>2178</v>
      </c>
    </row>
    <row r="321" spans="1:9" x14ac:dyDescent="0.3">
      <c r="A321" s="287" t="s">
        <v>2179</v>
      </c>
      <c r="B321" s="283" t="s">
        <v>2180</v>
      </c>
      <c r="I321" t="s">
        <v>2181</v>
      </c>
    </row>
    <row r="322" spans="1:9" x14ac:dyDescent="0.3">
      <c r="A322" s="283" t="s">
        <v>1237</v>
      </c>
      <c r="B322" s="286" t="s">
        <v>2182</v>
      </c>
      <c r="I322" t="s">
        <v>2183</v>
      </c>
    </row>
    <row r="323" spans="1:9" x14ac:dyDescent="0.3">
      <c r="A323" s="286" t="s">
        <v>1244</v>
      </c>
      <c r="B323" s="283" t="s">
        <v>2184</v>
      </c>
      <c r="I323" t="s">
        <v>2185</v>
      </c>
    </row>
    <row r="324" spans="1:9" x14ac:dyDescent="0.3">
      <c r="A324" s="287" t="s">
        <v>2186</v>
      </c>
      <c r="B324" s="286" t="s">
        <v>2187</v>
      </c>
      <c r="I324" t="s">
        <v>2188</v>
      </c>
    </row>
    <row r="325" spans="1:9" x14ac:dyDescent="0.3">
      <c r="A325" s="287" t="s">
        <v>2189</v>
      </c>
      <c r="B325" s="286" t="s">
        <v>2190</v>
      </c>
      <c r="I325" t="s">
        <v>2191</v>
      </c>
    </row>
    <row r="326" spans="1:9" x14ac:dyDescent="0.3">
      <c r="A326" s="286" t="s">
        <v>1250</v>
      </c>
      <c r="B326" s="286" t="s">
        <v>2192</v>
      </c>
      <c r="I326" t="s">
        <v>2193</v>
      </c>
    </row>
    <row r="327" spans="1:9" x14ac:dyDescent="0.3">
      <c r="A327" s="287" t="s">
        <v>2194</v>
      </c>
      <c r="B327" s="283" t="s">
        <v>2195</v>
      </c>
      <c r="I327" t="s">
        <v>2196</v>
      </c>
    </row>
    <row r="328" spans="1:9" x14ac:dyDescent="0.3">
      <c r="A328" s="286" t="s">
        <v>1257</v>
      </c>
      <c r="B328" s="286" t="s">
        <v>2197</v>
      </c>
      <c r="I328" t="s">
        <v>2198</v>
      </c>
    </row>
    <row r="329" spans="1:9" x14ac:dyDescent="0.3">
      <c r="A329" s="287" t="s">
        <v>2199</v>
      </c>
      <c r="B329" s="286" t="s">
        <v>2200</v>
      </c>
      <c r="I329" t="s">
        <v>2201</v>
      </c>
    </row>
    <row r="330" spans="1:9" x14ac:dyDescent="0.3">
      <c r="A330" s="286" t="s">
        <v>1264</v>
      </c>
      <c r="B330" s="286" t="s">
        <v>2202</v>
      </c>
      <c r="I330" t="s">
        <v>2203</v>
      </c>
    </row>
    <row r="331" spans="1:9" x14ac:dyDescent="0.3">
      <c r="A331" s="287" t="s">
        <v>2204</v>
      </c>
      <c r="B331" s="286" t="s">
        <v>2205</v>
      </c>
      <c r="I331" t="s">
        <v>2206</v>
      </c>
    </row>
    <row r="332" spans="1:9" x14ac:dyDescent="0.3">
      <c r="A332" s="286" t="s">
        <v>1269</v>
      </c>
      <c r="B332" s="286" t="s">
        <v>2207</v>
      </c>
      <c r="I332" t="s">
        <v>2208</v>
      </c>
    </row>
    <row r="333" spans="1:9" x14ac:dyDescent="0.3">
      <c r="A333" s="287" t="s">
        <v>2209</v>
      </c>
      <c r="B333" s="284" t="s">
        <v>2210</v>
      </c>
      <c r="I333" t="s">
        <v>2211</v>
      </c>
    </row>
    <row r="334" spans="1:9" x14ac:dyDescent="0.3">
      <c r="A334" s="287" t="s">
        <v>2212</v>
      </c>
      <c r="B334" s="283" t="s">
        <v>2213</v>
      </c>
      <c r="I334" t="s">
        <v>2214</v>
      </c>
    </row>
    <row r="335" spans="1:9" x14ac:dyDescent="0.3">
      <c r="A335" s="286" t="s">
        <v>1275</v>
      </c>
      <c r="B335" s="286" t="s">
        <v>2215</v>
      </c>
      <c r="I335" t="s">
        <v>2216</v>
      </c>
    </row>
    <row r="336" spans="1:9" x14ac:dyDescent="0.3">
      <c r="A336" s="287" t="s">
        <v>2217</v>
      </c>
      <c r="B336" s="286" t="s">
        <v>2218</v>
      </c>
      <c r="I336" t="s">
        <v>2219</v>
      </c>
    </row>
    <row r="337" spans="1:9" x14ac:dyDescent="0.3">
      <c r="A337" s="286" t="s">
        <v>1282</v>
      </c>
      <c r="B337" s="286" t="s">
        <v>2220</v>
      </c>
      <c r="I337" t="s">
        <v>2221</v>
      </c>
    </row>
    <row r="338" spans="1:9" x14ac:dyDescent="0.3">
      <c r="A338" s="287" t="s">
        <v>2222</v>
      </c>
      <c r="B338" s="284" t="s">
        <v>2223</v>
      </c>
      <c r="I338" t="s">
        <v>2224</v>
      </c>
    </row>
    <row r="339" spans="1:9" x14ac:dyDescent="0.3">
      <c r="A339" s="283" t="s">
        <v>1289</v>
      </c>
      <c r="B339" s="283" t="s">
        <v>2225</v>
      </c>
      <c r="I339" t="s">
        <v>2226</v>
      </c>
    </row>
    <row r="340" spans="1:9" x14ac:dyDescent="0.3">
      <c r="A340" s="286" t="s">
        <v>1296</v>
      </c>
      <c r="B340" s="286" t="s">
        <v>2227</v>
      </c>
      <c r="I340" t="s">
        <v>2228</v>
      </c>
    </row>
    <row r="341" spans="1:9" x14ac:dyDescent="0.3">
      <c r="A341" s="287" t="s">
        <v>2229</v>
      </c>
      <c r="B341" s="286" t="s">
        <v>2230</v>
      </c>
      <c r="I341" t="s">
        <v>2231</v>
      </c>
    </row>
    <row r="342" spans="1:9" x14ac:dyDescent="0.3">
      <c r="A342" s="287" t="s">
        <v>2232</v>
      </c>
      <c r="B342" s="286" t="s">
        <v>2233</v>
      </c>
      <c r="I342" t="s">
        <v>2234</v>
      </c>
    </row>
    <row r="343" spans="1:9" x14ac:dyDescent="0.3">
      <c r="A343" s="286" t="s">
        <v>1303</v>
      </c>
      <c r="B343" s="286" t="s">
        <v>2235</v>
      </c>
      <c r="I343" t="s">
        <v>2236</v>
      </c>
    </row>
    <row r="344" spans="1:9" x14ac:dyDescent="0.3">
      <c r="A344" s="287" t="s">
        <v>2237</v>
      </c>
      <c r="B344" s="286" t="s">
        <v>2238</v>
      </c>
      <c r="I344" t="s">
        <v>2239</v>
      </c>
    </row>
    <row r="345" spans="1:9" x14ac:dyDescent="0.3">
      <c r="A345" s="286" t="s">
        <v>1310</v>
      </c>
      <c r="B345" s="286" t="s">
        <v>2240</v>
      </c>
      <c r="I345" t="s">
        <v>2241</v>
      </c>
    </row>
    <row r="346" spans="1:9" x14ac:dyDescent="0.3">
      <c r="A346" s="287" t="s">
        <v>2242</v>
      </c>
      <c r="B346" s="284" t="s">
        <v>2243</v>
      </c>
      <c r="I346" t="s">
        <v>2244</v>
      </c>
    </row>
    <row r="347" spans="1:9" x14ac:dyDescent="0.3">
      <c r="A347" s="287" t="s">
        <v>2245</v>
      </c>
      <c r="B347" s="283" t="s">
        <v>2246</v>
      </c>
      <c r="I347" t="s">
        <v>2247</v>
      </c>
    </row>
    <row r="348" spans="1:9" x14ac:dyDescent="0.3">
      <c r="A348" s="287" t="s">
        <v>2248</v>
      </c>
      <c r="B348" s="286" t="s">
        <v>2249</v>
      </c>
      <c r="I348" t="s">
        <v>2250</v>
      </c>
    </row>
    <row r="349" spans="1:9" x14ac:dyDescent="0.3">
      <c r="A349" s="286" t="s">
        <v>1316</v>
      </c>
      <c r="B349" s="286" t="s">
        <v>2251</v>
      </c>
      <c r="I349" t="s">
        <v>2252</v>
      </c>
    </row>
    <row r="350" spans="1:9" x14ac:dyDescent="0.3">
      <c r="A350" s="287" t="s">
        <v>2253</v>
      </c>
      <c r="B350" s="286" t="s">
        <v>2254</v>
      </c>
      <c r="I350" t="s">
        <v>2255</v>
      </c>
    </row>
    <row r="351" spans="1:9" x14ac:dyDescent="0.3">
      <c r="A351" s="286" t="s">
        <v>1323</v>
      </c>
      <c r="B351" s="283" t="s">
        <v>2256</v>
      </c>
      <c r="I351" t="s">
        <v>2257</v>
      </c>
    </row>
    <row r="352" spans="1:9" x14ac:dyDescent="0.3">
      <c r="A352" s="287" t="s">
        <v>2258</v>
      </c>
      <c r="B352" s="286" t="s">
        <v>2259</v>
      </c>
      <c r="I352" t="s">
        <v>2260</v>
      </c>
    </row>
    <row r="353" spans="1:9" x14ac:dyDescent="0.3">
      <c r="A353" s="287" t="s">
        <v>2261</v>
      </c>
      <c r="B353" s="286" t="s">
        <v>2262</v>
      </c>
      <c r="I353" t="s">
        <v>2263</v>
      </c>
    </row>
    <row r="354" spans="1:9" x14ac:dyDescent="0.3">
      <c r="A354" s="286" t="s">
        <v>1329</v>
      </c>
      <c r="B354" s="286" t="s">
        <v>2264</v>
      </c>
      <c r="I354" t="s">
        <v>2265</v>
      </c>
    </row>
    <row r="355" spans="1:9" x14ac:dyDescent="0.3">
      <c r="A355" s="287" t="s">
        <v>2266</v>
      </c>
      <c r="B355" s="286" t="s">
        <v>2267</v>
      </c>
      <c r="I355" t="s">
        <v>2268</v>
      </c>
    </row>
    <row r="356" spans="1:9" x14ac:dyDescent="0.3">
      <c r="A356" s="283" t="s">
        <v>1336</v>
      </c>
      <c r="B356" s="283" t="s">
        <v>2269</v>
      </c>
      <c r="I356" t="s">
        <v>2270</v>
      </c>
    </row>
    <row r="357" spans="1:9" x14ac:dyDescent="0.3">
      <c r="A357" s="286" t="s">
        <v>1343</v>
      </c>
      <c r="B357" s="286" t="s">
        <v>2271</v>
      </c>
      <c r="I357" t="s">
        <v>2272</v>
      </c>
    </row>
    <row r="358" spans="1:9" x14ac:dyDescent="0.3">
      <c r="A358" s="287" t="s">
        <v>2273</v>
      </c>
      <c r="B358" s="286" t="s">
        <v>2274</v>
      </c>
      <c r="I358" t="s">
        <v>2275</v>
      </c>
    </row>
    <row r="359" spans="1:9" x14ac:dyDescent="0.3">
      <c r="A359" s="287" t="s">
        <v>2276</v>
      </c>
      <c r="B359" s="284" t="s">
        <v>2277</v>
      </c>
      <c r="I359" t="s">
        <v>2278</v>
      </c>
    </row>
    <row r="360" spans="1:9" x14ac:dyDescent="0.3">
      <c r="A360" s="287" t="s">
        <v>2279</v>
      </c>
      <c r="B360" s="283" t="s">
        <v>2280</v>
      </c>
      <c r="I360" t="s">
        <v>2281</v>
      </c>
    </row>
    <row r="361" spans="1:9" x14ac:dyDescent="0.3">
      <c r="A361" s="287" t="s">
        <v>2282</v>
      </c>
      <c r="B361" s="286" t="s">
        <v>2283</v>
      </c>
      <c r="I361" t="s">
        <v>2284</v>
      </c>
    </row>
    <row r="362" spans="1:9" x14ac:dyDescent="0.3">
      <c r="A362" s="287" t="s">
        <v>2285</v>
      </c>
      <c r="B362" s="286" t="s">
        <v>2286</v>
      </c>
      <c r="I362" t="s">
        <v>2287</v>
      </c>
    </row>
    <row r="363" spans="1:9" x14ac:dyDescent="0.3">
      <c r="A363" s="286" t="s">
        <v>1349</v>
      </c>
      <c r="B363" s="286" t="s">
        <v>2288</v>
      </c>
      <c r="I363" t="s">
        <v>2289</v>
      </c>
    </row>
    <row r="364" spans="1:9" x14ac:dyDescent="0.3">
      <c r="A364" s="287" t="s">
        <v>2290</v>
      </c>
      <c r="B364" s="283" t="s">
        <v>2291</v>
      </c>
      <c r="I364" t="s">
        <v>2292</v>
      </c>
    </row>
    <row r="365" spans="1:9" x14ac:dyDescent="0.3">
      <c r="A365" s="287" t="s">
        <v>2293</v>
      </c>
      <c r="B365" s="286" t="s">
        <v>2294</v>
      </c>
      <c r="I365" t="s">
        <v>2295</v>
      </c>
    </row>
    <row r="366" spans="1:9" x14ac:dyDescent="0.3">
      <c r="A366" s="287" t="s">
        <v>2296</v>
      </c>
      <c r="B366" s="286" t="s">
        <v>2297</v>
      </c>
      <c r="I366" t="s">
        <v>2298</v>
      </c>
    </row>
    <row r="367" spans="1:9" x14ac:dyDescent="0.3">
      <c r="A367" s="287" t="s">
        <v>2299</v>
      </c>
      <c r="B367" s="286" t="s">
        <v>2300</v>
      </c>
      <c r="I367" t="s">
        <v>2301</v>
      </c>
    </row>
    <row r="368" spans="1:9" x14ac:dyDescent="0.3">
      <c r="A368" s="287" t="s">
        <v>2302</v>
      </c>
      <c r="B368" s="286" t="s">
        <v>2303</v>
      </c>
      <c r="I368" t="s">
        <v>2304</v>
      </c>
    </row>
    <row r="369" spans="1:9" x14ac:dyDescent="0.3">
      <c r="A369" s="287" t="s">
        <v>2305</v>
      </c>
      <c r="B369" s="283" t="s">
        <v>2306</v>
      </c>
      <c r="I369" t="s">
        <v>2307</v>
      </c>
    </row>
    <row r="370" spans="1:9" x14ac:dyDescent="0.3">
      <c r="A370" s="286" t="s">
        <v>1355</v>
      </c>
      <c r="B370" s="286" t="s">
        <v>2308</v>
      </c>
      <c r="I370" t="s">
        <v>2309</v>
      </c>
    </row>
    <row r="371" spans="1:9" x14ac:dyDescent="0.3">
      <c r="A371" s="287" t="s">
        <v>2310</v>
      </c>
      <c r="B371" s="283" t="s">
        <v>2311</v>
      </c>
      <c r="I371" t="s">
        <v>2312</v>
      </c>
    </row>
    <row r="372" spans="1:9" x14ac:dyDescent="0.3">
      <c r="A372" s="286" t="s">
        <v>1362</v>
      </c>
      <c r="B372" s="286" t="s">
        <v>2313</v>
      </c>
      <c r="I372" t="s">
        <v>2314</v>
      </c>
    </row>
    <row r="373" spans="1:9" x14ac:dyDescent="0.3">
      <c r="A373" s="287" t="s">
        <v>2315</v>
      </c>
      <c r="B373" s="286" t="s">
        <v>2316</v>
      </c>
      <c r="I373" t="s">
        <v>2317</v>
      </c>
    </row>
    <row r="374" spans="1:9" x14ac:dyDescent="0.3">
      <c r="A374" s="287" t="s">
        <v>2318</v>
      </c>
      <c r="B374" s="284" t="s">
        <v>2319</v>
      </c>
      <c r="I374" t="s">
        <v>2320</v>
      </c>
    </row>
    <row r="375" spans="1:9" x14ac:dyDescent="0.3">
      <c r="A375" s="286" t="s">
        <v>1369</v>
      </c>
      <c r="B375" s="283" t="s">
        <v>2321</v>
      </c>
      <c r="I375" t="s">
        <v>2322</v>
      </c>
    </row>
    <row r="376" spans="1:9" x14ac:dyDescent="0.3">
      <c r="A376" s="287" t="s">
        <v>2323</v>
      </c>
      <c r="B376" s="286" t="s">
        <v>2324</v>
      </c>
      <c r="I376" t="s">
        <v>2325</v>
      </c>
    </row>
    <row r="377" spans="1:9" x14ac:dyDescent="0.3">
      <c r="A377" s="287" t="s">
        <v>2326</v>
      </c>
      <c r="B377" s="286" t="s">
        <v>2327</v>
      </c>
      <c r="I377" t="s">
        <v>2328</v>
      </c>
    </row>
    <row r="378" spans="1:9" x14ac:dyDescent="0.3">
      <c r="A378" s="287" t="s">
        <v>2329</v>
      </c>
      <c r="B378" s="286" t="s">
        <v>2330</v>
      </c>
      <c r="I378" t="s">
        <v>2331</v>
      </c>
    </row>
    <row r="379" spans="1:9" x14ac:dyDescent="0.3">
      <c r="A379" s="287" t="s">
        <v>2332</v>
      </c>
      <c r="B379" s="283" t="s">
        <v>2333</v>
      </c>
      <c r="I379" t="s">
        <v>2334</v>
      </c>
    </row>
    <row r="380" spans="1:9" x14ac:dyDescent="0.3">
      <c r="A380" s="287" t="s">
        <v>2335</v>
      </c>
      <c r="B380" s="286" t="s">
        <v>2336</v>
      </c>
      <c r="I380" t="s">
        <v>2337</v>
      </c>
    </row>
    <row r="381" spans="1:9" x14ac:dyDescent="0.3">
      <c r="A381" s="287" t="s">
        <v>2338</v>
      </c>
      <c r="B381" s="286" t="s">
        <v>2339</v>
      </c>
      <c r="I381" t="s">
        <v>2340</v>
      </c>
    </row>
    <row r="382" spans="1:9" x14ac:dyDescent="0.3">
      <c r="A382" s="287" t="s">
        <v>2341</v>
      </c>
      <c r="B382" s="286" t="s">
        <v>2342</v>
      </c>
      <c r="I382" t="s">
        <v>2343</v>
      </c>
    </row>
    <row r="383" spans="1:9" x14ac:dyDescent="0.3">
      <c r="A383" s="287" t="s">
        <v>2344</v>
      </c>
      <c r="B383" s="286" t="s">
        <v>2345</v>
      </c>
      <c r="I383" t="s">
        <v>2346</v>
      </c>
    </row>
    <row r="384" spans="1:9" x14ac:dyDescent="0.3">
      <c r="A384" s="283" t="s">
        <v>1376</v>
      </c>
      <c r="B384" s="283" t="s">
        <v>2347</v>
      </c>
      <c r="I384" t="s">
        <v>2348</v>
      </c>
    </row>
    <row r="385" spans="1:9" x14ac:dyDescent="0.3">
      <c r="A385" s="286" t="s">
        <v>1383</v>
      </c>
      <c r="B385" s="286" t="s">
        <v>2349</v>
      </c>
      <c r="I385" t="s">
        <v>2350</v>
      </c>
    </row>
    <row r="386" spans="1:9" x14ac:dyDescent="0.3">
      <c r="A386" s="287" t="s">
        <v>2351</v>
      </c>
      <c r="B386" s="286" t="s">
        <v>2352</v>
      </c>
      <c r="I386" t="s">
        <v>2353</v>
      </c>
    </row>
    <row r="387" spans="1:9" x14ac:dyDescent="0.3">
      <c r="A387" s="286" t="s">
        <v>1390</v>
      </c>
      <c r="B387" s="286" t="s">
        <v>2354</v>
      </c>
      <c r="I387" t="s">
        <v>2355</v>
      </c>
    </row>
    <row r="388" spans="1:9" x14ac:dyDescent="0.3">
      <c r="A388" s="287" t="s">
        <v>2356</v>
      </c>
      <c r="B388" s="286" t="s">
        <v>2357</v>
      </c>
      <c r="I388" t="s">
        <v>2358</v>
      </c>
    </row>
    <row r="389" spans="1:9" x14ac:dyDescent="0.3">
      <c r="A389" s="286" t="s">
        <v>1397</v>
      </c>
      <c r="B389" s="286" t="s">
        <v>2359</v>
      </c>
      <c r="I389" t="s">
        <v>2360</v>
      </c>
    </row>
    <row r="390" spans="1:9" x14ac:dyDescent="0.3">
      <c r="A390" s="287" t="s">
        <v>2361</v>
      </c>
      <c r="B390" s="284" t="s">
        <v>2362</v>
      </c>
      <c r="I390" t="s">
        <v>2363</v>
      </c>
    </row>
    <row r="391" spans="1:9" x14ac:dyDescent="0.3">
      <c r="A391" s="287" t="s">
        <v>2364</v>
      </c>
      <c r="B391" s="283" t="s">
        <v>2365</v>
      </c>
      <c r="I391" t="s">
        <v>2366</v>
      </c>
    </row>
    <row r="392" spans="1:9" x14ac:dyDescent="0.3">
      <c r="A392" s="283" t="s">
        <v>1403</v>
      </c>
      <c r="B392" s="286" t="s">
        <v>2367</v>
      </c>
      <c r="I392" t="s">
        <v>2368</v>
      </c>
    </row>
    <row r="393" spans="1:9" x14ac:dyDescent="0.3">
      <c r="A393" s="286" t="s">
        <v>1408</v>
      </c>
      <c r="B393" s="283" t="s">
        <v>2369</v>
      </c>
      <c r="I393" t="s">
        <v>2370</v>
      </c>
    </row>
    <row r="394" spans="1:9" x14ac:dyDescent="0.3">
      <c r="A394" s="287" t="s">
        <v>2371</v>
      </c>
      <c r="B394" s="286" t="s">
        <v>2372</v>
      </c>
      <c r="I394" t="s">
        <v>2373</v>
      </c>
    </row>
    <row r="395" spans="1:9" x14ac:dyDescent="0.3">
      <c r="A395" s="287" t="s">
        <v>2374</v>
      </c>
      <c r="B395" s="286" t="s">
        <v>2375</v>
      </c>
      <c r="I395" t="s">
        <v>2376</v>
      </c>
    </row>
    <row r="396" spans="1:9" x14ac:dyDescent="0.3">
      <c r="A396" s="287" t="s">
        <v>2377</v>
      </c>
      <c r="B396" s="284" t="s">
        <v>2378</v>
      </c>
      <c r="I396" t="s">
        <v>2379</v>
      </c>
    </row>
    <row r="397" spans="1:9" x14ac:dyDescent="0.3">
      <c r="A397" s="286" t="s">
        <v>1413</v>
      </c>
      <c r="B397" s="283" t="s">
        <v>2380</v>
      </c>
      <c r="I397" t="s">
        <v>2381</v>
      </c>
    </row>
    <row r="398" spans="1:9" x14ac:dyDescent="0.3">
      <c r="A398" s="287" t="s">
        <v>2382</v>
      </c>
      <c r="B398" s="286" t="s">
        <v>2383</v>
      </c>
      <c r="I398" t="s">
        <v>2384</v>
      </c>
    </row>
    <row r="399" spans="1:9" x14ac:dyDescent="0.3">
      <c r="A399" s="286" t="s">
        <v>1419</v>
      </c>
      <c r="B399" s="284" t="s">
        <v>2385</v>
      </c>
      <c r="I399" t="s">
        <v>2386</v>
      </c>
    </row>
    <row r="400" spans="1:9" x14ac:dyDescent="0.3">
      <c r="A400" s="287" t="s">
        <v>2387</v>
      </c>
      <c r="I400" t="s">
        <v>2388</v>
      </c>
    </row>
    <row r="401" spans="1:9" x14ac:dyDescent="0.3">
      <c r="A401" s="287" t="s">
        <v>2389</v>
      </c>
      <c r="B401" s="287"/>
      <c r="I401" t="s">
        <v>2390</v>
      </c>
    </row>
    <row r="402" spans="1:9" x14ac:dyDescent="0.3">
      <c r="A402" s="286" t="s">
        <v>1424</v>
      </c>
      <c r="B402" s="287"/>
      <c r="I402" t="s">
        <v>2391</v>
      </c>
    </row>
    <row r="403" spans="1:9" x14ac:dyDescent="0.3">
      <c r="A403" s="287" t="s">
        <v>2392</v>
      </c>
      <c r="B403" s="287"/>
      <c r="I403" t="s">
        <v>2393</v>
      </c>
    </row>
    <row r="404" spans="1:9" x14ac:dyDescent="0.3">
      <c r="A404" s="286" t="s">
        <v>1429</v>
      </c>
      <c r="B404" s="287"/>
      <c r="I404" t="s">
        <v>2394</v>
      </c>
    </row>
    <row r="405" spans="1:9" x14ac:dyDescent="0.3">
      <c r="A405" s="287" t="s">
        <v>2395</v>
      </c>
      <c r="B405" s="287"/>
      <c r="I405" t="s">
        <v>2396</v>
      </c>
    </row>
    <row r="406" spans="1:9" x14ac:dyDescent="0.3">
      <c r="A406" s="287" t="s">
        <v>2397</v>
      </c>
      <c r="B406" s="287"/>
      <c r="I406" t="s">
        <v>2398</v>
      </c>
    </row>
    <row r="407" spans="1:9" x14ac:dyDescent="0.3">
      <c r="A407" s="287" t="s">
        <v>2399</v>
      </c>
      <c r="B407" s="287"/>
      <c r="I407" t="s">
        <v>2400</v>
      </c>
    </row>
    <row r="408" spans="1:9" x14ac:dyDescent="0.3">
      <c r="A408" s="283" t="s">
        <v>1435</v>
      </c>
      <c r="B408" s="287"/>
      <c r="I408" t="s">
        <v>2401</v>
      </c>
    </row>
    <row r="409" spans="1:9" x14ac:dyDescent="0.3">
      <c r="A409" s="286" t="s">
        <v>1440</v>
      </c>
      <c r="B409" s="287"/>
      <c r="I409" t="s">
        <v>2402</v>
      </c>
    </row>
    <row r="410" spans="1:9" x14ac:dyDescent="0.3">
      <c r="A410" s="287" t="s">
        <v>2403</v>
      </c>
      <c r="B410" s="287"/>
      <c r="I410" t="s">
        <v>2404</v>
      </c>
    </row>
    <row r="411" spans="1:9" x14ac:dyDescent="0.3">
      <c r="A411" s="283" t="s">
        <v>1446</v>
      </c>
      <c r="B411" s="287"/>
      <c r="I411" t="s">
        <v>2405</v>
      </c>
    </row>
    <row r="412" spans="1:9" x14ac:dyDescent="0.3">
      <c r="A412" s="286" t="s">
        <v>1451</v>
      </c>
      <c r="B412" s="287"/>
      <c r="I412" t="s">
        <v>2406</v>
      </c>
    </row>
    <row r="413" spans="1:9" x14ac:dyDescent="0.3">
      <c r="A413" s="287" t="s">
        <v>2407</v>
      </c>
      <c r="B413" s="287"/>
      <c r="I413" t="s">
        <v>2408</v>
      </c>
    </row>
    <row r="414" spans="1:9" x14ac:dyDescent="0.3">
      <c r="A414" s="287" t="s">
        <v>2409</v>
      </c>
      <c r="B414" s="287"/>
      <c r="I414" t="s">
        <v>2410</v>
      </c>
    </row>
    <row r="415" spans="1:9" x14ac:dyDescent="0.3">
      <c r="A415" s="287" t="s">
        <v>2411</v>
      </c>
      <c r="B415" s="287"/>
      <c r="I415" t="s">
        <v>2412</v>
      </c>
    </row>
    <row r="416" spans="1:9" x14ac:dyDescent="0.3">
      <c r="A416" s="286" t="s">
        <v>1457</v>
      </c>
      <c r="B416" s="287"/>
      <c r="I416" t="s">
        <v>2413</v>
      </c>
    </row>
    <row r="417" spans="1:9" x14ac:dyDescent="0.3">
      <c r="A417" s="287" t="s">
        <v>2414</v>
      </c>
      <c r="B417" s="287"/>
      <c r="I417" t="s">
        <v>2415</v>
      </c>
    </row>
    <row r="418" spans="1:9" x14ac:dyDescent="0.3">
      <c r="A418" s="286" t="s">
        <v>1462</v>
      </c>
      <c r="B418" s="287"/>
      <c r="I418" t="s">
        <v>2416</v>
      </c>
    </row>
    <row r="419" spans="1:9" x14ac:dyDescent="0.3">
      <c r="A419" s="287" t="s">
        <v>2417</v>
      </c>
      <c r="B419" s="287"/>
      <c r="I419" t="s">
        <v>2418</v>
      </c>
    </row>
    <row r="420" spans="1:9" x14ac:dyDescent="0.3">
      <c r="A420" s="286" t="s">
        <v>1468</v>
      </c>
      <c r="B420" s="287"/>
      <c r="I420" t="s">
        <v>2419</v>
      </c>
    </row>
    <row r="421" spans="1:9" x14ac:dyDescent="0.3">
      <c r="A421" s="287" t="s">
        <v>2420</v>
      </c>
      <c r="B421" s="287"/>
      <c r="I421" t="s">
        <v>2421</v>
      </c>
    </row>
    <row r="422" spans="1:9" x14ac:dyDescent="0.3">
      <c r="A422" s="286" t="s">
        <v>1474</v>
      </c>
      <c r="B422" s="287"/>
      <c r="I422" t="s">
        <v>2422</v>
      </c>
    </row>
    <row r="423" spans="1:9" x14ac:dyDescent="0.3">
      <c r="A423" s="287" t="s">
        <v>2423</v>
      </c>
      <c r="B423" s="287"/>
      <c r="I423" t="s">
        <v>2424</v>
      </c>
    </row>
    <row r="424" spans="1:9" x14ac:dyDescent="0.3">
      <c r="A424" s="286" t="s">
        <v>1480</v>
      </c>
      <c r="B424" s="287"/>
      <c r="I424" t="s">
        <v>2425</v>
      </c>
    </row>
    <row r="425" spans="1:9" x14ac:dyDescent="0.3">
      <c r="A425" s="287" t="s">
        <v>2426</v>
      </c>
      <c r="B425" s="287"/>
      <c r="I425" t="s">
        <v>2427</v>
      </c>
    </row>
    <row r="426" spans="1:9" x14ac:dyDescent="0.3">
      <c r="A426" s="287" t="s">
        <v>2428</v>
      </c>
      <c r="B426" s="287"/>
      <c r="I426" t="s">
        <v>2429</v>
      </c>
    </row>
    <row r="427" spans="1:9" x14ac:dyDescent="0.3">
      <c r="A427" s="283" t="s">
        <v>1486</v>
      </c>
      <c r="B427" s="287"/>
      <c r="I427" t="s">
        <v>2430</v>
      </c>
    </row>
    <row r="428" spans="1:9" x14ac:dyDescent="0.3">
      <c r="A428" s="286" t="s">
        <v>1492</v>
      </c>
      <c r="B428" s="287"/>
      <c r="I428" t="s">
        <v>2431</v>
      </c>
    </row>
    <row r="429" spans="1:9" x14ac:dyDescent="0.3">
      <c r="A429" s="287" t="s">
        <v>2432</v>
      </c>
      <c r="B429" s="287"/>
      <c r="I429" t="s">
        <v>2433</v>
      </c>
    </row>
    <row r="430" spans="1:9" x14ac:dyDescent="0.3">
      <c r="A430" s="287" t="s">
        <v>2434</v>
      </c>
      <c r="B430" s="287"/>
      <c r="I430" t="s">
        <v>2435</v>
      </c>
    </row>
    <row r="431" spans="1:9" x14ac:dyDescent="0.3">
      <c r="A431" s="287" t="s">
        <v>2436</v>
      </c>
      <c r="B431" s="287"/>
      <c r="I431" t="s">
        <v>2437</v>
      </c>
    </row>
    <row r="432" spans="1:9" x14ac:dyDescent="0.3">
      <c r="A432" s="287" t="s">
        <v>2438</v>
      </c>
      <c r="B432" s="287"/>
      <c r="I432" t="s">
        <v>2439</v>
      </c>
    </row>
    <row r="433" spans="1:9" x14ac:dyDescent="0.3">
      <c r="A433" s="287" t="s">
        <v>2440</v>
      </c>
      <c r="B433" s="287"/>
      <c r="I433" t="s">
        <v>2441</v>
      </c>
    </row>
    <row r="434" spans="1:9" x14ac:dyDescent="0.3">
      <c r="A434" s="287" t="s">
        <v>2442</v>
      </c>
      <c r="B434" s="287"/>
      <c r="I434" t="s">
        <v>2443</v>
      </c>
    </row>
    <row r="435" spans="1:9" x14ac:dyDescent="0.3">
      <c r="A435" s="287" t="s">
        <v>2444</v>
      </c>
      <c r="B435" s="287"/>
      <c r="I435" t="s">
        <v>2445</v>
      </c>
    </row>
    <row r="436" spans="1:9" x14ac:dyDescent="0.3">
      <c r="A436" s="287" t="s">
        <v>2446</v>
      </c>
      <c r="B436" s="287"/>
      <c r="I436" t="s">
        <v>2447</v>
      </c>
    </row>
    <row r="437" spans="1:9" x14ac:dyDescent="0.3">
      <c r="A437" s="287" t="s">
        <v>2448</v>
      </c>
      <c r="B437" s="287"/>
      <c r="I437" t="s">
        <v>2449</v>
      </c>
    </row>
    <row r="438" spans="1:9" x14ac:dyDescent="0.3">
      <c r="A438" s="286" t="s">
        <v>1498</v>
      </c>
      <c r="B438" s="287"/>
      <c r="I438" t="s">
        <v>2450</v>
      </c>
    </row>
    <row r="439" spans="1:9" x14ac:dyDescent="0.3">
      <c r="A439" s="287" t="s">
        <v>2451</v>
      </c>
      <c r="B439" s="287"/>
      <c r="I439" t="s">
        <v>2452</v>
      </c>
    </row>
    <row r="440" spans="1:9" x14ac:dyDescent="0.3">
      <c r="A440" s="284" t="s">
        <v>1536</v>
      </c>
      <c r="B440" s="287"/>
      <c r="I440" t="s">
        <v>2453</v>
      </c>
    </row>
    <row r="441" spans="1:9" x14ac:dyDescent="0.3">
      <c r="A441" s="283" t="s">
        <v>1508</v>
      </c>
      <c r="B441" s="287"/>
      <c r="I441" t="s">
        <v>2454</v>
      </c>
    </row>
    <row r="442" spans="1:9" x14ac:dyDescent="0.3">
      <c r="A442" s="286" t="s">
        <v>1513</v>
      </c>
      <c r="B442" s="287"/>
      <c r="I442" t="s">
        <v>2455</v>
      </c>
    </row>
    <row r="443" spans="1:9" x14ac:dyDescent="0.3">
      <c r="A443" s="287" t="s">
        <v>2456</v>
      </c>
      <c r="B443" s="287"/>
      <c r="I443" t="s">
        <v>2457</v>
      </c>
    </row>
    <row r="444" spans="1:9" x14ac:dyDescent="0.3">
      <c r="A444" s="287" t="s">
        <v>2458</v>
      </c>
      <c r="B444" s="287"/>
      <c r="I444" t="s">
        <v>2459</v>
      </c>
    </row>
    <row r="445" spans="1:9" x14ac:dyDescent="0.3">
      <c r="A445" s="287" t="s">
        <v>2460</v>
      </c>
      <c r="B445" s="287"/>
      <c r="I445" t="s">
        <v>2461</v>
      </c>
    </row>
    <row r="446" spans="1:9" x14ac:dyDescent="0.3">
      <c r="A446" s="287" t="s">
        <v>2462</v>
      </c>
      <c r="B446" s="287"/>
      <c r="I446" t="s">
        <v>2463</v>
      </c>
    </row>
    <row r="447" spans="1:9" x14ac:dyDescent="0.3">
      <c r="A447" s="287" t="s">
        <v>2464</v>
      </c>
      <c r="B447" s="287"/>
      <c r="I447" t="s">
        <v>2465</v>
      </c>
    </row>
    <row r="448" spans="1:9" x14ac:dyDescent="0.3">
      <c r="A448" s="287" t="s">
        <v>2466</v>
      </c>
      <c r="B448" s="287"/>
      <c r="I448" t="s">
        <v>2467</v>
      </c>
    </row>
    <row r="449" spans="1:9" x14ac:dyDescent="0.3">
      <c r="A449" s="286" t="s">
        <v>1519</v>
      </c>
      <c r="B449" s="287"/>
      <c r="I449" t="s">
        <v>2468</v>
      </c>
    </row>
    <row r="450" spans="1:9" x14ac:dyDescent="0.3">
      <c r="A450" s="287" t="s">
        <v>2469</v>
      </c>
      <c r="B450" s="287"/>
      <c r="I450" t="s">
        <v>2470</v>
      </c>
    </row>
    <row r="451" spans="1:9" x14ac:dyDescent="0.3">
      <c r="A451" s="287" t="s">
        <v>2471</v>
      </c>
      <c r="B451" s="287"/>
      <c r="I451" t="s">
        <v>2472</v>
      </c>
    </row>
    <row r="452" spans="1:9" x14ac:dyDescent="0.3">
      <c r="A452" s="287" t="s">
        <v>2473</v>
      </c>
      <c r="B452" s="287"/>
      <c r="I452" t="s">
        <v>2474</v>
      </c>
    </row>
    <row r="453" spans="1:9" x14ac:dyDescent="0.3">
      <c r="A453" s="287" t="s">
        <v>2475</v>
      </c>
      <c r="B453" s="287"/>
      <c r="I453" t="s">
        <v>2476</v>
      </c>
    </row>
    <row r="454" spans="1:9" x14ac:dyDescent="0.3">
      <c r="A454" s="286" t="s">
        <v>1524</v>
      </c>
      <c r="B454" s="287"/>
      <c r="I454" t="s">
        <v>2477</v>
      </c>
    </row>
    <row r="455" spans="1:9" x14ac:dyDescent="0.3">
      <c r="A455" s="287" t="s">
        <v>2478</v>
      </c>
      <c r="B455" s="287"/>
      <c r="I455" t="s">
        <v>2479</v>
      </c>
    </row>
    <row r="456" spans="1:9" x14ac:dyDescent="0.3">
      <c r="A456" s="286" t="s">
        <v>1530</v>
      </c>
      <c r="B456" s="287"/>
      <c r="I456" t="s">
        <v>2480</v>
      </c>
    </row>
    <row r="457" spans="1:9" x14ac:dyDescent="0.3">
      <c r="A457" s="287" t="s">
        <v>2481</v>
      </c>
      <c r="B457" s="287"/>
      <c r="I457" t="s">
        <v>2482</v>
      </c>
    </row>
    <row r="458" spans="1:9" x14ac:dyDescent="0.3">
      <c r="A458" s="284" t="s">
        <v>1596</v>
      </c>
      <c r="B458" s="287"/>
      <c r="I458" t="s">
        <v>2483</v>
      </c>
    </row>
    <row r="459" spans="1:9" x14ac:dyDescent="0.3">
      <c r="A459" s="283" t="s">
        <v>1542</v>
      </c>
      <c r="B459" s="287"/>
      <c r="I459" t="s">
        <v>2484</v>
      </c>
    </row>
    <row r="460" spans="1:9" x14ac:dyDescent="0.3">
      <c r="A460" s="286" t="s">
        <v>1548</v>
      </c>
      <c r="B460" s="287"/>
      <c r="I460" t="s">
        <v>2485</v>
      </c>
    </row>
    <row r="461" spans="1:9" x14ac:dyDescent="0.3">
      <c r="A461" s="287" t="s">
        <v>2486</v>
      </c>
      <c r="B461" s="287"/>
      <c r="I461" t="s">
        <v>2487</v>
      </c>
    </row>
    <row r="462" spans="1:9" x14ac:dyDescent="0.3">
      <c r="A462" s="283" t="s">
        <v>1554</v>
      </c>
      <c r="B462" s="287"/>
      <c r="I462" t="s">
        <v>2488</v>
      </c>
    </row>
    <row r="463" spans="1:9" x14ac:dyDescent="0.3">
      <c r="A463" s="286" t="s">
        <v>1559</v>
      </c>
      <c r="B463" s="287"/>
      <c r="I463" t="s">
        <v>2489</v>
      </c>
    </row>
    <row r="464" spans="1:9" x14ac:dyDescent="0.3">
      <c r="A464" s="287" t="s">
        <v>2490</v>
      </c>
      <c r="B464" s="287"/>
      <c r="I464" t="s">
        <v>2491</v>
      </c>
    </row>
    <row r="465" spans="1:9" x14ac:dyDescent="0.3">
      <c r="A465" s="283" t="s">
        <v>1564</v>
      </c>
      <c r="B465" s="287"/>
      <c r="I465" t="s">
        <v>2492</v>
      </c>
    </row>
    <row r="466" spans="1:9" x14ac:dyDescent="0.3">
      <c r="A466" s="286" t="s">
        <v>1570</v>
      </c>
      <c r="B466" s="287"/>
      <c r="I466" t="s">
        <v>2493</v>
      </c>
    </row>
    <row r="467" spans="1:9" x14ac:dyDescent="0.3">
      <c r="A467" s="287" t="s">
        <v>2494</v>
      </c>
      <c r="B467" s="287"/>
      <c r="I467" t="s">
        <v>2495</v>
      </c>
    </row>
    <row r="468" spans="1:9" x14ac:dyDescent="0.3">
      <c r="A468" s="287" t="s">
        <v>2496</v>
      </c>
      <c r="B468" s="287"/>
      <c r="I468" t="s">
        <v>2497</v>
      </c>
    </row>
    <row r="469" spans="1:9" x14ac:dyDescent="0.3">
      <c r="A469" s="286" t="s">
        <v>1576</v>
      </c>
      <c r="B469" s="287"/>
      <c r="I469" t="s">
        <v>2498</v>
      </c>
    </row>
    <row r="470" spans="1:9" x14ac:dyDescent="0.3">
      <c r="A470" s="287" t="s">
        <v>2499</v>
      </c>
      <c r="B470" s="287"/>
      <c r="I470" t="s">
        <v>2500</v>
      </c>
    </row>
    <row r="471" spans="1:9" x14ac:dyDescent="0.3">
      <c r="A471" s="287" t="s">
        <v>2501</v>
      </c>
      <c r="B471" s="287"/>
      <c r="I471" t="s">
        <v>2502</v>
      </c>
    </row>
    <row r="472" spans="1:9" x14ac:dyDescent="0.3">
      <c r="A472" s="287" t="s">
        <v>2503</v>
      </c>
      <c r="B472" s="287"/>
      <c r="I472" t="s">
        <v>2504</v>
      </c>
    </row>
    <row r="473" spans="1:9" x14ac:dyDescent="0.3">
      <c r="A473" s="286" t="s">
        <v>1581</v>
      </c>
      <c r="B473" s="287"/>
      <c r="I473" t="s">
        <v>2505</v>
      </c>
    </row>
    <row r="474" spans="1:9" x14ac:dyDescent="0.3">
      <c r="A474" s="287" t="s">
        <v>2506</v>
      </c>
      <c r="B474" s="287"/>
      <c r="I474" t="s">
        <v>2507</v>
      </c>
    </row>
    <row r="475" spans="1:9" x14ac:dyDescent="0.3">
      <c r="A475" s="287" t="s">
        <v>2508</v>
      </c>
      <c r="B475" s="287"/>
      <c r="I475" t="s">
        <v>2509</v>
      </c>
    </row>
    <row r="476" spans="1:9" x14ac:dyDescent="0.3">
      <c r="A476" s="287" t="s">
        <v>2510</v>
      </c>
      <c r="B476" s="287"/>
      <c r="I476" t="s">
        <v>2511</v>
      </c>
    </row>
    <row r="477" spans="1:9" x14ac:dyDescent="0.3">
      <c r="A477" s="283" t="s">
        <v>1586</v>
      </c>
      <c r="B477" s="287"/>
      <c r="I477" t="s">
        <v>2512</v>
      </c>
    </row>
    <row r="478" spans="1:9" x14ac:dyDescent="0.3">
      <c r="A478" s="286" t="s">
        <v>1591</v>
      </c>
      <c r="B478" s="287"/>
      <c r="I478" t="s">
        <v>2513</v>
      </c>
    </row>
    <row r="479" spans="1:9" x14ac:dyDescent="0.3">
      <c r="A479" s="287" t="s">
        <v>2514</v>
      </c>
      <c r="B479" s="287"/>
      <c r="I479" t="s">
        <v>2515</v>
      </c>
    </row>
    <row r="480" spans="1:9" x14ac:dyDescent="0.3">
      <c r="A480" s="284" t="s">
        <v>1669</v>
      </c>
      <c r="B480" s="287"/>
      <c r="I480" t="s">
        <v>2516</v>
      </c>
    </row>
    <row r="481" spans="1:9" x14ac:dyDescent="0.3">
      <c r="A481" s="283" t="s">
        <v>1602</v>
      </c>
      <c r="B481" s="287"/>
      <c r="I481" t="s">
        <v>2517</v>
      </c>
    </row>
    <row r="482" spans="1:9" x14ac:dyDescent="0.3">
      <c r="A482" s="286" t="s">
        <v>1607</v>
      </c>
      <c r="B482" s="287"/>
      <c r="I482" t="s">
        <v>2518</v>
      </c>
    </row>
    <row r="483" spans="1:9" x14ac:dyDescent="0.3">
      <c r="A483" s="287" t="s">
        <v>2519</v>
      </c>
      <c r="B483" s="287"/>
      <c r="I483" t="s">
        <v>2520</v>
      </c>
    </row>
    <row r="484" spans="1:9" x14ac:dyDescent="0.3">
      <c r="A484" s="283" t="s">
        <v>1611</v>
      </c>
      <c r="B484" s="287"/>
      <c r="I484" t="s">
        <v>2521</v>
      </c>
    </row>
    <row r="485" spans="1:9" x14ac:dyDescent="0.3">
      <c r="A485" s="286" t="s">
        <v>1616</v>
      </c>
      <c r="B485" s="287"/>
      <c r="I485" t="s">
        <v>2522</v>
      </c>
    </row>
    <row r="486" spans="1:9" x14ac:dyDescent="0.3">
      <c r="A486" s="287" t="s">
        <v>2523</v>
      </c>
      <c r="B486" s="287"/>
      <c r="I486" t="s">
        <v>2524</v>
      </c>
    </row>
    <row r="487" spans="1:9" x14ac:dyDescent="0.3">
      <c r="A487" s="287" t="s">
        <v>2525</v>
      </c>
      <c r="B487" s="287"/>
      <c r="I487" t="s">
        <v>2526</v>
      </c>
    </row>
    <row r="488" spans="1:9" x14ac:dyDescent="0.3">
      <c r="A488" s="287" t="s">
        <v>2527</v>
      </c>
      <c r="B488" s="287"/>
      <c r="I488" t="s">
        <v>2528</v>
      </c>
    </row>
    <row r="489" spans="1:9" x14ac:dyDescent="0.3">
      <c r="A489" s="286" t="s">
        <v>1621</v>
      </c>
      <c r="B489" s="287"/>
      <c r="I489" t="s">
        <v>2529</v>
      </c>
    </row>
    <row r="490" spans="1:9" x14ac:dyDescent="0.3">
      <c r="A490" s="287" t="s">
        <v>2530</v>
      </c>
      <c r="B490" s="287"/>
      <c r="I490" t="s">
        <v>2531</v>
      </c>
    </row>
    <row r="491" spans="1:9" x14ac:dyDescent="0.3">
      <c r="A491" s="287" t="s">
        <v>2532</v>
      </c>
      <c r="B491" s="287"/>
      <c r="I491" t="s">
        <v>2533</v>
      </c>
    </row>
    <row r="492" spans="1:9" x14ac:dyDescent="0.3">
      <c r="A492" s="286" t="s">
        <v>1626</v>
      </c>
      <c r="B492" s="287"/>
      <c r="I492" t="s">
        <v>2534</v>
      </c>
    </row>
    <row r="493" spans="1:9" x14ac:dyDescent="0.3">
      <c r="A493" s="287" t="s">
        <v>2535</v>
      </c>
      <c r="B493" s="287"/>
      <c r="I493" t="s">
        <v>2536</v>
      </c>
    </row>
    <row r="494" spans="1:9" x14ac:dyDescent="0.3">
      <c r="A494" s="287" t="s">
        <v>2537</v>
      </c>
      <c r="B494" s="287"/>
      <c r="I494" t="s">
        <v>2538</v>
      </c>
    </row>
    <row r="495" spans="1:9" x14ac:dyDescent="0.3">
      <c r="A495" s="283" t="s">
        <v>1631</v>
      </c>
      <c r="B495" s="287"/>
      <c r="I495" t="s">
        <v>2539</v>
      </c>
    </row>
    <row r="496" spans="1:9" x14ac:dyDescent="0.3">
      <c r="A496" s="286" t="s">
        <v>1636</v>
      </c>
      <c r="B496" s="287"/>
      <c r="I496" t="s">
        <v>2540</v>
      </c>
    </row>
    <row r="497" spans="1:9" x14ac:dyDescent="0.3">
      <c r="A497" s="287" t="s">
        <v>2541</v>
      </c>
      <c r="B497" s="287"/>
      <c r="I497" t="s">
        <v>2542</v>
      </c>
    </row>
    <row r="498" spans="1:9" x14ac:dyDescent="0.3">
      <c r="A498" s="287" t="s">
        <v>2543</v>
      </c>
      <c r="B498" s="287"/>
      <c r="I498" t="s">
        <v>2544</v>
      </c>
    </row>
    <row r="499" spans="1:9" x14ac:dyDescent="0.3">
      <c r="A499" s="287" t="s">
        <v>2545</v>
      </c>
      <c r="B499" s="287"/>
      <c r="I499" t="s">
        <v>2546</v>
      </c>
    </row>
    <row r="500" spans="1:9" x14ac:dyDescent="0.3">
      <c r="A500" s="286" t="s">
        <v>1641</v>
      </c>
      <c r="B500" s="287"/>
      <c r="I500" t="s">
        <v>2547</v>
      </c>
    </row>
    <row r="501" spans="1:9" x14ac:dyDescent="0.3">
      <c r="A501" s="287" t="s">
        <v>2548</v>
      </c>
      <c r="B501" s="287"/>
      <c r="I501" t="s">
        <v>2549</v>
      </c>
    </row>
    <row r="502" spans="1:9" x14ac:dyDescent="0.3">
      <c r="A502" s="287" t="s">
        <v>2550</v>
      </c>
      <c r="B502" s="287"/>
      <c r="I502" t="s">
        <v>2551</v>
      </c>
    </row>
    <row r="503" spans="1:9" x14ac:dyDescent="0.3">
      <c r="A503" s="287" t="s">
        <v>2552</v>
      </c>
      <c r="B503" s="287"/>
      <c r="I503" t="s">
        <v>2553</v>
      </c>
    </row>
    <row r="504" spans="1:9" x14ac:dyDescent="0.3">
      <c r="A504" s="287" t="s">
        <v>2554</v>
      </c>
      <c r="B504" s="287"/>
      <c r="I504" t="s">
        <v>2555</v>
      </c>
    </row>
    <row r="505" spans="1:9" x14ac:dyDescent="0.3">
      <c r="A505" s="286" t="s">
        <v>1646</v>
      </c>
      <c r="B505" s="287"/>
      <c r="I505" t="s">
        <v>72</v>
      </c>
    </row>
    <row r="506" spans="1:9" x14ac:dyDescent="0.3">
      <c r="A506" s="287" t="s">
        <v>2556</v>
      </c>
      <c r="B506" s="287"/>
      <c r="I506" t="s">
        <v>2557</v>
      </c>
    </row>
    <row r="507" spans="1:9" x14ac:dyDescent="0.3">
      <c r="A507" s="287" t="s">
        <v>2558</v>
      </c>
      <c r="B507" s="287"/>
      <c r="I507" t="s">
        <v>2559</v>
      </c>
    </row>
    <row r="508" spans="1:9" x14ac:dyDescent="0.3">
      <c r="A508" s="287" t="s">
        <v>2560</v>
      </c>
      <c r="B508" s="287"/>
      <c r="I508" t="s">
        <v>2561</v>
      </c>
    </row>
    <row r="509" spans="1:9" x14ac:dyDescent="0.3">
      <c r="A509" s="287" t="s">
        <v>2562</v>
      </c>
      <c r="B509" s="287"/>
      <c r="I509" t="s">
        <v>2563</v>
      </c>
    </row>
    <row r="510" spans="1:9" x14ac:dyDescent="0.3">
      <c r="A510" s="287" t="s">
        <v>2564</v>
      </c>
      <c r="B510" s="287"/>
      <c r="I510" t="s">
        <v>2565</v>
      </c>
    </row>
    <row r="511" spans="1:9" x14ac:dyDescent="0.3">
      <c r="A511" s="286" t="s">
        <v>1651</v>
      </c>
      <c r="B511" s="287"/>
      <c r="I511" t="s">
        <v>2566</v>
      </c>
    </row>
    <row r="512" spans="1:9" x14ac:dyDescent="0.3">
      <c r="A512" s="287" t="s">
        <v>2567</v>
      </c>
      <c r="B512" s="287"/>
      <c r="I512" t="s">
        <v>2568</v>
      </c>
    </row>
    <row r="513" spans="1:9" x14ac:dyDescent="0.3">
      <c r="A513" s="287" t="s">
        <v>2569</v>
      </c>
      <c r="B513" s="287"/>
      <c r="I513" t="s">
        <v>2570</v>
      </c>
    </row>
    <row r="514" spans="1:9" x14ac:dyDescent="0.3">
      <c r="A514" s="286" t="s">
        <v>1655</v>
      </c>
      <c r="B514" s="287"/>
      <c r="I514" t="s">
        <v>2571</v>
      </c>
    </row>
    <row r="515" spans="1:9" x14ac:dyDescent="0.3">
      <c r="A515" s="287" t="s">
        <v>2572</v>
      </c>
      <c r="B515" s="287"/>
      <c r="I515" t="s">
        <v>2573</v>
      </c>
    </row>
    <row r="516" spans="1:9" x14ac:dyDescent="0.3">
      <c r="A516" s="286" t="s">
        <v>1659</v>
      </c>
      <c r="B516" s="287"/>
      <c r="I516" t="s">
        <v>2574</v>
      </c>
    </row>
    <row r="517" spans="1:9" x14ac:dyDescent="0.3">
      <c r="A517" s="287" t="s">
        <v>2575</v>
      </c>
      <c r="B517" s="287"/>
      <c r="I517" t="s">
        <v>2576</v>
      </c>
    </row>
    <row r="518" spans="1:9" x14ac:dyDescent="0.3">
      <c r="A518" s="286" t="s">
        <v>1664</v>
      </c>
      <c r="B518" s="287"/>
      <c r="I518" t="s">
        <v>2577</v>
      </c>
    </row>
    <row r="519" spans="1:9" x14ac:dyDescent="0.3">
      <c r="A519" s="287" t="s">
        <v>2578</v>
      </c>
      <c r="B519" s="287"/>
      <c r="I519" t="s">
        <v>2579</v>
      </c>
    </row>
    <row r="520" spans="1:9" x14ac:dyDescent="0.3">
      <c r="A520" s="287" t="s">
        <v>2580</v>
      </c>
      <c r="B520" s="287"/>
      <c r="I520" t="s">
        <v>2581</v>
      </c>
    </row>
    <row r="521" spans="1:9" x14ac:dyDescent="0.3">
      <c r="A521" s="284" t="s">
        <v>1765</v>
      </c>
      <c r="B521" s="287"/>
      <c r="I521" t="s">
        <v>2582</v>
      </c>
    </row>
    <row r="522" spans="1:9" x14ac:dyDescent="0.3">
      <c r="A522" s="283" t="s">
        <v>1673</v>
      </c>
      <c r="B522" s="287"/>
      <c r="I522" t="s">
        <v>2583</v>
      </c>
    </row>
    <row r="523" spans="1:9" x14ac:dyDescent="0.3">
      <c r="A523" s="286" t="s">
        <v>1678</v>
      </c>
      <c r="B523" s="287"/>
      <c r="I523" t="s">
        <v>2584</v>
      </c>
    </row>
    <row r="524" spans="1:9" x14ac:dyDescent="0.3">
      <c r="A524" s="287" t="s">
        <v>2585</v>
      </c>
      <c r="B524" s="287"/>
      <c r="I524" t="s">
        <v>2586</v>
      </c>
    </row>
    <row r="525" spans="1:9" x14ac:dyDescent="0.3">
      <c r="A525" s="287" t="s">
        <v>2587</v>
      </c>
      <c r="B525" s="287"/>
      <c r="I525" t="s">
        <v>2588</v>
      </c>
    </row>
    <row r="526" spans="1:9" x14ac:dyDescent="0.3">
      <c r="A526" s="287" t="s">
        <v>2589</v>
      </c>
      <c r="B526" s="287"/>
      <c r="I526" t="s">
        <v>2590</v>
      </c>
    </row>
    <row r="527" spans="1:9" x14ac:dyDescent="0.3">
      <c r="A527" s="287" t="s">
        <v>2591</v>
      </c>
      <c r="B527" s="287"/>
      <c r="I527" t="s">
        <v>2592</v>
      </c>
    </row>
    <row r="528" spans="1:9" x14ac:dyDescent="0.3">
      <c r="A528" s="287" t="s">
        <v>2593</v>
      </c>
      <c r="B528" s="287"/>
      <c r="I528" t="s">
        <v>2594</v>
      </c>
    </row>
    <row r="529" spans="1:9" x14ac:dyDescent="0.3">
      <c r="A529" s="287" t="s">
        <v>2595</v>
      </c>
      <c r="B529" s="287"/>
      <c r="I529" t="s">
        <v>2596</v>
      </c>
    </row>
    <row r="530" spans="1:9" x14ac:dyDescent="0.3">
      <c r="A530" s="287" t="s">
        <v>2597</v>
      </c>
      <c r="B530" s="287"/>
      <c r="I530" t="s">
        <v>2598</v>
      </c>
    </row>
    <row r="531" spans="1:9" x14ac:dyDescent="0.3">
      <c r="A531" s="287" t="s">
        <v>2599</v>
      </c>
      <c r="B531" s="287"/>
      <c r="I531" t="s">
        <v>2600</v>
      </c>
    </row>
    <row r="532" spans="1:9" x14ac:dyDescent="0.3">
      <c r="A532" s="287" t="s">
        <v>2601</v>
      </c>
      <c r="B532" s="287"/>
      <c r="I532" t="s">
        <v>2602</v>
      </c>
    </row>
    <row r="533" spans="1:9" x14ac:dyDescent="0.3">
      <c r="A533" s="286" t="s">
        <v>1683</v>
      </c>
      <c r="B533" s="287"/>
      <c r="I533" t="s">
        <v>2603</v>
      </c>
    </row>
    <row r="534" spans="1:9" x14ac:dyDescent="0.3">
      <c r="A534" s="287" t="s">
        <v>2604</v>
      </c>
      <c r="B534" s="287"/>
      <c r="I534" t="s">
        <v>2605</v>
      </c>
    </row>
    <row r="535" spans="1:9" x14ac:dyDescent="0.3">
      <c r="A535" s="287" t="s">
        <v>2606</v>
      </c>
      <c r="B535" s="287"/>
      <c r="I535" t="s">
        <v>2607</v>
      </c>
    </row>
    <row r="536" spans="1:9" x14ac:dyDescent="0.3">
      <c r="A536" s="287" t="s">
        <v>2608</v>
      </c>
      <c r="B536" s="287"/>
      <c r="I536" t="s">
        <v>2609</v>
      </c>
    </row>
    <row r="537" spans="1:9" x14ac:dyDescent="0.3">
      <c r="A537" s="287" t="s">
        <v>2610</v>
      </c>
      <c r="B537" s="287"/>
      <c r="I537" t="s">
        <v>2611</v>
      </c>
    </row>
    <row r="538" spans="1:9" x14ac:dyDescent="0.3">
      <c r="A538" s="286" t="s">
        <v>1688</v>
      </c>
      <c r="B538" s="287"/>
      <c r="I538" t="s">
        <v>2612</v>
      </c>
    </row>
    <row r="539" spans="1:9" x14ac:dyDescent="0.3">
      <c r="A539" s="287" t="s">
        <v>2613</v>
      </c>
      <c r="B539" s="287"/>
      <c r="I539" t="s">
        <v>2614</v>
      </c>
    </row>
    <row r="540" spans="1:9" x14ac:dyDescent="0.3">
      <c r="A540" s="287" t="s">
        <v>2615</v>
      </c>
      <c r="B540" s="287"/>
      <c r="I540" t="s">
        <v>2616</v>
      </c>
    </row>
    <row r="541" spans="1:9" x14ac:dyDescent="0.3">
      <c r="A541" s="287" t="s">
        <v>2617</v>
      </c>
      <c r="B541" s="287"/>
      <c r="I541" t="s">
        <v>2618</v>
      </c>
    </row>
    <row r="542" spans="1:9" x14ac:dyDescent="0.3">
      <c r="A542" s="287" t="s">
        <v>2619</v>
      </c>
      <c r="B542" s="287"/>
      <c r="I542" t="s">
        <v>2620</v>
      </c>
    </row>
    <row r="543" spans="1:9" x14ac:dyDescent="0.3">
      <c r="A543" s="287" t="s">
        <v>2621</v>
      </c>
      <c r="B543" s="287"/>
      <c r="I543" t="s">
        <v>2622</v>
      </c>
    </row>
    <row r="544" spans="1:9" x14ac:dyDescent="0.3">
      <c r="A544" s="287" t="s">
        <v>2623</v>
      </c>
      <c r="B544" s="287"/>
      <c r="I544" t="s">
        <v>2624</v>
      </c>
    </row>
    <row r="545" spans="1:9" x14ac:dyDescent="0.3">
      <c r="A545" s="287" t="s">
        <v>2625</v>
      </c>
      <c r="B545" s="287"/>
      <c r="I545" t="s">
        <v>2626</v>
      </c>
    </row>
    <row r="546" spans="1:9" x14ac:dyDescent="0.3">
      <c r="A546" s="287" t="s">
        <v>2627</v>
      </c>
      <c r="B546" s="287"/>
      <c r="I546" t="s">
        <v>2628</v>
      </c>
    </row>
    <row r="547" spans="1:9" x14ac:dyDescent="0.3">
      <c r="A547" s="287" t="s">
        <v>2629</v>
      </c>
      <c r="B547" s="287"/>
      <c r="I547" t="s">
        <v>2630</v>
      </c>
    </row>
    <row r="548" spans="1:9" x14ac:dyDescent="0.3">
      <c r="A548" s="286" t="s">
        <v>1693</v>
      </c>
      <c r="B548" s="287"/>
      <c r="I548" t="s">
        <v>2631</v>
      </c>
    </row>
    <row r="549" spans="1:9" x14ac:dyDescent="0.3">
      <c r="A549" s="287" t="s">
        <v>2632</v>
      </c>
      <c r="B549" s="287"/>
      <c r="I549" t="s">
        <v>2633</v>
      </c>
    </row>
    <row r="550" spans="1:9" x14ac:dyDescent="0.3">
      <c r="A550" s="287" t="s">
        <v>2634</v>
      </c>
      <c r="B550" s="287"/>
      <c r="I550" t="s">
        <v>2635</v>
      </c>
    </row>
    <row r="551" spans="1:9" x14ac:dyDescent="0.3">
      <c r="A551" s="287" t="s">
        <v>2636</v>
      </c>
      <c r="B551" s="287"/>
      <c r="I551" t="s">
        <v>2637</v>
      </c>
    </row>
    <row r="552" spans="1:9" x14ac:dyDescent="0.3">
      <c r="A552" s="287" t="s">
        <v>2638</v>
      </c>
      <c r="B552" s="287"/>
      <c r="I552" t="s">
        <v>2639</v>
      </c>
    </row>
    <row r="553" spans="1:9" x14ac:dyDescent="0.3">
      <c r="A553" s="287" t="s">
        <v>2640</v>
      </c>
      <c r="B553" s="287"/>
      <c r="I553" t="s">
        <v>2641</v>
      </c>
    </row>
    <row r="554" spans="1:9" x14ac:dyDescent="0.3">
      <c r="A554" s="287" t="s">
        <v>2642</v>
      </c>
      <c r="B554" s="287"/>
      <c r="I554" t="s">
        <v>2643</v>
      </c>
    </row>
    <row r="555" spans="1:9" x14ac:dyDescent="0.3">
      <c r="A555" s="287" t="s">
        <v>2644</v>
      </c>
      <c r="B555" s="287"/>
      <c r="I555" t="s">
        <v>2645</v>
      </c>
    </row>
    <row r="556" spans="1:9" x14ac:dyDescent="0.3">
      <c r="A556" s="287" t="s">
        <v>2646</v>
      </c>
      <c r="B556" s="287"/>
      <c r="I556" t="s">
        <v>2647</v>
      </c>
    </row>
    <row r="557" spans="1:9" x14ac:dyDescent="0.3">
      <c r="A557" s="287" t="s">
        <v>2648</v>
      </c>
      <c r="B557" s="287"/>
      <c r="I557" t="s">
        <v>2649</v>
      </c>
    </row>
    <row r="558" spans="1:9" x14ac:dyDescent="0.3">
      <c r="A558" s="286" t="s">
        <v>1698</v>
      </c>
      <c r="B558" s="287"/>
      <c r="I558" t="s">
        <v>2650</v>
      </c>
    </row>
    <row r="559" spans="1:9" x14ac:dyDescent="0.3">
      <c r="A559" s="287" t="s">
        <v>2651</v>
      </c>
      <c r="B559" s="287"/>
      <c r="I559" t="s">
        <v>2652</v>
      </c>
    </row>
    <row r="560" spans="1:9" x14ac:dyDescent="0.3">
      <c r="A560" s="286" t="s">
        <v>1702</v>
      </c>
      <c r="B560" s="287"/>
      <c r="I560" t="s">
        <v>2653</v>
      </c>
    </row>
    <row r="561" spans="1:9" x14ac:dyDescent="0.3">
      <c r="A561" s="287" t="s">
        <v>2654</v>
      </c>
      <c r="B561" s="287"/>
      <c r="I561" t="s">
        <v>2655</v>
      </c>
    </row>
    <row r="562" spans="1:9" x14ac:dyDescent="0.3">
      <c r="A562" s="287" t="s">
        <v>2656</v>
      </c>
      <c r="B562" s="287"/>
      <c r="I562" t="s">
        <v>2657</v>
      </c>
    </row>
    <row r="563" spans="1:9" x14ac:dyDescent="0.3">
      <c r="A563" s="287" t="s">
        <v>2658</v>
      </c>
      <c r="B563" s="287"/>
      <c r="I563" t="s">
        <v>2659</v>
      </c>
    </row>
    <row r="564" spans="1:9" x14ac:dyDescent="0.3">
      <c r="A564" s="287" t="s">
        <v>2660</v>
      </c>
      <c r="B564" s="287"/>
      <c r="I564" t="s">
        <v>2661</v>
      </c>
    </row>
    <row r="565" spans="1:9" x14ac:dyDescent="0.3">
      <c r="A565" s="286" t="s">
        <v>1706</v>
      </c>
      <c r="B565" s="287"/>
      <c r="I565" t="s">
        <v>2662</v>
      </c>
    </row>
    <row r="566" spans="1:9" x14ac:dyDescent="0.3">
      <c r="A566" s="287" t="s">
        <v>2663</v>
      </c>
      <c r="B566" s="287"/>
      <c r="I566" t="s">
        <v>2664</v>
      </c>
    </row>
    <row r="567" spans="1:9" x14ac:dyDescent="0.3">
      <c r="A567" s="287" t="s">
        <v>2665</v>
      </c>
      <c r="B567" s="287"/>
      <c r="I567" t="s">
        <v>2666</v>
      </c>
    </row>
    <row r="568" spans="1:9" x14ac:dyDescent="0.3">
      <c r="A568" s="287" t="s">
        <v>2667</v>
      </c>
      <c r="B568" s="287"/>
      <c r="I568" t="s">
        <v>2668</v>
      </c>
    </row>
    <row r="569" spans="1:9" x14ac:dyDescent="0.3">
      <c r="A569" s="286" t="s">
        <v>1711</v>
      </c>
      <c r="B569" s="287"/>
      <c r="I569" t="s">
        <v>2669</v>
      </c>
    </row>
    <row r="570" spans="1:9" x14ac:dyDescent="0.3">
      <c r="A570" s="287" t="s">
        <v>2670</v>
      </c>
      <c r="B570" s="287"/>
      <c r="I570" t="s">
        <v>2671</v>
      </c>
    </row>
    <row r="571" spans="1:9" x14ac:dyDescent="0.3">
      <c r="A571" s="287" t="s">
        <v>2672</v>
      </c>
      <c r="B571" s="287"/>
      <c r="I571" t="s">
        <v>2673</v>
      </c>
    </row>
    <row r="572" spans="1:9" x14ac:dyDescent="0.3">
      <c r="A572" s="287" t="s">
        <v>2674</v>
      </c>
      <c r="B572" s="287"/>
      <c r="I572" t="s">
        <v>2675</v>
      </c>
    </row>
    <row r="573" spans="1:9" x14ac:dyDescent="0.3">
      <c r="A573" s="287" t="s">
        <v>2676</v>
      </c>
      <c r="B573" s="287"/>
      <c r="I573" t="s">
        <v>2677</v>
      </c>
    </row>
    <row r="574" spans="1:9" x14ac:dyDescent="0.3">
      <c r="A574" s="287" t="s">
        <v>2678</v>
      </c>
      <c r="B574" s="287"/>
      <c r="I574" t="s">
        <v>2679</v>
      </c>
    </row>
    <row r="575" spans="1:9" x14ac:dyDescent="0.3">
      <c r="A575" s="287" t="s">
        <v>2680</v>
      </c>
      <c r="B575" s="287"/>
      <c r="I575" t="s">
        <v>2681</v>
      </c>
    </row>
    <row r="576" spans="1:9" x14ac:dyDescent="0.3">
      <c r="A576" s="287" t="s">
        <v>2682</v>
      </c>
      <c r="B576" s="287"/>
      <c r="I576" t="s">
        <v>2683</v>
      </c>
    </row>
    <row r="577" spans="1:9" x14ac:dyDescent="0.3">
      <c r="A577" s="287" t="s">
        <v>2684</v>
      </c>
      <c r="B577" s="287"/>
      <c r="I577" t="s">
        <v>2685</v>
      </c>
    </row>
    <row r="578" spans="1:9" x14ac:dyDescent="0.3">
      <c r="A578" s="286" t="s">
        <v>1716</v>
      </c>
      <c r="B578" s="287"/>
      <c r="I578" t="s">
        <v>2686</v>
      </c>
    </row>
    <row r="579" spans="1:9" x14ac:dyDescent="0.3">
      <c r="A579" s="287" t="s">
        <v>2687</v>
      </c>
      <c r="B579" s="287"/>
      <c r="I579" t="s">
        <v>2688</v>
      </c>
    </row>
    <row r="580" spans="1:9" x14ac:dyDescent="0.3">
      <c r="A580" s="283" t="s">
        <v>1721</v>
      </c>
      <c r="B580" s="287"/>
      <c r="I580" t="s">
        <v>2689</v>
      </c>
    </row>
    <row r="581" spans="1:9" x14ac:dyDescent="0.3">
      <c r="A581" s="286" t="s">
        <v>1726</v>
      </c>
      <c r="B581" s="287"/>
      <c r="I581" t="s">
        <v>2690</v>
      </c>
    </row>
    <row r="582" spans="1:9" x14ac:dyDescent="0.3">
      <c r="A582" s="287" t="s">
        <v>2691</v>
      </c>
      <c r="B582" s="287"/>
      <c r="I582" t="s">
        <v>2692</v>
      </c>
    </row>
    <row r="583" spans="1:9" x14ac:dyDescent="0.3">
      <c r="A583" s="287" t="s">
        <v>2693</v>
      </c>
      <c r="B583" s="287"/>
      <c r="I583" t="s">
        <v>2694</v>
      </c>
    </row>
    <row r="584" spans="1:9" x14ac:dyDescent="0.3">
      <c r="A584" s="286" t="s">
        <v>1730</v>
      </c>
      <c r="B584" s="287"/>
      <c r="I584" t="s">
        <v>2695</v>
      </c>
    </row>
    <row r="585" spans="1:9" x14ac:dyDescent="0.3">
      <c r="A585" s="287" t="s">
        <v>20</v>
      </c>
      <c r="B585" s="287"/>
      <c r="I585" t="s">
        <v>2696</v>
      </c>
    </row>
    <row r="586" spans="1:9" x14ac:dyDescent="0.3">
      <c r="A586" s="287" t="s">
        <v>19</v>
      </c>
      <c r="B586" s="287"/>
      <c r="I586" t="s">
        <v>2697</v>
      </c>
    </row>
    <row r="587" spans="1:9" x14ac:dyDescent="0.3">
      <c r="A587" s="287" t="s">
        <v>2698</v>
      </c>
      <c r="B587" s="287"/>
      <c r="I587" t="s">
        <v>2699</v>
      </c>
    </row>
    <row r="588" spans="1:9" x14ac:dyDescent="0.3">
      <c r="A588" s="287" t="s">
        <v>2700</v>
      </c>
      <c r="B588" s="287"/>
      <c r="I588" t="s">
        <v>2701</v>
      </c>
    </row>
    <row r="589" spans="1:9" x14ac:dyDescent="0.3">
      <c r="A589" s="287" t="s">
        <v>2702</v>
      </c>
      <c r="B589" s="287"/>
      <c r="I589" t="s">
        <v>2703</v>
      </c>
    </row>
    <row r="590" spans="1:9" x14ac:dyDescent="0.3">
      <c r="A590" s="287" t="s">
        <v>2704</v>
      </c>
      <c r="B590" s="287"/>
      <c r="I590" t="s">
        <v>2705</v>
      </c>
    </row>
    <row r="591" spans="1:9" x14ac:dyDescent="0.3">
      <c r="A591" s="287" t="s">
        <v>2706</v>
      </c>
      <c r="B591" s="287"/>
      <c r="I591" t="s">
        <v>2707</v>
      </c>
    </row>
    <row r="592" spans="1:9" x14ac:dyDescent="0.3">
      <c r="A592" s="286" t="s">
        <v>1735</v>
      </c>
      <c r="B592" s="287"/>
      <c r="I592" t="s">
        <v>2708</v>
      </c>
    </row>
    <row r="593" spans="1:9" x14ac:dyDescent="0.3">
      <c r="A593" s="287" t="s">
        <v>2709</v>
      </c>
      <c r="B593" s="287"/>
      <c r="I593" t="s">
        <v>2710</v>
      </c>
    </row>
    <row r="594" spans="1:9" x14ac:dyDescent="0.3">
      <c r="A594" s="286" t="s">
        <v>1739</v>
      </c>
      <c r="B594" s="287"/>
      <c r="I594" t="s">
        <v>2711</v>
      </c>
    </row>
    <row r="595" spans="1:9" x14ac:dyDescent="0.3">
      <c r="A595" s="287" t="s">
        <v>2712</v>
      </c>
      <c r="B595" s="287"/>
      <c r="I595" t="s">
        <v>2713</v>
      </c>
    </row>
    <row r="596" spans="1:9" x14ac:dyDescent="0.3">
      <c r="A596" s="286" t="s">
        <v>1743</v>
      </c>
      <c r="B596" s="287"/>
      <c r="I596" t="s">
        <v>2714</v>
      </c>
    </row>
    <row r="597" spans="1:9" x14ac:dyDescent="0.3">
      <c r="A597" s="287" t="s">
        <v>2715</v>
      </c>
      <c r="B597" s="287"/>
      <c r="I597" t="s">
        <v>2716</v>
      </c>
    </row>
    <row r="598" spans="1:9" x14ac:dyDescent="0.3">
      <c r="A598" s="287" t="s">
        <v>2717</v>
      </c>
      <c r="B598" s="287"/>
      <c r="I598" t="s">
        <v>2718</v>
      </c>
    </row>
    <row r="599" spans="1:9" x14ac:dyDescent="0.3">
      <c r="A599" s="287" t="s">
        <v>2719</v>
      </c>
      <c r="B599" s="287"/>
      <c r="I599" t="s">
        <v>2720</v>
      </c>
    </row>
    <row r="600" spans="1:9" x14ac:dyDescent="0.3">
      <c r="A600" s="287" t="s">
        <v>2721</v>
      </c>
      <c r="B600" s="287"/>
      <c r="I600" t="s">
        <v>2722</v>
      </c>
    </row>
    <row r="601" spans="1:9" x14ac:dyDescent="0.3">
      <c r="A601" s="287" t="s">
        <v>2723</v>
      </c>
      <c r="B601" s="287"/>
      <c r="I601" t="s">
        <v>2724</v>
      </c>
    </row>
    <row r="602" spans="1:9" x14ac:dyDescent="0.3">
      <c r="A602" s="286" t="s">
        <v>1748</v>
      </c>
      <c r="B602" s="287"/>
      <c r="I602" t="s">
        <v>2725</v>
      </c>
    </row>
    <row r="603" spans="1:9" x14ac:dyDescent="0.3">
      <c r="A603" s="287" t="s">
        <v>2726</v>
      </c>
      <c r="B603" s="287"/>
      <c r="I603" t="s">
        <v>2727</v>
      </c>
    </row>
    <row r="604" spans="1:9" x14ac:dyDescent="0.3">
      <c r="A604" s="287" t="s">
        <v>2728</v>
      </c>
      <c r="B604" s="287"/>
      <c r="I604" t="s">
        <v>2729</v>
      </c>
    </row>
    <row r="605" spans="1:9" x14ac:dyDescent="0.3">
      <c r="A605" s="287" t="s">
        <v>2730</v>
      </c>
      <c r="B605" s="287"/>
      <c r="I605" t="s">
        <v>2731</v>
      </c>
    </row>
    <row r="606" spans="1:9" x14ac:dyDescent="0.3">
      <c r="A606" s="287" t="s">
        <v>2732</v>
      </c>
      <c r="B606" s="287"/>
      <c r="I606" t="s">
        <v>77</v>
      </c>
    </row>
    <row r="607" spans="1:9" x14ac:dyDescent="0.3">
      <c r="A607" s="287" t="s">
        <v>2733</v>
      </c>
      <c r="B607" s="287"/>
      <c r="I607" t="s">
        <v>2734</v>
      </c>
    </row>
    <row r="608" spans="1:9" x14ac:dyDescent="0.3">
      <c r="A608" s="286" t="s">
        <v>1752</v>
      </c>
      <c r="B608" s="287"/>
      <c r="I608" t="s">
        <v>2735</v>
      </c>
    </row>
    <row r="609" spans="1:9" x14ac:dyDescent="0.3">
      <c r="A609" s="287" t="s">
        <v>2736</v>
      </c>
      <c r="B609" s="287"/>
      <c r="I609" t="s">
        <v>2737</v>
      </c>
    </row>
    <row r="610" spans="1:9" x14ac:dyDescent="0.3">
      <c r="A610" s="287" t="s">
        <v>2738</v>
      </c>
      <c r="B610" s="287"/>
      <c r="I610" t="s">
        <v>2739</v>
      </c>
    </row>
    <row r="611" spans="1:9" x14ac:dyDescent="0.3">
      <c r="A611" s="287" t="s">
        <v>2740</v>
      </c>
      <c r="B611" s="287"/>
      <c r="I611" t="s">
        <v>2741</v>
      </c>
    </row>
    <row r="612" spans="1:9" x14ac:dyDescent="0.3">
      <c r="A612" s="287" t="s">
        <v>2742</v>
      </c>
      <c r="B612" s="287"/>
      <c r="I612" t="s">
        <v>2743</v>
      </c>
    </row>
    <row r="613" spans="1:9" x14ac:dyDescent="0.3">
      <c r="A613" s="287" t="s">
        <v>2744</v>
      </c>
      <c r="B613" s="287"/>
      <c r="I613" t="s">
        <v>2745</v>
      </c>
    </row>
    <row r="614" spans="1:9" x14ac:dyDescent="0.3">
      <c r="A614" s="287" t="s">
        <v>2746</v>
      </c>
      <c r="B614" s="287"/>
      <c r="I614" t="s">
        <v>2747</v>
      </c>
    </row>
    <row r="615" spans="1:9" x14ac:dyDescent="0.3">
      <c r="A615" s="287" t="s">
        <v>2748</v>
      </c>
      <c r="B615" s="287"/>
      <c r="I615" t="s">
        <v>2749</v>
      </c>
    </row>
    <row r="616" spans="1:9" x14ac:dyDescent="0.3">
      <c r="A616" s="287" t="s">
        <v>2750</v>
      </c>
      <c r="B616" s="287"/>
      <c r="I616" t="s">
        <v>2751</v>
      </c>
    </row>
    <row r="617" spans="1:9" x14ac:dyDescent="0.3">
      <c r="A617" s="287" t="s">
        <v>2752</v>
      </c>
      <c r="B617" s="287"/>
      <c r="I617" t="s">
        <v>2753</v>
      </c>
    </row>
    <row r="618" spans="1:9" x14ac:dyDescent="0.3">
      <c r="A618" s="286" t="s">
        <v>1757</v>
      </c>
      <c r="B618" s="287"/>
      <c r="I618" t="s">
        <v>2754</v>
      </c>
    </row>
    <row r="619" spans="1:9" x14ac:dyDescent="0.3">
      <c r="A619" s="287" t="s">
        <v>2755</v>
      </c>
      <c r="B619" s="287"/>
      <c r="I619" t="s">
        <v>2756</v>
      </c>
    </row>
    <row r="620" spans="1:9" x14ac:dyDescent="0.3">
      <c r="A620" s="287" t="s">
        <v>2757</v>
      </c>
      <c r="B620" s="287"/>
      <c r="I620" t="s">
        <v>2758</v>
      </c>
    </row>
    <row r="621" spans="1:9" x14ac:dyDescent="0.3">
      <c r="A621" s="287" t="s">
        <v>2759</v>
      </c>
      <c r="B621" s="287"/>
      <c r="I621" t="s">
        <v>2760</v>
      </c>
    </row>
    <row r="622" spans="1:9" x14ac:dyDescent="0.3">
      <c r="A622" s="286" t="s">
        <v>1761</v>
      </c>
      <c r="B622" s="287"/>
      <c r="I622" t="s">
        <v>2761</v>
      </c>
    </row>
    <row r="623" spans="1:9" x14ac:dyDescent="0.3">
      <c r="A623" s="287" t="s">
        <v>2762</v>
      </c>
      <c r="B623" s="287"/>
      <c r="I623" t="s">
        <v>2763</v>
      </c>
    </row>
    <row r="624" spans="1:9" x14ac:dyDescent="0.3">
      <c r="A624" s="287" t="s">
        <v>2764</v>
      </c>
      <c r="B624" s="287"/>
      <c r="I624" t="s">
        <v>2765</v>
      </c>
    </row>
    <row r="625" spans="1:9" x14ac:dyDescent="0.3">
      <c r="A625" s="284" t="s">
        <v>1872</v>
      </c>
      <c r="B625" s="287"/>
      <c r="I625" t="s">
        <v>2766</v>
      </c>
    </row>
    <row r="626" spans="1:9" x14ac:dyDescent="0.3">
      <c r="A626" s="283" t="s">
        <v>1770</v>
      </c>
      <c r="B626" s="287"/>
      <c r="I626" t="s">
        <v>2767</v>
      </c>
    </row>
    <row r="627" spans="1:9" x14ac:dyDescent="0.3">
      <c r="A627" s="286" t="s">
        <v>1775</v>
      </c>
      <c r="B627" s="287"/>
      <c r="I627" t="s">
        <v>2768</v>
      </c>
    </row>
    <row r="628" spans="1:9" x14ac:dyDescent="0.3">
      <c r="A628" s="287" t="s">
        <v>2769</v>
      </c>
      <c r="B628" s="287"/>
      <c r="I628" t="s">
        <v>2770</v>
      </c>
    </row>
    <row r="629" spans="1:9" x14ac:dyDescent="0.3">
      <c r="A629" s="287" t="s">
        <v>2771</v>
      </c>
      <c r="B629" s="287"/>
      <c r="I629" t="s">
        <v>2772</v>
      </c>
    </row>
    <row r="630" spans="1:9" x14ac:dyDescent="0.3">
      <c r="A630" s="286" t="s">
        <v>1780</v>
      </c>
      <c r="B630" s="287"/>
      <c r="I630" t="s">
        <v>2773</v>
      </c>
    </row>
    <row r="631" spans="1:9" x14ac:dyDescent="0.3">
      <c r="A631" s="287" t="s">
        <v>2774</v>
      </c>
      <c r="B631" s="287"/>
      <c r="I631" t="s">
        <v>2775</v>
      </c>
    </row>
    <row r="632" spans="1:9" x14ac:dyDescent="0.3">
      <c r="A632" s="286" t="s">
        <v>1785</v>
      </c>
      <c r="B632" s="287"/>
      <c r="I632" t="s">
        <v>2776</v>
      </c>
    </row>
    <row r="633" spans="1:9" x14ac:dyDescent="0.3">
      <c r="A633" s="287" t="s">
        <v>2777</v>
      </c>
      <c r="B633" s="287"/>
      <c r="I633" t="s">
        <v>2778</v>
      </c>
    </row>
    <row r="634" spans="1:9" x14ac:dyDescent="0.3">
      <c r="A634" s="287" t="s">
        <v>2779</v>
      </c>
      <c r="B634" s="287"/>
      <c r="I634" t="s">
        <v>2780</v>
      </c>
    </row>
    <row r="635" spans="1:9" x14ac:dyDescent="0.3">
      <c r="A635" s="287" t="s">
        <v>2781</v>
      </c>
      <c r="B635" s="287"/>
      <c r="I635" t="s">
        <v>2782</v>
      </c>
    </row>
    <row r="636" spans="1:9" x14ac:dyDescent="0.3">
      <c r="A636" s="287" t="s">
        <v>2783</v>
      </c>
      <c r="B636" s="287"/>
      <c r="I636" t="s">
        <v>2784</v>
      </c>
    </row>
    <row r="637" spans="1:9" x14ac:dyDescent="0.3">
      <c r="A637" s="287" t="s">
        <v>2785</v>
      </c>
      <c r="B637" s="287"/>
      <c r="I637" t="s">
        <v>2786</v>
      </c>
    </row>
    <row r="638" spans="1:9" x14ac:dyDescent="0.3">
      <c r="A638" s="286" t="s">
        <v>1790</v>
      </c>
      <c r="B638" s="287"/>
      <c r="I638" t="s">
        <v>2787</v>
      </c>
    </row>
    <row r="639" spans="1:9" x14ac:dyDescent="0.3">
      <c r="A639" s="287" t="s">
        <v>2788</v>
      </c>
      <c r="B639" s="287"/>
      <c r="I639" t="s">
        <v>2789</v>
      </c>
    </row>
    <row r="640" spans="1:9" x14ac:dyDescent="0.3">
      <c r="A640" s="287" t="s">
        <v>2790</v>
      </c>
      <c r="B640" s="287"/>
      <c r="I640" t="s">
        <v>2791</v>
      </c>
    </row>
    <row r="641" spans="1:9" x14ac:dyDescent="0.3">
      <c r="A641" s="286" t="s">
        <v>1795</v>
      </c>
      <c r="B641" s="287"/>
      <c r="I641" t="s">
        <v>2792</v>
      </c>
    </row>
    <row r="642" spans="1:9" x14ac:dyDescent="0.3">
      <c r="A642" s="287" t="s">
        <v>2793</v>
      </c>
      <c r="B642" s="287"/>
      <c r="I642" t="s">
        <v>2794</v>
      </c>
    </row>
    <row r="643" spans="1:9" x14ac:dyDescent="0.3">
      <c r="A643" s="283" t="s">
        <v>1800</v>
      </c>
      <c r="B643" s="287"/>
      <c r="I643" t="s">
        <v>2795</v>
      </c>
    </row>
    <row r="644" spans="1:9" x14ac:dyDescent="0.3">
      <c r="A644" s="286" t="s">
        <v>1804</v>
      </c>
      <c r="B644" s="287"/>
      <c r="I644" t="s">
        <v>2796</v>
      </c>
    </row>
    <row r="645" spans="1:9" x14ac:dyDescent="0.3">
      <c r="A645" s="287" t="s">
        <v>2797</v>
      </c>
      <c r="B645" s="287"/>
      <c r="I645" t="s">
        <v>2798</v>
      </c>
    </row>
    <row r="646" spans="1:9" x14ac:dyDescent="0.3">
      <c r="A646" s="286" t="s">
        <v>1809</v>
      </c>
      <c r="B646" s="287"/>
      <c r="I646" t="s">
        <v>2799</v>
      </c>
    </row>
    <row r="647" spans="1:9" x14ac:dyDescent="0.3">
      <c r="A647" s="287" t="s">
        <v>2800</v>
      </c>
      <c r="B647" s="287"/>
      <c r="I647" t="s">
        <v>2801</v>
      </c>
    </row>
    <row r="648" spans="1:9" x14ac:dyDescent="0.3">
      <c r="A648" s="286" t="s">
        <v>1813</v>
      </c>
      <c r="B648" s="287"/>
      <c r="I648" t="s">
        <v>2802</v>
      </c>
    </row>
    <row r="649" spans="1:9" x14ac:dyDescent="0.3">
      <c r="A649" s="287" t="s">
        <v>2803</v>
      </c>
      <c r="B649" s="287"/>
      <c r="I649" t="s">
        <v>2804</v>
      </c>
    </row>
    <row r="650" spans="1:9" x14ac:dyDescent="0.3">
      <c r="A650" s="286" t="s">
        <v>1818</v>
      </c>
      <c r="B650" s="287"/>
      <c r="I650" t="s">
        <v>2805</v>
      </c>
    </row>
    <row r="651" spans="1:9" x14ac:dyDescent="0.3">
      <c r="A651" s="287" t="s">
        <v>2806</v>
      </c>
      <c r="B651" s="287"/>
      <c r="I651" t="s">
        <v>2807</v>
      </c>
    </row>
    <row r="652" spans="1:9" x14ac:dyDescent="0.3">
      <c r="A652" s="283" t="s">
        <v>1822</v>
      </c>
      <c r="B652" s="287"/>
      <c r="I652" t="s">
        <v>2808</v>
      </c>
    </row>
    <row r="653" spans="1:9" x14ac:dyDescent="0.3">
      <c r="A653" s="286" t="s">
        <v>1827</v>
      </c>
      <c r="B653" s="287"/>
      <c r="I653" t="s">
        <v>2809</v>
      </c>
    </row>
    <row r="654" spans="1:9" x14ac:dyDescent="0.3">
      <c r="A654" s="287" t="s">
        <v>2810</v>
      </c>
      <c r="B654" s="287"/>
      <c r="I654" t="s">
        <v>2811</v>
      </c>
    </row>
    <row r="655" spans="1:9" x14ac:dyDescent="0.3">
      <c r="A655" s="286" t="s">
        <v>1832</v>
      </c>
      <c r="B655" s="287"/>
      <c r="I655" t="s">
        <v>2812</v>
      </c>
    </row>
    <row r="656" spans="1:9" x14ac:dyDescent="0.3">
      <c r="A656" s="287" t="s">
        <v>2813</v>
      </c>
      <c r="B656" s="287"/>
      <c r="I656" t="s">
        <v>2814</v>
      </c>
    </row>
    <row r="657" spans="1:9" x14ac:dyDescent="0.3">
      <c r="A657" s="287" t="s">
        <v>2815</v>
      </c>
      <c r="B657" s="287"/>
      <c r="I657" t="s">
        <v>2816</v>
      </c>
    </row>
    <row r="658" spans="1:9" x14ac:dyDescent="0.3">
      <c r="A658" s="283" t="s">
        <v>1836</v>
      </c>
      <c r="B658" s="287"/>
      <c r="I658" t="s">
        <v>73</v>
      </c>
    </row>
    <row r="659" spans="1:9" x14ac:dyDescent="0.3">
      <c r="A659" s="286" t="s">
        <v>1841</v>
      </c>
      <c r="B659" s="287"/>
      <c r="I659" t="s">
        <v>2817</v>
      </c>
    </row>
    <row r="660" spans="1:9" x14ac:dyDescent="0.3">
      <c r="A660" s="287" t="s">
        <v>2818</v>
      </c>
      <c r="B660" s="287"/>
      <c r="I660" t="s">
        <v>2819</v>
      </c>
    </row>
    <row r="661" spans="1:9" x14ac:dyDescent="0.3">
      <c r="A661" s="286" t="s">
        <v>1846</v>
      </c>
      <c r="B661" s="287"/>
      <c r="I661" t="s">
        <v>2820</v>
      </c>
    </row>
    <row r="662" spans="1:9" x14ac:dyDescent="0.3">
      <c r="A662" s="287" t="s">
        <v>2821</v>
      </c>
      <c r="B662" s="287"/>
      <c r="I662" t="s">
        <v>2822</v>
      </c>
    </row>
    <row r="663" spans="1:9" x14ac:dyDescent="0.3">
      <c r="A663" s="287" t="s">
        <v>2823</v>
      </c>
      <c r="B663" s="287"/>
      <c r="I663" t="s">
        <v>2824</v>
      </c>
    </row>
    <row r="664" spans="1:9" x14ac:dyDescent="0.3">
      <c r="A664" s="287" t="s">
        <v>2825</v>
      </c>
      <c r="B664" s="287"/>
      <c r="I664" t="s">
        <v>2826</v>
      </c>
    </row>
    <row r="665" spans="1:9" x14ac:dyDescent="0.3">
      <c r="A665" s="287" t="s">
        <v>2827</v>
      </c>
      <c r="B665" s="287"/>
      <c r="I665" t="s">
        <v>2828</v>
      </c>
    </row>
    <row r="666" spans="1:9" x14ac:dyDescent="0.3">
      <c r="A666" s="287" t="s">
        <v>2829</v>
      </c>
      <c r="B666" s="287"/>
      <c r="I666" t="s">
        <v>2830</v>
      </c>
    </row>
    <row r="667" spans="1:9" x14ac:dyDescent="0.3">
      <c r="A667" s="287" t="s">
        <v>2831</v>
      </c>
      <c r="B667" s="287"/>
      <c r="I667" t="s">
        <v>2832</v>
      </c>
    </row>
    <row r="668" spans="1:9" x14ac:dyDescent="0.3">
      <c r="A668" s="286" t="s">
        <v>1850</v>
      </c>
      <c r="B668" s="287"/>
      <c r="I668" t="s">
        <v>2833</v>
      </c>
    </row>
    <row r="669" spans="1:9" x14ac:dyDescent="0.3">
      <c r="A669" s="287" t="s">
        <v>2834</v>
      </c>
      <c r="B669" s="287"/>
      <c r="I669" t="s">
        <v>2835</v>
      </c>
    </row>
    <row r="670" spans="1:9" x14ac:dyDescent="0.3">
      <c r="A670" s="287" t="s">
        <v>2836</v>
      </c>
      <c r="B670" s="287"/>
      <c r="I670" t="s">
        <v>2837</v>
      </c>
    </row>
    <row r="671" spans="1:9" x14ac:dyDescent="0.3">
      <c r="A671" s="283" t="s">
        <v>1855</v>
      </c>
      <c r="B671" s="287"/>
      <c r="I671" t="s">
        <v>2838</v>
      </c>
    </row>
    <row r="672" spans="1:9" x14ac:dyDescent="0.3">
      <c r="A672" s="286" t="s">
        <v>1859</v>
      </c>
      <c r="B672" s="287"/>
      <c r="I672" t="s">
        <v>2839</v>
      </c>
    </row>
    <row r="673" spans="1:9" x14ac:dyDescent="0.3">
      <c r="A673" s="287" t="s">
        <v>2840</v>
      </c>
      <c r="B673" s="287"/>
      <c r="I673" t="s">
        <v>2841</v>
      </c>
    </row>
    <row r="674" spans="1:9" x14ac:dyDescent="0.3">
      <c r="A674" s="286" t="s">
        <v>1863</v>
      </c>
      <c r="B674" s="287"/>
      <c r="I674" t="s">
        <v>2842</v>
      </c>
    </row>
    <row r="675" spans="1:9" x14ac:dyDescent="0.3">
      <c r="A675" s="287" t="s">
        <v>2843</v>
      </c>
      <c r="B675" s="287"/>
      <c r="I675" t="s">
        <v>2844</v>
      </c>
    </row>
    <row r="676" spans="1:9" x14ac:dyDescent="0.3">
      <c r="A676" s="286" t="s">
        <v>1868</v>
      </c>
      <c r="B676" s="287"/>
      <c r="I676" t="s">
        <v>2845</v>
      </c>
    </row>
    <row r="677" spans="1:9" x14ac:dyDescent="0.3">
      <c r="A677" s="287" t="s">
        <v>2846</v>
      </c>
      <c r="B677" s="287"/>
      <c r="I677" t="s">
        <v>2847</v>
      </c>
    </row>
    <row r="678" spans="1:9" x14ac:dyDescent="0.3">
      <c r="A678" s="284" t="s">
        <v>1933</v>
      </c>
      <c r="B678" s="287"/>
      <c r="I678" t="s">
        <v>2848</v>
      </c>
    </row>
    <row r="679" spans="1:9" x14ac:dyDescent="0.3">
      <c r="A679" s="283" t="s">
        <v>1877</v>
      </c>
      <c r="B679" s="287"/>
      <c r="I679" t="s">
        <v>2849</v>
      </c>
    </row>
    <row r="680" spans="1:9" x14ac:dyDescent="0.3">
      <c r="A680" s="286" t="s">
        <v>1881</v>
      </c>
      <c r="B680" s="287"/>
      <c r="I680" t="s">
        <v>2850</v>
      </c>
    </row>
    <row r="681" spans="1:9" x14ac:dyDescent="0.3">
      <c r="A681" s="287" t="s">
        <v>2851</v>
      </c>
      <c r="B681" s="287"/>
      <c r="I681" t="s">
        <v>2852</v>
      </c>
    </row>
    <row r="682" spans="1:9" x14ac:dyDescent="0.3">
      <c r="A682" s="286" t="s">
        <v>1885</v>
      </c>
      <c r="B682" s="287"/>
      <c r="I682" t="s">
        <v>2853</v>
      </c>
    </row>
    <row r="683" spans="1:9" x14ac:dyDescent="0.3">
      <c r="A683" s="287" t="s">
        <v>2854</v>
      </c>
      <c r="B683" s="287"/>
      <c r="I683" t="s">
        <v>2855</v>
      </c>
    </row>
    <row r="684" spans="1:9" x14ac:dyDescent="0.3">
      <c r="A684" s="286" t="s">
        <v>1890</v>
      </c>
      <c r="B684" s="287"/>
      <c r="I684" t="s">
        <v>2856</v>
      </c>
    </row>
    <row r="685" spans="1:9" x14ac:dyDescent="0.3">
      <c r="A685" s="287" t="s">
        <v>2857</v>
      </c>
      <c r="B685" s="287"/>
      <c r="I685" t="s">
        <v>2858</v>
      </c>
    </row>
    <row r="686" spans="1:9" x14ac:dyDescent="0.3">
      <c r="A686" s="286" t="s">
        <v>1895</v>
      </c>
      <c r="B686" s="287"/>
      <c r="I686" t="s">
        <v>2859</v>
      </c>
    </row>
    <row r="687" spans="1:9" x14ac:dyDescent="0.3">
      <c r="A687" s="287" t="s">
        <v>2860</v>
      </c>
      <c r="B687" s="287"/>
      <c r="I687" t="s">
        <v>2861</v>
      </c>
    </row>
    <row r="688" spans="1:9" x14ac:dyDescent="0.3">
      <c r="A688" s="286" t="s">
        <v>1899</v>
      </c>
      <c r="B688" s="287"/>
      <c r="I688" t="s">
        <v>2862</v>
      </c>
    </row>
    <row r="689" spans="1:9" x14ac:dyDescent="0.3">
      <c r="A689" s="287" t="s">
        <v>2863</v>
      </c>
      <c r="B689" s="287"/>
      <c r="I689" t="s">
        <v>2864</v>
      </c>
    </row>
    <row r="690" spans="1:9" x14ac:dyDescent="0.3">
      <c r="A690" s="283" t="s">
        <v>1904</v>
      </c>
      <c r="B690" s="287"/>
      <c r="I690" t="s">
        <v>2865</v>
      </c>
    </row>
    <row r="691" spans="1:9" x14ac:dyDescent="0.3">
      <c r="A691" s="286" t="s">
        <v>1909</v>
      </c>
      <c r="B691" s="287"/>
      <c r="I691" t="s">
        <v>2866</v>
      </c>
    </row>
    <row r="692" spans="1:9" x14ac:dyDescent="0.3">
      <c r="A692" s="287" t="s">
        <v>2867</v>
      </c>
      <c r="B692" s="287"/>
      <c r="I692" t="s">
        <v>2868</v>
      </c>
    </row>
    <row r="693" spans="1:9" x14ac:dyDescent="0.3">
      <c r="A693" s="287" t="s">
        <v>2869</v>
      </c>
      <c r="B693" s="287"/>
      <c r="I693" t="s">
        <v>2870</v>
      </c>
    </row>
    <row r="694" spans="1:9" x14ac:dyDescent="0.3">
      <c r="A694" s="286" t="s">
        <v>1914</v>
      </c>
      <c r="B694" s="287"/>
      <c r="I694" t="s">
        <v>2871</v>
      </c>
    </row>
    <row r="695" spans="1:9" x14ac:dyDescent="0.3">
      <c r="A695" s="287" t="s">
        <v>1919</v>
      </c>
      <c r="B695" s="287"/>
      <c r="I695" t="s">
        <v>2872</v>
      </c>
    </row>
    <row r="696" spans="1:9" x14ac:dyDescent="0.3">
      <c r="A696" s="287" t="s">
        <v>2873</v>
      </c>
      <c r="B696" s="287"/>
      <c r="I696" t="s">
        <v>2874</v>
      </c>
    </row>
    <row r="697" spans="1:9" x14ac:dyDescent="0.3">
      <c r="A697" s="286" t="s">
        <v>1924</v>
      </c>
      <c r="B697" s="287"/>
      <c r="I697" t="s">
        <v>2875</v>
      </c>
    </row>
    <row r="698" spans="1:9" x14ac:dyDescent="0.3">
      <c r="A698" s="287" t="s">
        <v>2876</v>
      </c>
      <c r="B698" s="287"/>
      <c r="I698" t="s">
        <v>2877</v>
      </c>
    </row>
    <row r="699" spans="1:9" x14ac:dyDescent="0.3">
      <c r="A699" s="286" t="s">
        <v>1929</v>
      </c>
      <c r="B699" s="287"/>
      <c r="I699" t="s">
        <v>2878</v>
      </c>
    </row>
    <row r="700" spans="1:9" x14ac:dyDescent="0.3">
      <c r="A700" s="287" t="s">
        <v>2879</v>
      </c>
      <c r="B700" s="287"/>
      <c r="I700" t="s">
        <v>2880</v>
      </c>
    </row>
    <row r="701" spans="1:9" x14ac:dyDescent="0.3">
      <c r="A701" s="284" t="s">
        <v>1985</v>
      </c>
      <c r="B701" s="287"/>
      <c r="I701" t="s">
        <v>2881</v>
      </c>
    </row>
    <row r="702" spans="1:9" x14ac:dyDescent="0.3">
      <c r="A702" s="283" t="s">
        <v>1937</v>
      </c>
      <c r="B702" s="287"/>
      <c r="I702" t="s">
        <v>2882</v>
      </c>
    </row>
    <row r="703" spans="1:9" x14ac:dyDescent="0.3">
      <c r="A703" s="286" t="s">
        <v>1942</v>
      </c>
      <c r="B703" s="287"/>
      <c r="I703" t="s">
        <v>2883</v>
      </c>
    </row>
    <row r="704" spans="1:9" x14ac:dyDescent="0.3">
      <c r="A704" s="287" t="s">
        <v>2884</v>
      </c>
      <c r="B704" s="287"/>
      <c r="I704" t="s">
        <v>2885</v>
      </c>
    </row>
    <row r="705" spans="1:9" x14ac:dyDescent="0.3">
      <c r="A705" s="287" t="s">
        <v>2886</v>
      </c>
      <c r="B705" s="287"/>
      <c r="I705" t="s">
        <v>2887</v>
      </c>
    </row>
    <row r="706" spans="1:9" x14ac:dyDescent="0.3">
      <c r="A706" s="287" t="s">
        <v>2888</v>
      </c>
      <c r="B706" s="287"/>
      <c r="I706" t="s">
        <v>2889</v>
      </c>
    </row>
    <row r="707" spans="1:9" x14ac:dyDescent="0.3">
      <c r="A707" s="287" t="s">
        <v>2890</v>
      </c>
      <c r="B707" s="287"/>
      <c r="I707" t="s">
        <v>2891</v>
      </c>
    </row>
    <row r="708" spans="1:9" x14ac:dyDescent="0.3">
      <c r="A708" s="286" t="s">
        <v>1947</v>
      </c>
      <c r="B708" s="287"/>
      <c r="I708" t="s">
        <v>2892</v>
      </c>
    </row>
    <row r="709" spans="1:9" x14ac:dyDescent="0.3">
      <c r="A709" s="287" t="s">
        <v>2893</v>
      </c>
      <c r="B709" s="287"/>
      <c r="I709" t="s">
        <v>2894</v>
      </c>
    </row>
    <row r="710" spans="1:9" x14ac:dyDescent="0.3">
      <c r="A710" s="287" t="s">
        <v>2895</v>
      </c>
      <c r="B710" s="287"/>
      <c r="I710" t="s">
        <v>2896</v>
      </c>
    </row>
    <row r="711" spans="1:9" x14ac:dyDescent="0.3">
      <c r="A711" s="283" t="s">
        <v>1952</v>
      </c>
      <c r="B711" s="287"/>
      <c r="I711" t="s">
        <v>2897</v>
      </c>
    </row>
    <row r="712" spans="1:9" x14ac:dyDescent="0.3">
      <c r="A712" s="286" t="s">
        <v>1957</v>
      </c>
      <c r="B712" s="287"/>
      <c r="I712" t="s">
        <v>2898</v>
      </c>
    </row>
    <row r="713" spans="1:9" x14ac:dyDescent="0.3">
      <c r="A713" s="287" t="s">
        <v>2899</v>
      </c>
      <c r="B713" s="287"/>
      <c r="I713" t="s">
        <v>2900</v>
      </c>
    </row>
    <row r="714" spans="1:9" x14ac:dyDescent="0.3">
      <c r="A714" s="287" t="s">
        <v>2901</v>
      </c>
      <c r="B714" s="287"/>
      <c r="I714" t="s">
        <v>2902</v>
      </c>
    </row>
    <row r="715" spans="1:9" x14ac:dyDescent="0.3">
      <c r="A715" s="287" t="s">
        <v>2903</v>
      </c>
      <c r="B715" s="287"/>
      <c r="I715" t="s">
        <v>2904</v>
      </c>
    </row>
    <row r="716" spans="1:9" x14ac:dyDescent="0.3">
      <c r="A716" s="287" t="s">
        <v>2905</v>
      </c>
      <c r="B716" s="287"/>
      <c r="I716" t="s">
        <v>2906</v>
      </c>
    </row>
    <row r="717" spans="1:9" x14ac:dyDescent="0.3">
      <c r="A717" s="286" t="s">
        <v>1962</v>
      </c>
      <c r="B717" s="287"/>
      <c r="I717" t="s">
        <v>2907</v>
      </c>
    </row>
    <row r="718" spans="1:9" x14ac:dyDescent="0.3">
      <c r="A718" s="287" t="s">
        <v>2908</v>
      </c>
      <c r="B718" s="287"/>
      <c r="I718" t="s">
        <v>2909</v>
      </c>
    </row>
    <row r="719" spans="1:9" x14ac:dyDescent="0.3">
      <c r="A719" s="283" t="s">
        <v>1966</v>
      </c>
      <c r="B719" s="287"/>
      <c r="I719" t="s">
        <v>2910</v>
      </c>
    </row>
    <row r="720" spans="1:9" x14ac:dyDescent="0.3">
      <c r="A720" s="286" t="s">
        <v>1971</v>
      </c>
      <c r="B720" s="287"/>
      <c r="I720" t="s">
        <v>2911</v>
      </c>
    </row>
    <row r="721" spans="1:9" x14ac:dyDescent="0.3">
      <c r="A721" s="287" t="s">
        <v>2912</v>
      </c>
      <c r="B721" s="287"/>
      <c r="I721" t="s">
        <v>2913</v>
      </c>
    </row>
    <row r="722" spans="1:9" x14ac:dyDescent="0.3">
      <c r="A722" s="286" t="s">
        <v>1975</v>
      </c>
      <c r="B722" s="287"/>
      <c r="I722" t="s">
        <v>2914</v>
      </c>
    </row>
    <row r="723" spans="1:9" x14ac:dyDescent="0.3">
      <c r="A723" s="287" t="s">
        <v>2915</v>
      </c>
      <c r="B723" s="287"/>
      <c r="I723" t="s">
        <v>2916</v>
      </c>
    </row>
    <row r="724" spans="1:9" x14ac:dyDescent="0.3">
      <c r="A724" s="286" t="s">
        <v>1980</v>
      </c>
      <c r="B724" s="287"/>
      <c r="I724" t="s">
        <v>2917</v>
      </c>
    </row>
    <row r="725" spans="1:9" x14ac:dyDescent="0.3">
      <c r="A725" s="287" t="s">
        <v>2918</v>
      </c>
      <c r="B725" s="287"/>
      <c r="I725" t="s">
        <v>2919</v>
      </c>
    </row>
    <row r="726" spans="1:9" x14ac:dyDescent="0.3">
      <c r="A726" s="287" t="s">
        <v>2920</v>
      </c>
      <c r="B726" s="287"/>
      <c r="I726" t="s">
        <v>2921</v>
      </c>
    </row>
    <row r="727" spans="1:9" x14ac:dyDescent="0.3">
      <c r="A727" s="284" t="s">
        <v>2028</v>
      </c>
      <c r="B727" s="287"/>
      <c r="I727" t="s">
        <v>2922</v>
      </c>
    </row>
    <row r="728" spans="1:9" x14ac:dyDescent="0.3">
      <c r="A728" s="283" t="s">
        <v>1989</v>
      </c>
      <c r="B728" s="287"/>
      <c r="I728" t="s">
        <v>2923</v>
      </c>
    </row>
    <row r="729" spans="1:9" x14ac:dyDescent="0.3">
      <c r="A729" s="286" t="s">
        <v>1994</v>
      </c>
      <c r="B729" s="287"/>
      <c r="I729" t="s">
        <v>2924</v>
      </c>
    </row>
    <row r="730" spans="1:9" x14ac:dyDescent="0.3">
      <c r="A730" s="287" t="s">
        <v>2925</v>
      </c>
      <c r="B730" s="287"/>
      <c r="I730" t="s">
        <v>2926</v>
      </c>
    </row>
    <row r="731" spans="1:9" x14ac:dyDescent="0.3">
      <c r="A731" s="286" t="s">
        <v>1999</v>
      </c>
      <c r="B731" s="287"/>
      <c r="I731" t="s">
        <v>2927</v>
      </c>
    </row>
    <row r="732" spans="1:9" x14ac:dyDescent="0.3">
      <c r="A732" s="287" t="s">
        <v>2928</v>
      </c>
      <c r="B732" s="287"/>
      <c r="I732" t="s">
        <v>2929</v>
      </c>
    </row>
    <row r="733" spans="1:9" x14ac:dyDescent="0.3">
      <c r="A733" s="286" t="s">
        <v>2004</v>
      </c>
      <c r="B733" s="287"/>
      <c r="I733" t="s">
        <v>71</v>
      </c>
    </row>
    <row r="734" spans="1:9" x14ac:dyDescent="0.3">
      <c r="A734" s="287" t="s">
        <v>2930</v>
      </c>
      <c r="B734" s="287"/>
      <c r="I734" t="s">
        <v>2931</v>
      </c>
    </row>
    <row r="735" spans="1:9" x14ac:dyDescent="0.3">
      <c r="A735" s="283" t="s">
        <v>2009</v>
      </c>
      <c r="B735" s="287"/>
      <c r="I735" t="s">
        <v>2932</v>
      </c>
    </row>
    <row r="736" spans="1:9" x14ac:dyDescent="0.3">
      <c r="A736" s="286" t="s">
        <v>2012</v>
      </c>
      <c r="B736" s="287"/>
      <c r="I736" t="s">
        <v>2933</v>
      </c>
    </row>
    <row r="737" spans="1:9" x14ac:dyDescent="0.3">
      <c r="A737" s="287" t="s">
        <v>2934</v>
      </c>
      <c r="B737" s="287"/>
      <c r="I737" t="s">
        <v>2935</v>
      </c>
    </row>
    <row r="738" spans="1:9" x14ac:dyDescent="0.3">
      <c r="A738" s="286" t="s">
        <v>2014</v>
      </c>
      <c r="B738" s="287"/>
      <c r="I738" t="s">
        <v>2936</v>
      </c>
    </row>
    <row r="739" spans="1:9" x14ac:dyDescent="0.3">
      <c r="A739" s="287" t="s">
        <v>2937</v>
      </c>
      <c r="B739" s="287"/>
      <c r="I739" t="s">
        <v>2938</v>
      </c>
    </row>
    <row r="740" spans="1:9" x14ac:dyDescent="0.3">
      <c r="A740" s="286" t="s">
        <v>2017</v>
      </c>
      <c r="B740" s="287"/>
      <c r="I740" t="s">
        <v>2939</v>
      </c>
    </row>
    <row r="741" spans="1:9" x14ac:dyDescent="0.3">
      <c r="A741" s="287" t="s">
        <v>2940</v>
      </c>
      <c r="B741" s="287"/>
      <c r="I741" t="s">
        <v>2941</v>
      </c>
    </row>
    <row r="742" spans="1:9" x14ac:dyDescent="0.3">
      <c r="A742" s="283" t="s">
        <v>2020</v>
      </c>
      <c r="B742" s="287"/>
      <c r="I742" t="s">
        <v>2942</v>
      </c>
    </row>
    <row r="743" spans="1:9" x14ac:dyDescent="0.3">
      <c r="A743" s="286" t="s">
        <v>2022</v>
      </c>
      <c r="B743" s="287"/>
      <c r="I743" t="s">
        <v>2943</v>
      </c>
    </row>
    <row r="744" spans="1:9" x14ac:dyDescent="0.3">
      <c r="A744" s="287" t="s">
        <v>2944</v>
      </c>
      <c r="B744" s="287"/>
      <c r="I744" t="s">
        <v>2945</v>
      </c>
    </row>
    <row r="745" spans="1:9" x14ac:dyDescent="0.3">
      <c r="A745" s="286" t="s">
        <v>2025</v>
      </c>
      <c r="B745" s="287"/>
      <c r="I745" t="s">
        <v>2946</v>
      </c>
    </row>
    <row r="746" spans="1:9" x14ac:dyDescent="0.3">
      <c r="A746" s="287" t="s">
        <v>2947</v>
      </c>
      <c r="B746" s="287"/>
      <c r="I746" t="s">
        <v>2948</v>
      </c>
    </row>
    <row r="747" spans="1:9" x14ac:dyDescent="0.3">
      <c r="A747" s="287" t="s">
        <v>2949</v>
      </c>
      <c r="B747" s="287"/>
      <c r="I747" t="s">
        <v>2950</v>
      </c>
    </row>
    <row r="748" spans="1:9" x14ac:dyDescent="0.3">
      <c r="A748" s="284" t="s">
        <v>2065</v>
      </c>
      <c r="B748" s="287"/>
      <c r="I748" t="s">
        <v>2951</v>
      </c>
    </row>
    <row r="749" spans="1:9" x14ac:dyDescent="0.3">
      <c r="A749" s="283" t="s">
        <v>2031</v>
      </c>
      <c r="B749" s="287"/>
      <c r="I749" t="s">
        <v>2952</v>
      </c>
    </row>
    <row r="750" spans="1:9" x14ac:dyDescent="0.3">
      <c r="A750" s="286" t="s">
        <v>2034</v>
      </c>
      <c r="B750" s="287"/>
      <c r="I750" t="s">
        <v>2953</v>
      </c>
    </row>
    <row r="751" spans="1:9" x14ac:dyDescent="0.3">
      <c r="A751" s="287" t="s">
        <v>2954</v>
      </c>
      <c r="B751" s="287"/>
      <c r="I751" t="s">
        <v>2955</v>
      </c>
    </row>
    <row r="752" spans="1:9" x14ac:dyDescent="0.3">
      <c r="A752" s="287" t="s">
        <v>2956</v>
      </c>
      <c r="B752" s="287"/>
      <c r="I752" t="s">
        <v>2957</v>
      </c>
    </row>
    <row r="753" spans="1:9" x14ac:dyDescent="0.3">
      <c r="A753" s="286" t="s">
        <v>2037</v>
      </c>
      <c r="B753" s="287"/>
      <c r="I753" t="s">
        <v>2958</v>
      </c>
    </row>
    <row r="754" spans="1:9" x14ac:dyDescent="0.3">
      <c r="A754" s="287" t="s">
        <v>2959</v>
      </c>
      <c r="B754" s="287"/>
      <c r="I754" t="s">
        <v>2960</v>
      </c>
    </row>
    <row r="755" spans="1:9" x14ac:dyDescent="0.3">
      <c r="A755" s="287" t="s">
        <v>2961</v>
      </c>
      <c r="B755" s="287"/>
      <c r="I755" t="s">
        <v>2962</v>
      </c>
    </row>
    <row r="756" spans="1:9" x14ac:dyDescent="0.3">
      <c r="A756" s="286" t="s">
        <v>2040</v>
      </c>
      <c r="B756" s="287"/>
      <c r="I756" t="s">
        <v>2963</v>
      </c>
    </row>
    <row r="757" spans="1:9" x14ac:dyDescent="0.3">
      <c r="A757" s="287" t="s">
        <v>2964</v>
      </c>
      <c r="B757" s="287"/>
      <c r="I757" t="s">
        <v>2965</v>
      </c>
    </row>
    <row r="758" spans="1:9" x14ac:dyDescent="0.3">
      <c r="A758" s="287" t="s">
        <v>2966</v>
      </c>
      <c r="B758" s="287"/>
      <c r="I758" t="s">
        <v>2967</v>
      </c>
    </row>
    <row r="759" spans="1:9" x14ac:dyDescent="0.3">
      <c r="A759" s="286" t="s">
        <v>2042</v>
      </c>
      <c r="B759" s="287"/>
      <c r="I759" t="s">
        <v>2968</v>
      </c>
    </row>
    <row r="760" spans="1:9" x14ac:dyDescent="0.3">
      <c r="A760" s="287" t="s">
        <v>2969</v>
      </c>
      <c r="B760" s="287"/>
      <c r="I760" t="s">
        <v>2970</v>
      </c>
    </row>
    <row r="761" spans="1:9" x14ac:dyDescent="0.3">
      <c r="A761" s="287" t="s">
        <v>2971</v>
      </c>
      <c r="B761" s="287"/>
      <c r="I761" t="s">
        <v>2972</v>
      </c>
    </row>
    <row r="762" spans="1:9" x14ac:dyDescent="0.3">
      <c r="A762" s="287" t="s">
        <v>2973</v>
      </c>
      <c r="B762" s="287"/>
      <c r="I762" t="s">
        <v>2974</v>
      </c>
    </row>
    <row r="763" spans="1:9" x14ac:dyDescent="0.3">
      <c r="A763" s="283" t="s">
        <v>2045</v>
      </c>
      <c r="B763" s="287"/>
      <c r="I763" t="s">
        <v>2975</v>
      </c>
    </row>
    <row r="764" spans="1:9" x14ac:dyDescent="0.3">
      <c r="A764" s="286" t="s">
        <v>2047</v>
      </c>
      <c r="B764" s="287"/>
      <c r="I764" t="s">
        <v>2976</v>
      </c>
    </row>
    <row r="765" spans="1:9" x14ac:dyDescent="0.3">
      <c r="A765" s="287" t="s">
        <v>2977</v>
      </c>
      <c r="B765" s="287"/>
      <c r="I765" t="s">
        <v>2978</v>
      </c>
    </row>
    <row r="766" spans="1:9" x14ac:dyDescent="0.3">
      <c r="A766" s="287" t="s">
        <v>2979</v>
      </c>
      <c r="B766" s="287"/>
      <c r="I766" t="s">
        <v>2980</v>
      </c>
    </row>
    <row r="767" spans="1:9" x14ac:dyDescent="0.3">
      <c r="A767" s="286" t="s">
        <v>2050</v>
      </c>
      <c r="B767" s="287"/>
      <c r="I767" t="s">
        <v>2981</v>
      </c>
    </row>
    <row r="768" spans="1:9" x14ac:dyDescent="0.3">
      <c r="A768" s="287" t="s">
        <v>2982</v>
      </c>
      <c r="B768" s="287"/>
      <c r="I768" t="s">
        <v>2983</v>
      </c>
    </row>
    <row r="769" spans="1:9" x14ac:dyDescent="0.3">
      <c r="A769" s="286" t="s">
        <v>2053</v>
      </c>
      <c r="B769" s="287"/>
      <c r="I769" t="s">
        <v>2984</v>
      </c>
    </row>
    <row r="770" spans="1:9" x14ac:dyDescent="0.3">
      <c r="A770" s="287" t="s">
        <v>2985</v>
      </c>
      <c r="B770" s="287"/>
      <c r="I770" t="s">
        <v>2986</v>
      </c>
    </row>
    <row r="771" spans="1:9" x14ac:dyDescent="0.3">
      <c r="A771" s="283" t="s">
        <v>2055</v>
      </c>
      <c r="B771" s="287"/>
      <c r="I771" t="s">
        <v>2987</v>
      </c>
    </row>
    <row r="772" spans="1:9" x14ac:dyDescent="0.3">
      <c r="A772" s="286" t="s">
        <v>2057</v>
      </c>
      <c r="B772" s="287"/>
      <c r="I772" t="s">
        <v>2988</v>
      </c>
    </row>
    <row r="773" spans="1:9" x14ac:dyDescent="0.3">
      <c r="A773" s="287" t="s">
        <v>2989</v>
      </c>
      <c r="B773" s="287"/>
      <c r="I773" t="s">
        <v>2990</v>
      </c>
    </row>
    <row r="774" spans="1:9" x14ac:dyDescent="0.3">
      <c r="A774" s="287" t="s">
        <v>2991</v>
      </c>
      <c r="B774" s="287"/>
      <c r="I774" t="s">
        <v>2992</v>
      </c>
    </row>
    <row r="775" spans="1:9" x14ac:dyDescent="0.3">
      <c r="A775" s="287" t="s">
        <v>2993</v>
      </c>
      <c r="B775" s="287"/>
      <c r="I775" t="s">
        <v>2994</v>
      </c>
    </row>
    <row r="776" spans="1:9" x14ac:dyDescent="0.3">
      <c r="A776" s="286" t="s">
        <v>2060</v>
      </c>
      <c r="B776" s="287"/>
      <c r="I776" t="s">
        <v>2995</v>
      </c>
    </row>
    <row r="777" spans="1:9" x14ac:dyDescent="0.3">
      <c r="A777" s="287" t="s">
        <v>2996</v>
      </c>
      <c r="B777" s="287"/>
      <c r="I777" t="s">
        <v>2997</v>
      </c>
    </row>
    <row r="778" spans="1:9" x14ac:dyDescent="0.3">
      <c r="A778" s="287" t="s">
        <v>2998</v>
      </c>
      <c r="B778" s="287"/>
      <c r="I778" t="s">
        <v>2999</v>
      </c>
    </row>
    <row r="779" spans="1:9" x14ac:dyDescent="0.3">
      <c r="A779" s="287" t="s">
        <v>3000</v>
      </c>
      <c r="B779" s="287"/>
      <c r="I779" t="s">
        <v>3001</v>
      </c>
    </row>
    <row r="780" spans="1:9" x14ac:dyDescent="0.3">
      <c r="A780" s="286" t="s">
        <v>2062</v>
      </c>
      <c r="B780" s="287"/>
      <c r="I780" t="s">
        <v>3002</v>
      </c>
    </row>
    <row r="781" spans="1:9" x14ac:dyDescent="0.3">
      <c r="A781" s="287" t="s">
        <v>3003</v>
      </c>
      <c r="B781" s="287"/>
      <c r="I781" t="s">
        <v>3004</v>
      </c>
    </row>
    <row r="782" spans="1:9" x14ac:dyDescent="0.3">
      <c r="A782" s="284" t="s">
        <v>2079</v>
      </c>
      <c r="B782" s="287"/>
      <c r="I782" t="s">
        <v>3005</v>
      </c>
    </row>
    <row r="783" spans="1:9" x14ac:dyDescent="0.3">
      <c r="A783" s="283" t="s">
        <v>2067</v>
      </c>
      <c r="B783" s="287"/>
      <c r="I783" t="s">
        <v>3006</v>
      </c>
    </row>
    <row r="784" spans="1:9" x14ac:dyDescent="0.3">
      <c r="A784" s="286" t="s">
        <v>2070</v>
      </c>
      <c r="B784" s="287"/>
      <c r="I784" t="s">
        <v>3007</v>
      </c>
    </row>
    <row r="785" spans="1:9" x14ac:dyDescent="0.3">
      <c r="A785" s="287" t="s">
        <v>3008</v>
      </c>
      <c r="B785" s="287"/>
      <c r="I785" t="s">
        <v>3009</v>
      </c>
    </row>
    <row r="786" spans="1:9" x14ac:dyDescent="0.3">
      <c r="A786" s="287" t="s">
        <v>3010</v>
      </c>
      <c r="B786" s="287"/>
      <c r="I786" t="s">
        <v>3011</v>
      </c>
    </row>
    <row r="787" spans="1:9" x14ac:dyDescent="0.3">
      <c r="A787" s="286" t="s">
        <v>2073</v>
      </c>
      <c r="B787" s="287"/>
      <c r="I787" t="s">
        <v>3012</v>
      </c>
    </row>
    <row r="788" spans="1:9" x14ac:dyDescent="0.3">
      <c r="A788" s="287" t="s">
        <v>3013</v>
      </c>
      <c r="B788" s="287"/>
      <c r="I788" t="s">
        <v>3014</v>
      </c>
    </row>
    <row r="789" spans="1:9" x14ac:dyDescent="0.3">
      <c r="A789" s="286" t="s">
        <v>2076</v>
      </c>
      <c r="B789" s="287"/>
      <c r="I789" t="s">
        <v>3015</v>
      </c>
    </row>
    <row r="790" spans="1:9" x14ac:dyDescent="0.3">
      <c r="A790" s="287" t="s">
        <v>3016</v>
      </c>
      <c r="B790" s="287"/>
      <c r="I790" t="s">
        <v>3017</v>
      </c>
    </row>
    <row r="791" spans="1:9" x14ac:dyDescent="0.3">
      <c r="A791" s="287" t="s">
        <v>3018</v>
      </c>
      <c r="B791" s="287"/>
      <c r="I791" t="s">
        <v>3019</v>
      </c>
    </row>
    <row r="792" spans="1:9" x14ac:dyDescent="0.3">
      <c r="A792" s="284" t="s">
        <v>2143</v>
      </c>
      <c r="B792" s="287"/>
      <c r="I792" t="s">
        <v>3020</v>
      </c>
    </row>
    <row r="793" spans="1:9" x14ac:dyDescent="0.3">
      <c r="A793" s="283" t="s">
        <v>2081</v>
      </c>
      <c r="B793" s="287"/>
      <c r="I793" t="s">
        <v>3021</v>
      </c>
    </row>
    <row r="794" spans="1:9" x14ac:dyDescent="0.3">
      <c r="A794" s="286" t="s">
        <v>2084</v>
      </c>
      <c r="B794" s="287"/>
      <c r="I794" t="s">
        <v>3022</v>
      </c>
    </row>
    <row r="795" spans="1:9" x14ac:dyDescent="0.3">
      <c r="A795" s="287" t="s">
        <v>3023</v>
      </c>
      <c r="B795" s="287"/>
      <c r="I795" t="s">
        <v>3024</v>
      </c>
    </row>
    <row r="796" spans="1:9" x14ac:dyDescent="0.3">
      <c r="A796" s="286" t="s">
        <v>2087</v>
      </c>
      <c r="B796" s="287"/>
      <c r="I796" t="s">
        <v>3025</v>
      </c>
    </row>
    <row r="797" spans="1:9" x14ac:dyDescent="0.3">
      <c r="A797" s="287" t="s">
        <v>3026</v>
      </c>
      <c r="B797" s="287"/>
      <c r="I797" t="s">
        <v>3027</v>
      </c>
    </row>
    <row r="798" spans="1:9" x14ac:dyDescent="0.3">
      <c r="A798" s="283" t="s">
        <v>2090</v>
      </c>
      <c r="B798" s="287"/>
      <c r="I798" t="s">
        <v>3028</v>
      </c>
    </row>
    <row r="799" spans="1:9" x14ac:dyDescent="0.3">
      <c r="A799" s="286" t="s">
        <v>2093</v>
      </c>
      <c r="B799" s="287"/>
      <c r="I799" t="s">
        <v>3029</v>
      </c>
    </row>
    <row r="800" spans="1:9" x14ac:dyDescent="0.3">
      <c r="A800" s="287" t="s">
        <v>3030</v>
      </c>
      <c r="B800" s="287"/>
      <c r="I800" t="s">
        <v>3031</v>
      </c>
    </row>
    <row r="801" spans="1:9" x14ac:dyDescent="0.3">
      <c r="A801" s="286" t="s">
        <v>2096</v>
      </c>
      <c r="B801" s="287"/>
      <c r="I801" t="s">
        <v>3032</v>
      </c>
    </row>
    <row r="802" spans="1:9" x14ac:dyDescent="0.3">
      <c r="A802" s="287" t="s">
        <v>3033</v>
      </c>
      <c r="B802" s="287"/>
      <c r="I802" t="s">
        <v>3034</v>
      </c>
    </row>
    <row r="803" spans="1:9" x14ac:dyDescent="0.3">
      <c r="A803" s="283" t="s">
        <v>2099</v>
      </c>
      <c r="B803" s="287"/>
      <c r="I803" t="s">
        <v>3035</v>
      </c>
    </row>
    <row r="804" spans="1:9" x14ac:dyDescent="0.3">
      <c r="A804" s="286" t="s">
        <v>2101</v>
      </c>
      <c r="B804" s="287"/>
      <c r="I804" t="s">
        <v>3036</v>
      </c>
    </row>
    <row r="805" spans="1:9" x14ac:dyDescent="0.3">
      <c r="A805" s="287" t="s">
        <v>3037</v>
      </c>
      <c r="B805" s="287"/>
      <c r="I805" t="s">
        <v>3038</v>
      </c>
    </row>
    <row r="806" spans="1:9" x14ac:dyDescent="0.3">
      <c r="A806" s="287" t="s">
        <v>3039</v>
      </c>
      <c r="B806" s="287"/>
      <c r="I806" t="s">
        <v>3040</v>
      </c>
    </row>
    <row r="807" spans="1:9" x14ac:dyDescent="0.3">
      <c r="A807" s="286" t="s">
        <v>2104</v>
      </c>
      <c r="B807" s="287"/>
      <c r="I807" t="s">
        <v>3041</v>
      </c>
    </row>
    <row r="808" spans="1:9" x14ac:dyDescent="0.3">
      <c r="A808" s="287" t="s">
        <v>3042</v>
      </c>
      <c r="B808" s="287"/>
      <c r="I808" t="s">
        <v>3043</v>
      </c>
    </row>
    <row r="809" spans="1:9" x14ac:dyDescent="0.3">
      <c r="A809" s="283" t="s">
        <v>2107</v>
      </c>
      <c r="B809" s="287"/>
      <c r="I809" t="s">
        <v>3044</v>
      </c>
    </row>
    <row r="810" spans="1:9" x14ac:dyDescent="0.3">
      <c r="A810" s="286" t="s">
        <v>2110</v>
      </c>
      <c r="B810" s="287"/>
      <c r="I810" t="s">
        <v>3045</v>
      </c>
    </row>
    <row r="811" spans="1:9" x14ac:dyDescent="0.3">
      <c r="A811" s="287" t="s">
        <v>3046</v>
      </c>
      <c r="B811" s="287"/>
      <c r="I811" t="s">
        <v>3047</v>
      </c>
    </row>
    <row r="812" spans="1:9" x14ac:dyDescent="0.3">
      <c r="A812" s="286" t="s">
        <v>2113</v>
      </c>
      <c r="B812" s="287"/>
      <c r="I812" t="s">
        <v>3048</v>
      </c>
    </row>
    <row r="813" spans="1:9" x14ac:dyDescent="0.3">
      <c r="A813" s="287" t="s">
        <v>3049</v>
      </c>
      <c r="B813" s="287"/>
      <c r="I813" t="s">
        <v>3050</v>
      </c>
    </row>
    <row r="814" spans="1:9" x14ac:dyDescent="0.3">
      <c r="A814" s="283" t="s">
        <v>2115</v>
      </c>
      <c r="B814" s="287"/>
      <c r="I814" t="s">
        <v>3051</v>
      </c>
    </row>
    <row r="815" spans="1:9" x14ac:dyDescent="0.3">
      <c r="A815" s="286" t="s">
        <v>2117</v>
      </c>
      <c r="B815" s="287"/>
      <c r="I815" t="s">
        <v>3052</v>
      </c>
    </row>
    <row r="816" spans="1:9" x14ac:dyDescent="0.3">
      <c r="A816" s="287" t="s">
        <v>3053</v>
      </c>
      <c r="B816" s="287"/>
      <c r="I816" t="s">
        <v>3054</v>
      </c>
    </row>
    <row r="817" spans="1:9" x14ac:dyDescent="0.3">
      <c r="A817" s="287" t="s">
        <v>3055</v>
      </c>
      <c r="B817" s="287"/>
      <c r="I817" t="s">
        <v>3056</v>
      </c>
    </row>
    <row r="818" spans="1:9" x14ac:dyDescent="0.3">
      <c r="A818" s="286" t="s">
        <v>2120</v>
      </c>
      <c r="B818" s="287"/>
      <c r="I818" t="s">
        <v>3057</v>
      </c>
    </row>
    <row r="819" spans="1:9" x14ac:dyDescent="0.3">
      <c r="A819" s="287" t="s">
        <v>3058</v>
      </c>
      <c r="B819" s="287"/>
      <c r="I819" t="s">
        <v>3059</v>
      </c>
    </row>
    <row r="820" spans="1:9" x14ac:dyDescent="0.3">
      <c r="A820" s="286" t="s">
        <v>2123</v>
      </c>
      <c r="B820" s="287"/>
      <c r="I820" t="s">
        <v>3060</v>
      </c>
    </row>
    <row r="821" spans="1:9" x14ac:dyDescent="0.3">
      <c r="A821" s="287" t="s">
        <v>3061</v>
      </c>
      <c r="B821" s="287"/>
      <c r="I821" t="s">
        <v>3062</v>
      </c>
    </row>
    <row r="822" spans="1:9" x14ac:dyDescent="0.3">
      <c r="A822" s="283" t="s">
        <v>2125</v>
      </c>
      <c r="B822" s="287"/>
      <c r="I822" t="s">
        <v>3063</v>
      </c>
    </row>
    <row r="823" spans="1:9" x14ac:dyDescent="0.3">
      <c r="A823" s="286" t="s">
        <v>2128</v>
      </c>
      <c r="B823" s="287"/>
      <c r="I823" t="s">
        <v>3064</v>
      </c>
    </row>
    <row r="824" spans="1:9" x14ac:dyDescent="0.3">
      <c r="A824" s="287" t="s">
        <v>3065</v>
      </c>
      <c r="B824" s="287"/>
      <c r="I824" t="s">
        <v>3066</v>
      </c>
    </row>
    <row r="825" spans="1:9" x14ac:dyDescent="0.3">
      <c r="A825" s="287" t="s">
        <v>3067</v>
      </c>
      <c r="B825" s="287"/>
      <c r="I825" t="s">
        <v>3068</v>
      </c>
    </row>
    <row r="826" spans="1:9" x14ac:dyDescent="0.3">
      <c r="A826" s="287" t="s">
        <v>3069</v>
      </c>
      <c r="B826" s="287"/>
      <c r="I826" t="s">
        <v>3070</v>
      </c>
    </row>
    <row r="827" spans="1:9" x14ac:dyDescent="0.3">
      <c r="A827" s="287" t="s">
        <v>3071</v>
      </c>
      <c r="B827" s="287"/>
      <c r="I827" t="s">
        <v>3072</v>
      </c>
    </row>
    <row r="828" spans="1:9" x14ac:dyDescent="0.3">
      <c r="A828" s="286" t="s">
        <v>2131</v>
      </c>
      <c r="B828" s="287"/>
      <c r="I828" t="s">
        <v>3073</v>
      </c>
    </row>
    <row r="829" spans="1:9" x14ac:dyDescent="0.3">
      <c r="A829" s="287" t="s">
        <v>3074</v>
      </c>
      <c r="B829" s="287"/>
      <c r="I829" t="s">
        <v>3075</v>
      </c>
    </row>
    <row r="830" spans="1:9" x14ac:dyDescent="0.3">
      <c r="A830" s="286" t="s">
        <v>2133</v>
      </c>
      <c r="B830" s="287"/>
      <c r="I830" t="s">
        <v>3076</v>
      </c>
    </row>
    <row r="831" spans="1:9" x14ac:dyDescent="0.3">
      <c r="A831" s="287" t="s">
        <v>3077</v>
      </c>
      <c r="B831" s="287"/>
      <c r="I831" t="s">
        <v>3078</v>
      </c>
    </row>
    <row r="832" spans="1:9" x14ac:dyDescent="0.3">
      <c r="A832" s="286" t="s">
        <v>2136</v>
      </c>
      <c r="B832" s="287"/>
      <c r="I832" t="s">
        <v>3079</v>
      </c>
    </row>
    <row r="833" spans="1:9" x14ac:dyDescent="0.3">
      <c r="A833" s="287" t="s">
        <v>3080</v>
      </c>
      <c r="B833" s="287"/>
      <c r="I833" t="s">
        <v>3081</v>
      </c>
    </row>
    <row r="834" spans="1:9" x14ac:dyDescent="0.3">
      <c r="A834" s="287" t="s">
        <v>3082</v>
      </c>
      <c r="B834" s="287"/>
      <c r="I834" t="s">
        <v>3083</v>
      </c>
    </row>
    <row r="835" spans="1:9" x14ac:dyDescent="0.3">
      <c r="A835" s="283" t="s">
        <v>2138</v>
      </c>
      <c r="B835" s="287"/>
      <c r="I835" t="s">
        <v>3084</v>
      </c>
    </row>
    <row r="836" spans="1:9" x14ac:dyDescent="0.3">
      <c r="A836" s="286" t="s">
        <v>2141</v>
      </c>
      <c r="B836" s="287"/>
      <c r="I836" t="s">
        <v>3085</v>
      </c>
    </row>
    <row r="837" spans="1:9" x14ac:dyDescent="0.3">
      <c r="A837" s="287" t="s">
        <v>3086</v>
      </c>
      <c r="B837" s="287"/>
      <c r="I837" t="s">
        <v>3087</v>
      </c>
    </row>
    <row r="838" spans="1:9" x14ac:dyDescent="0.3">
      <c r="A838" s="284" t="s">
        <v>2210</v>
      </c>
      <c r="B838" s="287"/>
      <c r="I838" t="s">
        <v>3088</v>
      </c>
    </row>
    <row r="839" spans="1:9" x14ac:dyDescent="0.3">
      <c r="A839" s="283" t="s">
        <v>2146</v>
      </c>
      <c r="B839" s="287"/>
      <c r="I839" t="s">
        <v>3089</v>
      </c>
    </row>
    <row r="840" spans="1:9" x14ac:dyDescent="0.3">
      <c r="A840" s="286" t="s">
        <v>2149</v>
      </c>
      <c r="B840" s="287"/>
      <c r="I840" t="s">
        <v>3090</v>
      </c>
    </row>
    <row r="841" spans="1:9" x14ac:dyDescent="0.3">
      <c r="A841" s="287" t="s">
        <v>3091</v>
      </c>
      <c r="B841" s="287"/>
      <c r="I841" t="s">
        <v>3092</v>
      </c>
    </row>
    <row r="842" spans="1:9" x14ac:dyDescent="0.3">
      <c r="A842" s="287" t="s">
        <v>3093</v>
      </c>
      <c r="B842" s="287"/>
      <c r="I842" t="s">
        <v>3094</v>
      </c>
    </row>
    <row r="843" spans="1:9" x14ac:dyDescent="0.3">
      <c r="A843" s="286" t="s">
        <v>2152</v>
      </c>
      <c r="B843" s="287"/>
      <c r="I843" t="s">
        <v>3095</v>
      </c>
    </row>
    <row r="844" spans="1:9" x14ac:dyDescent="0.3">
      <c r="A844" s="287" t="s">
        <v>3096</v>
      </c>
      <c r="B844" s="287"/>
      <c r="I844" t="s">
        <v>3097</v>
      </c>
    </row>
    <row r="845" spans="1:9" x14ac:dyDescent="0.3">
      <c r="A845" s="287" t="s">
        <v>3098</v>
      </c>
      <c r="B845" s="287"/>
      <c r="I845" t="s">
        <v>3099</v>
      </c>
    </row>
    <row r="846" spans="1:9" x14ac:dyDescent="0.3">
      <c r="A846" s="286" t="s">
        <v>2154</v>
      </c>
      <c r="B846" s="287"/>
      <c r="I846" t="s">
        <v>3100</v>
      </c>
    </row>
    <row r="847" spans="1:9" x14ac:dyDescent="0.3">
      <c r="A847" s="287" t="s">
        <v>3101</v>
      </c>
      <c r="B847" s="287"/>
      <c r="I847" t="s">
        <v>3102</v>
      </c>
    </row>
    <row r="848" spans="1:9" x14ac:dyDescent="0.3">
      <c r="A848" s="287" t="s">
        <v>3103</v>
      </c>
      <c r="B848" s="287"/>
      <c r="I848" t="s">
        <v>3104</v>
      </c>
    </row>
    <row r="849" spans="1:9" x14ac:dyDescent="0.3">
      <c r="A849" s="287" t="s">
        <v>3105</v>
      </c>
      <c r="B849" s="287"/>
      <c r="I849" t="s">
        <v>3106</v>
      </c>
    </row>
    <row r="850" spans="1:9" x14ac:dyDescent="0.3">
      <c r="A850" s="287" t="s">
        <v>3107</v>
      </c>
      <c r="B850" s="287"/>
      <c r="I850" t="s">
        <v>3108</v>
      </c>
    </row>
    <row r="851" spans="1:9" x14ac:dyDescent="0.3">
      <c r="A851" s="287" t="s">
        <v>3109</v>
      </c>
      <c r="B851" s="287"/>
      <c r="I851" t="s">
        <v>3110</v>
      </c>
    </row>
    <row r="852" spans="1:9" x14ac:dyDescent="0.3">
      <c r="A852" s="287" t="s">
        <v>3111</v>
      </c>
      <c r="B852" s="287"/>
      <c r="I852" t="s">
        <v>3112</v>
      </c>
    </row>
    <row r="853" spans="1:9" x14ac:dyDescent="0.3">
      <c r="A853" s="286" t="s">
        <v>2157</v>
      </c>
      <c r="B853" s="287"/>
      <c r="I853" t="s">
        <v>3113</v>
      </c>
    </row>
    <row r="854" spans="1:9" x14ac:dyDescent="0.3">
      <c r="A854" s="287" t="s">
        <v>3114</v>
      </c>
      <c r="B854" s="287"/>
      <c r="I854" t="s">
        <v>3115</v>
      </c>
    </row>
    <row r="855" spans="1:9" x14ac:dyDescent="0.3">
      <c r="A855" s="286" t="s">
        <v>2160</v>
      </c>
      <c r="B855" s="287"/>
      <c r="I855" t="s">
        <v>3116</v>
      </c>
    </row>
    <row r="856" spans="1:9" x14ac:dyDescent="0.3">
      <c r="A856" s="287" t="s">
        <v>3117</v>
      </c>
      <c r="B856" s="287"/>
      <c r="I856" t="s">
        <v>3118</v>
      </c>
    </row>
    <row r="857" spans="1:9" x14ac:dyDescent="0.3">
      <c r="A857" s="287" t="s">
        <v>3119</v>
      </c>
      <c r="B857" s="287"/>
      <c r="I857" t="s">
        <v>3120</v>
      </c>
    </row>
    <row r="858" spans="1:9" x14ac:dyDescent="0.3">
      <c r="A858" s="283" t="s">
        <v>2163</v>
      </c>
      <c r="B858" s="287"/>
      <c r="I858" t="s">
        <v>3121</v>
      </c>
    </row>
    <row r="859" spans="1:9" x14ac:dyDescent="0.3">
      <c r="A859" s="286" t="s">
        <v>2165</v>
      </c>
      <c r="B859" s="287"/>
      <c r="I859" t="s">
        <v>3122</v>
      </c>
    </row>
    <row r="860" spans="1:9" x14ac:dyDescent="0.3">
      <c r="A860" s="287" t="s">
        <v>3123</v>
      </c>
      <c r="B860" s="287"/>
      <c r="I860" t="s">
        <v>3124</v>
      </c>
    </row>
    <row r="861" spans="1:9" x14ac:dyDescent="0.3">
      <c r="A861" s="286" t="s">
        <v>2168</v>
      </c>
      <c r="B861" s="287"/>
      <c r="I861" t="s">
        <v>3125</v>
      </c>
    </row>
    <row r="862" spans="1:9" x14ac:dyDescent="0.3">
      <c r="A862" s="287" t="s">
        <v>3126</v>
      </c>
      <c r="B862" s="287"/>
      <c r="I862" t="s">
        <v>3127</v>
      </c>
    </row>
    <row r="863" spans="1:9" x14ac:dyDescent="0.3">
      <c r="A863" s="283" t="s">
        <v>2171</v>
      </c>
      <c r="B863" s="287"/>
      <c r="I863" t="s">
        <v>3128</v>
      </c>
    </row>
    <row r="864" spans="1:9" x14ac:dyDescent="0.3">
      <c r="A864" s="286" t="s">
        <v>2174</v>
      </c>
      <c r="B864" s="287"/>
      <c r="I864" t="s">
        <v>3129</v>
      </c>
    </row>
    <row r="865" spans="1:9" x14ac:dyDescent="0.3">
      <c r="A865" s="287" t="s">
        <v>3130</v>
      </c>
      <c r="B865" s="287"/>
      <c r="I865" t="s">
        <v>3131</v>
      </c>
    </row>
    <row r="866" spans="1:9" x14ac:dyDescent="0.3">
      <c r="A866" s="287" t="s">
        <v>3132</v>
      </c>
      <c r="B866" s="287"/>
      <c r="I866" t="s">
        <v>3133</v>
      </c>
    </row>
    <row r="867" spans="1:9" x14ac:dyDescent="0.3">
      <c r="A867" s="286" t="s">
        <v>2177</v>
      </c>
      <c r="B867" s="287"/>
      <c r="I867" t="s">
        <v>3134</v>
      </c>
    </row>
    <row r="868" spans="1:9" x14ac:dyDescent="0.3">
      <c r="A868" s="287" t="s">
        <v>3135</v>
      </c>
      <c r="B868" s="287"/>
      <c r="I868" t="s">
        <v>3136</v>
      </c>
    </row>
    <row r="869" spans="1:9" x14ac:dyDescent="0.3">
      <c r="A869" s="283" t="s">
        <v>2180</v>
      </c>
      <c r="B869" s="287"/>
      <c r="I869" t="s">
        <v>3137</v>
      </c>
    </row>
    <row r="870" spans="1:9" x14ac:dyDescent="0.3">
      <c r="A870" s="286" t="s">
        <v>2182</v>
      </c>
      <c r="B870" s="287"/>
      <c r="I870" t="s">
        <v>3138</v>
      </c>
    </row>
    <row r="871" spans="1:9" x14ac:dyDescent="0.3">
      <c r="A871" s="287" t="s">
        <v>3139</v>
      </c>
      <c r="B871" s="287"/>
      <c r="I871" t="s">
        <v>3140</v>
      </c>
    </row>
    <row r="872" spans="1:9" x14ac:dyDescent="0.3">
      <c r="A872" s="287" t="s">
        <v>3141</v>
      </c>
      <c r="B872" s="287"/>
      <c r="I872" t="s">
        <v>3142</v>
      </c>
    </row>
    <row r="873" spans="1:9" x14ac:dyDescent="0.3">
      <c r="A873" s="283" t="s">
        <v>2184</v>
      </c>
      <c r="B873" s="287"/>
      <c r="I873" t="s">
        <v>3143</v>
      </c>
    </row>
    <row r="874" spans="1:9" x14ac:dyDescent="0.3">
      <c r="A874" s="286" t="s">
        <v>2187</v>
      </c>
      <c r="B874" s="287"/>
      <c r="I874" t="s">
        <v>3144</v>
      </c>
    </row>
    <row r="875" spans="1:9" x14ac:dyDescent="0.3">
      <c r="A875" s="287" t="s">
        <v>3145</v>
      </c>
      <c r="B875" s="287"/>
      <c r="I875" t="s">
        <v>3146</v>
      </c>
    </row>
    <row r="876" spans="1:9" x14ac:dyDescent="0.3">
      <c r="A876" s="286" t="s">
        <v>2190</v>
      </c>
      <c r="B876" s="287"/>
      <c r="I876" t="s">
        <v>3147</v>
      </c>
    </row>
    <row r="877" spans="1:9" x14ac:dyDescent="0.3">
      <c r="A877" s="287" t="s">
        <v>3148</v>
      </c>
      <c r="B877" s="287"/>
      <c r="I877" t="s">
        <v>3149</v>
      </c>
    </row>
    <row r="878" spans="1:9" x14ac:dyDescent="0.3">
      <c r="A878" s="287" t="s">
        <v>3150</v>
      </c>
      <c r="B878" s="287"/>
      <c r="I878" t="s">
        <v>3151</v>
      </c>
    </row>
    <row r="879" spans="1:9" x14ac:dyDescent="0.3">
      <c r="A879" s="287" t="s">
        <v>3152</v>
      </c>
      <c r="B879" s="287"/>
      <c r="I879" t="s">
        <v>3153</v>
      </c>
    </row>
    <row r="880" spans="1:9" x14ac:dyDescent="0.3">
      <c r="A880" s="286" t="s">
        <v>2192</v>
      </c>
      <c r="B880" s="287"/>
      <c r="I880" t="s">
        <v>3154</v>
      </c>
    </row>
    <row r="881" spans="1:9" x14ac:dyDescent="0.3">
      <c r="A881" s="287" t="s">
        <v>3155</v>
      </c>
      <c r="B881" s="287"/>
      <c r="I881" t="s">
        <v>3156</v>
      </c>
    </row>
    <row r="882" spans="1:9" x14ac:dyDescent="0.3">
      <c r="A882" s="283" t="s">
        <v>2195</v>
      </c>
      <c r="B882" s="287"/>
      <c r="I882" t="s">
        <v>3157</v>
      </c>
    </row>
    <row r="883" spans="1:9" x14ac:dyDescent="0.3">
      <c r="A883" s="286" t="s">
        <v>2197</v>
      </c>
      <c r="B883" s="287"/>
      <c r="I883" t="s">
        <v>3158</v>
      </c>
    </row>
    <row r="884" spans="1:9" x14ac:dyDescent="0.3">
      <c r="A884" s="287" t="s">
        <v>3159</v>
      </c>
      <c r="B884" s="287"/>
      <c r="I884" t="s">
        <v>3160</v>
      </c>
    </row>
    <row r="885" spans="1:9" x14ac:dyDescent="0.3">
      <c r="A885" s="286" t="s">
        <v>2200</v>
      </c>
      <c r="B885" s="287"/>
      <c r="I885" t="s">
        <v>3161</v>
      </c>
    </row>
    <row r="886" spans="1:9" x14ac:dyDescent="0.3">
      <c r="A886" s="287" t="s">
        <v>3162</v>
      </c>
      <c r="B886" s="287"/>
      <c r="I886" t="s">
        <v>3163</v>
      </c>
    </row>
    <row r="887" spans="1:9" x14ac:dyDescent="0.3">
      <c r="A887" s="286" t="s">
        <v>2202</v>
      </c>
      <c r="B887" s="287"/>
      <c r="I887" t="s">
        <v>3164</v>
      </c>
    </row>
    <row r="888" spans="1:9" x14ac:dyDescent="0.3">
      <c r="A888" s="287" t="s">
        <v>3165</v>
      </c>
      <c r="B888" s="287"/>
      <c r="I888" t="s">
        <v>3166</v>
      </c>
    </row>
    <row r="889" spans="1:9" x14ac:dyDescent="0.3">
      <c r="A889" s="286" t="s">
        <v>2205</v>
      </c>
      <c r="B889" s="287"/>
      <c r="I889" t="s">
        <v>3167</v>
      </c>
    </row>
    <row r="890" spans="1:9" x14ac:dyDescent="0.3">
      <c r="A890" s="287" t="s">
        <v>3168</v>
      </c>
      <c r="B890" s="287"/>
      <c r="I890" t="s">
        <v>3169</v>
      </c>
    </row>
    <row r="891" spans="1:9" x14ac:dyDescent="0.3">
      <c r="A891" s="286" t="s">
        <v>2207</v>
      </c>
      <c r="B891" s="287"/>
      <c r="I891" t="s">
        <v>3170</v>
      </c>
    </row>
    <row r="892" spans="1:9" x14ac:dyDescent="0.3">
      <c r="A892" s="287" t="s">
        <v>3171</v>
      </c>
      <c r="B892" s="287"/>
      <c r="I892" t="s">
        <v>3172</v>
      </c>
    </row>
    <row r="893" spans="1:9" x14ac:dyDescent="0.3">
      <c r="A893" s="287" t="s">
        <v>3173</v>
      </c>
      <c r="B893" s="287"/>
      <c r="I893" t="s">
        <v>3174</v>
      </c>
    </row>
    <row r="894" spans="1:9" x14ac:dyDescent="0.3">
      <c r="A894" s="287" t="s">
        <v>3175</v>
      </c>
      <c r="B894" s="287"/>
      <c r="I894" t="s">
        <v>3176</v>
      </c>
    </row>
    <row r="895" spans="1:9" x14ac:dyDescent="0.3">
      <c r="A895" s="284" t="s">
        <v>2223</v>
      </c>
      <c r="B895" s="287"/>
      <c r="I895" t="s">
        <v>3177</v>
      </c>
    </row>
    <row r="896" spans="1:9" x14ac:dyDescent="0.3">
      <c r="A896" s="283" t="s">
        <v>2213</v>
      </c>
      <c r="B896" s="287"/>
      <c r="I896" t="s">
        <v>3178</v>
      </c>
    </row>
    <row r="897" spans="1:9" x14ac:dyDescent="0.3">
      <c r="A897" s="286" t="s">
        <v>2215</v>
      </c>
      <c r="B897" s="287"/>
      <c r="I897" t="s">
        <v>3179</v>
      </c>
    </row>
    <row r="898" spans="1:9" x14ac:dyDescent="0.3">
      <c r="A898" s="287" t="s">
        <v>3180</v>
      </c>
      <c r="B898" s="287"/>
      <c r="I898" t="s">
        <v>3181</v>
      </c>
    </row>
    <row r="899" spans="1:9" x14ac:dyDescent="0.3">
      <c r="A899" s="287" t="s">
        <v>3182</v>
      </c>
      <c r="B899" s="287"/>
      <c r="I899" t="s">
        <v>3183</v>
      </c>
    </row>
    <row r="900" spans="1:9" x14ac:dyDescent="0.3">
      <c r="A900" s="287" t="s">
        <v>3184</v>
      </c>
      <c r="B900" s="287"/>
      <c r="I900" t="s">
        <v>3185</v>
      </c>
    </row>
    <row r="901" spans="1:9" x14ac:dyDescent="0.3">
      <c r="A901" s="286" t="s">
        <v>2218</v>
      </c>
      <c r="B901" s="287"/>
      <c r="I901" t="s">
        <v>3186</v>
      </c>
    </row>
    <row r="902" spans="1:9" x14ac:dyDescent="0.3">
      <c r="A902" s="287" t="s">
        <v>3187</v>
      </c>
      <c r="B902" s="287"/>
      <c r="I902" t="s">
        <v>3188</v>
      </c>
    </row>
    <row r="903" spans="1:9" x14ac:dyDescent="0.3">
      <c r="A903" s="287" t="s">
        <v>3189</v>
      </c>
      <c r="B903" s="287"/>
      <c r="I903" t="s">
        <v>3190</v>
      </c>
    </row>
    <row r="904" spans="1:9" x14ac:dyDescent="0.3">
      <c r="A904" s="287" t="s">
        <v>3191</v>
      </c>
      <c r="B904" s="287"/>
      <c r="I904" t="s">
        <v>3192</v>
      </c>
    </row>
    <row r="905" spans="1:9" x14ac:dyDescent="0.3">
      <c r="A905" s="287" t="s">
        <v>3193</v>
      </c>
      <c r="B905" s="287"/>
      <c r="I905" t="s">
        <v>3194</v>
      </c>
    </row>
    <row r="906" spans="1:9" x14ac:dyDescent="0.3">
      <c r="A906" s="287" t="s">
        <v>3195</v>
      </c>
      <c r="B906" s="287"/>
      <c r="I906" t="s">
        <v>3196</v>
      </c>
    </row>
    <row r="907" spans="1:9" x14ac:dyDescent="0.3">
      <c r="A907" s="286" t="s">
        <v>2220</v>
      </c>
      <c r="B907" s="287"/>
      <c r="I907" t="s">
        <v>3197</v>
      </c>
    </row>
    <row r="908" spans="1:9" x14ac:dyDescent="0.3">
      <c r="A908" s="287" t="s">
        <v>3198</v>
      </c>
      <c r="B908" s="287"/>
      <c r="I908" t="s">
        <v>3199</v>
      </c>
    </row>
    <row r="909" spans="1:9" x14ac:dyDescent="0.3">
      <c r="A909" s="284" t="s">
        <v>2243</v>
      </c>
      <c r="B909" s="287"/>
      <c r="I909" t="s">
        <v>3200</v>
      </c>
    </row>
    <row r="910" spans="1:9" x14ac:dyDescent="0.3">
      <c r="A910" s="283" t="s">
        <v>2225</v>
      </c>
      <c r="B910" s="287"/>
      <c r="I910" t="s">
        <v>3201</v>
      </c>
    </row>
    <row r="911" spans="1:9" x14ac:dyDescent="0.3">
      <c r="A911" s="286" t="s">
        <v>2227</v>
      </c>
      <c r="B911" s="287"/>
      <c r="I911" t="s">
        <v>3202</v>
      </c>
    </row>
    <row r="912" spans="1:9" x14ac:dyDescent="0.3">
      <c r="A912" s="287" t="s">
        <v>3203</v>
      </c>
      <c r="B912" s="287"/>
      <c r="I912" t="s">
        <v>3204</v>
      </c>
    </row>
    <row r="913" spans="1:9" x14ac:dyDescent="0.3">
      <c r="A913" s="286" t="s">
        <v>2230</v>
      </c>
      <c r="B913" s="287"/>
      <c r="I913" t="s">
        <v>3205</v>
      </c>
    </row>
    <row r="914" spans="1:9" x14ac:dyDescent="0.3">
      <c r="A914" s="287" t="s">
        <v>3206</v>
      </c>
      <c r="B914" s="287"/>
      <c r="I914" t="s">
        <v>3207</v>
      </c>
    </row>
    <row r="915" spans="1:9" x14ac:dyDescent="0.3">
      <c r="A915" s="286" t="s">
        <v>2233</v>
      </c>
      <c r="B915" s="287"/>
      <c r="I915" t="s">
        <v>3208</v>
      </c>
    </row>
    <row r="916" spans="1:9" x14ac:dyDescent="0.3">
      <c r="A916" s="287" t="s">
        <v>3209</v>
      </c>
      <c r="B916" s="287"/>
      <c r="I916" t="s">
        <v>3210</v>
      </c>
    </row>
    <row r="917" spans="1:9" x14ac:dyDescent="0.3">
      <c r="A917" s="287" t="s">
        <v>3211</v>
      </c>
      <c r="B917" s="287"/>
      <c r="I917" t="s">
        <v>3212</v>
      </c>
    </row>
    <row r="918" spans="1:9" x14ac:dyDescent="0.3">
      <c r="A918" s="287" t="s">
        <v>3213</v>
      </c>
      <c r="B918" s="287"/>
      <c r="I918" t="s">
        <v>3214</v>
      </c>
    </row>
    <row r="919" spans="1:9" x14ac:dyDescent="0.3">
      <c r="A919" s="286" t="s">
        <v>2235</v>
      </c>
      <c r="B919" s="287"/>
      <c r="I919" t="s">
        <v>3215</v>
      </c>
    </row>
    <row r="920" spans="1:9" x14ac:dyDescent="0.3">
      <c r="A920" s="287" t="s">
        <v>3216</v>
      </c>
      <c r="B920" s="287"/>
      <c r="I920" t="s">
        <v>3217</v>
      </c>
    </row>
    <row r="921" spans="1:9" x14ac:dyDescent="0.3">
      <c r="A921" s="286" t="s">
        <v>2238</v>
      </c>
      <c r="B921" s="287"/>
      <c r="I921" t="s">
        <v>3218</v>
      </c>
    </row>
    <row r="922" spans="1:9" x14ac:dyDescent="0.3">
      <c r="A922" s="287" t="s">
        <v>3219</v>
      </c>
      <c r="B922" s="287"/>
      <c r="I922" t="s">
        <v>3220</v>
      </c>
    </row>
    <row r="923" spans="1:9" x14ac:dyDescent="0.3">
      <c r="A923" s="287" t="s">
        <v>3221</v>
      </c>
      <c r="B923" s="287"/>
      <c r="I923" t="s">
        <v>3222</v>
      </c>
    </row>
    <row r="924" spans="1:9" x14ac:dyDescent="0.3">
      <c r="A924" s="287" t="s">
        <v>3223</v>
      </c>
      <c r="B924" s="287"/>
      <c r="I924" t="s">
        <v>3224</v>
      </c>
    </row>
    <row r="925" spans="1:9" x14ac:dyDescent="0.3">
      <c r="A925" s="287" t="s">
        <v>3225</v>
      </c>
      <c r="B925" s="287"/>
      <c r="I925" t="s">
        <v>3226</v>
      </c>
    </row>
    <row r="926" spans="1:9" x14ac:dyDescent="0.3">
      <c r="A926" s="286" t="s">
        <v>2240</v>
      </c>
      <c r="B926" s="287"/>
      <c r="I926" t="s">
        <v>3227</v>
      </c>
    </row>
    <row r="927" spans="1:9" x14ac:dyDescent="0.3">
      <c r="A927" s="287" t="s">
        <v>3228</v>
      </c>
      <c r="B927" s="287"/>
      <c r="I927" t="s">
        <v>3229</v>
      </c>
    </row>
    <row r="928" spans="1:9" x14ac:dyDescent="0.3">
      <c r="A928" s="287" t="s">
        <v>3230</v>
      </c>
      <c r="B928" s="287"/>
      <c r="I928" t="s">
        <v>3231</v>
      </c>
    </row>
    <row r="929" spans="1:9" x14ac:dyDescent="0.3">
      <c r="A929" s="284" t="s">
        <v>2277</v>
      </c>
      <c r="B929" s="287"/>
      <c r="I929" t="s">
        <v>3232</v>
      </c>
    </row>
    <row r="930" spans="1:9" x14ac:dyDescent="0.3">
      <c r="A930" s="283" t="s">
        <v>2246</v>
      </c>
      <c r="B930" s="287"/>
      <c r="I930" t="s">
        <v>3233</v>
      </c>
    </row>
    <row r="931" spans="1:9" x14ac:dyDescent="0.3">
      <c r="A931" s="286" t="s">
        <v>2249</v>
      </c>
      <c r="B931" s="287"/>
      <c r="I931" t="s">
        <v>3234</v>
      </c>
    </row>
    <row r="932" spans="1:9" x14ac:dyDescent="0.3">
      <c r="A932" s="287" t="s">
        <v>3235</v>
      </c>
      <c r="B932" s="287"/>
      <c r="I932" t="s">
        <v>3236</v>
      </c>
    </row>
    <row r="933" spans="1:9" x14ac:dyDescent="0.3">
      <c r="A933" s="286" t="s">
        <v>2251</v>
      </c>
      <c r="B933" s="287"/>
      <c r="I933" t="s">
        <v>69</v>
      </c>
    </row>
    <row r="934" spans="1:9" x14ac:dyDescent="0.3">
      <c r="A934" s="287" t="s">
        <v>3237</v>
      </c>
      <c r="B934" s="287"/>
      <c r="I934" t="s">
        <v>3238</v>
      </c>
    </row>
    <row r="935" spans="1:9" x14ac:dyDescent="0.3">
      <c r="A935" s="287" t="s">
        <v>3239</v>
      </c>
      <c r="B935" s="287"/>
      <c r="I935" t="s">
        <v>3240</v>
      </c>
    </row>
    <row r="936" spans="1:9" x14ac:dyDescent="0.3">
      <c r="A936" s="287" t="s">
        <v>3241</v>
      </c>
      <c r="B936" s="287"/>
      <c r="I936" t="s">
        <v>3242</v>
      </c>
    </row>
    <row r="937" spans="1:9" x14ac:dyDescent="0.3">
      <c r="A937" s="286" t="s">
        <v>2254</v>
      </c>
      <c r="B937" s="287"/>
      <c r="I937" t="s">
        <v>3243</v>
      </c>
    </row>
    <row r="938" spans="1:9" x14ac:dyDescent="0.3">
      <c r="A938" s="287" t="s">
        <v>3244</v>
      </c>
      <c r="B938" s="287"/>
      <c r="I938" t="s">
        <v>3245</v>
      </c>
    </row>
    <row r="939" spans="1:9" x14ac:dyDescent="0.3">
      <c r="A939" s="287" t="s">
        <v>3246</v>
      </c>
      <c r="B939" s="287"/>
      <c r="I939" t="s">
        <v>3247</v>
      </c>
    </row>
    <row r="940" spans="1:9" x14ac:dyDescent="0.3">
      <c r="A940" s="287" t="s">
        <v>3248</v>
      </c>
      <c r="B940" s="287"/>
      <c r="I940" t="s">
        <v>3249</v>
      </c>
    </row>
    <row r="941" spans="1:9" x14ac:dyDescent="0.3">
      <c r="A941" s="287" t="s">
        <v>3250</v>
      </c>
      <c r="B941" s="287"/>
      <c r="I941" t="s">
        <v>3251</v>
      </c>
    </row>
    <row r="942" spans="1:9" x14ac:dyDescent="0.3">
      <c r="A942" s="287" t="s">
        <v>3252</v>
      </c>
      <c r="B942" s="287"/>
      <c r="I942" t="s">
        <v>3253</v>
      </c>
    </row>
    <row r="943" spans="1:9" x14ac:dyDescent="0.3">
      <c r="A943" s="287" t="s">
        <v>3254</v>
      </c>
      <c r="B943" s="287"/>
      <c r="I943" t="s">
        <v>3255</v>
      </c>
    </row>
    <row r="944" spans="1:9" x14ac:dyDescent="0.3">
      <c r="A944" s="287" t="s">
        <v>3256</v>
      </c>
      <c r="B944" s="287"/>
      <c r="I944" t="s">
        <v>3257</v>
      </c>
    </row>
    <row r="945" spans="1:9" x14ac:dyDescent="0.3">
      <c r="A945" s="287" t="s">
        <v>3258</v>
      </c>
      <c r="B945" s="287"/>
      <c r="I945" t="s">
        <v>3259</v>
      </c>
    </row>
    <row r="946" spans="1:9" x14ac:dyDescent="0.3">
      <c r="A946" s="283" t="s">
        <v>2256</v>
      </c>
      <c r="B946" s="287"/>
      <c r="I946" t="s">
        <v>3260</v>
      </c>
    </row>
    <row r="947" spans="1:9" x14ac:dyDescent="0.3">
      <c r="A947" s="286" t="s">
        <v>2259</v>
      </c>
      <c r="B947" s="287"/>
      <c r="I947" t="s">
        <v>3261</v>
      </c>
    </row>
    <row r="948" spans="1:9" x14ac:dyDescent="0.3">
      <c r="A948" s="287" t="s">
        <v>3262</v>
      </c>
      <c r="B948" s="287"/>
      <c r="I948" t="s">
        <v>3263</v>
      </c>
    </row>
    <row r="949" spans="1:9" x14ac:dyDescent="0.3">
      <c r="A949" s="286" t="s">
        <v>2262</v>
      </c>
      <c r="B949" s="287"/>
      <c r="I949" t="s">
        <v>3264</v>
      </c>
    </row>
    <row r="950" spans="1:9" x14ac:dyDescent="0.3">
      <c r="A950" s="287" t="s">
        <v>3265</v>
      </c>
      <c r="B950" s="287"/>
      <c r="I950" t="s">
        <v>3266</v>
      </c>
    </row>
    <row r="951" spans="1:9" x14ac:dyDescent="0.3">
      <c r="A951" s="286" t="s">
        <v>2264</v>
      </c>
      <c r="B951" s="287"/>
      <c r="I951" t="s">
        <v>3267</v>
      </c>
    </row>
    <row r="952" spans="1:9" x14ac:dyDescent="0.3">
      <c r="A952" s="287" t="s">
        <v>3268</v>
      </c>
      <c r="B952" s="287"/>
      <c r="I952" t="s">
        <v>3269</v>
      </c>
    </row>
    <row r="953" spans="1:9" x14ac:dyDescent="0.3">
      <c r="A953" s="286" t="s">
        <v>2267</v>
      </c>
      <c r="B953" s="287"/>
      <c r="I953" t="s">
        <v>3270</v>
      </c>
    </row>
    <row r="954" spans="1:9" x14ac:dyDescent="0.3">
      <c r="A954" s="287" t="s">
        <v>3271</v>
      </c>
      <c r="B954" s="287"/>
      <c r="I954" t="s">
        <v>3272</v>
      </c>
    </row>
    <row r="955" spans="1:9" x14ac:dyDescent="0.3">
      <c r="A955" s="287" t="s">
        <v>3273</v>
      </c>
      <c r="B955" s="287"/>
      <c r="I955" t="s">
        <v>3274</v>
      </c>
    </row>
    <row r="956" spans="1:9" x14ac:dyDescent="0.3">
      <c r="A956" s="283" t="s">
        <v>2269</v>
      </c>
      <c r="B956" s="287"/>
      <c r="I956" t="s">
        <v>3275</v>
      </c>
    </row>
    <row r="957" spans="1:9" x14ac:dyDescent="0.3">
      <c r="A957" s="286" t="s">
        <v>2271</v>
      </c>
      <c r="B957" s="287"/>
      <c r="I957" t="s">
        <v>3276</v>
      </c>
    </row>
    <row r="958" spans="1:9" x14ac:dyDescent="0.3">
      <c r="A958" s="287" t="s">
        <v>3277</v>
      </c>
      <c r="B958" s="287"/>
      <c r="I958" t="s">
        <v>3278</v>
      </c>
    </row>
    <row r="959" spans="1:9" x14ac:dyDescent="0.3">
      <c r="A959" s="286" t="s">
        <v>2274</v>
      </c>
      <c r="B959" s="287"/>
      <c r="I959" t="s">
        <v>3279</v>
      </c>
    </row>
    <row r="960" spans="1:9" x14ac:dyDescent="0.3">
      <c r="A960" s="287" t="s">
        <v>3280</v>
      </c>
      <c r="B960" s="287"/>
      <c r="I960" t="s">
        <v>3281</v>
      </c>
    </row>
    <row r="961" spans="1:9" x14ac:dyDescent="0.3">
      <c r="A961" s="287" t="s">
        <v>3282</v>
      </c>
      <c r="B961" s="287"/>
      <c r="I961" t="s">
        <v>3283</v>
      </c>
    </row>
    <row r="962" spans="1:9" x14ac:dyDescent="0.3">
      <c r="A962" s="284" t="s">
        <v>2319</v>
      </c>
      <c r="B962" s="287"/>
      <c r="I962" t="s">
        <v>3284</v>
      </c>
    </row>
    <row r="963" spans="1:9" x14ac:dyDescent="0.3">
      <c r="A963" s="283" t="s">
        <v>2280</v>
      </c>
      <c r="B963" s="287"/>
      <c r="I963" t="s">
        <v>3285</v>
      </c>
    </row>
    <row r="964" spans="1:9" x14ac:dyDescent="0.3">
      <c r="A964" s="286" t="s">
        <v>2283</v>
      </c>
      <c r="B964" s="287"/>
      <c r="I964" t="s">
        <v>3286</v>
      </c>
    </row>
    <row r="965" spans="1:9" x14ac:dyDescent="0.3">
      <c r="A965" s="287" t="s">
        <v>3287</v>
      </c>
      <c r="B965" s="287"/>
      <c r="I965" t="s">
        <v>3288</v>
      </c>
    </row>
    <row r="966" spans="1:9" x14ac:dyDescent="0.3">
      <c r="A966" s="287" t="s">
        <v>3289</v>
      </c>
      <c r="B966" s="287"/>
      <c r="I966" t="s">
        <v>3290</v>
      </c>
    </row>
    <row r="967" spans="1:9" x14ac:dyDescent="0.3">
      <c r="A967" s="287" t="s">
        <v>3291</v>
      </c>
      <c r="B967" s="287"/>
      <c r="I967" t="s">
        <v>3292</v>
      </c>
    </row>
    <row r="968" spans="1:9" x14ac:dyDescent="0.3">
      <c r="A968" s="286" t="s">
        <v>2286</v>
      </c>
      <c r="B968" s="287"/>
      <c r="I968" t="s">
        <v>3293</v>
      </c>
    </row>
    <row r="969" spans="1:9" x14ac:dyDescent="0.3">
      <c r="A969" s="287" t="s">
        <v>3294</v>
      </c>
      <c r="B969" s="287"/>
      <c r="I969" t="s">
        <v>3295</v>
      </c>
    </row>
    <row r="970" spans="1:9" x14ac:dyDescent="0.3">
      <c r="A970" s="286" t="s">
        <v>2288</v>
      </c>
      <c r="B970" s="287"/>
      <c r="I970" t="s">
        <v>3296</v>
      </c>
    </row>
    <row r="971" spans="1:9" x14ac:dyDescent="0.3">
      <c r="A971" s="287" t="s">
        <v>3297</v>
      </c>
      <c r="B971" s="287"/>
      <c r="I971" t="s">
        <v>3298</v>
      </c>
    </row>
    <row r="972" spans="1:9" x14ac:dyDescent="0.3">
      <c r="A972" s="287" t="s">
        <v>3299</v>
      </c>
      <c r="B972" s="287"/>
      <c r="I972" t="s">
        <v>3300</v>
      </c>
    </row>
    <row r="973" spans="1:9" x14ac:dyDescent="0.3">
      <c r="A973" s="283" t="s">
        <v>2291</v>
      </c>
      <c r="B973" s="287"/>
      <c r="I973" t="s">
        <v>3301</v>
      </c>
    </row>
    <row r="974" spans="1:9" x14ac:dyDescent="0.3">
      <c r="A974" s="286" t="s">
        <v>2294</v>
      </c>
      <c r="B974" s="287"/>
      <c r="I974" t="s">
        <v>3302</v>
      </c>
    </row>
    <row r="975" spans="1:9" x14ac:dyDescent="0.3">
      <c r="A975" s="287" t="s">
        <v>3303</v>
      </c>
      <c r="B975" s="287"/>
    </row>
    <row r="976" spans="1:9" x14ac:dyDescent="0.3">
      <c r="A976" s="287" t="s">
        <v>3304</v>
      </c>
      <c r="B976" s="287"/>
    </row>
    <row r="977" spans="1:2" x14ac:dyDescent="0.3">
      <c r="A977" s="286" t="s">
        <v>2297</v>
      </c>
      <c r="B977" s="287"/>
    </row>
    <row r="978" spans="1:2" x14ac:dyDescent="0.3">
      <c r="A978" s="287" t="s">
        <v>3305</v>
      </c>
      <c r="B978" s="287"/>
    </row>
    <row r="979" spans="1:2" x14ac:dyDescent="0.3">
      <c r="A979" s="287" t="s">
        <v>3306</v>
      </c>
      <c r="B979" s="287"/>
    </row>
    <row r="980" spans="1:2" x14ac:dyDescent="0.3">
      <c r="A980" s="286" t="s">
        <v>2300</v>
      </c>
      <c r="B980" s="287"/>
    </row>
    <row r="981" spans="1:2" x14ac:dyDescent="0.3">
      <c r="A981" s="287" t="s">
        <v>3307</v>
      </c>
      <c r="B981" s="287"/>
    </row>
    <row r="982" spans="1:2" x14ac:dyDescent="0.3">
      <c r="A982" s="286" t="s">
        <v>2303</v>
      </c>
      <c r="B982" s="287"/>
    </row>
    <row r="983" spans="1:2" x14ac:dyDescent="0.3">
      <c r="A983" s="287" t="s">
        <v>3308</v>
      </c>
      <c r="B983" s="287"/>
    </row>
    <row r="984" spans="1:2" x14ac:dyDescent="0.3">
      <c r="A984" s="287" t="s">
        <v>3309</v>
      </c>
      <c r="B984" s="287"/>
    </row>
    <row r="985" spans="1:2" x14ac:dyDescent="0.3">
      <c r="A985" s="283" t="s">
        <v>2306</v>
      </c>
      <c r="B985" s="287"/>
    </row>
    <row r="986" spans="1:2" x14ac:dyDescent="0.3">
      <c r="A986" s="286" t="s">
        <v>2308</v>
      </c>
      <c r="B986" s="287"/>
    </row>
    <row r="987" spans="1:2" x14ac:dyDescent="0.3">
      <c r="A987" s="287" t="s">
        <v>3310</v>
      </c>
      <c r="B987" s="287"/>
    </row>
    <row r="988" spans="1:2" x14ac:dyDescent="0.3">
      <c r="A988" s="283" t="s">
        <v>2311</v>
      </c>
      <c r="B988" s="287"/>
    </row>
    <row r="989" spans="1:2" x14ac:dyDescent="0.3">
      <c r="A989" s="286" t="s">
        <v>2313</v>
      </c>
      <c r="B989" s="287"/>
    </row>
    <row r="990" spans="1:2" x14ac:dyDescent="0.3">
      <c r="A990" s="287" t="s">
        <v>3311</v>
      </c>
      <c r="B990" s="287"/>
    </row>
    <row r="991" spans="1:2" x14ac:dyDescent="0.3">
      <c r="A991" s="287" t="s">
        <v>3312</v>
      </c>
      <c r="B991" s="287"/>
    </row>
    <row r="992" spans="1:2" x14ac:dyDescent="0.3">
      <c r="A992" s="287" t="s">
        <v>3313</v>
      </c>
      <c r="B992" s="287"/>
    </row>
    <row r="993" spans="1:2" x14ac:dyDescent="0.3">
      <c r="A993" s="287" t="s">
        <v>3314</v>
      </c>
      <c r="B993" s="287"/>
    </row>
    <row r="994" spans="1:2" x14ac:dyDescent="0.3">
      <c r="A994" s="286" t="s">
        <v>2316</v>
      </c>
      <c r="B994" s="287"/>
    </row>
    <row r="995" spans="1:2" x14ac:dyDescent="0.3">
      <c r="A995" s="287" t="s">
        <v>3315</v>
      </c>
      <c r="B995" s="287"/>
    </row>
    <row r="996" spans="1:2" x14ac:dyDescent="0.3">
      <c r="A996" s="287" t="s">
        <v>3316</v>
      </c>
      <c r="B996" s="287"/>
    </row>
    <row r="997" spans="1:2" x14ac:dyDescent="0.3">
      <c r="A997" s="284" t="s">
        <v>2362</v>
      </c>
      <c r="B997" s="287"/>
    </row>
    <row r="998" spans="1:2" x14ac:dyDescent="0.3">
      <c r="A998" s="283" t="s">
        <v>2321</v>
      </c>
      <c r="B998" s="287"/>
    </row>
    <row r="999" spans="1:2" x14ac:dyDescent="0.3">
      <c r="A999" s="286" t="s">
        <v>2324</v>
      </c>
      <c r="B999" s="287"/>
    </row>
    <row r="1000" spans="1:2" x14ac:dyDescent="0.3">
      <c r="A1000" s="287" t="s">
        <v>3317</v>
      </c>
      <c r="B1000" s="287"/>
    </row>
    <row r="1001" spans="1:2" x14ac:dyDescent="0.3">
      <c r="A1001" s="287" t="s">
        <v>3318</v>
      </c>
      <c r="B1001" s="287"/>
    </row>
    <row r="1002" spans="1:2" x14ac:dyDescent="0.3">
      <c r="A1002" s="286" t="s">
        <v>2327</v>
      </c>
      <c r="B1002" s="287"/>
    </row>
    <row r="1003" spans="1:2" x14ac:dyDescent="0.3">
      <c r="A1003" s="287" t="s">
        <v>3319</v>
      </c>
      <c r="B1003" s="287"/>
    </row>
    <row r="1004" spans="1:2" x14ac:dyDescent="0.3">
      <c r="A1004" s="286" t="s">
        <v>2330</v>
      </c>
      <c r="B1004" s="287"/>
    </row>
    <row r="1005" spans="1:2" x14ac:dyDescent="0.3">
      <c r="A1005" s="287" t="s">
        <v>3320</v>
      </c>
      <c r="B1005" s="287"/>
    </row>
    <row r="1006" spans="1:2" x14ac:dyDescent="0.3">
      <c r="A1006" s="287" t="s">
        <v>3321</v>
      </c>
      <c r="B1006" s="287"/>
    </row>
    <row r="1007" spans="1:2" x14ac:dyDescent="0.3">
      <c r="A1007" s="287" t="s">
        <v>3322</v>
      </c>
      <c r="B1007" s="287"/>
    </row>
    <row r="1008" spans="1:2" x14ac:dyDescent="0.3">
      <c r="A1008" s="283" t="s">
        <v>2333</v>
      </c>
      <c r="B1008" s="287"/>
    </row>
    <row r="1009" spans="1:2" x14ac:dyDescent="0.3">
      <c r="A1009" s="286" t="s">
        <v>2336</v>
      </c>
      <c r="B1009" s="287"/>
    </row>
    <row r="1010" spans="1:2" x14ac:dyDescent="0.3">
      <c r="A1010" s="287" t="s">
        <v>3323</v>
      </c>
      <c r="B1010" s="287"/>
    </row>
    <row r="1011" spans="1:2" x14ac:dyDescent="0.3">
      <c r="A1011" s="286" t="s">
        <v>2339</v>
      </c>
      <c r="B1011" s="287"/>
    </row>
    <row r="1012" spans="1:2" x14ac:dyDescent="0.3">
      <c r="A1012" s="287" t="s">
        <v>3324</v>
      </c>
      <c r="B1012" s="287"/>
    </row>
    <row r="1013" spans="1:2" x14ac:dyDescent="0.3">
      <c r="A1013" s="287" t="s">
        <v>3325</v>
      </c>
      <c r="B1013" s="287"/>
    </row>
    <row r="1014" spans="1:2" x14ac:dyDescent="0.3">
      <c r="A1014" s="287" t="s">
        <v>3326</v>
      </c>
      <c r="B1014" s="287"/>
    </row>
    <row r="1015" spans="1:2" x14ac:dyDescent="0.3">
      <c r="A1015" s="287" t="s">
        <v>3327</v>
      </c>
      <c r="B1015" s="287"/>
    </row>
    <row r="1016" spans="1:2" x14ac:dyDescent="0.3">
      <c r="A1016" s="287" t="s">
        <v>3328</v>
      </c>
      <c r="B1016" s="287"/>
    </row>
    <row r="1017" spans="1:2" x14ac:dyDescent="0.3">
      <c r="A1017" s="287" t="s">
        <v>3329</v>
      </c>
      <c r="B1017" s="287"/>
    </row>
    <row r="1018" spans="1:2" x14ac:dyDescent="0.3">
      <c r="A1018" s="286" t="s">
        <v>2342</v>
      </c>
      <c r="B1018" s="287"/>
    </row>
    <row r="1019" spans="1:2" x14ac:dyDescent="0.3">
      <c r="A1019" s="287" t="s">
        <v>3330</v>
      </c>
      <c r="B1019" s="287"/>
    </row>
    <row r="1020" spans="1:2" x14ac:dyDescent="0.3">
      <c r="A1020" s="287" t="s">
        <v>3331</v>
      </c>
      <c r="B1020" s="287"/>
    </row>
    <row r="1021" spans="1:2" x14ac:dyDescent="0.3">
      <c r="A1021" s="286" t="s">
        <v>2345</v>
      </c>
      <c r="B1021" s="287"/>
    </row>
    <row r="1022" spans="1:2" x14ac:dyDescent="0.3">
      <c r="A1022" s="287" t="s">
        <v>3332</v>
      </c>
      <c r="B1022" s="287"/>
    </row>
    <row r="1023" spans="1:2" x14ac:dyDescent="0.3">
      <c r="A1023" s="283" t="s">
        <v>2347</v>
      </c>
      <c r="B1023" s="287"/>
    </row>
    <row r="1024" spans="1:2" x14ac:dyDescent="0.3">
      <c r="A1024" s="286" t="s">
        <v>2349</v>
      </c>
      <c r="B1024" s="287"/>
    </row>
    <row r="1025" spans="1:2" x14ac:dyDescent="0.3">
      <c r="A1025" s="287" t="s">
        <v>3333</v>
      </c>
      <c r="B1025" s="287"/>
    </row>
    <row r="1026" spans="1:2" x14ac:dyDescent="0.3">
      <c r="A1026" s="286" t="s">
        <v>2352</v>
      </c>
      <c r="B1026" s="287"/>
    </row>
    <row r="1027" spans="1:2" x14ac:dyDescent="0.3">
      <c r="A1027" s="287" t="s">
        <v>3334</v>
      </c>
      <c r="B1027" s="287"/>
    </row>
    <row r="1028" spans="1:2" x14ac:dyDescent="0.3">
      <c r="A1028" s="287" t="s">
        <v>3335</v>
      </c>
      <c r="B1028" s="287"/>
    </row>
    <row r="1029" spans="1:2" x14ac:dyDescent="0.3">
      <c r="A1029" s="287" t="s">
        <v>3336</v>
      </c>
      <c r="B1029" s="287"/>
    </row>
    <row r="1030" spans="1:2" x14ac:dyDescent="0.3">
      <c r="A1030" s="286" t="s">
        <v>2354</v>
      </c>
      <c r="B1030" s="287"/>
    </row>
    <row r="1031" spans="1:2" x14ac:dyDescent="0.3">
      <c r="A1031" s="287" t="s">
        <v>3337</v>
      </c>
      <c r="B1031" s="287"/>
    </row>
    <row r="1032" spans="1:2" x14ac:dyDescent="0.3">
      <c r="A1032" s="286" t="s">
        <v>2357</v>
      </c>
      <c r="B1032" s="287"/>
    </row>
    <row r="1033" spans="1:2" x14ac:dyDescent="0.3">
      <c r="A1033" s="287" t="s">
        <v>3338</v>
      </c>
      <c r="B1033" s="287"/>
    </row>
    <row r="1034" spans="1:2" x14ac:dyDescent="0.3">
      <c r="A1034" s="286" t="s">
        <v>2359</v>
      </c>
      <c r="B1034" s="287"/>
    </row>
    <row r="1035" spans="1:2" x14ac:dyDescent="0.3">
      <c r="A1035" s="287" t="s">
        <v>3339</v>
      </c>
      <c r="B1035" s="287"/>
    </row>
    <row r="1036" spans="1:2" x14ac:dyDescent="0.3">
      <c r="A1036" s="287" t="s">
        <v>3340</v>
      </c>
      <c r="B1036" s="287"/>
    </row>
    <row r="1037" spans="1:2" x14ac:dyDescent="0.3">
      <c r="A1037" s="284" t="s">
        <v>2378</v>
      </c>
      <c r="B1037" s="287"/>
    </row>
    <row r="1038" spans="1:2" x14ac:dyDescent="0.3">
      <c r="A1038" s="283" t="s">
        <v>2365</v>
      </c>
      <c r="B1038" s="287"/>
    </row>
    <row r="1039" spans="1:2" x14ac:dyDescent="0.3">
      <c r="A1039" s="286" t="s">
        <v>2367</v>
      </c>
      <c r="B1039" s="287"/>
    </row>
    <row r="1040" spans="1:2" x14ac:dyDescent="0.3">
      <c r="A1040" s="287" t="s">
        <v>3341</v>
      </c>
      <c r="B1040" s="287"/>
    </row>
    <row r="1041" spans="1:2" x14ac:dyDescent="0.3">
      <c r="A1041" s="283" t="s">
        <v>2369</v>
      </c>
      <c r="B1041" s="287"/>
    </row>
    <row r="1042" spans="1:2" x14ac:dyDescent="0.3">
      <c r="A1042" s="286" t="s">
        <v>2372</v>
      </c>
      <c r="B1042" s="287"/>
    </row>
    <row r="1043" spans="1:2" x14ac:dyDescent="0.3">
      <c r="A1043" s="287" t="s">
        <v>3342</v>
      </c>
      <c r="B1043" s="287"/>
    </row>
    <row r="1044" spans="1:2" x14ac:dyDescent="0.3">
      <c r="A1044" s="286" t="s">
        <v>2375</v>
      </c>
      <c r="B1044" s="287"/>
    </row>
    <row r="1045" spans="1:2" x14ac:dyDescent="0.3">
      <c r="A1045" s="287" t="s">
        <v>3343</v>
      </c>
      <c r="B1045" s="287"/>
    </row>
    <row r="1046" spans="1:2" x14ac:dyDescent="0.3">
      <c r="A1046" s="284" t="s">
        <v>2385</v>
      </c>
      <c r="B1046" s="287"/>
    </row>
    <row r="1047" spans="1:2" x14ac:dyDescent="0.3">
      <c r="A1047" s="283" t="s">
        <v>2380</v>
      </c>
      <c r="B1047" s="287"/>
    </row>
    <row r="1048" spans="1:2" x14ac:dyDescent="0.3">
      <c r="A1048" s="286" t="s">
        <v>2383</v>
      </c>
      <c r="B1048" s="287"/>
    </row>
    <row r="1049" spans="1:2" x14ac:dyDescent="0.3">
      <c r="A1049" s="287" t="s">
        <v>3344</v>
      </c>
      <c r="B1049" s="287"/>
    </row>
  </sheetData>
  <sheetProtection algorithmName="SHA-512" hashValue="GRxqbVsGcKSQ1fEtAf2kmqunQwhzzs8MH4rM9vDvn79L7tXXsEEkKha5TvtVZV3okjSBfcT6HStGvwYNx06N3A==" saltValue="+Q5Uo6Rd+3oUQuXXLWu4IA==" spinCount="100000" sheet="1" objects="1" scenarios="1"/>
  <sortState xmlns:xlrd2="http://schemas.microsoft.com/office/spreadsheetml/2017/richdata2" ref="B3:B399">
    <sortCondition ref="B3:B399"/>
  </sortState>
  <phoneticPr fontId="3" type="noConversion"/>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M801"/>
  <sheetViews>
    <sheetView zoomScaleNormal="100" workbookViewId="0"/>
  </sheetViews>
  <sheetFormatPr defaultColWidth="11" defaultRowHeight="14.4" x14ac:dyDescent="0.3"/>
  <cols>
    <col min="1" max="1" width="52.33203125" style="2" customWidth="1"/>
    <col min="2" max="2" width="56.33203125" style="2" customWidth="1"/>
    <col min="3" max="6" width="50.6640625" style="2" customWidth="1"/>
    <col min="7" max="8" width="51.109375" style="2" bestFit="1" customWidth="1"/>
    <col min="9" max="13" width="50.6640625" style="2" customWidth="1"/>
  </cols>
  <sheetData>
    <row r="1" spans="1:13" ht="28.8" x14ac:dyDescent="0.3">
      <c r="A1" s="517" t="s">
        <v>3345</v>
      </c>
      <c r="B1" s="517" t="s">
        <v>3346</v>
      </c>
      <c r="C1" s="518" t="s">
        <v>3347</v>
      </c>
      <c r="D1" s="518" t="s">
        <v>3348</v>
      </c>
      <c r="E1" s="518" t="s">
        <v>3349</v>
      </c>
      <c r="F1" s="518" t="s">
        <v>3350</v>
      </c>
      <c r="G1" s="518" t="s">
        <v>3351</v>
      </c>
      <c r="H1" s="518" t="s">
        <v>3352</v>
      </c>
      <c r="I1" s="518" t="s">
        <v>3353</v>
      </c>
      <c r="J1" s="518" t="s">
        <v>3354</v>
      </c>
      <c r="K1" s="518" t="s">
        <v>3355</v>
      </c>
      <c r="L1" s="518" t="s">
        <v>3356</v>
      </c>
      <c r="M1" s="518" t="s">
        <v>3357</v>
      </c>
    </row>
    <row r="2" spans="1:13" x14ac:dyDescent="0.3">
      <c r="A2" s="85"/>
      <c r="B2" s="85"/>
      <c r="C2" s="519" t="s">
        <v>3358</v>
      </c>
      <c r="D2" s="519" t="s">
        <v>3359</v>
      </c>
      <c r="E2" s="519" t="s">
        <v>3360</v>
      </c>
      <c r="F2" s="519" t="s">
        <v>3361</v>
      </c>
      <c r="G2" s="519" t="s">
        <v>3362</v>
      </c>
      <c r="H2" s="519" t="s">
        <v>3363</v>
      </c>
      <c r="I2" s="519" t="s">
        <v>3364</v>
      </c>
      <c r="J2" s="519" t="s">
        <v>3365</v>
      </c>
      <c r="K2" s="519" t="s">
        <v>3366</v>
      </c>
      <c r="L2" s="519" t="s">
        <v>3367</v>
      </c>
      <c r="M2" s="519" t="s">
        <v>3368</v>
      </c>
    </row>
    <row r="3" spans="1:13" ht="28.8" x14ac:dyDescent="0.3">
      <c r="A3" s="85"/>
      <c r="B3" s="520"/>
      <c r="C3" s="519" t="str">
        <f>C1&amp; " [" &amp;C2 &amp; "]"</f>
        <v>English - Official [en]</v>
      </c>
      <c r="D3" s="519" t="str">
        <f t="shared" ref="D3:E3" si="0">D1&amp; " [" &amp;D2 &amp; "]"</f>
        <v>Danish - Reviewed translation by Danish Standard Setter [da]</v>
      </c>
      <c r="E3" s="519" t="str">
        <f t="shared" si="0"/>
        <v>Dutch - Reviewed translation by Ducth Standard Setter [nl]</v>
      </c>
      <c r="F3" s="519" t="str">
        <f>F1&amp; " [" &amp;F2 &amp; "]"</f>
        <v>French - Reviewed translation by French Standard Setter [fr]</v>
      </c>
      <c r="G3" s="519" t="str">
        <f>G1&amp; " [" &amp;G2 &amp; "]"</f>
        <v>German - Reviewed translation by German Standard Setter [de]</v>
      </c>
      <c r="H3" s="519" t="str">
        <f>H1&amp; " [" &amp;H2 &amp; "]"</f>
        <v>Irish - Reviewed translation by Irish Standard Setter [ga]</v>
      </c>
      <c r="I3" s="519" t="str">
        <f t="shared" ref="I3" si="1">I1&amp; " [" &amp;I2 &amp; "]"</f>
        <v>Italian - Reviewed translation by Italian Standard Setter [it]</v>
      </c>
      <c r="J3" s="519" t="str">
        <f t="shared" ref="J3:M3" si="2">J1&amp; " [" &amp;J2 &amp; "]"</f>
        <v>Lithuanian - Reviewed translation by Lithuanian Standard Setter [lt]</v>
      </c>
      <c r="K3" s="519" t="str">
        <f t="shared" si="2"/>
        <v>Polish - Reviewed translation by Polish Standard Setter [pl]</v>
      </c>
      <c r="L3" s="519" t="str">
        <f t="shared" si="2"/>
        <v>Portuguese - Reviewed translation by Portuguese Standard Setter [pt]</v>
      </c>
      <c r="M3" s="519" t="str">
        <f t="shared" si="2"/>
        <v>Spanish - Reviewed translation by Spanish Standard Setter [es]</v>
      </c>
    </row>
    <row r="4" spans="1:13" x14ac:dyDescent="0.3">
      <c r="A4" s="516" t="s">
        <v>3369</v>
      </c>
      <c r="B4" s="521" t="str">
        <f t="shared" ref="B4:B64" si="3">INDEX(C4:M4,MATCH(template_selected_display_language,$C$3:$M$3,0))</f>
        <v>Entity Name</v>
      </c>
      <c r="C4" s="522" t="s">
        <v>3370</v>
      </c>
      <c r="D4" s="516" t="s">
        <v>3371</v>
      </c>
      <c r="E4" s="516" t="s">
        <v>3372</v>
      </c>
      <c r="F4" s="516" t="s">
        <v>3373</v>
      </c>
      <c r="G4" s="523" t="s">
        <v>3374</v>
      </c>
      <c r="H4" s="523" t="s">
        <v>3375</v>
      </c>
      <c r="I4" s="522" t="s">
        <v>3376</v>
      </c>
      <c r="J4" s="522" t="s">
        <v>3377</v>
      </c>
      <c r="K4" s="522" t="s">
        <v>3378</v>
      </c>
      <c r="L4" s="522" t="s">
        <v>3379</v>
      </c>
      <c r="M4" s="522" t="s">
        <v>3380</v>
      </c>
    </row>
    <row r="5" spans="1:13" x14ac:dyDescent="0.3">
      <c r="A5" s="516" t="s">
        <v>3381</v>
      </c>
      <c r="B5" s="521" t="str">
        <f t="shared" si="3"/>
        <v>Entity Identifier</v>
      </c>
      <c r="C5" s="522" t="s">
        <v>3382</v>
      </c>
      <c r="D5" s="516" t="s">
        <v>3383</v>
      </c>
      <c r="E5" s="516" t="s">
        <v>3384</v>
      </c>
      <c r="F5" s="516" t="s">
        <v>3385</v>
      </c>
      <c r="G5" s="523" t="s">
        <v>3386</v>
      </c>
      <c r="H5" s="523" t="s">
        <v>3387</v>
      </c>
      <c r="I5" s="522" t="s">
        <v>3388</v>
      </c>
      <c r="J5" s="522" t="s">
        <v>3389</v>
      </c>
      <c r="K5" s="522" t="s">
        <v>3390</v>
      </c>
      <c r="L5" s="522" t="s">
        <v>3391</v>
      </c>
      <c r="M5" s="522" t="s">
        <v>3392</v>
      </c>
    </row>
    <row r="6" spans="1:13" ht="28.8" x14ac:dyDescent="0.3">
      <c r="A6" s="516" t="s">
        <v>3393</v>
      </c>
      <c r="B6" s="521" t="str">
        <f t="shared" si="3"/>
        <v>Entity Identifier Scheme</v>
      </c>
      <c r="C6" s="522" t="s">
        <v>3394</v>
      </c>
      <c r="D6" s="516" t="s">
        <v>3395</v>
      </c>
      <c r="E6" s="516" t="s">
        <v>3396</v>
      </c>
      <c r="F6" s="516" t="s">
        <v>3397</v>
      </c>
      <c r="G6" s="523" t="s">
        <v>3398</v>
      </c>
      <c r="H6" s="523" t="s">
        <v>3399</v>
      </c>
      <c r="I6" s="522" t="s">
        <v>3400</v>
      </c>
      <c r="J6" s="522" t="s">
        <v>3401</v>
      </c>
      <c r="K6" s="522" t="s">
        <v>3402</v>
      </c>
      <c r="L6" s="522" t="s">
        <v>3403</v>
      </c>
      <c r="M6" s="522" t="s">
        <v>3404</v>
      </c>
    </row>
    <row r="7" spans="1:13" x14ac:dyDescent="0.3">
      <c r="A7" s="516" t="s">
        <v>3405</v>
      </c>
      <c r="B7" s="521" t="str">
        <f t="shared" si="3"/>
        <v>Report currency</v>
      </c>
      <c r="C7" s="522" t="s">
        <v>3406</v>
      </c>
      <c r="D7" s="516" t="s">
        <v>3407</v>
      </c>
      <c r="E7" s="516" t="s">
        <v>3407</v>
      </c>
      <c r="F7" s="516" t="s">
        <v>3408</v>
      </c>
      <c r="G7" s="523" t="s">
        <v>3409</v>
      </c>
      <c r="H7" s="523" t="s">
        <v>3410</v>
      </c>
      <c r="I7" s="522" t="s">
        <v>3411</v>
      </c>
      <c r="J7" s="522" t="s">
        <v>3412</v>
      </c>
      <c r="K7" s="522" t="s">
        <v>3413</v>
      </c>
      <c r="L7" s="522" t="s">
        <v>3414</v>
      </c>
      <c r="M7" s="522" t="s">
        <v>3415</v>
      </c>
    </row>
    <row r="8" spans="1:13" x14ac:dyDescent="0.3">
      <c r="A8" s="516" t="s">
        <v>3416</v>
      </c>
      <c r="B8" s="521" t="str">
        <f t="shared" si="3"/>
        <v>Decimal separator</v>
      </c>
      <c r="C8" s="522" t="s">
        <v>3417</v>
      </c>
      <c r="D8" s="516" t="s">
        <v>3417</v>
      </c>
      <c r="E8" s="516" t="s">
        <v>3418</v>
      </c>
      <c r="F8" s="516" t="s">
        <v>3419</v>
      </c>
      <c r="G8" s="523" t="s">
        <v>3420</v>
      </c>
      <c r="H8" s="523" t="s">
        <v>3421</v>
      </c>
      <c r="I8" s="522" t="s">
        <v>3422</v>
      </c>
      <c r="J8" s="522" t="s">
        <v>3423</v>
      </c>
      <c r="K8" s="522" t="s">
        <v>3424</v>
      </c>
      <c r="L8" s="522" t="s">
        <v>3425</v>
      </c>
      <c r="M8" s="522" t="s">
        <v>3425</v>
      </c>
    </row>
    <row r="9" spans="1:13" ht="43.2" x14ac:dyDescent="0.3">
      <c r="A9" s="516" t="s">
        <v>3426</v>
      </c>
      <c r="B9" s="521" t="str">
        <f t="shared" si="3"/>
        <v>Report period</v>
      </c>
      <c r="C9" s="522" t="s">
        <v>3427</v>
      </c>
      <c r="D9" s="516" t="s">
        <v>3428</v>
      </c>
      <c r="E9" s="516" t="s">
        <v>3429</v>
      </c>
      <c r="F9" s="516" t="s">
        <v>3430</v>
      </c>
      <c r="G9" s="523" t="s">
        <v>3431</v>
      </c>
      <c r="H9" s="523" t="s">
        <v>3432</v>
      </c>
      <c r="I9" s="522" t="s">
        <v>3433</v>
      </c>
      <c r="J9" s="522" t="s">
        <v>3434</v>
      </c>
      <c r="K9" s="522" t="s">
        <v>3435</v>
      </c>
      <c r="L9" s="522" t="s">
        <v>3436</v>
      </c>
      <c r="M9" s="522" t="s">
        <v>3437</v>
      </c>
    </row>
    <row r="10" spans="1:13" x14ac:dyDescent="0.3">
      <c r="A10" s="516" t="s">
        <v>3438</v>
      </c>
      <c r="B10" s="521" t="str">
        <f t="shared" si="3"/>
        <v>Report generated</v>
      </c>
      <c r="C10" s="522" t="s">
        <v>3439</v>
      </c>
      <c r="D10" s="516" t="s">
        <v>3440</v>
      </c>
      <c r="E10" s="516" t="s">
        <v>3441</v>
      </c>
      <c r="F10" s="516" t="s">
        <v>3442</v>
      </c>
      <c r="G10" s="523" t="s">
        <v>3443</v>
      </c>
      <c r="H10" s="523" t="s">
        <v>3444</v>
      </c>
      <c r="I10" s="522" t="s">
        <v>3445</v>
      </c>
      <c r="J10" s="522" t="s">
        <v>3446</v>
      </c>
      <c r="K10" s="522" t="s">
        <v>3447</v>
      </c>
      <c r="L10" s="522" t="s">
        <v>3448</v>
      </c>
      <c r="M10" s="522" t="s">
        <v>3449</v>
      </c>
    </row>
    <row r="11" spans="1:13" ht="28.8" x14ac:dyDescent="0.3">
      <c r="A11" s="516" t="s">
        <v>3450</v>
      </c>
      <c r="B11" s="521" t="str">
        <f t="shared" si="3"/>
        <v>All disclosures are related to the reporting period above unless specified otherwise.</v>
      </c>
      <c r="C11" s="522" t="s">
        <v>3451</v>
      </c>
      <c r="D11" s="516" t="s">
        <v>3452</v>
      </c>
      <c r="E11" s="516" t="s">
        <v>3453</v>
      </c>
      <c r="F11" s="516" t="s">
        <v>3454</v>
      </c>
      <c r="G11" s="523" t="s">
        <v>3455</v>
      </c>
      <c r="H11" s="523" t="s">
        <v>3456</v>
      </c>
      <c r="I11" s="522" t="s">
        <v>3457</v>
      </c>
      <c r="J11" s="522" t="s">
        <v>3458</v>
      </c>
      <c r="K11" s="522" t="s">
        <v>3459</v>
      </c>
      <c r="L11" s="522" t="s">
        <v>3460</v>
      </c>
      <c r="M11" s="522" t="s">
        <v>3461</v>
      </c>
    </row>
    <row r="12" spans="1:13" ht="43.2" x14ac:dyDescent="0.3">
      <c r="A12" s="516" t="s">
        <v>3462</v>
      </c>
      <c r="B12" s="521" t="str">
        <f t="shared" si="3"/>
        <v>Table of Contents</v>
      </c>
      <c r="C12" s="522" t="s">
        <v>3463</v>
      </c>
      <c r="D12" s="516" t="s">
        <v>3464</v>
      </c>
      <c r="E12" s="516" t="s">
        <v>3465</v>
      </c>
      <c r="F12" s="516" t="s">
        <v>3466</v>
      </c>
      <c r="G12" s="523" t="s">
        <v>3467</v>
      </c>
      <c r="H12" s="523" t="s">
        <v>3468</v>
      </c>
      <c r="I12" s="522" t="s">
        <v>3469</v>
      </c>
      <c r="J12" s="522" t="s">
        <v>3470</v>
      </c>
      <c r="K12" s="522" t="s">
        <v>3471</v>
      </c>
      <c r="L12" s="522" t="s">
        <v>3472</v>
      </c>
      <c r="M12" s="522" t="s">
        <v>3473</v>
      </c>
    </row>
    <row r="13" spans="1:13" x14ac:dyDescent="0.3">
      <c r="A13" s="516" t="s">
        <v>3474</v>
      </c>
      <c r="B13" s="521" t="str">
        <f t="shared" si="3"/>
        <v>Reporting period:</v>
      </c>
      <c r="C13" s="522" t="s">
        <v>3475</v>
      </c>
      <c r="D13" s="516" t="s">
        <v>3476</v>
      </c>
      <c r="E13" s="516" t="s">
        <v>3477</v>
      </c>
      <c r="F13" s="516" t="s">
        <v>3478</v>
      </c>
      <c r="G13" s="523" t="s">
        <v>3479</v>
      </c>
      <c r="H13" s="523" t="s">
        <v>3480</v>
      </c>
      <c r="I13" s="522" t="s">
        <v>3433</v>
      </c>
      <c r="J13" s="522" t="s">
        <v>3481</v>
      </c>
      <c r="K13" s="522" t="s">
        <v>3435</v>
      </c>
      <c r="L13" s="522" t="s">
        <v>3482</v>
      </c>
      <c r="M13" s="522" t="s">
        <v>3483</v>
      </c>
    </row>
    <row r="14" spans="1:13" ht="29.4" thickBot="1" x14ac:dyDescent="0.35">
      <c r="A14" s="524" t="s">
        <v>3484</v>
      </c>
      <c r="B14" s="525" t="str">
        <f t="shared" si="3"/>
        <v>This report contains {{ ns.fact_count }} XBRL facts ({{ facts | count }} unique facts).</v>
      </c>
      <c r="C14" s="526" t="s">
        <v>3485</v>
      </c>
      <c r="D14" s="524" t="s">
        <v>3486</v>
      </c>
      <c r="E14" s="524" t="s">
        <v>3487</v>
      </c>
      <c r="F14" s="524" t="s">
        <v>3488</v>
      </c>
      <c r="G14" s="527" t="s">
        <v>3489</v>
      </c>
      <c r="H14" s="527" t="s">
        <v>3490</v>
      </c>
      <c r="I14" s="526" t="s">
        <v>3491</v>
      </c>
      <c r="J14" s="526" t="s">
        <v>3492</v>
      </c>
      <c r="K14" s="526" t="s">
        <v>3493</v>
      </c>
      <c r="L14" s="526" t="s">
        <v>3494</v>
      </c>
      <c r="M14" s="526" t="s">
        <v>3495</v>
      </c>
    </row>
    <row r="15" spans="1:13" x14ac:dyDescent="0.3">
      <c r="A15" s="516" t="s">
        <v>3496</v>
      </c>
      <c r="B15" s="521" t="str">
        <f t="shared" si="3"/>
        <v>Version:</v>
      </c>
      <c r="C15" s="522" t="s">
        <v>3497</v>
      </c>
      <c r="D15" s="516" t="s">
        <v>3497</v>
      </c>
      <c r="E15" s="516" t="s">
        <v>3498</v>
      </c>
      <c r="F15" s="516" t="s">
        <v>3499</v>
      </c>
      <c r="G15" s="523" t="s">
        <v>3497</v>
      </c>
      <c r="H15" s="523" t="s">
        <v>3500</v>
      </c>
      <c r="I15" s="522" t="s">
        <v>3501</v>
      </c>
      <c r="J15" s="522" t="s">
        <v>3502</v>
      </c>
      <c r="K15" s="522" t="s">
        <v>3503</v>
      </c>
      <c r="L15" s="522" t="s">
        <v>3504</v>
      </c>
      <c r="M15" s="522" t="s">
        <v>3505</v>
      </c>
    </row>
    <row r="16" spans="1:13" x14ac:dyDescent="0.3">
      <c r="A16" s="516" t="s">
        <v>3506</v>
      </c>
      <c r="B16" s="521" t="str">
        <f t="shared" si="3"/>
        <v>Publication date:</v>
      </c>
      <c r="C16" s="522" t="s">
        <v>3507</v>
      </c>
      <c r="D16" s="516" t="s">
        <v>3508</v>
      </c>
      <c r="E16" s="516" t="s">
        <v>3509</v>
      </c>
      <c r="F16" s="516" t="s">
        <v>3510</v>
      </c>
      <c r="G16" s="523" t="s">
        <v>3511</v>
      </c>
      <c r="H16" s="523" t="s">
        <v>3512</v>
      </c>
      <c r="I16" s="2" t="s">
        <v>3513</v>
      </c>
      <c r="J16" s="522" t="s">
        <v>3514</v>
      </c>
      <c r="K16" s="522" t="s">
        <v>3515</v>
      </c>
      <c r="L16" s="522" t="s">
        <v>3516</v>
      </c>
      <c r="M16" s="522" t="s">
        <v>3517</v>
      </c>
    </row>
    <row r="17" spans="1:13" x14ac:dyDescent="0.3">
      <c r="A17" s="516" t="s">
        <v>3518</v>
      </c>
      <c r="B17" s="521" t="str">
        <f t="shared" si="3"/>
        <v>Taxonomy entry point:</v>
      </c>
      <c r="C17" s="522" t="s">
        <v>3519</v>
      </c>
      <c r="D17" s="516" t="s">
        <v>3520</v>
      </c>
      <c r="E17" s="516" t="s">
        <v>3521</v>
      </c>
      <c r="F17" s="516" t="s">
        <v>3522</v>
      </c>
      <c r="G17" s="523" t="s">
        <v>3523</v>
      </c>
      <c r="H17" s="523" t="s">
        <v>3524</v>
      </c>
      <c r="I17" s="2" t="s">
        <v>3525</v>
      </c>
      <c r="J17" s="522" t="s">
        <v>3526</v>
      </c>
      <c r="K17" s="522" t="s">
        <v>3527</v>
      </c>
      <c r="L17" s="522" t="s">
        <v>3528</v>
      </c>
      <c r="M17" s="522" t="s">
        <v>3529</v>
      </c>
    </row>
    <row r="18" spans="1:13" x14ac:dyDescent="0.3">
      <c r="A18" s="516" t="s">
        <v>3530</v>
      </c>
      <c r="B18" s="521" t="str">
        <f t="shared" si="3"/>
        <v>Select Template Display Language:</v>
      </c>
      <c r="C18" s="522" t="s">
        <v>3531</v>
      </c>
      <c r="D18" s="516" t="s">
        <v>3532</v>
      </c>
      <c r="E18" s="516" t="s">
        <v>3533</v>
      </c>
      <c r="F18" s="516" t="s">
        <v>3534</v>
      </c>
      <c r="G18" s="523" t="s">
        <v>3535</v>
      </c>
      <c r="H18" s="523" t="s">
        <v>3536</v>
      </c>
      <c r="I18" s="2" t="s">
        <v>3537</v>
      </c>
      <c r="J18" s="522" t="s">
        <v>3538</v>
      </c>
      <c r="K18" s="522" t="s">
        <v>3539</v>
      </c>
      <c r="L18" s="522" t="s">
        <v>3540</v>
      </c>
      <c r="M18" s="522" t="s">
        <v>3541</v>
      </c>
    </row>
    <row r="19" spans="1:13" x14ac:dyDescent="0.3">
      <c r="A19" s="516" t="s">
        <v>3542</v>
      </c>
      <c r="B19" s="521" t="str">
        <f t="shared" si="3"/>
        <v>Main title of the report</v>
      </c>
      <c r="C19" s="522" t="s">
        <v>3543</v>
      </c>
      <c r="D19" s="516" t="s">
        <v>3544</v>
      </c>
      <c r="E19" s="516" t="s">
        <v>3545</v>
      </c>
      <c r="F19" s="516" t="s">
        <v>3546</v>
      </c>
      <c r="G19" s="523" t="s">
        <v>3547</v>
      </c>
      <c r="H19" s="523" t="s">
        <v>3548</v>
      </c>
      <c r="I19" s="2" t="s">
        <v>3549</v>
      </c>
      <c r="J19" s="522" t="s">
        <v>3550</v>
      </c>
      <c r="K19" s="522" t="s">
        <v>3551</v>
      </c>
      <c r="L19" s="522" t="s">
        <v>3552</v>
      </c>
      <c r="M19" s="522" t="s">
        <v>3553</v>
      </c>
    </row>
    <row r="20" spans="1:13" ht="43.2" x14ac:dyDescent="0.3">
      <c r="A20" s="516" t="s">
        <v>3554</v>
      </c>
      <c r="B20" s="521" t="str">
        <f t="shared" si="3"/>
        <v xml:space="preserve">Sustainability Report </v>
      </c>
      <c r="C20" s="522" t="s">
        <v>3555</v>
      </c>
      <c r="D20" s="516" t="s">
        <v>3556</v>
      </c>
      <c r="E20" s="516" t="s">
        <v>3557</v>
      </c>
      <c r="F20" s="516" t="s">
        <v>3558</v>
      </c>
      <c r="G20" s="523" t="s">
        <v>3559</v>
      </c>
      <c r="H20" s="523" t="s">
        <v>3560</v>
      </c>
      <c r="I20" s="2" t="s">
        <v>3561</v>
      </c>
      <c r="J20" s="522" t="s">
        <v>3562</v>
      </c>
      <c r="K20" s="522" t="s">
        <v>3563</v>
      </c>
      <c r="L20" s="522" t="s">
        <v>3564</v>
      </c>
      <c r="M20" s="522" t="s">
        <v>3565</v>
      </c>
    </row>
    <row r="21" spans="1:13" ht="43.2" x14ac:dyDescent="0.3">
      <c r="A21" s="516" t="s">
        <v>3566</v>
      </c>
      <c r="B21" s="521" t="str">
        <f t="shared" si="3"/>
        <v>Subtitle of the report</v>
      </c>
      <c r="C21" s="522" t="s">
        <v>3567</v>
      </c>
      <c r="D21" s="516" t="s">
        <v>3568</v>
      </c>
      <c r="E21" s="516" t="s">
        <v>3569</v>
      </c>
      <c r="F21" s="516" t="s">
        <v>3570</v>
      </c>
      <c r="G21" s="523" t="s">
        <v>3571</v>
      </c>
      <c r="H21" s="523" t="s">
        <v>3572</v>
      </c>
      <c r="I21" s="2" t="s">
        <v>3573</v>
      </c>
      <c r="J21" s="522" t="s">
        <v>3574</v>
      </c>
      <c r="K21" s="522" t="s">
        <v>3575</v>
      </c>
      <c r="L21" s="522" t="s">
        <v>3576</v>
      </c>
      <c r="M21" s="522" t="s">
        <v>3577</v>
      </c>
    </row>
    <row r="22" spans="1:13" ht="72" x14ac:dyDescent="0.3">
      <c r="A22" s="516" t="s">
        <v>3578</v>
      </c>
      <c r="B22" s="521" t="str">
        <f t="shared" si="3"/>
        <v>Prepared in accordance with the Voluntary Sustainability Reporting Standard for small and medium-sized undertakings (VSME), released by the European Commission on 30 July 2025.</v>
      </c>
      <c r="C22" s="522" t="s">
        <v>3579</v>
      </c>
      <c r="D22" s="516" t="s">
        <v>3580</v>
      </c>
      <c r="E22" s="516" t="s">
        <v>3581</v>
      </c>
      <c r="F22" s="516" t="s">
        <v>3582</v>
      </c>
      <c r="G22" s="523" t="s">
        <v>3583</v>
      </c>
      <c r="H22" s="523" t="s">
        <v>3584</v>
      </c>
      <c r="I22" s="2" t="s">
        <v>3585</v>
      </c>
      <c r="J22" s="522" t="s">
        <v>3586</v>
      </c>
      <c r="K22" s="522" t="s">
        <v>3587</v>
      </c>
      <c r="L22" s="522" t="s">
        <v>3588</v>
      </c>
      <c r="M22" s="522" t="s">
        <v>3589</v>
      </c>
    </row>
    <row r="23" spans="1:13" x14ac:dyDescent="0.3">
      <c r="A23" s="516" t="s">
        <v>3590</v>
      </c>
      <c r="B23" s="521" t="str">
        <f t="shared" si="3"/>
        <v>VSME Digital Template</v>
      </c>
      <c r="C23" s="522" t="s">
        <v>3591</v>
      </c>
      <c r="D23" s="516" t="s">
        <v>3592</v>
      </c>
      <c r="E23" s="516" t="s">
        <v>3593</v>
      </c>
      <c r="F23" s="516" t="s">
        <v>3594</v>
      </c>
      <c r="G23" s="523" t="s">
        <v>3595</v>
      </c>
      <c r="H23" s="523" t="s">
        <v>3596</v>
      </c>
      <c r="I23" s="2" t="s">
        <v>3597</v>
      </c>
      <c r="J23" s="522" t="s">
        <v>3598</v>
      </c>
      <c r="K23" s="522" t="s">
        <v>3599</v>
      </c>
      <c r="L23" s="522" t="s">
        <v>3600</v>
      </c>
      <c r="M23" s="522" t="s">
        <v>3601</v>
      </c>
    </row>
    <row r="24" spans="1:13" ht="164.4" customHeight="1" x14ac:dyDescent="0.3">
      <c r="A24" s="516" t="s">
        <v>3602</v>
      </c>
      <c r="B24" s="521" t="str">
        <f t="shared" si="3"/>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522" t="s">
        <v>3603</v>
      </c>
      <c r="D24" s="516" t="s">
        <v>3604</v>
      </c>
      <c r="E24" s="516" t="s">
        <v>3605</v>
      </c>
      <c r="F24" s="516" t="s">
        <v>3606</v>
      </c>
      <c r="G24" s="523" t="s">
        <v>3607</v>
      </c>
      <c r="H24" s="523" t="s">
        <v>3608</v>
      </c>
      <c r="I24" s="2" t="s">
        <v>3609</v>
      </c>
      <c r="J24" s="522" t="s">
        <v>3610</v>
      </c>
      <c r="K24" s="522" t="s">
        <v>3611</v>
      </c>
      <c r="L24" s="522" t="s">
        <v>3612</v>
      </c>
      <c r="M24" s="522" t="s">
        <v>3613</v>
      </c>
    </row>
    <row r="25" spans="1:13" x14ac:dyDescent="0.3">
      <c r="A25" s="516" t="s">
        <v>3614</v>
      </c>
      <c r="B25" s="521" t="str">
        <f t="shared" si="3"/>
        <v>How to use it:</v>
      </c>
      <c r="C25" s="522" t="s">
        <v>3615</v>
      </c>
      <c r="D25" s="516" t="s">
        <v>3616</v>
      </c>
      <c r="E25" s="516" t="s">
        <v>3617</v>
      </c>
      <c r="F25" s="516" t="s">
        <v>3618</v>
      </c>
      <c r="G25" s="523" t="s">
        <v>3619</v>
      </c>
      <c r="H25" s="523" t="s">
        <v>3620</v>
      </c>
      <c r="I25" s="2" t="s">
        <v>3621</v>
      </c>
      <c r="J25" s="522" t="s">
        <v>3622</v>
      </c>
      <c r="K25" s="522" t="s">
        <v>3623</v>
      </c>
      <c r="L25" s="522" t="s">
        <v>3624</v>
      </c>
      <c r="M25" s="522" t="s">
        <v>3625</v>
      </c>
    </row>
    <row r="26" spans="1:13" ht="28.8" x14ac:dyDescent="0.3">
      <c r="A26" s="516" t="s">
        <v>3626</v>
      </c>
      <c r="B26" s="521" t="str">
        <f t="shared" si="3"/>
        <v>0. Provide information that is mandatory in order to generate the VSME and XBRL Report.</v>
      </c>
      <c r="C26" s="522" t="s">
        <v>3627</v>
      </c>
      <c r="D26" s="516" t="s">
        <v>3628</v>
      </c>
      <c r="E26" s="516" t="s">
        <v>3629</v>
      </c>
      <c r="F26" s="516" t="s">
        <v>3630</v>
      </c>
      <c r="G26" s="523" t="s">
        <v>3631</v>
      </c>
      <c r="H26" s="523" t="s">
        <v>3632</v>
      </c>
      <c r="I26" s="2" t="s">
        <v>3633</v>
      </c>
      <c r="J26" s="522" t="s">
        <v>3634</v>
      </c>
      <c r="K26" s="522" t="s">
        <v>3635</v>
      </c>
      <c r="L26" s="522" t="s">
        <v>3636</v>
      </c>
      <c r="M26" s="522" t="s">
        <v>3637</v>
      </c>
    </row>
    <row r="27" spans="1:13" ht="129.6" x14ac:dyDescent="0.3">
      <c r="A27" s="516" t="s">
        <v>3638</v>
      </c>
      <c r="B27" s="521" t="str">
        <f t="shared" si="3"/>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522" t="s">
        <v>3639</v>
      </c>
      <c r="D27" s="516" t="s">
        <v>3640</v>
      </c>
      <c r="E27" s="516" t="s">
        <v>3641</v>
      </c>
      <c r="F27" s="516" t="s">
        <v>3642</v>
      </c>
      <c r="G27" s="523" t="s">
        <v>3643</v>
      </c>
      <c r="H27" s="523" t="s">
        <v>3644</v>
      </c>
      <c r="I27" s="2" t="s">
        <v>3645</v>
      </c>
      <c r="J27" s="522" t="s">
        <v>3646</v>
      </c>
      <c r="K27" s="522" t="s">
        <v>3647</v>
      </c>
      <c r="L27" s="522" t="s">
        <v>3648</v>
      </c>
      <c r="M27" s="522" t="s">
        <v>3649</v>
      </c>
    </row>
    <row r="28" spans="1:13" ht="100.8" x14ac:dyDescent="0.3">
      <c r="A28" s="516" t="s">
        <v>3650</v>
      </c>
      <c r="B28" s="521" t="str">
        <f t="shared" si="3"/>
        <v>2. Find more information on the actual disclosure requirements in the VSME Standard and the related guidance linked to each cell. Additional or entity-specific disclosures can be provided in each text box at the end of each worksheet.</v>
      </c>
      <c r="C28" s="522" t="s">
        <v>3651</v>
      </c>
      <c r="D28" s="516" t="s">
        <v>3652</v>
      </c>
      <c r="E28" s="516" t="s">
        <v>3653</v>
      </c>
      <c r="F28" s="516" t="s">
        <v>3654</v>
      </c>
      <c r="G28" s="523" t="s">
        <v>3655</v>
      </c>
      <c r="H28" s="523" t="s">
        <v>3656</v>
      </c>
      <c r="I28" s="2" t="s">
        <v>3657</v>
      </c>
      <c r="J28" s="522" t="s">
        <v>3658</v>
      </c>
      <c r="K28" s="522" t="s">
        <v>3659</v>
      </c>
      <c r="L28" s="522" t="s">
        <v>3660</v>
      </c>
      <c r="M28" s="522" t="s">
        <v>3661</v>
      </c>
    </row>
    <row r="29" spans="1:13" ht="115.2" x14ac:dyDescent="0.3">
      <c r="A29" s="516" t="s">
        <v>3662</v>
      </c>
      <c r="B29" s="521" t="str">
        <f t="shared" si="3"/>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522" t="s">
        <v>3663</v>
      </c>
      <c r="D29" s="516" t="s">
        <v>3664</v>
      </c>
      <c r="E29" s="516" t="s">
        <v>3665</v>
      </c>
      <c r="F29" s="516" t="s">
        <v>3666</v>
      </c>
      <c r="G29" s="523" t="s">
        <v>3667</v>
      </c>
      <c r="H29" s="523" t="s">
        <v>3668</v>
      </c>
      <c r="I29" s="2" t="s">
        <v>3669</v>
      </c>
      <c r="J29" s="522" t="s">
        <v>3670</v>
      </c>
      <c r="K29" s="522" t="s">
        <v>3671</v>
      </c>
      <c r="L29" s="522" t="s">
        <v>3672</v>
      </c>
      <c r="M29" s="522" t="s">
        <v>3673</v>
      </c>
    </row>
    <row r="30" spans="1:13" ht="86.4" x14ac:dyDescent="0.3">
      <c r="A30" s="516" t="s">
        <v>3674</v>
      </c>
      <c r="B30" s="521" t="str">
        <f t="shared" si="3"/>
        <v>4. Validate the data entered by checking the validation status. The report is considered incomplete or erroneous if the validation fails, which might result in an invalid XBRL report.</v>
      </c>
      <c r="C30" s="522" t="s">
        <v>3675</v>
      </c>
      <c r="D30" s="516" t="s">
        <v>3676</v>
      </c>
      <c r="E30" s="516" t="s">
        <v>3677</v>
      </c>
      <c r="F30" s="516" t="s">
        <v>3678</v>
      </c>
      <c r="G30" s="523" t="s">
        <v>3679</v>
      </c>
      <c r="H30" s="523" t="s">
        <v>3680</v>
      </c>
      <c r="I30" s="2" t="s">
        <v>3681</v>
      </c>
      <c r="J30" s="522" t="s">
        <v>3682</v>
      </c>
      <c r="K30" s="522" t="s">
        <v>3683</v>
      </c>
      <c r="L30" s="522" t="s">
        <v>3684</v>
      </c>
      <c r="M30" s="522" t="s">
        <v>3685</v>
      </c>
    </row>
    <row r="31" spans="1:13" ht="72" x14ac:dyDescent="0.3">
      <c r="A31" s="516" t="s">
        <v>3686</v>
      </c>
      <c r="B31" s="521" t="str">
        <f t="shared" si="3"/>
        <v>5. Convert this template to an Inline XBRL report (or XBRL-JSON, XBRL-CSV), using the online converter: https://xbrl.efrag.org/convert/. Pay attention to the XBRL validation performed by the validator.</v>
      </c>
      <c r="C31" s="522" t="s">
        <v>3687</v>
      </c>
      <c r="D31" s="516" t="s">
        <v>3688</v>
      </c>
      <c r="E31" s="516" t="s">
        <v>3689</v>
      </c>
      <c r="F31" s="516" t="s">
        <v>3690</v>
      </c>
      <c r="G31" s="523" t="s">
        <v>3691</v>
      </c>
      <c r="H31" s="523" t="s">
        <v>3692</v>
      </c>
      <c r="I31" s="2" t="s">
        <v>3693</v>
      </c>
      <c r="J31" s="522" t="s">
        <v>3694</v>
      </c>
      <c r="K31" s="522" t="s">
        <v>3695</v>
      </c>
      <c r="L31" s="522" t="s">
        <v>3696</v>
      </c>
      <c r="M31" s="522" t="s">
        <v>3697</v>
      </c>
    </row>
    <row r="32" spans="1:13" ht="28.8" x14ac:dyDescent="0.3">
      <c r="A32" s="516" t="s">
        <v>3698</v>
      </c>
      <c r="B32" s="521" t="str">
        <f t="shared" si="3"/>
        <v>6. The undertaking may also upload the report to public repositories or a webpage.</v>
      </c>
      <c r="C32" s="522" t="s">
        <v>3699</v>
      </c>
      <c r="D32" s="516" t="s">
        <v>3700</v>
      </c>
      <c r="E32" s="516" t="s">
        <v>3701</v>
      </c>
      <c r="F32" s="516" t="s">
        <v>3702</v>
      </c>
      <c r="G32" s="523" t="s">
        <v>3703</v>
      </c>
      <c r="H32" s="523" t="s">
        <v>3704</v>
      </c>
      <c r="I32" s="2" t="s">
        <v>3705</v>
      </c>
      <c r="J32" s="522" t="s">
        <v>3706</v>
      </c>
      <c r="K32" s="522" t="s">
        <v>3707</v>
      </c>
      <c r="L32" s="522" t="s">
        <v>3708</v>
      </c>
      <c r="M32" s="522" t="s">
        <v>3709</v>
      </c>
    </row>
    <row r="33" spans="1:13" ht="28.8" x14ac:dyDescent="0.3">
      <c r="A33" s="516" t="s">
        <v>3710</v>
      </c>
      <c r="B33" s="521" t="str">
        <f t="shared" si="3"/>
        <v>Cell background color index:</v>
      </c>
      <c r="C33" s="522" t="s">
        <v>3711</v>
      </c>
      <c r="D33" s="516" t="s">
        <v>3712</v>
      </c>
      <c r="E33" s="516" t="s">
        <v>3713</v>
      </c>
      <c r="F33" s="516" t="s">
        <v>3714</v>
      </c>
      <c r="G33" s="523" t="s">
        <v>3715</v>
      </c>
      <c r="H33" s="523" t="s">
        <v>3716</v>
      </c>
      <c r="I33" s="2" t="s">
        <v>3717</v>
      </c>
      <c r="J33" s="522" t="s">
        <v>3718</v>
      </c>
      <c r="K33" s="522" t="s">
        <v>3719</v>
      </c>
      <c r="L33" s="522" t="s">
        <v>3720</v>
      </c>
      <c r="M33" s="522" t="s">
        <v>3721</v>
      </c>
    </row>
    <row r="34" spans="1:13" ht="43.2" x14ac:dyDescent="0.3">
      <c r="A34" s="516" t="s">
        <v>3722</v>
      </c>
      <c r="B34" s="521" t="str">
        <f t="shared" si="3"/>
        <v>General Principles</v>
      </c>
      <c r="C34" s="522" t="s">
        <v>3723</v>
      </c>
      <c r="D34" s="516" t="s">
        <v>3724</v>
      </c>
      <c r="E34" s="516" t="s">
        <v>3725</v>
      </c>
      <c r="F34" s="516" t="s">
        <v>3726</v>
      </c>
      <c r="G34" s="523" t="s">
        <v>3727</v>
      </c>
      <c r="H34" s="523" t="s">
        <v>3728</v>
      </c>
      <c r="I34" s="2" t="s">
        <v>3729</v>
      </c>
      <c r="J34" s="522" t="s">
        <v>3730</v>
      </c>
      <c r="K34" s="522" t="s">
        <v>3731</v>
      </c>
      <c r="L34" s="522" t="s">
        <v>3732</v>
      </c>
      <c r="M34" s="522" t="s">
        <v>3733</v>
      </c>
    </row>
    <row r="35" spans="1:13" ht="28.8" x14ac:dyDescent="0.3">
      <c r="A35" s="516" t="s">
        <v>3734</v>
      </c>
      <c r="B35" s="521" t="str">
        <f t="shared" si="3"/>
        <v>Indicates that the disclosure is from the general principles of the VSME.</v>
      </c>
      <c r="C35" s="522" t="s">
        <v>3735</v>
      </c>
      <c r="D35" s="516" t="s">
        <v>3736</v>
      </c>
      <c r="E35" s="516" t="s">
        <v>3737</v>
      </c>
      <c r="F35" s="516" t="s">
        <v>3738</v>
      </c>
      <c r="G35" s="523" t="s">
        <v>3739</v>
      </c>
      <c r="H35" s="523" t="s">
        <v>3740</v>
      </c>
      <c r="I35" s="2" t="s">
        <v>3741</v>
      </c>
      <c r="J35" s="522" t="s">
        <v>3742</v>
      </c>
      <c r="K35" s="522" t="s">
        <v>3743</v>
      </c>
      <c r="L35" s="522" t="s">
        <v>3744</v>
      </c>
      <c r="M35" s="522" t="s">
        <v>3745</v>
      </c>
    </row>
    <row r="36" spans="1:13" x14ac:dyDescent="0.3">
      <c r="A36" s="516" t="s">
        <v>3746</v>
      </c>
      <c r="B36" s="521" t="str">
        <f t="shared" si="3"/>
        <v>Basic Module</v>
      </c>
      <c r="C36" s="522" t="s">
        <v>3747</v>
      </c>
      <c r="D36" s="516" t="s">
        <v>3748</v>
      </c>
      <c r="E36" s="516" t="s">
        <v>3749</v>
      </c>
      <c r="F36" s="516" t="s">
        <v>3750</v>
      </c>
      <c r="G36" s="523" t="s">
        <v>3751</v>
      </c>
      <c r="H36" s="523" t="s">
        <v>3752</v>
      </c>
      <c r="I36" s="2" t="s">
        <v>3753</v>
      </c>
      <c r="J36" s="522" t="s">
        <v>3754</v>
      </c>
      <c r="K36" s="522" t="s">
        <v>3755</v>
      </c>
      <c r="L36" s="522" t="s">
        <v>3756</v>
      </c>
      <c r="M36" s="522" t="s">
        <v>3757</v>
      </c>
    </row>
    <row r="37" spans="1:13" ht="28.8" x14ac:dyDescent="0.3">
      <c r="A37" s="516" t="s">
        <v>3758</v>
      </c>
      <c r="B37" s="521" t="str">
        <f t="shared" si="3"/>
        <v>Indicates that the disclosure is from the VSME Basic Module.</v>
      </c>
      <c r="C37" s="522" t="s">
        <v>3759</v>
      </c>
      <c r="D37" s="516" t="s">
        <v>3760</v>
      </c>
      <c r="E37" s="516" t="s">
        <v>3761</v>
      </c>
      <c r="F37" s="516" t="s">
        <v>3762</v>
      </c>
      <c r="G37" s="523" t="s">
        <v>3763</v>
      </c>
      <c r="H37" s="523" t="s">
        <v>3764</v>
      </c>
      <c r="I37" s="2" t="s">
        <v>3765</v>
      </c>
      <c r="J37" s="522" t="s">
        <v>3766</v>
      </c>
      <c r="K37" s="522" t="s">
        <v>3767</v>
      </c>
      <c r="L37" s="522" t="s">
        <v>3768</v>
      </c>
      <c r="M37" s="522" t="s">
        <v>3769</v>
      </c>
    </row>
    <row r="38" spans="1:13" ht="28.8" x14ac:dyDescent="0.3">
      <c r="A38" s="516" t="s">
        <v>3770</v>
      </c>
      <c r="B38" s="521" t="str">
        <f t="shared" si="3"/>
        <v>Comprehensive Module</v>
      </c>
      <c r="C38" s="522" t="s">
        <v>3771</v>
      </c>
      <c r="D38" s="516" t="s">
        <v>3772</v>
      </c>
      <c r="E38" s="516" t="s">
        <v>3773</v>
      </c>
      <c r="F38" s="516" t="s">
        <v>3774</v>
      </c>
      <c r="G38" s="523" t="s">
        <v>3775</v>
      </c>
      <c r="H38" s="523" t="s">
        <v>3776</v>
      </c>
      <c r="I38" s="2" t="s">
        <v>3777</v>
      </c>
      <c r="J38" s="522" t="s">
        <v>3778</v>
      </c>
      <c r="K38" s="522" t="s">
        <v>3779</v>
      </c>
      <c r="L38" s="522" t="s">
        <v>3768</v>
      </c>
      <c r="M38" s="522" t="s">
        <v>3780</v>
      </c>
    </row>
    <row r="39" spans="1:13" ht="28.8" x14ac:dyDescent="0.3">
      <c r="A39" s="516" t="s">
        <v>3781</v>
      </c>
      <c r="B39" s="521" t="str">
        <f t="shared" si="3"/>
        <v>Indicates that the disclosure is from the VSME Comprehensive Module.</v>
      </c>
      <c r="C39" s="522" t="s">
        <v>3782</v>
      </c>
      <c r="D39" s="516" t="s">
        <v>3783</v>
      </c>
      <c r="E39" s="516" t="s">
        <v>3784</v>
      </c>
      <c r="F39" s="516" t="s">
        <v>3785</v>
      </c>
      <c r="G39" s="523" t="s">
        <v>3786</v>
      </c>
      <c r="H39" s="523" t="s">
        <v>3787</v>
      </c>
      <c r="I39" s="2" t="s">
        <v>3788</v>
      </c>
      <c r="J39" s="522" t="s">
        <v>3789</v>
      </c>
      <c r="K39" s="522" t="s">
        <v>3790</v>
      </c>
      <c r="L39" s="522" t="s">
        <v>3768</v>
      </c>
      <c r="M39" s="522" t="s">
        <v>3791</v>
      </c>
    </row>
    <row r="40" spans="1:13" ht="57.6" x14ac:dyDescent="0.3">
      <c r="A40" s="516" t="s">
        <v>3792</v>
      </c>
      <c r="B40" s="521" t="str">
        <f t="shared" si="3"/>
        <v>Indicates that the cell is automatically calculated and that no data entry is required.</v>
      </c>
      <c r="C40" s="522" t="s">
        <v>3793</v>
      </c>
      <c r="D40" s="516" t="s">
        <v>3794</v>
      </c>
      <c r="E40" s="516" t="s">
        <v>3795</v>
      </c>
      <c r="F40" s="516" t="s">
        <v>3785</v>
      </c>
      <c r="G40" s="523" t="s">
        <v>3796</v>
      </c>
      <c r="H40" s="523" t="s">
        <v>3797</v>
      </c>
      <c r="I40" s="2" t="s">
        <v>3798</v>
      </c>
      <c r="J40" s="522" t="s">
        <v>3799</v>
      </c>
      <c r="K40" s="522" t="s">
        <v>3800</v>
      </c>
      <c r="L40" s="522" t="s">
        <v>3801</v>
      </c>
      <c r="M40" s="522" t="s">
        <v>3802</v>
      </c>
    </row>
    <row r="41" spans="1:13" ht="144" x14ac:dyDescent="0.3">
      <c r="A41" s="516" t="s">
        <v>3803</v>
      </c>
      <c r="B41" s="521" t="str">
        <f t="shared" si="3"/>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522" t="s">
        <v>3804</v>
      </c>
      <c r="D41" s="516" t="s">
        <v>3805</v>
      </c>
      <c r="E41" s="516" t="s">
        <v>3806</v>
      </c>
      <c r="F41" s="516" t="s">
        <v>3807</v>
      </c>
      <c r="G41" s="523" t="s">
        <v>3808</v>
      </c>
      <c r="H41" s="523" t="s">
        <v>3809</v>
      </c>
      <c r="I41" s="2" t="s">
        <v>3810</v>
      </c>
      <c r="J41" s="522" t="s">
        <v>3811</v>
      </c>
      <c r="K41" s="522" t="s">
        <v>3812</v>
      </c>
      <c r="L41" s="522" t="s">
        <v>3813</v>
      </c>
      <c r="M41" s="522" t="s">
        <v>3814</v>
      </c>
    </row>
    <row r="42" spans="1:13" ht="57.6" x14ac:dyDescent="0.3">
      <c r="A42" s="516" t="s">
        <v>3815</v>
      </c>
      <c r="B42" s="521" t="str">
        <f t="shared" si="3"/>
        <v>Indicates that no data entry is required unless certain logics are selected in the disclosure itself. When one of these logics is selected, then this cell will turn white.</v>
      </c>
      <c r="C42" s="522" t="s">
        <v>3816</v>
      </c>
      <c r="D42" s="516" t="s">
        <v>3817</v>
      </c>
      <c r="E42" s="516" t="s">
        <v>3818</v>
      </c>
      <c r="F42" s="516" t="s">
        <v>3819</v>
      </c>
      <c r="G42" s="523" t="s">
        <v>3820</v>
      </c>
      <c r="H42" s="523" t="s">
        <v>3821</v>
      </c>
      <c r="I42" s="2" t="s">
        <v>3822</v>
      </c>
      <c r="J42" s="522" t="s">
        <v>3823</v>
      </c>
      <c r="K42" s="522" t="s">
        <v>3824</v>
      </c>
      <c r="L42" s="522" t="s">
        <v>3825</v>
      </c>
      <c r="M42" s="522" t="s">
        <v>3826</v>
      </c>
    </row>
    <row r="43" spans="1:13" ht="43.2" x14ac:dyDescent="0.3">
      <c r="A43" s="516" t="s">
        <v>3827</v>
      </c>
      <c r="B43" s="521" t="str">
        <f t="shared" si="3"/>
        <v>Validation MISSING VALUE/ERROR/VALUE INCONSISTENCY/INVALID URL</v>
      </c>
      <c r="C43" s="521" t="s">
        <v>3828</v>
      </c>
      <c r="D43" s="516" t="s">
        <v>3829</v>
      </c>
      <c r="E43" s="516" t="s">
        <v>3830</v>
      </c>
      <c r="F43" s="516" t="s">
        <v>3831</v>
      </c>
      <c r="G43" s="523" t="s">
        <v>3832</v>
      </c>
      <c r="H43" s="523" t="s">
        <v>3833</v>
      </c>
      <c r="I43" s="2" t="s">
        <v>3834</v>
      </c>
      <c r="J43" s="522" t="s">
        <v>3835</v>
      </c>
      <c r="K43" s="522" t="s">
        <v>3836</v>
      </c>
      <c r="L43" s="522" t="s">
        <v>3837</v>
      </c>
      <c r="M43" s="522" t="s">
        <v>3838</v>
      </c>
    </row>
    <row r="44" spans="1:13" ht="57.6" x14ac:dyDescent="0.3">
      <c r="A44" s="516" t="s">
        <v>3839</v>
      </c>
      <c r="B44" s="521" t="str">
        <f t="shared" si="3"/>
        <v>Indicates that either data entry is incorrect in terms of format or that certain information is missing in order to correctly report on the disclosure.</v>
      </c>
      <c r="C44" s="522" t="s">
        <v>3840</v>
      </c>
      <c r="D44" s="516" t="s">
        <v>3841</v>
      </c>
      <c r="E44" s="516" t="s">
        <v>3842</v>
      </c>
      <c r="F44" s="516" t="s">
        <v>3843</v>
      </c>
      <c r="G44" s="523" t="s">
        <v>3844</v>
      </c>
      <c r="H44" s="523" t="s">
        <v>3845</v>
      </c>
      <c r="I44" s="2" t="s">
        <v>3846</v>
      </c>
      <c r="J44" s="522" t="s">
        <v>3847</v>
      </c>
      <c r="K44" s="522" t="s">
        <v>3848</v>
      </c>
      <c r="L44" s="522" t="s">
        <v>3849</v>
      </c>
      <c r="M44" s="522" t="s">
        <v>3850</v>
      </c>
    </row>
    <row r="45" spans="1:13" x14ac:dyDescent="0.3">
      <c r="A45" s="516" t="s">
        <v>3851</v>
      </c>
      <c r="B45" s="521" t="str">
        <f t="shared" si="3"/>
        <v>Validation OK</v>
      </c>
      <c r="C45" s="522" t="s">
        <v>2</v>
      </c>
      <c r="D45" s="516" t="s">
        <v>3852</v>
      </c>
      <c r="E45" s="516" t="s">
        <v>3853</v>
      </c>
      <c r="F45" s="516" t="s">
        <v>2</v>
      </c>
      <c r="G45" s="523" t="s">
        <v>3854</v>
      </c>
      <c r="H45" s="523" t="s">
        <v>3855</v>
      </c>
      <c r="I45" s="2" t="s">
        <v>3856</v>
      </c>
      <c r="J45" s="522" t="s">
        <v>3857</v>
      </c>
      <c r="K45" s="522" t="s">
        <v>3858</v>
      </c>
      <c r="L45" s="522" t="s">
        <v>3859</v>
      </c>
      <c r="M45" s="522" t="s">
        <v>3860</v>
      </c>
    </row>
    <row r="46" spans="1:13" ht="57.6" x14ac:dyDescent="0.3">
      <c r="A46" s="516" t="s">
        <v>3861</v>
      </c>
      <c r="B46" s="521" t="str">
        <f t="shared" si="3"/>
        <v>Indicates that data entry is OK and the undertaking can proceed to the next disclosure.</v>
      </c>
      <c r="C46" s="522" t="s">
        <v>3862</v>
      </c>
      <c r="D46" s="516" t="s">
        <v>3863</v>
      </c>
      <c r="E46" s="516" t="s">
        <v>3864</v>
      </c>
      <c r="F46" s="516" t="s">
        <v>3865</v>
      </c>
      <c r="G46" s="523" t="s">
        <v>3866</v>
      </c>
      <c r="H46" s="523" t="s">
        <v>3867</v>
      </c>
      <c r="I46" s="2" t="s">
        <v>3868</v>
      </c>
      <c r="J46" s="522" t="s">
        <v>3869</v>
      </c>
      <c r="K46" s="522" t="s">
        <v>3870</v>
      </c>
      <c r="L46" s="522" t="s">
        <v>3871</v>
      </c>
      <c r="M46" s="522" t="s">
        <v>3872</v>
      </c>
    </row>
    <row r="47" spans="1:13" ht="28.8" x14ac:dyDescent="0.3">
      <c r="A47" s="516" t="s">
        <v>3873</v>
      </c>
      <c r="B47" s="521" t="str">
        <f t="shared" si="3"/>
        <v>Validation CLASSIFIED OR SENSITIVE INFORMATION</v>
      </c>
      <c r="C47" s="522" t="s">
        <v>3874</v>
      </c>
      <c r="D47" s="516" t="s">
        <v>3875</v>
      </c>
      <c r="E47" s="516" t="s">
        <v>3876</v>
      </c>
      <c r="F47" s="516" t="s">
        <v>3877</v>
      </c>
      <c r="G47" s="516" t="s">
        <v>3878</v>
      </c>
      <c r="H47" s="516" t="s">
        <v>3879</v>
      </c>
      <c r="I47" s="516" t="s">
        <v>3880</v>
      </c>
      <c r="J47" s="516" t="s">
        <v>3881</v>
      </c>
      <c r="K47" s="516" t="s">
        <v>3882</v>
      </c>
      <c r="L47" s="516" t="s">
        <v>3883</v>
      </c>
      <c r="M47" s="516" t="s">
        <v>3884</v>
      </c>
    </row>
    <row r="48" spans="1:13" ht="43.2" x14ac:dyDescent="0.3">
      <c r="A48" s="516" t="s">
        <v>3885</v>
      </c>
      <c r="B48" s="521" t="str">
        <f t="shared" si="3"/>
        <v>Indicates that the undertaking has omitted the data entry as it is deemed to be classified or sensitive information.</v>
      </c>
      <c r="C48" s="522" t="s">
        <v>3886</v>
      </c>
      <c r="D48" s="516" t="s">
        <v>3887</v>
      </c>
      <c r="E48" s="516" t="s">
        <v>3888</v>
      </c>
      <c r="F48" s="516" t="s">
        <v>3889</v>
      </c>
      <c r="G48" s="516" t="s">
        <v>3890</v>
      </c>
      <c r="H48" s="516" t="s">
        <v>3891</v>
      </c>
      <c r="I48" s="516" t="s">
        <v>3892</v>
      </c>
      <c r="J48" s="516" t="s">
        <v>3893</v>
      </c>
      <c r="K48" s="516" t="s">
        <v>3894</v>
      </c>
      <c r="L48" s="516" t="s">
        <v>3895</v>
      </c>
      <c r="M48" s="516" t="s">
        <v>3896</v>
      </c>
    </row>
    <row r="49" spans="1:13" x14ac:dyDescent="0.3">
      <c r="A49" s="516" t="s">
        <v>3897</v>
      </c>
      <c r="B49" s="521" t="str">
        <f t="shared" si="3"/>
        <v>No value can be entered in the cell.</v>
      </c>
      <c r="C49" s="522" t="s">
        <v>3898</v>
      </c>
      <c r="D49" s="516" t="s">
        <v>3899</v>
      </c>
      <c r="E49" s="516" t="s">
        <v>3900</v>
      </c>
      <c r="F49" s="516" t="s">
        <v>3901</v>
      </c>
      <c r="G49" s="523" t="s">
        <v>3902</v>
      </c>
      <c r="H49" s="523" t="s">
        <v>3903</v>
      </c>
      <c r="I49" s="2" t="s">
        <v>3904</v>
      </c>
      <c r="J49" s="522" t="s">
        <v>3905</v>
      </c>
      <c r="K49" s="522" t="s">
        <v>3906</v>
      </c>
      <c r="L49" s="522" t="s">
        <v>3907</v>
      </c>
      <c r="M49" s="522" t="s">
        <v>3908</v>
      </c>
    </row>
    <row r="50" spans="1:13" ht="216" x14ac:dyDescent="0.3">
      <c r="A50" s="516" t="s">
        <v>3909</v>
      </c>
      <c r="B50" s="521" t="str">
        <f t="shared" si="3"/>
        <v>Lists can be expanded using the plus [+] button on the left. If the number of rows is not sufficient, additional rows can be added by right clicking the second row and selecting "Insert row".</v>
      </c>
      <c r="C50" s="522" t="s">
        <v>3910</v>
      </c>
      <c r="D50" s="516" t="s">
        <v>3911</v>
      </c>
      <c r="E50" s="516" t="s">
        <v>3912</v>
      </c>
      <c r="F50" s="516" t="s">
        <v>3913</v>
      </c>
      <c r="G50" s="523" t="s">
        <v>3914</v>
      </c>
      <c r="H50" s="523" t="s">
        <v>3915</v>
      </c>
      <c r="I50" s="2" t="s">
        <v>3916</v>
      </c>
      <c r="J50" s="522" t="s">
        <v>3917</v>
      </c>
      <c r="K50" s="522" t="s">
        <v>3918</v>
      </c>
      <c r="L50" s="522" t="s">
        <v>3919</v>
      </c>
      <c r="M50" s="522" t="s">
        <v>3920</v>
      </c>
    </row>
    <row r="51" spans="1:13" ht="201.6" x14ac:dyDescent="0.3">
      <c r="A51" s="516" t="s">
        <v>3921</v>
      </c>
      <c r="B51" s="521" t="str">
        <f t="shared" si="3"/>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1" s="522" t="s">
        <v>3922</v>
      </c>
      <c r="D51" s="516" t="s">
        <v>3923</v>
      </c>
      <c r="E51" s="516" t="s">
        <v>3924</v>
      </c>
      <c r="F51" s="516" t="s">
        <v>3925</v>
      </c>
      <c r="G51" s="523" t="s">
        <v>3926</v>
      </c>
      <c r="H51" s="523" t="s">
        <v>3927</v>
      </c>
      <c r="I51" s="2" t="s">
        <v>3928</v>
      </c>
      <c r="J51" s="522" t="s">
        <v>3929</v>
      </c>
      <c r="K51" s="522" t="s">
        <v>3930</v>
      </c>
      <c r="L51" s="522" t="s">
        <v>3931</v>
      </c>
      <c r="M51" s="522" t="s">
        <v>3932</v>
      </c>
    </row>
    <row r="52" spans="1:13" ht="72.599999999999994" thickBot="1" x14ac:dyDescent="0.35">
      <c r="A52" s="524" t="s">
        <v>3933</v>
      </c>
      <c r="B52" s="525" t="str">
        <f t="shared" si="3"/>
        <v>Reproduction and use rights are strictly limited. For further details please contact efragsecretariat@efrag.org</v>
      </c>
      <c r="C52" s="526" t="s">
        <v>3934</v>
      </c>
      <c r="D52" s="524" t="s">
        <v>3935</v>
      </c>
      <c r="E52" s="524" t="s">
        <v>3936</v>
      </c>
      <c r="F52" s="524" t="s">
        <v>3937</v>
      </c>
      <c r="G52" s="527" t="s">
        <v>3938</v>
      </c>
      <c r="H52" s="527" t="s">
        <v>3939</v>
      </c>
      <c r="I52" s="528" t="s">
        <v>3940</v>
      </c>
      <c r="J52" s="526" t="s">
        <v>3941</v>
      </c>
      <c r="K52" s="526" t="s">
        <v>3942</v>
      </c>
      <c r="L52" s="526" t="s">
        <v>3943</v>
      </c>
      <c r="M52" s="526" t="s">
        <v>3944</v>
      </c>
    </row>
    <row r="53" spans="1:13" ht="57.6" x14ac:dyDescent="0.3">
      <c r="A53" s="516" t="s">
        <v>3945</v>
      </c>
      <c r="B53" s="521" t="str">
        <f>INDEX(C53:M53,MATCH(template_selected_display_language,$C$3:$M$3,0))</f>
        <v>Filling the checkboxes below will fill automatically the list of omitted disclosures in B1 (from row 123 to 172 within General Information sheet)</v>
      </c>
      <c r="C53" s="516" t="s">
        <v>3946</v>
      </c>
      <c r="D53" s="516" t="s">
        <v>3947</v>
      </c>
      <c r="E53" s="516" t="s">
        <v>3948</v>
      </c>
      <c r="F53" s="516" t="s">
        <v>3949</v>
      </c>
      <c r="G53" s="516" t="s">
        <v>3950</v>
      </c>
      <c r="H53" s="516" t="s">
        <v>3951</v>
      </c>
      <c r="I53" s="516" t="s">
        <v>3952</v>
      </c>
      <c r="J53" s="516" t="s">
        <v>3953</v>
      </c>
      <c r="K53" s="516" t="s">
        <v>3954</v>
      </c>
      <c r="L53" s="516" t="s">
        <v>3955</v>
      </c>
      <c r="M53" s="516" t="s">
        <v>3956</v>
      </c>
    </row>
    <row r="54" spans="1:13" ht="43.2" x14ac:dyDescent="0.3">
      <c r="A54" s="516" t="s">
        <v>3957</v>
      </c>
      <c r="B54" s="521" t="str">
        <f t="shared" si="3"/>
        <v>Overall Validation Status</v>
      </c>
      <c r="C54" s="516" t="s">
        <v>3958</v>
      </c>
      <c r="D54" s="516" t="s">
        <v>3959</v>
      </c>
      <c r="E54" s="516" t="s">
        <v>3960</v>
      </c>
      <c r="F54" s="516" t="s">
        <v>3961</v>
      </c>
      <c r="G54" s="523" t="s">
        <v>3962</v>
      </c>
      <c r="H54" s="523" t="s">
        <v>3963</v>
      </c>
      <c r="I54" s="2" t="s">
        <v>3964</v>
      </c>
      <c r="J54" s="522" t="s">
        <v>3965</v>
      </c>
      <c r="K54" s="522" t="s">
        <v>3966</v>
      </c>
      <c r="L54" s="522" t="s">
        <v>3967</v>
      </c>
      <c r="M54" s="522" t="s">
        <v>3968</v>
      </c>
    </row>
    <row r="55" spans="1:13" x14ac:dyDescent="0.3">
      <c r="A55" s="516" t="s">
        <v>3969</v>
      </c>
      <c r="B55" s="521" t="str">
        <f t="shared" si="3"/>
        <v>Table of Contents</v>
      </c>
      <c r="C55" s="516" t="s">
        <v>3463</v>
      </c>
      <c r="D55" s="516" t="s">
        <v>3970</v>
      </c>
      <c r="E55" s="516" t="s">
        <v>3971</v>
      </c>
      <c r="F55" s="516" t="s">
        <v>3466</v>
      </c>
      <c r="G55" s="523" t="s">
        <v>3467</v>
      </c>
      <c r="H55" s="523" t="s">
        <v>3972</v>
      </c>
      <c r="I55" s="2" t="s">
        <v>3469</v>
      </c>
      <c r="J55" s="522" t="s">
        <v>3470</v>
      </c>
      <c r="K55" s="522" t="s">
        <v>3471</v>
      </c>
      <c r="L55" s="522" t="s">
        <v>3472</v>
      </c>
      <c r="M55" s="522" t="s">
        <v>3472</v>
      </c>
    </row>
    <row r="56" spans="1:13" x14ac:dyDescent="0.3">
      <c r="A56" s="516" t="s">
        <v>3973</v>
      </c>
      <c r="B56" s="521" t="str">
        <f t="shared" si="3"/>
        <v>Classified or sensitive information</v>
      </c>
      <c r="C56" s="516" t="s">
        <v>3974</v>
      </c>
      <c r="D56" s="516" t="s">
        <v>3975</v>
      </c>
      <c r="E56" s="516" t="s">
        <v>3976</v>
      </c>
      <c r="F56" s="516" t="s">
        <v>3977</v>
      </c>
      <c r="G56" s="516" t="s">
        <v>3978</v>
      </c>
      <c r="H56" s="516" t="s">
        <v>3979</v>
      </c>
      <c r="I56" s="516" t="s">
        <v>3980</v>
      </c>
      <c r="J56" s="516" t="s">
        <v>3981</v>
      </c>
      <c r="K56" s="516" t="s">
        <v>3982</v>
      </c>
      <c r="L56" s="516" t="s">
        <v>3983</v>
      </c>
      <c r="M56" s="516" t="s">
        <v>3984</v>
      </c>
    </row>
    <row r="57" spans="1:13" ht="43.2" x14ac:dyDescent="0.3">
      <c r="A57" s="516" t="s">
        <v>3985</v>
      </c>
      <c r="B57" s="521" t="str">
        <f t="shared" si="3"/>
        <v>Contents grouping follows template's framework</v>
      </c>
      <c r="C57" s="516" t="s">
        <v>3986</v>
      </c>
      <c r="D57" s="516" t="s">
        <v>3987</v>
      </c>
      <c r="E57" s="516" t="s">
        <v>3988</v>
      </c>
      <c r="F57" s="516" t="s">
        <v>3989</v>
      </c>
      <c r="G57" s="523" t="s">
        <v>3990</v>
      </c>
      <c r="H57" s="523" t="s">
        <v>3991</v>
      </c>
      <c r="I57" s="2" t="s">
        <v>3992</v>
      </c>
      <c r="J57" s="522" t="s">
        <v>3993</v>
      </c>
      <c r="K57" s="522" t="s">
        <v>3994</v>
      </c>
      <c r="L57" s="522" t="s">
        <v>3995</v>
      </c>
      <c r="M57" s="522" t="s">
        <v>3996</v>
      </c>
    </row>
    <row r="58" spans="1:13" x14ac:dyDescent="0.3">
      <c r="A58" s="516" t="s">
        <v>3997</v>
      </c>
      <c r="B58" s="521" t="str">
        <f t="shared" si="3"/>
        <v>Specific Content Validation Status</v>
      </c>
      <c r="C58" s="516" t="s">
        <v>3998</v>
      </c>
      <c r="D58" s="516" t="s">
        <v>3999</v>
      </c>
      <c r="E58" s="516" t="s">
        <v>4000</v>
      </c>
      <c r="F58" s="516" t="s">
        <v>4001</v>
      </c>
      <c r="G58" s="523" t="s">
        <v>4002</v>
      </c>
      <c r="H58" s="523" t="s">
        <v>4003</v>
      </c>
      <c r="I58" s="2" t="s">
        <v>4004</v>
      </c>
      <c r="J58" s="522" t="s">
        <v>4005</v>
      </c>
      <c r="K58" s="522" t="s">
        <v>4006</v>
      </c>
      <c r="L58" s="522" t="s">
        <v>4007</v>
      </c>
      <c r="M58" s="522" t="s">
        <v>4008</v>
      </c>
    </row>
    <row r="59" spans="1:13" ht="43.2" x14ac:dyDescent="0.3">
      <c r="A59" s="516" t="s">
        <v>4009</v>
      </c>
      <c r="B59" s="521" t="str">
        <f t="shared" si="3"/>
        <v>General Information</v>
      </c>
      <c r="C59" s="516" t="s">
        <v>4010</v>
      </c>
      <c r="D59" s="516" t="s">
        <v>4011</v>
      </c>
      <c r="E59" s="516" t="s">
        <v>4012</v>
      </c>
      <c r="F59" s="516" t="s">
        <v>4013</v>
      </c>
      <c r="G59" s="523" t="s">
        <v>4014</v>
      </c>
      <c r="H59" s="523" t="s">
        <v>4015</v>
      </c>
      <c r="I59" s="2" t="s">
        <v>4016</v>
      </c>
      <c r="J59" s="522" t="s">
        <v>4017</v>
      </c>
      <c r="K59" s="522" t="s">
        <v>4018</v>
      </c>
      <c r="L59" s="522" t="s">
        <v>4019</v>
      </c>
      <c r="M59" s="522" t="s">
        <v>4020</v>
      </c>
    </row>
    <row r="60" spans="1:13" ht="28.8" x14ac:dyDescent="0.3">
      <c r="A60" s="516" t="s">
        <v>4021</v>
      </c>
      <c r="B60" s="521" t="str">
        <f t="shared" si="3"/>
        <v>Information on the report necessary for  XBRL</v>
      </c>
      <c r="C60" s="516" t="s">
        <v>4022</v>
      </c>
      <c r="D60" s="516" t="s">
        <v>4023</v>
      </c>
      <c r="E60" s="516" t="s">
        <v>4024</v>
      </c>
      <c r="F60" s="516" t="s">
        <v>4025</v>
      </c>
      <c r="G60" s="523" t="s">
        <v>4026</v>
      </c>
      <c r="H60" s="523" t="s">
        <v>4027</v>
      </c>
      <c r="I60" s="2" t="s">
        <v>4028</v>
      </c>
      <c r="J60" s="522" t="s">
        <v>4029</v>
      </c>
      <c r="K60" s="522" t="s">
        <v>4030</v>
      </c>
      <c r="L60" s="522" t="s">
        <v>4031</v>
      </c>
      <c r="M60" s="522" t="s">
        <v>4032</v>
      </c>
    </row>
    <row r="61" spans="1:13" ht="72" x14ac:dyDescent="0.3">
      <c r="A61" s="516" t="s">
        <v>4033</v>
      </c>
      <c r="B61" s="521" t="str">
        <f t="shared" si="3"/>
        <v>Information on previous reporting period</v>
      </c>
      <c r="C61" s="516" t="s">
        <v>4034</v>
      </c>
      <c r="D61" s="516" t="s">
        <v>4035</v>
      </c>
      <c r="E61" s="516" t="s">
        <v>4036</v>
      </c>
      <c r="F61" s="516" t="s">
        <v>4037</v>
      </c>
      <c r="G61" s="523" t="s">
        <v>4038</v>
      </c>
      <c r="H61" s="523" t="s">
        <v>4039</v>
      </c>
      <c r="I61" s="2" t="s">
        <v>4040</v>
      </c>
      <c r="J61" s="522" t="s">
        <v>4041</v>
      </c>
      <c r="K61" s="522" t="s">
        <v>4042</v>
      </c>
      <c r="L61" s="522" t="s">
        <v>4043</v>
      </c>
      <c r="M61" s="522" t="s">
        <v>4044</v>
      </c>
    </row>
    <row r="62" spans="1:13" x14ac:dyDescent="0.3">
      <c r="A62" s="516" t="s">
        <v>4045</v>
      </c>
      <c r="B62" s="521" t="str">
        <f t="shared" si="3"/>
        <v>Basic Module</v>
      </c>
      <c r="C62" s="516" t="s">
        <v>3747</v>
      </c>
      <c r="D62" s="516" t="s">
        <v>3751</v>
      </c>
      <c r="E62" s="516" t="s">
        <v>3749</v>
      </c>
      <c r="F62" s="516" t="s">
        <v>4046</v>
      </c>
      <c r="G62" s="523" t="s">
        <v>3751</v>
      </c>
      <c r="H62" s="523" t="s">
        <v>3752</v>
      </c>
      <c r="I62" s="2" t="s">
        <v>3753</v>
      </c>
      <c r="J62" s="522" t="s">
        <v>3754</v>
      </c>
      <c r="K62" s="522" t="s">
        <v>3755</v>
      </c>
      <c r="L62" s="522" t="s">
        <v>3756</v>
      </c>
      <c r="M62" s="522" t="s">
        <v>3757</v>
      </c>
    </row>
    <row r="63" spans="1:13" x14ac:dyDescent="0.3">
      <c r="A63" s="516" t="s">
        <v>4047</v>
      </c>
      <c r="B63" s="521" t="str">
        <f t="shared" si="3"/>
        <v>B1 - Basis for Preparation</v>
      </c>
      <c r="C63" s="516" t="s">
        <v>4048</v>
      </c>
      <c r="D63" s="516" t="s">
        <v>4049</v>
      </c>
      <c r="E63" s="516" t="s">
        <v>4050</v>
      </c>
      <c r="F63" s="516" t="s">
        <v>4051</v>
      </c>
      <c r="G63" s="523" t="s">
        <v>4052</v>
      </c>
      <c r="H63" s="523" t="s">
        <v>4053</v>
      </c>
      <c r="I63" s="2" t="s">
        <v>4054</v>
      </c>
      <c r="J63" s="522" t="s">
        <v>4055</v>
      </c>
      <c r="K63" s="522" t="s">
        <v>4056</v>
      </c>
      <c r="L63" s="522" t="s">
        <v>4057</v>
      </c>
      <c r="M63" s="522" t="s">
        <v>4058</v>
      </c>
    </row>
    <row r="64" spans="1:13" ht="43.2" x14ac:dyDescent="0.3">
      <c r="A64" s="516" t="s">
        <v>4059</v>
      </c>
      <c r="B64" s="521" t="str">
        <f t="shared" si="3"/>
        <v xml:space="preserve">B2 - Practices, policies and future initiatives for transitioning towards a more sustainable economy </v>
      </c>
      <c r="C64" s="2" t="s">
        <v>8822</v>
      </c>
      <c r="D64" s="2" t="s">
        <v>8823</v>
      </c>
      <c r="E64" s="2" t="s">
        <v>8824</v>
      </c>
      <c r="F64" s="2" t="s">
        <v>8825</v>
      </c>
      <c r="G64" s="2" t="s">
        <v>8826</v>
      </c>
      <c r="H64" s="2" t="s">
        <v>8827</v>
      </c>
      <c r="I64" s="2" t="s">
        <v>8828</v>
      </c>
      <c r="J64" s="2" t="s">
        <v>8832</v>
      </c>
      <c r="K64" s="2" t="s">
        <v>8829</v>
      </c>
      <c r="L64" s="2" t="s">
        <v>8830</v>
      </c>
      <c r="M64" s="2" t="s">
        <v>8831</v>
      </c>
    </row>
    <row r="65" spans="1:13" x14ac:dyDescent="0.3">
      <c r="A65" s="516" t="s">
        <v>4066</v>
      </c>
      <c r="B65" s="521" t="str">
        <f t="shared" ref="B65:B104" si="4">INDEX(C65:M65,MATCH(template_selected_display_language,$C$3:$M$3,0))</f>
        <v>Environmental Disclosures</v>
      </c>
      <c r="C65" s="516" t="s">
        <v>4067</v>
      </c>
      <c r="D65" s="516" t="s">
        <v>4068</v>
      </c>
      <c r="E65" s="516" t="s">
        <v>4069</v>
      </c>
      <c r="F65" s="516" t="s">
        <v>4070</v>
      </c>
      <c r="G65" s="523" t="s">
        <v>4071</v>
      </c>
      <c r="H65" s="523" t="s">
        <v>4072</v>
      </c>
      <c r="I65" s="2" t="s">
        <v>4073</v>
      </c>
      <c r="J65" s="522" t="s">
        <v>4074</v>
      </c>
      <c r="K65" s="522" t="s">
        <v>4075</v>
      </c>
      <c r="L65" s="522" t="s">
        <v>4076</v>
      </c>
      <c r="M65" s="522" t="s">
        <v>4077</v>
      </c>
    </row>
    <row r="66" spans="1:13" ht="28.8" x14ac:dyDescent="0.3">
      <c r="A66" s="516" t="s">
        <v>4078</v>
      </c>
      <c r="B66" s="521" t="str">
        <f t="shared" si="4"/>
        <v>B3 - Energy and greenhouse gas emissions</v>
      </c>
      <c r="C66" s="516" t="s">
        <v>4079</v>
      </c>
      <c r="D66" s="516" t="s">
        <v>4080</v>
      </c>
      <c r="E66" s="516" t="s">
        <v>4081</v>
      </c>
      <c r="F66" s="516" t="s">
        <v>4082</v>
      </c>
      <c r="G66" s="523" t="s">
        <v>4083</v>
      </c>
      <c r="H66" s="523" t="s">
        <v>4084</v>
      </c>
      <c r="I66" s="2" t="s">
        <v>4085</v>
      </c>
      <c r="J66" s="522" t="s">
        <v>4086</v>
      </c>
      <c r="K66" s="522" t="s">
        <v>4087</v>
      </c>
      <c r="L66" s="522" t="s">
        <v>4088</v>
      </c>
      <c r="M66" s="522" t="s">
        <v>4089</v>
      </c>
    </row>
    <row r="67" spans="1:13" x14ac:dyDescent="0.3">
      <c r="A67" s="516" t="s">
        <v>4090</v>
      </c>
      <c r="B67" s="521" t="str">
        <f t="shared" si="4"/>
        <v>B4 - Pollution of air, water and soil</v>
      </c>
      <c r="C67" s="516" t="s">
        <v>4091</v>
      </c>
      <c r="D67" s="516" t="s">
        <v>4092</v>
      </c>
      <c r="E67" s="516" t="s">
        <v>4093</v>
      </c>
      <c r="F67" s="516" t="s">
        <v>4094</v>
      </c>
      <c r="G67" s="523" t="s">
        <v>4095</v>
      </c>
      <c r="H67" s="523" t="s">
        <v>4096</v>
      </c>
      <c r="I67" s="2" t="s">
        <v>4097</v>
      </c>
      <c r="J67" s="522" t="s">
        <v>4098</v>
      </c>
      <c r="K67" s="522" t="s">
        <v>4099</v>
      </c>
      <c r="L67" s="522" t="s">
        <v>4100</v>
      </c>
      <c r="M67" s="522" t="s">
        <v>4101</v>
      </c>
    </row>
    <row r="68" spans="1:13" ht="43.2" x14ac:dyDescent="0.3">
      <c r="A68" s="516" t="s">
        <v>4102</v>
      </c>
      <c r="B68" s="521" t="str">
        <f t="shared" si="4"/>
        <v>B5 - Biodiversity</v>
      </c>
      <c r="C68" s="516" t="s">
        <v>4103</v>
      </c>
      <c r="D68" s="516" t="s">
        <v>4104</v>
      </c>
      <c r="E68" s="516" t="s">
        <v>4105</v>
      </c>
      <c r="F68" s="516" t="s">
        <v>4106</v>
      </c>
      <c r="G68" s="523" t="s">
        <v>4107</v>
      </c>
      <c r="H68" s="523" t="s">
        <v>4108</v>
      </c>
      <c r="I68" s="2" t="s">
        <v>4109</v>
      </c>
      <c r="J68" s="522" t="s">
        <v>4110</v>
      </c>
      <c r="K68" s="522" t="s">
        <v>4111</v>
      </c>
      <c r="L68" s="522" t="s">
        <v>4112</v>
      </c>
      <c r="M68" s="522" t="s">
        <v>4113</v>
      </c>
    </row>
    <row r="69" spans="1:13" x14ac:dyDescent="0.3">
      <c r="A69" s="516" t="s">
        <v>4114</v>
      </c>
      <c r="B69" s="521" t="str">
        <f t="shared" si="4"/>
        <v>B6 - Water</v>
      </c>
      <c r="C69" s="516" t="s">
        <v>4115</v>
      </c>
      <c r="D69" s="516" t="s">
        <v>4116</v>
      </c>
      <c r="E69" s="516" t="s">
        <v>4117</v>
      </c>
      <c r="F69" s="516" t="s">
        <v>4118</v>
      </c>
      <c r="G69" s="523" t="s">
        <v>4119</v>
      </c>
      <c r="H69" s="523" t="s">
        <v>4120</v>
      </c>
      <c r="I69" s="2" t="s">
        <v>4121</v>
      </c>
      <c r="J69" s="522" t="s">
        <v>4122</v>
      </c>
      <c r="K69" s="522" t="s">
        <v>4123</v>
      </c>
      <c r="L69" s="522" t="s">
        <v>4124</v>
      </c>
      <c r="M69" s="522" t="s">
        <v>4125</v>
      </c>
    </row>
    <row r="70" spans="1:13" ht="54" customHeight="1" x14ac:dyDescent="0.3">
      <c r="A70" s="516" t="s">
        <v>4126</v>
      </c>
      <c r="B70" s="521" t="str">
        <f t="shared" si="4"/>
        <v>B7 - Resource use, circular economy and waste management</v>
      </c>
      <c r="C70" s="516" t="s">
        <v>4127</v>
      </c>
      <c r="D70" s="516" t="s">
        <v>4128</v>
      </c>
      <c r="E70" s="516" t="s">
        <v>4129</v>
      </c>
      <c r="F70" s="516" t="s">
        <v>4130</v>
      </c>
      <c r="G70" s="523" t="s">
        <v>4131</v>
      </c>
      <c r="H70" s="523" t="s">
        <v>4132</v>
      </c>
      <c r="I70" s="2" t="s">
        <v>4133</v>
      </c>
      <c r="J70" s="522" t="s">
        <v>4134</v>
      </c>
      <c r="K70" s="522" t="s">
        <v>4135</v>
      </c>
      <c r="L70" s="522" t="s">
        <v>4136</v>
      </c>
      <c r="M70" s="522" t="s">
        <v>4137</v>
      </c>
    </row>
    <row r="71" spans="1:13" x14ac:dyDescent="0.3">
      <c r="A71" s="516" t="s">
        <v>4138</v>
      </c>
      <c r="B71" s="521" t="str">
        <f t="shared" si="4"/>
        <v>Social Disclosures</v>
      </c>
      <c r="C71" s="516" t="s">
        <v>4139</v>
      </c>
      <c r="D71" s="516" t="s">
        <v>4140</v>
      </c>
      <c r="E71" s="516" t="s">
        <v>4141</v>
      </c>
      <c r="F71" s="516" t="s">
        <v>4142</v>
      </c>
      <c r="G71" s="523" t="s">
        <v>4143</v>
      </c>
      <c r="H71" s="523" t="s">
        <v>4144</v>
      </c>
      <c r="I71" s="2" t="s">
        <v>4145</v>
      </c>
      <c r="J71" s="522" t="s">
        <v>4146</v>
      </c>
      <c r="K71" s="522" t="s">
        <v>4147</v>
      </c>
      <c r="L71" s="522" t="s">
        <v>4148</v>
      </c>
      <c r="M71" s="522" t="s">
        <v>4149</v>
      </c>
    </row>
    <row r="72" spans="1:13" ht="28.8" x14ac:dyDescent="0.3">
      <c r="A72" s="516" t="s">
        <v>4150</v>
      </c>
      <c r="B72" s="521" t="str">
        <f t="shared" si="4"/>
        <v>B8 - Workforce - General characteristics</v>
      </c>
      <c r="C72" s="516" t="s">
        <v>4151</v>
      </c>
      <c r="D72" s="516" t="s">
        <v>4152</v>
      </c>
      <c r="E72" s="516" t="s">
        <v>4153</v>
      </c>
      <c r="F72" s="516" t="s">
        <v>4154</v>
      </c>
      <c r="G72" s="523" t="s">
        <v>4155</v>
      </c>
      <c r="H72" s="523" t="s">
        <v>4156</v>
      </c>
      <c r="I72" s="2" t="s">
        <v>4157</v>
      </c>
      <c r="J72" s="522" t="s">
        <v>4158</v>
      </c>
      <c r="K72" s="522" t="s">
        <v>4159</v>
      </c>
      <c r="L72" s="522" t="s">
        <v>4160</v>
      </c>
      <c r="M72" s="522" t="s">
        <v>4161</v>
      </c>
    </row>
    <row r="73" spans="1:13" x14ac:dyDescent="0.3">
      <c r="A73" s="516" t="s">
        <v>4162</v>
      </c>
      <c r="B73" s="521" t="str">
        <f t="shared" si="4"/>
        <v>B9 - Workforce - Health and safety</v>
      </c>
      <c r="C73" s="516" t="s">
        <v>4163</v>
      </c>
      <c r="D73" s="516" t="s">
        <v>4164</v>
      </c>
      <c r="E73" s="516" t="s">
        <v>4165</v>
      </c>
      <c r="F73" s="516" t="s">
        <v>4166</v>
      </c>
      <c r="G73" s="523" t="s">
        <v>4167</v>
      </c>
      <c r="H73" s="523" t="s">
        <v>4168</v>
      </c>
      <c r="I73" s="2" t="s">
        <v>4169</v>
      </c>
      <c r="J73" s="522" t="s">
        <v>4170</v>
      </c>
      <c r="K73" s="522" t="s">
        <v>4171</v>
      </c>
      <c r="L73" s="522" t="s">
        <v>4172</v>
      </c>
      <c r="M73" s="522" t="s">
        <v>4173</v>
      </c>
    </row>
    <row r="74" spans="1:13" ht="57.6" x14ac:dyDescent="0.3">
      <c r="A74" s="516" t="s">
        <v>4174</v>
      </c>
      <c r="B74" s="521" t="str">
        <f t="shared" si="4"/>
        <v>B10 - Workforce - Remuneration, collective bargaining and training</v>
      </c>
      <c r="C74" s="516" t="s">
        <v>4175</v>
      </c>
      <c r="D74" s="516" t="s">
        <v>4176</v>
      </c>
      <c r="E74" s="516" t="s">
        <v>4177</v>
      </c>
      <c r="F74" s="516" t="s">
        <v>4178</v>
      </c>
      <c r="G74" s="523" t="s">
        <v>4179</v>
      </c>
      <c r="H74" s="523" t="s">
        <v>4180</v>
      </c>
      <c r="I74" s="2" t="s">
        <v>4181</v>
      </c>
      <c r="J74" s="522" t="s">
        <v>4182</v>
      </c>
      <c r="K74" s="522" t="s">
        <v>4183</v>
      </c>
      <c r="L74" s="522" t="s">
        <v>4184</v>
      </c>
      <c r="M74" s="522" t="s">
        <v>4185</v>
      </c>
    </row>
    <row r="75" spans="1:13" x14ac:dyDescent="0.3">
      <c r="A75" s="516" t="s">
        <v>4186</v>
      </c>
      <c r="B75" s="521" t="str">
        <f t="shared" si="4"/>
        <v>Governance Disclosures</v>
      </c>
      <c r="C75" s="516" t="s">
        <v>4187</v>
      </c>
      <c r="D75" s="516" t="s">
        <v>4188</v>
      </c>
      <c r="E75" s="516" t="s">
        <v>4189</v>
      </c>
      <c r="F75" s="516" t="s">
        <v>4190</v>
      </c>
      <c r="G75" s="523" t="s">
        <v>4191</v>
      </c>
      <c r="H75" s="523" t="s">
        <v>4192</v>
      </c>
      <c r="I75" s="2" t="s">
        <v>4193</v>
      </c>
      <c r="J75" s="522" t="s">
        <v>4194</v>
      </c>
      <c r="K75" s="522" t="s">
        <v>4195</v>
      </c>
      <c r="L75" s="522" t="s">
        <v>4196</v>
      </c>
      <c r="M75" s="522" t="s">
        <v>4197</v>
      </c>
    </row>
    <row r="76" spans="1:13" ht="43.2" x14ac:dyDescent="0.3">
      <c r="A76" s="516" t="s">
        <v>4198</v>
      </c>
      <c r="B76" s="521" t="str">
        <f t="shared" si="4"/>
        <v>B11 - Convictions and fines for corruption and bribery</v>
      </c>
      <c r="C76" s="516" t="s">
        <v>4199</v>
      </c>
      <c r="D76" s="516" t="s">
        <v>4200</v>
      </c>
      <c r="E76" s="516" t="s">
        <v>4201</v>
      </c>
      <c r="F76" s="516" t="s">
        <v>4202</v>
      </c>
      <c r="G76" s="523" t="s">
        <v>4203</v>
      </c>
      <c r="H76" s="523" t="s">
        <v>4204</v>
      </c>
      <c r="I76" s="2" t="s">
        <v>4205</v>
      </c>
      <c r="J76" s="522" t="s">
        <v>4206</v>
      </c>
      <c r="K76" s="522" t="s">
        <v>4207</v>
      </c>
      <c r="L76" s="522" t="s">
        <v>4208</v>
      </c>
      <c r="M76" s="522" t="s">
        <v>4209</v>
      </c>
    </row>
    <row r="77" spans="1:13" x14ac:dyDescent="0.3">
      <c r="A77" s="516" t="s">
        <v>4210</v>
      </c>
      <c r="B77" s="521" t="str">
        <f t="shared" si="4"/>
        <v>Comprehensive Module</v>
      </c>
      <c r="C77" s="516" t="s">
        <v>3771</v>
      </c>
      <c r="D77" s="516" t="s">
        <v>4211</v>
      </c>
      <c r="E77" s="516" t="s">
        <v>3773</v>
      </c>
      <c r="F77" s="516" t="s">
        <v>3762</v>
      </c>
      <c r="G77" s="523" t="s">
        <v>3775</v>
      </c>
      <c r="H77" s="523" t="s">
        <v>3776</v>
      </c>
      <c r="I77" s="2" t="s">
        <v>4212</v>
      </c>
      <c r="J77" s="522" t="s">
        <v>4213</v>
      </c>
      <c r="K77" s="522" t="s">
        <v>3779</v>
      </c>
      <c r="L77" s="522" t="s">
        <v>4214</v>
      </c>
      <c r="M77" s="522" t="s">
        <v>3780</v>
      </c>
    </row>
    <row r="78" spans="1:13" ht="57.6" x14ac:dyDescent="0.3">
      <c r="A78" s="516" t="s">
        <v>4215</v>
      </c>
      <c r="B78" s="521" t="str">
        <f t="shared" si="4"/>
        <v>C1 - Strategy: Business Model and Sustainability - Related Initiatives</v>
      </c>
      <c r="C78" s="516" t="s">
        <v>4216</v>
      </c>
      <c r="D78" s="516" t="s">
        <v>4217</v>
      </c>
      <c r="E78" s="516" t="s">
        <v>4218</v>
      </c>
      <c r="F78" s="516" t="s">
        <v>4219</v>
      </c>
      <c r="G78" s="523" t="s">
        <v>4220</v>
      </c>
      <c r="H78" s="523" t="s">
        <v>4221</v>
      </c>
      <c r="I78" s="2" t="s">
        <v>4222</v>
      </c>
      <c r="J78" s="522" t="s">
        <v>4223</v>
      </c>
      <c r="K78" s="522" t="s">
        <v>4224</v>
      </c>
      <c r="L78" s="522" t="s">
        <v>4225</v>
      </c>
      <c r="M78" s="522" t="s">
        <v>4226</v>
      </c>
    </row>
    <row r="79" spans="1:13" ht="43.2" x14ac:dyDescent="0.3">
      <c r="A79" s="516" t="s">
        <v>4227</v>
      </c>
      <c r="B79" s="521" t="str">
        <f t="shared" si="4"/>
        <v>C2 - Description of practices, policies and future initiatives for transitioning towards a more sustainable economy</v>
      </c>
      <c r="C79" s="516" t="s">
        <v>4228</v>
      </c>
      <c r="D79" s="516" t="s">
        <v>4229</v>
      </c>
      <c r="E79" s="516" t="s">
        <v>4230</v>
      </c>
      <c r="F79" s="516" t="s">
        <v>4231</v>
      </c>
      <c r="G79" s="523" t="s">
        <v>4232</v>
      </c>
      <c r="H79" s="523" t="s">
        <v>4233</v>
      </c>
      <c r="I79" s="2" t="s">
        <v>4234</v>
      </c>
      <c r="J79" s="522" t="s">
        <v>4235</v>
      </c>
      <c r="K79" s="522" t="s">
        <v>4236</v>
      </c>
      <c r="L79" s="522" t="s">
        <v>4237</v>
      </c>
      <c r="M79" s="522" t="s">
        <v>4238</v>
      </c>
    </row>
    <row r="80" spans="1:13" ht="28.8" x14ac:dyDescent="0.3">
      <c r="A80" s="516" t="s">
        <v>4239</v>
      </c>
      <c r="B80" s="521" t="str">
        <f t="shared" si="4"/>
        <v>C3 - GHG reduction targets and climate transition</v>
      </c>
      <c r="C80" s="516" t="s">
        <v>4240</v>
      </c>
      <c r="D80" s="516" t="s">
        <v>4241</v>
      </c>
      <c r="E80" s="516" t="s">
        <v>4242</v>
      </c>
      <c r="F80" s="516" t="s">
        <v>4243</v>
      </c>
      <c r="G80" s="523" t="s">
        <v>4244</v>
      </c>
      <c r="H80" s="523" t="s">
        <v>4245</v>
      </c>
      <c r="I80" s="2" t="s">
        <v>4246</v>
      </c>
      <c r="J80" s="522" t="s">
        <v>4247</v>
      </c>
      <c r="K80" s="522" t="s">
        <v>4248</v>
      </c>
      <c r="L80" s="522" t="s">
        <v>4249</v>
      </c>
      <c r="M80" s="522" t="s">
        <v>4250</v>
      </c>
    </row>
    <row r="81" spans="1:13" x14ac:dyDescent="0.3">
      <c r="A81" s="516" t="s">
        <v>4251</v>
      </c>
      <c r="B81" s="521" t="str">
        <f t="shared" si="4"/>
        <v>C4 - Climate risks</v>
      </c>
      <c r="C81" s="516" t="s">
        <v>4252</v>
      </c>
      <c r="D81" s="516" t="s">
        <v>4253</v>
      </c>
      <c r="E81" s="516" t="s">
        <v>4254</v>
      </c>
      <c r="F81" s="516" t="s">
        <v>4255</v>
      </c>
      <c r="G81" s="523" t="s">
        <v>4256</v>
      </c>
      <c r="H81" s="523" t="s">
        <v>4257</v>
      </c>
      <c r="I81" s="2" t="s">
        <v>4258</v>
      </c>
      <c r="J81" s="522" t="s">
        <v>4259</v>
      </c>
      <c r="K81" s="522" t="s">
        <v>4260</v>
      </c>
      <c r="L81" s="522" t="s">
        <v>4261</v>
      </c>
      <c r="M81" s="522" t="s">
        <v>4262</v>
      </c>
    </row>
    <row r="82" spans="1:13" ht="28.8" x14ac:dyDescent="0.3">
      <c r="A82" s="516" t="s">
        <v>4263</v>
      </c>
      <c r="B82" s="521" t="str">
        <f t="shared" si="4"/>
        <v>C5 - Additional (general) workforce characteristics</v>
      </c>
      <c r="C82" s="516" t="s">
        <v>4264</v>
      </c>
      <c r="D82" s="516" t="s">
        <v>4265</v>
      </c>
      <c r="E82" s="516" t="s">
        <v>4266</v>
      </c>
      <c r="F82" s="516" t="s">
        <v>4267</v>
      </c>
      <c r="G82" s="523" t="s">
        <v>4268</v>
      </c>
      <c r="H82" s="523" t="s">
        <v>4269</v>
      </c>
      <c r="I82" s="2" t="s">
        <v>4270</v>
      </c>
      <c r="J82" s="522" t="s">
        <v>4271</v>
      </c>
      <c r="K82" s="522" t="s">
        <v>4272</v>
      </c>
      <c r="L82" s="522" t="s">
        <v>4273</v>
      </c>
      <c r="M82" s="522" t="s">
        <v>4274</v>
      </c>
    </row>
    <row r="83" spans="1:13" ht="57.6" x14ac:dyDescent="0.3">
      <c r="A83" s="516" t="s">
        <v>4275</v>
      </c>
      <c r="B83" s="521" t="str">
        <f t="shared" si="4"/>
        <v>C6 - Additional own workforce information - Human rights policies and processes</v>
      </c>
      <c r="C83" s="516" t="s">
        <v>4276</v>
      </c>
      <c r="D83" s="516" t="s">
        <v>4277</v>
      </c>
      <c r="E83" s="516" t="s">
        <v>4278</v>
      </c>
      <c r="F83" s="516" t="s">
        <v>4279</v>
      </c>
      <c r="G83" s="523" t="s">
        <v>4280</v>
      </c>
      <c r="H83" s="523" t="s">
        <v>4281</v>
      </c>
      <c r="I83" s="2" t="s">
        <v>4282</v>
      </c>
      <c r="J83" s="522" t="s">
        <v>4283</v>
      </c>
      <c r="K83" s="522" t="s">
        <v>4284</v>
      </c>
      <c r="L83" s="522" t="s">
        <v>4285</v>
      </c>
      <c r="M83" s="522" t="s">
        <v>4286</v>
      </c>
    </row>
    <row r="84" spans="1:13" ht="43.2" x14ac:dyDescent="0.3">
      <c r="A84" s="516" t="s">
        <v>4287</v>
      </c>
      <c r="B84" s="521" t="str">
        <f>INDEX(C84:M84,MATCH(template_selected_display_language,$C$3:$M$3,0))</f>
        <v>C7 - Severe negative human rights incidents</v>
      </c>
      <c r="C84" s="516" t="s">
        <v>4288</v>
      </c>
      <c r="D84" s="516" t="s">
        <v>4289</v>
      </c>
      <c r="E84" s="516" t="s">
        <v>4290</v>
      </c>
      <c r="F84" s="516" t="s">
        <v>4291</v>
      </c>
      <c r="G84" s="523" t="s">
        <v>4292</v>
      </c>
      <c r="H84" s="523" t="s">
        <v>4293</v>
      </c>
      <c r="I84" s="2" t="s">
        <v>4294</v>
      </c>
      <c r="J84" s="522" t="s">
        <v>4295</v>
      </c>
      <c r="K84" s="522" t="s">
        <v>4296</v>
      </c>
      <c r="L84" s="522" t="s">
        <v>4297</v>
      </c>
      <c r="M84" s="522" t="s">
        <v>4298</v>
      </c>
    </row>
    <row r="85" spans="1:13" ht="28.8" x14ac:dyDescent="0.3">
      <c r="A85" s="516" t="s">
        <v>4299</v>
      </c>
      <c r="B85" s="521" t="str">
        <f t="shared" si="4"/>
        <v>C8 - Revenues from certain activities and exclusion from EU reference benchmarks</v>
      </c>
      <c r="C85" s="516" t="s">
        <v>4300</v>
      </c>
      <c r="D85" s="516" t="s">
        <v>4301</v>
      </c>
      <c r="E85" s="516" t="s">
        <v>4302</v>
      </c>
      <c r="F85" s="516" t="s">
        <v>4303</v>
      </c>
      <c r="G85" s="523" t="s">
        <v>4304</v>
      </c>
      <c r="H85" s="523" t="s">
        <v>4305</v>
      </c>
      <c r="I85" s="2" t="s">
        <v>4306</v>
      </c>
      <c r="J85" s="522" t="s">
        <v>4307</v>
      </c>
      <c r="K85" s="522" t="s">
        <v>4308</v>
      </c>
      <c r="L85" s="522" t="s">
        <v>4309</v>
      </c>
      <c r="M85" s="522" t="s">
        <v>4310</v>
      </c>
    </row>
    <row r="86" spans="1:13" ht="28.8" x14ac:dyDescent="0.3">
      <c r="A86" s="516" t="s">
        <v>4311</v>
      </c>
      <c r="B86" s="521" t="str">
        <f t="shared" si="4"/>
        <v>C9 - Gender diversity ratio in the governance body</v>
      </c>
      <c r="C86" s="516" t="s">
        <v>4312</v>
      </c>
      <c r="D86" s="516" t="s">
        <v>4313</v>
      </c>
      <c r="E86" s="516" t="s">
        <v>4314</v>
      </c>
      <c r="F86" s="516" t="s">
        <v>4315</v>
      </c>
      <c r="G86" s="523" t="s">
        <v>4316</v>
      </c>
      <c r="H86" s="523" t="s">
        <v>4317</v>
      </c>
      <c r="I86" s="2" t="s">
        <v>4318</v>
      </c>
      <c r="J86" s="522" t="s">
        <v>4319</v>
      </c>
      <c r="K86" s="522" t="s">
        <v>4320</v>
      </c>
      <c r="L86" s="522" t="s">
        <v>4321</v>
      </c>
      <c r="M86" s="522" t="s">
        <v>4322</v>
      </c>
    </row>
    <row r="87" spans="1:13" x14ac:dyDescent="0.3">
      <c r="A87" s="516" t="s">
        <v>4323</v>
      </c>
      <c r="B87" s="521" t="str">
        <f t="shared" si="4"/>
        <v>Additional Disclosures</v>
      </c>
      <c r="C87" s="516" t="s">
        <v>4324</v>
      </c>
      <c r="D87" s="516" t="s">
        <v>4325</v>
      </c>
      <c r="E87" s="516" t="s">
        <v>4326</v>
      </c>
      <c r="F87" s="516" t="s">
        <v>4327</v>
      </c>
      <c r="G87" s="523" t="s">
        <v>4328</v>
      </c>
      <c r="H87" s="523" t="s">
        <v>4329</v>
      </c>
      <c r="I87" s="2" t="s">
        <v>4330</v>
      </c>
      <c r="J87" s="522" t="s">
        <v>4331</v>
      </c>
      <c r="K87" s="522" t="s">
        <v>4332</v>
      </c>
      <c r="L87" s="522" t="s">
        <v>4333</v>
      </c>
      <c r="M87" s="522" t="s">
        <v>4334</v>
      </c>
    </row>
    <row r="88" spans="1:13" x14ac:dyDescent="0.3">
      <c r="A88" s="2" t="s">
        <v>4335</v>
      </c>
      <c r="B88" s="521" t="str">
        <f t="shared" si="4"/>
        <v>Paragraph Reference</v>
      </c>
      <c r="C88" s="2" t="s">
        <v>112</v>
      </c>
      <c r="D88" s="516" t="s">
        <v>4336</v>
      </c>
      <c r="E88" s="516" t="s">
        <v>4337</v>
      </c>
      <c r="F88" s="516" t="s">
        <v>4338</v>
      </c>
      <c r="G88" s="523" t="s">
        <v>4339</v>
      </c>
      <c r="H88" s="523" t="s">
        <v>4340</v>
      </c>
      <c r="I88" s="2" t="s">
        <v>4341</v>
      </c>
      <c r="J88" s="522" t="s">
        <v>4342</v>
      </c>
      <c r="K88" s="522" t="s">
        <v>4343</v>
      </c>
      <c r="L88" s="522" t="s">
        <v>4344</v>
      </c>
      <c r="M88" s="522" t="s">
        <v>4345</v>
      </c>
    </row>
    <row r="89" spans="1:13" ht="43.2" x14ac:dyDescent="0.3">
      <c r="A89" s="2" t="s">
        <v>4346</v>
      </c>
      <c r="B89" s="521" t="str">
        <f t="shared" si="4"/>
        <v>Paragraph Guidance Reference</v>
      </c>
      <c r="C89" s="2" t="s">
        <v>113</v>
      </c>
      <c r="D89" s="516" t="s">
        <v>4347</v>
      </c>
      <c r="E89" s="516" t="s">
        <v>4348</v>
      </c>
      <c r="F89" s="516" t="s">
        <v>4349</v>
      </c>
      <c r="G89" s="523" t="s">
        <v>4350</v>
      </c>
      <c r="H89" s="523" t="s">
        <v>4351</v>
      </c>
      <c r="I89" s="2" t="s">
        <v>4352</v>
      </c>
      <c r="J89" s="522" t="s">
        <v>4353</v>
      </c>
      <c r="K89" s="522" t="s">
        <v>4354</v>
      </c>
      <c r="L89" s="522" t="s">
        <v>4355</v>
      </c>
      <c r="M89" s="522" t="s">
        <v>4356</v>
      </c>
    </row>
    <row r="90" spans="1:13" x14ac:dyDescent="0.3">
      <c r="A90" s="2" t="s">
        <v>4357</v>
      </c>
      <c r="B90" s="521" t="str">
        <f t="shared" si="4"/>
        <v>from</v>
      </c>
      <c r="C90" s="2" t="s">
        <v>4358</v>
      </c>
      <c r="D90" s="516" t="s">
        <v>4359</v>
      </c>
      <c r="E90" s="516" t="s">
        <v>4360</v>
      </c>
      <c r="F90" s="516" t="s">
        <v>4361</v>
      </c>
      <c r="G90" s="523" t="s">
        <v>4362</v>
      </c>
      <c r="H90" s="523" t="s">
        <v>4363</v>
      </c>
      <c r="I90" s="2" t="s">
        <v>3359</v>
      </c>
      <c r="J90" s="522" t="s">
        <v>4364</v>
      </c>
      <c r="K90" s="522" t="s">
        <v>4365</v>
      </c>
      <c r="L90" s="522" t="s">
        <v>3362</v>
      </c>
      <c r="M90" s="522" t="s">
        <v>3362</v>
      </c>
    </row>
    <row r="91" spans="1:13" x14ac:dyDescent="0.3">
      <c r="A91" s="2" t="s">
        <v>4366</v>
      </c>
      <c r="B91" s="521" t="str">
        <f t="shared" si="4"/>
        <v>to</v>
      </c>
      <c r="C91" s="2" t="s">
        <v>4367</v>
      </c>
      <c r="D91" s="516" t="s">
        <v>4368</v>
      </c>
      <c r="E91" s="516" t="s">
        <v>4369</v>
      </c>
      <c r="F91" s="516" t="s">
        <v>4370</v>
      </c>
      <c r="G91" s="523" t="s">
        <v>4371</v>
      </c>
      <c r="H91" s="523" t="s">
        <v>4372</v>
      </c>
      <c r="I91" s="2" t="s">
        <v>4373</v>
      </c>
      <c r="J91" s="522" t="s">
        <v>4374</v>
      </c>
      <c r="K91" s="522" t="s">
        <v>4375</v>
      </c>
      <c r="L91" s="522" t="s">
        <v>4376</v>
      </c>
      <c r="M91" s="522" t="s">
        <v>4373</v>
      </c>
    </row>
    <row r="92" spans="1:13" ht="43.8" thickBot="1" x14ac:dyDescent="0.35">
      <c r="A92" s="528" t="s">
        <v>4377</v>
      </c>
      <c r="B92" s="525" t="str">
        <f t="shared" si="4"/>
        <v>at</v>
      </c>
      <c r="C92" s="528" t="s">
        <v>4378</v>
      </c>
      <c r="D92" s="524" t="s">
        <v>4379</v>
      </c>
      <c r="E92" s="524" t="s">
        <v>4380</v>
      </c>
      <c r="F92" s="524" t="s">
        <v>4381</v>
      </c>
      <c r="G92" s="527" t="s">
        <v>4382</v>
      </c>
      <c r="H92" s="527" t="s">
        <v>4383</v>
      </c>
      <c r="I92" s="528" t="s">
        <v>4373</v>
      </c>
      <c r="J92" s="526" t="s">
        <v>4384</v>
      </c>
      <c r="K92" s="526" t="s">
        <v>4385</v>
      </c>
      <c r="L92" s="526" t="s">
        <v>4386</v>
      </c>
      <c r="M92" s="526" t="s">
        <v>3358</v>
      </c>
    </row>
    <row r="93" spans="1:13" ht="43.2" x14ac:dyDescent="0.3">
      <c r="A93" s="2" t="s">
        <v>4387</v>
      </c>
      <c r="B93" s="521" t="str">
        <f t="shared" si="4"/>
        <v>[Always to be reported]</v>
      </c>
      <c r="C93" s="2" t="s">
        <v>4388</v>
      </c>
      <c r="D93" s="516" t="s">
        <v>4389</v>
      </c>
      <c r="E93" s="516" t="s">
        <v>4390</v>
      </c>
      <c r="F93" s="516" t="s">
        <v>4391</v>
      </c>
      <c r="G93" s="523" t="s">
        <v>4392</v>
      </c>
      <c r="H93" s="523" t="s">
        <v>4393</v>
      </c>
      <c r="I93" s="2" t="s">
        <v>4394</v>
      </c>
      <c r="J93" s="522" t="s">
        <v>4395</v>
      </c>
      <c r="K93" s="522" t="s">
        <v>4396</v>
      </c>
      <c r="L93" s="522" t="s">
        <v>4397</v>
      </c>
      <c r="M93" s="522" t="s">
        <v>4398</v>
      </c>
    </row>
    <row r="94" spans="1:13" x14ac:dyDescent="0.3">
      <c r="A94" s="2" t="s">
        <v>4399</v>
      </c>
      <c r="B94" s="521" t="str">
        <f t="shared" si="4"/>
        <v>[If applicable]</v>
      </c>
      <c r="C94" s="2" t="s">
        <v>4400</v>
      </c>
      <c r="D94" s="516" t="s">
        <v>4401</v>
      </c>
      <c r="E94" s="516" t="s">
        <v>4402</v>
      </c>
      <c r="F94" s="516" t="s">
        <v>4403</v>
      </c>
      <c r="G94" s="523" t="s">
        <v>4404</v>
      </c>
      <c r="H94" s="523" t="s">
        <v>4405</v>
      </c>
      <c r="I94" s="2" t="s">
        <v>4406</v>
      </c>
      <c r="J94" s="522" t="s">
        <v>4407</v>
      </c>
      <c r="K94" s="522" t="s">
        <v>4408</v>
      </c>
      <c r="L94" s="522" t="s">
        <v>4409</v>
      </c>
      <c r="M94" s="522" t="s">
        <v>4410</v>
      </c>
    </row>
    <row r="95" spans="1:13" x14ac:dyDescent="0.3">
      <c r="A95" s="2" t="s">
        <v>4411</v>
      </c>
      <c r="B95" s="521" t="str">
        <f t="shared" si="4"/>
        <v>[May (optional)]</v>
      </c>
      <c r="C95" s="2" t="s">
        <v>4412</v>
      </c>
      <c r="D95" s="516" t="s">
        <v>4413</v>
      </c>
      <c r="E95" s="516" t="s">
        <v>4414</v>
      </c>
      <c r="F95" s="516" t="s">
        <v>4415</v>
      </c>
      <c r="G95" s="523" t="s">
        <v>4416</v>
      </c>
      <c r="H95" s="523" t="s">
        <v>4417</v>
      </c>
      <c r="I95" s="2" t="s">
        <v>4418</v>
      </c>
      <c r="J95" s="522" t="s">
        <v>4419</v>
      </c>
      <c r="K95" s="522" t="s">
        <v>4420</v>
      </c>
      <c r="L95" s="522" t="s">
        <v>4421</v>
      </c>
      <c r="M95" s="522" t="s">
        <v>4422</v>
      </c>
    </row>
    <row r="96" spans="1:13" x14ac:dyDescent="0.3">
      <c r="A96" s="2" t="s">
        <v>4423</v>
      </c>
      <c r="B96" s="521" t="str">
        <f t="shared" si="4"/>
        <v>May (optional)</v>
      </c>
      <c r="C96" s="2" t="s">
        <v>4424</v>
      </c>
      <c r="D96" s="516" t="s">
        <v>4425</v>
      </c>
      <c r="E96" s="516" t="s">
        <v>4426</v>
      </c>
      <c r="F96" s="516" t="s">
        <v>4427</v>
      </c>
      <c r="G96" s="523" t="s">
        <v>4428</v>
      </c>
      <c r="H96" s="523" t="s">
        <v>4429</v>
      </c>
      <c r="I96" s="2" t="s">
        <v>4430</v>
      </c>
      <c r="J96" s="522" t="s">
        <v>4431</v>
      </c>
      <c r="K96" s="522" t="s">
        <v>4432</v>
      </c>
      <c r="L96" s="522" t="s">
        <v>4421</v>
      </c>
      <c r="M96" s="522" t="s">
        <v>4433</v>
      </c>
    </row>
    <row r="97" spans="1:13" x14ac:dyDescent="0.3">
      <c r="A97" s="2" t="s">
        <v>4434</v>
      </c>
      <c r="B97" s="521" t="str">
        <f t="shared" si="4"/>
        <v>[Always to be reported + If applicable]</v>
      </c>
      <c r="C97" s="2" t="s">
        <v>4435</v>
      </c>
      <c r="D97" s="516" t="s">
        <v>4436</v>
      </c>
      <c r="E97" s="516" t="s">
        <v>4437</v>
      </c>
      <c r="F97" s="516" t="s">
        <v>4438</v>
      </c>
      <c r="G97" s="523" t="s">
        <v>4439</v>
      </c>
      <c r="H97" s="523" t="s">
        <v>4440</v>
      </c>
      <c r="I97" s="2" t="s">
        <v>4441</v>
      </c>
      <c r="J97" s="522" t="s">
        <v>4442</v>
      </c>
      <c r="K97" s="522" t="s">
        <v>4443</v>
      </c>
      <c r="L97" s="522" t="s">
        <v>4444</v>
      </c>
      <c r="M97" s="522" t="s">
        <v>4445</v>
      </c>
    </row>
    <row r="98" spans="1:13" x14ac:dyDescent="0.3">
      <c r="A98" s="2" t="s">
        <v>4446</v>
      </c>
      <c r="B98" s="521" t="str">
        <f t="shared" si="4"/>
        <v>[If applicable linked with B2]</v>
      </c>
      <c r="C98" s="2" t="s">
        <v>4447</v>
      </c>
      <c r="D98" s="516" t="s">
        <v>4448</v>
      </c>
      <c r="E98" s="516" t="s">
        <v>4449</v>
      </c>
      <c r="F98" s="516" t="s">
        <v>4450</v>
      </c>
      <c r="G98" s="523" t="s">
        <v>4451</v>
      </c>
      <c r="H98" s="523" t="s">
        <v>4452</v>
      </c>
      <c r="I98" s="2" t="s">
        <v>4453</v>
      </c>
      <c r="J98" s="522" t="s">
        <v>4454</v>
      </c>
      <c r="K98" s="522" t="s">
        <v>4455</v>
      </c>
      <c r="L98" s="522" t="s">
        <v>4456</v>
      </c>
      <c r="M98" s="522" t="s">
        <v>4457</v>
      </c>
    </row>
    <row r="99" spans="1:13" ht="58.2" thickBot="1" x14ac:dyDescent="0.35">
      <c r="A99" s="528" t="s">
        <v>4458</v>
      </c>
      <c r="B99" s="525" t="str">
        <f t="shared" si="4"/>
        <v>amount in</v>
      </c>
      <c r="C99" s="528" t="s">
        <v>4459</v>
      </c>
      <c r="D99" s="524" t="s">
        <v>4460</v>
      </c>
      <c r="E99" s="524" t="s">
        <v>4461</v>
      </c>
      <c r="F99" s="524" t="s">
        <v>4462</v>
      </c>
      <c r="G99" s="527" t="s">
        <v>4463</v>
      </c>
      <c r="H99" s="527" t="s">
        <v>4464</v>
      </c>
      <c r="I99" s="528" t="s">
        <v>4465</v>
      </c>
      <c r="J99" s="526" t="s">
        <v>4466</v>
      </c>
      <c r="K99" s="526" t="s">
        <v>4467</v>
      </c>
      <c r="L99" s="526" t="s">
        <v>4468</v>
      </c>
      <c r="M99" s="526" t="s">
        <v>4469</v>
      </c>
    </row>
    <row r="100" spans="1:13" x14ac:dyDescent="0.3">
      <c r="A100" s="2" t="s">
        <v>4470</v>
      </c>
      <c r="B100" s="521" t="str">
        <f t="shared" si="4"/>
        <v>Information on the report necessary for  XBRL</v>
      </c>
      <c r="C100" s="2" t="s">
        <v>4022</v>
      </c>
      <c r="D100" s="516" t="s">
        <v>4023</v>
      </c>
      <c r="E100" s="516" t="s">
        <v>4471</v>
      </c>
      <c r="F100" s="516" t="s">
        <v>4025</v>
      </c>
      <c r="G100" s="523" t="s">
        <v>4026</v>
      </c>
      <c r="H100" s="523" t="s">
        <v>4027</v>
      </c>
      <c r="I100" s="2" t="s">
        <v>4028</v>
      </c>
      <c r="J100" s="522" t="s">
        <v>4472</v>
      </c>
      <c r="K100" s="522" t="s">
        <v>4473</v>
      </c>
      <c r="L100" s="522" t="s">
        <v>4031</v>
      </c>
      <c r="M100" s="522" t="s">
        <v>4474</v>
      </c>
    </row>
    <row r="101" spans="1:13" ht="28.8" x14ac:dyDescent="0.3">
      <c r="A101" s="2" t="s">
        <v>4475</v>
      </c>
      <c r="B101" s="521" t="str">
        <f t="shared" si="4"/>
        <v>Name of the reporting entity</v>
      </c>
      <c r="C101" s="2" t="s">
        <v>4476</v>
      </c>
      <c r="D101" s="516" t="s">
        <v>4477</v>
      </c>
      <c r="E101" s="516" t="s">
        <v>4478</v>
      </c>
      <c r="F101" s="516" t="s">
        <v>4479</v>
      </c>
      <c r="G101" s="523" t="s">
        <v>4480</v>
      </c>
      <c r="H101" s="523" t="s">
        <v>4481</v>
      </c>
      <c r="I101" s="2" t="s">
        <v>4482</v>
      </c>
      <c r="J101" s="522" t="s">
        <v>4483</v>
      </c>
      <c r="K101" s="522" t="s">
        <v>4484</v>
      </c>
      <c r="L101" s="522" t="s">
        <v>4485</v>
      </c>
      <c r="M101" s="522" t="s">
        <v>4486</v>
      </c>
    </row>
    <row r="102" spans="1:13" ht="28.8" x14ac:dyDescent="0.3">
      <c r="A102" s="2" t="s">
        <v>4487</v>
      </c>
      <c r="B102" s="521" t="str">
        <f t="shared" si="4"/>
        <v>Identifier of the reporting entity (select and specify on the right)</v>
      </c>
      <c r="C102" s="2" t="s">
        <v>4488</v>
      </c>
      <c r="D102" s="516" t="s">
        <v>4489</v>
      </c>
      <c r="E102" s="516" t="s">
        <v>3384</v>
      </c>
      <c r="F102" s="516" t="s">
        <v>4490</v>
      </c>
      <c r="G102" s="523" t="s">
        <v>4491</v>
      </c>
      <c r="H102" s="523" t="s">
        <v>4492</v>
      </c>
      <c r="I102" s="2" t="s">
        <v>4493</v>
      </c>
      <c r="J102" s="522" t="s">
        <v>4494</v>
      </c>
      <c r="K102" s="522" t="s">
        <v>4495</v>
      </c>
      <c r="L102" s="522" t="s">
        <v>4496</v>
      </c>
      <c r="M102" s="522" t="s">
        <v>4497</v>
      </c>
    </row>
    <row r="103" spans="1:13" ht="28.8" x14ac:dyDescent="0.3">
      <c r="A103" s="2" t="s">
        <v>4498</v>
      </c>
      <c r="B103" s="521" t="str">
        <f t="shared" si="4"/>
        <v>Currency of the monetary values in the report</v>
      </c>
      <c r="C103" s="2" t="s">
        <v>4499</v>
      </c>
      <c r="D103" s="516" t="s">
        <v>4500</v>
      </c>
      <c r="E103" s="516" t="s">
        <v>4501</v>
      </c>
      <c r="F103" s="516" t="s">
        <v>4502</v>
      </c>
      <c r="G103" s="523" t="s">
        <v>4503</v>
      </c>
      <c r="H103" s="523" t="s">
        <v>4504</v>
      </c>
      <c r="I103" s="2" t="s">
        <v>4505</v>
      </c>
      <c r="J103" s="522" t="s">
        <v>4506</v>
      </c>
      <c r="K103" s="522" t="s">
        <v>4507</v>
      </c>
      <c r="L103" s="522" t="s">
        <v>4508</v>
      </c>
      <c r="M103" s="522" t="s">
        <v>4509</v>
      </c>
    </row>
    <row r="104" spans="1:13" x14ac:dyDescent="0.3">
      <c r="A104" s="2" t="s">
        <v>4510</v>
      </c>
      <c r="B104" s="521" t="str">
        <f t="shared" si="4"/>
        <v>Starting year</v>
      </c>
      <c r="C104" s="2" t="s">
        <v>4511</v>
      </c>
      <c r="D104" s="516" t="s">
        <v>4512</v>
      </c>
      <c r="E104" s="516" t="s">
        <v>4513</v>
      </c>
      <c r="F104" s="516" t="s">
        <v>4514</v>
      </c>
      <c r="G104" s="523" t="s">
        <v>4515</v>
      </c>
      <c r="H104" s="523" t="s">
        <v>4516</v>
      </c>
      <c r="I104" s="2" t="s">
        <v>4517</v>
      </c>
      <c r="J104" s="522" t="s">
        <v>4518</v>
      </c>
      <c r="K104" s="522" t="s">
        <v>4519</v>
      </c>
      <c r="L104" s="522" t="s">
        <v>4520</v>
      </c>
      <c r="M104" s="522" t="s">
        <v>4521</v>
      </c>
    </row>
    <row r="105" spans="1:13" ht="28.8" x14ac:dyDescent="0.3">
      <c r="A105" s="2" t="s">
        <v>4522</v>
      </c>
      <c r="B105" s="521" t="str">
        <f t="shared" ref="B105:B169" si="5">INDEX(C105:M105,MATCH(template_selected_display_language,$C$3:$M$3,0))</f>
        <v>Starting month</v>
      </c>
      <c r="C105" s="2" t="s">
        <v>4523</v>
      </c>
      <c r="D105" s="516" t="s">
        <v>4524</v>
      </c>
      <c r="E105" s="516" t="s">
        <v>4525</v>
      </c>
      <c r="F105" s="516" t="s">
        <v>4526</v>
      </c>
      <c r="G105" s="523" t="s">
        <v>4527</v>
      </c>
      <c r="H105" s="523" t="s">
        <v>4528</v>
      </c>
      <c r="I105" s="2" t="s">
        <v>4529</v>
      </c>
      <c r="J105" s="522" t="s">
        <v>4530</v>
      </c>
      <c r="K105" s="522" t="s">
        <v>4531</v>
      </c>
      <c r="L105" s="522" t="s">
        <v>4532</v>
      </c>
      <c r="M105" s="522" t="s">
        <v>4533</v>
      </c>
    </row>
    <row r="106" spans="1:13" x14ac:dyDescent="0.3">
      <c r="A106" s="2" t="s">
        <v>4534</v>
      </c>
      <c r="B106" s="521" t="str">
        <f t="shared" si="5"/>
        <v>Starting day</v>
      </c>
      <c r="C106" s="2" t="s">
        <v>4535</v>
      </c>
      <c r="D106" s="516" t="s">
        <v>4536</v>
      </c>
      <c r="E106" s="516" t="s">
        <v>4537</v>
      </c>
      <c r="F106" s="516" t="s">
        <v>4538</v>
      </c>
      <c r="G106" s="523" t="s">
        <v>4539</v>
      </c>
      <c r="H106" s="523" t="s">
        <v>4540</v>
      </c>
      <c r="I106" s="2" t="s">
        <v>4541</v>
      </c>
      <c r="J106" s="522" t="s">
        <v>4542</v>
      </c>
      <c r="K106" s="522" t="s">
        <v>4543</v>
      </c>
      <c r="L106" s="522" t="s">
        <v>4544</v>
      </c>
      <c r="M106" s="522" t="s">
        <v>4545</v>
      </c>
    </row>
    <row r="107" spans="1:13" x14ac:dyDescent="0.3">
      <c r="A107" s="2" t="s">
        <v>4546</v>
      </c>
      <c r="B107" s="521" t="str">
        <f t="shared" si="5"/>
        <v>Reporting period start date (yyyy-mm-dd)</v>
      </c>
      <c r="C107" s="2" t="s">
        <v>4547</v>
      </c>
      <c r="D107" s="516" t="s">
        <v>4548</v>
      </c>
      <c r="E107" s="516" t="s">
        <v>4549</v>
      </c>
      <c r="F107" s="516" t="s">
        <v>4550</v>
      </c>
      <c r="G107" s="523" t="s">
        <v>4551</v>
      </c>
      <c r="H107" s="523" t="s">
        <v>4552</v>
      </c>
      <c r="I107" s="2" t="s">
        <v>4553</v>
      </c>
      <c r="J107" s="522" t="s">
        <v>4554</v>
      </c>
      <c r="K107" s="522" t="s">
        <v>4555</v>
      </c>
      <c r="L107" s="522" t="s">
        <v>4556</v>
      </c>
      <c r="M107" s="522" t="s">
        <v>4557</v>
      </c>
    </row>
    <row r="108" spans="1:13" ht="28.8" x14ac:dyDescent="0.3">
      <c r="A108" s="2" t="s">
        <v>4558</v>
      </c>
      <c r="B108" s="521" t="str">
        <f t="shared" si="5"/>
        <v>Ending year</v>
      </c>
      <c r="C108" s="2" t="s">
        <v>4559</v>
      </c>
      <c r="D108" s="516" t="s">
        <v>4560</v>
      </c>
      <c r="E108" s="516" t="s">
        <v>4561</v>
      </c>
      <c r="F108" s="516" t="s">
        <v>4562</v>
      </c>
      <c r="G108" s="523" t="s">
        <v>4563</v>
      </c>
      <c r="H108" s="523" t="s">
        <v>4564</v>
      </c>
      <c r="I108" s="2" t="s">
        <v>4565</v>
      </c>
      <c r="J108" s="522" t="s">
        <v>4566</v>
      </c>
      <c r="K108" s="522" t="s">
        <v>4567</v>
      </c>
      <c r="L108" s="522" t="s">
        <v>4568</v>
      </c>
      <c r="M108" s="522" t="s">
        <v>4569</v>
      </c>
    </row>
    <row r="109" spans="1:13" ht="28.8" x14ac:dyDescent="0.3">
      <c r="A109" s="2" t="s">
        <v>4570</v>
      </c>
      <c r="B109" s="521" t="str">
        <f t="shared" si="5"/>
        <v>Ending month</v>
      </c>
      <c r="C109" s="2" t="s">
        <v>4571</v>
      </c>
      <c r="D109" s="516" t="s">
        <v>4572</v>
      </c>
      <c r="E109" s="516" t="s">
        <v>4573</v>
      </c>
      <c r="F109" s="516" t="s">
        <v>4574</v>
      </c>
      <c r="G109" s="523" t="s">
        <v>4575</v>
      </c>
      <c r="H109" s="523" t="s">
        <v>4576</v>
      </c>
      <c r="I109" s="2" t="s">
        <v>4577</v>
      </c>
      <c r="J109" s="522" t="s">
        <v>4578</v>
      </c>
      <c r="K109" s="522" t="s">
        <v>4579</v>
      </c>
      <c r="L109" s="522" t="s">
        <v>4580</v>
      </c>
      <c r="M109" s="522" t="s">
        <v>4581</v>
      </c>
    </row>
    <row r="110" spans="1:13" ht="43.2" x14ac:dyDescent="0.3">
      <c r="A110" s="2" t="s">
        <v>4582</v>
      </c>
      <c r="B110" s="521" t="str">
        <f t="shared" si="5"/>
        <v>Ending day</v>
      </c>
      <c r="C110" s="2" t="s">
        <v>8</v>
      </c>
      <c r="D110" s="516" t="s">
        <v>4583</v>
      </c>
      <c r="E110" s="516" t="s">
        <v>4584</v>
      </c>
      <c r="F110" s="516" t="s">
        <v>4585</v>
      </c>
      <c r="G110" s="523" t="s">
        <v>4586</v>
      </c>
      <c r="H110" s="523" t="s">
        <v>4587</v>
      </c>
      <c r="I110" s="2" t="s">
        <v>4588</v>
      </c>
      <c r="J110" s="522" t="s">
        <v>4589</v>
      </c>
      <c r="K110" s="522" t="s">
        <v>4590</v>
      </c>
      <c r="L110" s="522" t="s">
        <v>4591</v>
      </c>
      <c r="M110" s="522" t="s">
        <v>4592</v>
      </c>
    </row>
    <row r="111" spans="1:13" ht="15" thickBot="1" x14ac:dyDescent="0.35">
      <c r="A111" s="528" t="s">
        <v>4593</v>
      </c>
      <c r="B111" s="525" t="str">
        <f t="shared" si="5"/>
        <v>Reporting period end date  (yyyy-mm-dd)</v>
      </c>
      <c r="C111" s="528" t="s">
        <v>4594</v>
      </c>
      <c r="D111" s="524" t="s">
        <v>4595</v>
      </c>
      <c r="E111" s="524" t="s">
        <v>4596</v>
      </c>
      <c r="F111" s="524" t="s">
        <v>4597</v>
      </c>
      <c r="G111" s="527" t="s">
        <v>4598</v>
      </c>
      <c r="H111" s="527" t="s">
        <v>4599</v>
      </c>
      <c r="I111" s="528" t="s">
        <v>4600</v>
      </c>
      <c r="J111" s="526" t="s">
        <v>4601</v>
      </c>
      <c r="K111" s="526" t="s">
        <v>4602</v>
      </c>
      <c r="L111" s="526" t="s">
        <v>4603</v>
      </c>
      <c r="M111" s="526" t="s">
        <v>4604</v>
      </c>
    </row>
    <row r="112" spans="1:13" ht="43.2" x14ac:dyDescent="0.3">
      <c r="A112" s="2" t="s">
        <v>4605</v>
      </c>
      <c r="B112" s="521" t="str">
        <f t="shared" si="5"/>
        <v>Information on previous reporting period</v>
      </c>
      <c r="C112" s="2" t="s">
        <v>4034</v>
      </c>
      <c r="D112" s="516" t="s">
        <v>4606</v>
      </c>
      <c r="E112" s="516" t="s">
        <v>4607</v>
      </c>
      <c r="F112" s="516" t="s">
        <v>4037</v>
      </c>
      <c r="G112" s="523" t="s">
        <v>4038</v>
      </c>
      <c r="H112" s="523" t="s">
        <v>4039</v>
      </c>
      <c r="I112" s="2" t="s">
        <v>4040</v>
      </c>
      <c r="J112" s="522" t="s">
        <v>4041</v>
      </c>
      <c r="K112" s="522" t="s">
        <v>4608</v>
      </c>
      <c r="L112" s="522" t="s">
        <v>4043</v>
      </c>
      <c r="M112" s="522" t="s">
        <v>4044</v>
      </c>
    </row>
    <row r="113" spans="1:13" ht="43.2" x14ac:dyDescent="0.3">
      <c r="A113" s="2" t="s">
        <v>4609</v>
      </c>
      <c r="B113" s="521" t="str">
        <f t="shared" si="5"/>
        <v>This report contains disclosures from the previous reporting period that remain unchanged</v>
      </c>
      <c r="C113" s="2" t="s">
        <v>4610</v>
      </c>
      <c r="D113" s="516" t="s">
        <v>4611</v>
      </c>
      <c r="E113" s="516" t="s">
        <v>4612</v>
      </c>
      <c r="F113" s="516" t="s">
        <v>4613</v>
      </c>
      <c r="G113" s="523" t="s">
        <v>4614</v>
      </c>
      <c r="H113" s="523" t="s">
        <v>4615</v>
      </c>
      <c r="I113" s="2" t="s">
        <v>4616</v>
      </c>
      <c r="J113" s="522" t="s">
        <v>4617</v>
      </c>
      <c r="K113" s="522" t="s">
        <v>4618</v>
      </c>
      <c r="L113" s="522" t="s">
        <v>4619</v>
      </c>
      <c r="M113" s="522" t="s">
        <v>4620</v>
      </c>
    </row>
    <row r="114" spans="1:13" ht="72" x14ac:dyDescent="0.3">
      <c r="A114" s="2" t="s">
        <v>4621</v>
      </c>
      <c r="B114" s="521" t="str">
        <f t="shared" si="5"/>
        <v>List of disclosures for which no changes are reported compared to the previous period reporting</v>
      </c>
      <c r="C114" s="2" t="s">
        <v>4622</v>
      </c>
      <c r="D114" s="516" t="s">
        <v>4623</v>
      </c>
      <c r="E114" s="516" t="s">
        <v>4624</v>
      </c>
      <c r="F114" s="516" t="s">
        <v>4625</v>
      </c>
      <c r="G114" s="523" t="s">
        <v>4626</v>
      </c>
      <c r="H114" s="523" t="s">
        <v>4627</v>
      </c>
      <c r="I114" s="2" t="s">
        <v>4628</v>
      </c>
      <c r="J114" s="522" t="s">
        <v>4629</v>
      </c>
      <c r="K114" s="522" t="s">
        <v>4630</v>
      </c>
      <c r="L114" s="522" t="s">
        <v>4631</v>
      </c>
      <c r="M114" s="522" t="s">
        <v>4632</v>
      </c>
    </row>
    <row r="115" spans="1:13" ht="29.4" thickBot="1" x14ac:dyDescent="0.35">
      <c r="A115" s="528" t="s">
        <v>4633</v>
      </c>
      <c r="B115" s="525" t="str">
        <f t="shared" si="5"/>
        <v>Link to previous report containing disclosures that remain unchanged</v>
      </c>
      <c r="C115" s="528" t="s">
        <v>4634</v>
      </c>
      <c r="D115" s="524" t="s">
        <v>4635</v>
      </c>
      <c r="E115" s="524" t="s">
        <v>4636</v>
      </c>
      <c r="F115" s="524" t="s">
        <v>4637</v>
      </c>
      <c r="G115" s="527" t="s">
        <v>4638</v>
      </c>
      <c r="H115" s="527" t="s">
        <v>4639</v>
      </c>
      <c r="I115" s="528" t="s">
        <v>4640</v>
      </c>
      <c r="J115" s="526" t="s">
        <v>4641</v>
      </c>
      <c r="K115" s="526" t="s">
        <v>4642</v>
      </c>
      <c r="L115" s="526" t="s">
        <v>4643</v>
      </c>
      <c r="M115" s="526" t="s">
        <v>4644</v>
      </c>
    </row>
    <row r="116" spans="1:13" ht="28.8" x14ac:dyDescent="0.3">
      <c r="A116" s="2" t="s">
        <v>4645</v>
      </c>
      <c r="B116" s="521" t="str">
        <f t="shared" si="5"/>
        <v>B1 - Basis for Preparation &amp; Module</v>
      </c>
      <c r="C116" s="2" t="s">
        <v>4646</v>
      </c>
      <c r="D116" s="516" t="s">
        <v>4647</v>
      </c>
      <c r="E116" s="516" t="s">
        <v>4648</v>
      </c>
      <c r="F116" s="516" t="s">
        <v>4649</v>
      </c>
      <c r="G116" s="523" t="s">
        <v>4650</v>
      </c>
      <c r="H116" s="523" t="s">
        <v>4651</v>
      </c>
      <c r="I116" s="2" t="s">
        <v>4652</v>
      </c>
      <c r="J116" s="522" t="s">
        <v>4653</v>
      </c>
      <c r="K116" s="522" t="s">
        <v>4654</v>
      </c>
      <c r="L116" s="522" t="s">
        <v>4655</v>
      </c>
      <c r="M116" s="522" t="s">
        <v>4656</v>
      </c>
    </row>
    <row r="117" spans="1:13" x14ac:dyDescent="0.3">
      <c r="A117" s="2" t="s">
        <v>4657</v>
      </c>
      <c r="B117" s="521" t="str">
        <f t="shared" ref="B117" si="6">INDEX(C117:M117,MATCH(template_selected_display_language,$C$3:$M$3,0))</f>
        <v>B1 - Other undertaking's general information</v>
      </c>
      <c r="C117" s="2" t="s">
        <v>4658</v>
      </c>
      <c r="D117" s="516" t="s">
        <v>4659</v>
      </c>
      <c r="E117" s="516" t="s">
        <v>4660</v>
      </c>
      <c r="F117" s="516" t="s">
        <v>4661</v>
      </c>
      <c r="G117" s="523" t="s">
        <v>4662</v>
      </c>
      <c r="H117" s="523" t="s">
        <v>4663</v>
      </c>
      <c r="I117" s="2" t="s">
        <v>4664</v>
      </c>
      <c r="J117" s="522" t="s">
        <v>4665</v>
      </c>
      <c r="K117" s="522" t="s">
        <v>4666</v>
      </c>
      <c r="L117" s="522" t="s">
        <v>4667</v>
      </c>
      <c r="M117" s="522" t="s">
        <v>4668</v>
      </c>
    </row>
    <row r="118" spans="1:13" ht="28.8" x14ac:dyDescent="0.3">
      <c r="A118" s="2" t="s">
        <v>4669</v>
      </c>
      <c r="B118" s="521" t="str">
        <f t="shared" si="5"/>
        <v>Basis for preparation (Basic Module Only or Basic &amp; Comprehensive Module)</v>
      </c>
      <c r="C118" s="2" t="s">
        <v>4670</v>
      </c>
      <c r="D118" s="516" t="s">
        <v>4671</v>
      </c>
      <c r="E118" s="516" t="s">
        <v>4672</v>
      </c>
      <c r="F118" s="516" t="s">
        <v>4673</v>
      </c>
      <c r="G118" s="523" t="s">
        <v>4674</v>
      </c>
      <c r="H118" s="523" t="s">
        <v>4675</v>
      </c>
      <c r="I118" s="2" t="s">
        <v>4676</v>
      </c>
      <c r="J118" s="522" t="s">
        <v>4677</v>
      </c>
      <c r="K118" s="522" t="s">
        <v>4678</v>
      </c>
      <c r="L118" s="522" t="s">
        <v>4679</v>
      </c>
      <c r="M118" s="522" t="s">
        <v>4680</v>
      </c>
    </row>
    <row r="119" spans="1:13" ht="28.8" x14ac:dyDescent="0.3">
      <c r="A119" s="2" t="s">
        <v>4681</v>
      </c>
      <c r="B119" s="521" t="str">
        <f t="shared" si="5"/>
        <v>List of omitted disclosures deemed to be classified or sensitive information</v>
      </c>
      <c r="C119" s="2" t="s">
        <v>4682</v>
      </c>
      <c r="D119" s="516" t="s">
        <v>4683</v>
      </c>
      <c r="E119" s="516" t="s">
        <v>4684</v>
      </c>
      <c r="F119" s="516" t="s">
        <v>4685</v>
      </c>
      <c r="G119" s="523" t="s">
        <v>4686</v>
      </c>
      <c r="H119" s="523" t="s">
        <v>8786</v>
      </c>
      <c r="I119" s="2" t="s">
        <v>4687</v>
      </c>
      <c r="J119" s="522" t="s">
        <v>4688</v>
      </c>
      <c r="K119" s="522" t="s">
        <v>4689</v>
      </c>
      <c r="L119" s="522" t="s">
        <v>4690</v>
      </c>
      <c r="M119" s="522" t="s">
        <v>4691</v>
      </c>
    </row>
    <row r="120" spans="1:13" ht="28.8" x14ac:dyDescent="0.3">
      <c r="A120" s="2" t="s">
        <v>4692</v>
      </c>
      <c r="B120" s="521" t="str">
        <f t="shared" si="5"/>
        <v>Basis for reporting (consolidated or individual basis)</v>
      </c>
      <c r="C120" s="2" t="s">
        <v>4693</v>
      </c>
      <c r="D120" s="516" t="s">
        <v>4694</v>
      </c>
      <c r="E120" s="516" t="s">
        <v>4695</v>
      </c>
      <c r="F120" s="516" t="s">
        <v>4696</v>
      </c>
      <c r="G120" s="523" t="s">
        <v>4697</v>
      </c>
      <c r="H120" s="523" t="s">
        <v>4698</v>
      </c>
      <c r="I120" s="2" t="s">
        <v>4699</v>
      </c>
      <c r="J120" s="522" t="s">
        <v>4700</v>
      </c>
      <c r="K120" s="522" t="s">
        <v>4701</v>
      </c>
      <c r="L120" s="522" t="s">
        <v>4702</v>
      </c>
      <c r="M120" s="522" t="s">
        <v>4703</v>
      </c>
    </row>
    <row r="121" spans="1:13" x14ac:dyDescent="0.3">
      <c r="A121" s="2" t="s">
        <v>4704</v>
      </c>
      <c r="B121" s="521" t="str">
        <f t="shared" si="5"/>
        <v>Undertakings legal form</v>
      </c>
      <c r="C121" s="2" t="s">
        <v>4705</v>
      </c>
      <c r="D121" s="516" t="s">
        <v>4706</v>
      </c>
      <c r="E121" s="516" t="s">
        <v>4707</v>
      </c>
      <c r="F121" s="516" t="s">
        <v>4708</v>
      </c>
      <c r="G121" s="523" t="s">
        <v>4709</v>
      </c>
      <c r="H121" s="523" t="s">
        <v>4710</v>
      </c>
      <c r="I121" s="2" t="s">
        <v>4711</v>
      </c>
      <c r="J121" s="522" t="s">
        <v>4712</v>
      </c>
      <c r="K121" s="522" t="s">
        <v>4713</v>
      </c>
      <c r="L121" s="522" t="s">
        <v>4714</v>
      </c>
      <c r="M121" s="522" t="s">
        <v>4715</v>
      </c>
    </row>
    <row r="122" spans="1:13" x14ac:dyDescent="0.3">
      <c r="A122" s="2" t="s">
        <v>4716</v>
      </c>
      <c r="B122" s="521" t="str">
        <f t="shared" si="5"/>
        <v>Other undertaking's legal form specification</v>
      </c>
      <c r="C122" s="2" t="s">
        <v>4717</v>
      </c>
      <c r="D122" s="516" t="s">
        <v>4718</v>
      </c>
      <c r="E122" s="516" t="s">
        <v>4719</v>
      </c>
      <c r="F122" s="516" t="s">
        <v>4720</v>
      </c>
      <c r="G122" s="523" t="s">
        <v>4721</v>
      </c>
      <c r="H122" s="523" t="s">
        <v>4722</v>
      </c>
      <c r="I122" s="2" t="s">
        <v>4723</v>
      </c>
      <c r="J122" s="522" t="s">
        <v>4724</v>
      </c>
      <c r="K122" s="522" t="s">
        <v>4725</v>
      </c>
      <c r="L122" s="522" t="s">
        <v>4726</v>
      </c>
      <c r="M122" s="522" t="s">
        <v>4727</v>
      </c>
    </row>
    <row r="123" spans="1:13" x14ac:dyDescent="0.3">
      <c r="A123" s="2" t="s">
        <v>4728</v>
      </c>
      <c r="B123" s="521" t="str">
        <f t="shared" si="5"/>
        <v>NACE sector classification code(s)</v>
      </c>
      <c r="C123" s="2" t="s">
        <v>4729</v>
      </c>
      <c r="D123" s="516" t="s">
        <v>4730</v>
      </c>
      <c r="E123" s="516" t="s">
        <v>4731</v>
      </c>
      <c r="F123" s="529" t="s">
        <v>4732</v>
      </c>
      <c r="G123" s="523" t="s">
        <v>4733</v>
      </c>
      <c r="H123" s="523" t="s">
        <v>4734</v>
      </c>
      <c r="I123" s="2" t="s">
        <v>4735</v>
      </c>
      <c r="J123" s="522" t="s">
        <v>4736</v>
      </c>
      <c r="K123" s="522" t="s">
        <v>4737</v>
      </c>
      <c r="L123" s="522" t="s">
        <v>4738</v>
      </c>
      <c r="M123" s="522" t="s">
        <v>4739</v>
      </c>
    </row>
    <row r="124" spans="1:13" x14ac:dyDescent="0.3">
      <c r="A124" s="2" t="s">
        <v>4740</v>
      </c>
      <c r="B124" s="521" t="str">
        <f t="shared" si="5"/>
        <v>Size of balance sheet (total assets) in</v>
      </c>
      <c r="C124" s="2" t="s">
        <v>4741</v>
      </c>
      <c r="D124" s="516" t="s">
        <v>4742</v>
      </c>
      <c r="E124" s="516" t="s">
        <v>4743</v>
      </c>
      <c r="F124" s="529" t="s">
        <v>4744</v>
      </c>
      <c r="G124" s="523" t="s">
        <v>4745</v>
      </c>
      <c r="H124" s="523" t="s">
        <v>4746</v>
      </c>
      <c r="I124" s="2" t="s">
        <v>4747</v>
      </c>
      <c r="J124" s="522" t="s">
        <v>4748</v>
      </c>
      <c r="K124" s="522" t="s">
        <v>4749</v>
      </c>
      <c r="L124" s="522" t="s">
        <v>4750</v>
      </c>
      <c r="M124" s="522" t="s">
        <v>4751</v>
      </c>
    </row>
    <row r="125" spans="1:13" x14ac:dyDescent="0.3">
      <c r="A125" s="2" t="s">
        <v>4752</v>
      </c>
      <c r="B125" s="521" t="str">
        <f t="shared" si="5"/>
        <v>Turnover in</v>
      </c>
      <c r="C125" s="2" t="s">
        <v>4753</v>
      </c>
      <c r="D125" s="516" t="s">
        <v>4754</v>
      </c>
      <c r="E125" s="516" t="s">
        <v>4755</v>
      </c>
      <c r="F125" s="516" t="s">
        <v>4756</v>
      </c>
      <c r="G125" s="523" t="s">
        <v>4757</v>
      </c>
      <c r="H125" s="523" t="s">
        <v>4758</v>
      </c>
      <c r="I125" s="2" t="s">
        <v>4759</v>
      </c>
      <c r="J125" s="522" t="s">
        <v>4760</v>
      </c>
      <c r="K125" s="522" t="s">
        <v>4761</v>
      </c>
      <c r="L125" s="522" t="s">
        <v>4762</v>
      </c>
      <c r="M125" s="522" t="s">
        <v>4763</v>
      </c>
    </row>
    <row r="126" spans="1:13" x14ac:dyDescent="0.3">
      <c r="A126" s="2" t="s">
        <v>4764</v>
      </c>
      <c r="B126" s="521" t="str">
        <f t="shared" si="5"/>
        <v>Number of employees</v>
      </c>
      <c r="C126" s="2" t="s">
        <v>4765</v>
      </c>
      <c r="D126" s="516" t="s">
        <v>4766</v>
      </c>
      <c r="E126" s="516" t="s">
        <v>4767</v>
      </c>
      <c r="F126" s="516" t="s">
        <v>4768</v>
      </c>
      <c r="G126" s="523" t="s">
        <v>4769</v>
      </c>
      <c r="H126" s="523" t="s">
        <v>4770</v>
      </c>
      <c r="I126" s="2" t="s">
        <v>4771</v>
      </c>
      <c r="J126" s="522" t="s">
        <v>4772</v>
      </c>
      <c r="K126" s="522" t="s">
        <v>4773</v>
      </c>
      <c r="L126" s="522" t="s">
        <v>4774</v>
      </c>
      <c r="M126" s="522" t="s">
        <v>4775</v>
      </c>
    </row>
    <row r="127" spans="1:13" ht="43.2" x14ac:dyDescent="0.3">
      <c r="A127" s="2" t="s">
        <v>4776</v>
      </c>
      <c r="B127" s="521" t="str">
        <f t="shared" si="5"/>
        <v>Employee counting methodology (At the end of reporting period or as an average during the reporting period)</v>
      </c>
      <c r="C127" s="2" t="s">
        <v>4777</v>
      </c>
      <c r="D127" s="516" t="s">
        <v>4778</v>
      </c>
      <c r="E127" s="516" t="s">
        <v>4779</v>
      </c>
      <c r="F127" s="516" t="s">
        <v>4780</v>
      </c>
      <c r="G127" s="523" t="s">
        <v>4781</v>
      </c>
      <c r="H127" s="523" t="s">
        <v>4782</v>
      </c>
      <c r="I127" s="2" t="s">
        <v>4783</v>
      </c>
      <c r="J127" s="522" t="s">
        <v>4784</v>
      </c>
      <c r="K127" s="522" t="s">
        <v>4785</v>
      </c>
      <c r="L127" s="522" t="s">
        <v>4786</v>
      </c>
      <c r="M127" s="522" t="s">
        <v>4787</v>
      </c>
    </row>
    <row r="128" spans="1:13" ht="28.8" x14ac:dyDescent="0.3">
      <c r="A128" s="2" t="s">
        <v>4788</v>
      </c>
      <c r="B128" s="521" t="str">
        <f t="shared" si="5"/>
        <v>Employee counting methodology (Headcount or Full-time equivalent)</v>
      </c>
      <c r="C128" s="2" t="s">
        <v>4789</v>
      </c>
      <c r="D128" s="516" t="s">
        <v>4790</v>
      </c>
      <c r="E128" s="516" t="s">
        <v>4791</v>
      </c>
      <c r="F128" s="516" t="s">
        <v>4792</v>
      </c>
      <c r="G128" s="523" t="s">
        <v>4793</v>
      </c>
      <c r="H128" s="523" t="s">
        <v>4794</v>
      </c>
      <c r="I128" s="2" t="s">
        <v>4795</v>
      </c>
      <c r="J128" s="522" t="s">
        <v>4796</v>
      </c>
      <c r="K128" s="522" t="s">
        <v>4797</v>
      </c>
      <c r="L128" s="522" t="s">
        <v>4798</v>
      </c>
      <c r="M128" s="522" t="s">
        <v>4799</v>
      </c>
    </row>
    <row r="129" spans="1:13" ht="29.4" thickBot="1" x14ac:dyDescent="0.35">
      <c r="A129" s="528" t="s">
        <v>4800</v>
      </c>
      <c r="B129" s="525" t="str">
        <f t="shared" si="5"/>
        <v>Country of primary operations and location of significant asset(s)</v>
      </c>
      <c r="C129" s="528" t="s">
        <v>4801</v>
      </c>
      <c r="D129" s="524" t="s">
        <v>4802</v>
      </c>
      <c r="E129" s="524" t="s">
        <v>4803</v>
      </c>
      <c r="F129" s="524" t="s">
        <v>4804</v>
      </c>
      <c r="G129" s="527" t="s">
        <v>4805</v>
      </c>
      <c r="H129" s="527" t="s">
        <v>4806</v>
      </c>
      <c r="I129" s="528" t="s">
        <v>4807</v>
      </c>
      <c r="J129" s="526" t="s">
        <v>4808</v>
      </c>
      <c r="K129" s="526" t="s">
        <v>4809</v>
      </c>
      <c r="L129" s="526" t="s">
        <v>4810</v>
      </c>
      <c r="M129" s="526" t="s">
        <v>4811</v>
      </c>
    </row>
    <row r="130" spans="1:13" x14ac:dyDescent="0.3">
      <c r="A130" s="2" t="s">
        <v>4812</v>
      </c>
      <c r="B130" s="521" t="str">
        <f t="shared" si="5"/>
        <v>B1 - List of subsidiaries</v>
      </c>
      <c r="C130" s="2" t="s">
        <v>4813</v>
      </c>
      <c r="D130" s="516" t="s">
        <v>4814</v>
      </c>
      <c r="E130" s="516" t="s">
        <v>4815</v>
      </c>
      <c r="F130" s="516" t="s">
        <v>4816</v>
      </c>
      <c r="G130" s="523" t="s">
        <v>4817</v>
      </c>
      <c r="H130" s="523" t="s">
        <v>4818</v>
      </c>
      <c r="I130" s="2" t="s">
        <v>4819</v>
      </c>
      <c r="J130" s="522" t="s">
        <v>4820</v>
      </c>
      <c r="K130" s="522" t="s">
        <v>4821</v>
      </c>
      <c r="L130" s="522" t="s">
        <v>4822</v>
      </c>
      <c r="M130" s="522" t="s">
        <v>4823</v>
      </c>
    </row>
    <row r="131" spans="1:13" x14ac:dyDescent="0.3">
      <c r="A131" s="2" t="s">
        <v>4824</v>
      </c>
      <c r="B131" s="521" t="str">
        <f t="shared" si="5"/>
        <v>ID</v>
      </c>
      <c r="C131" s="2" t="s">
        <v>4825</v>
      </c>
      <c r="D131" s="516" t="s">
        <v>4825</v>
      </c>
      <c r="E131" s="516" t="s">
        <v>4825</v>
      </c>
      <c r="F131" s="516" t="s">
        <v>4825</v>
      </c>
      <c r="G131" s="523" t="s">
        <v>4826</v>
      </c>
      <c r="H131" s="523" t="s">
        <v>4827</v>
      </c>
      <c r="I131" s="2" t="s">
        <v>4825</v>
      </c>
      <c r="J131" s="522" t="s">
        <v>4825</v>
      </c>
      <c r="K131" s="522" t="s">
        <v>4825</v>
      </c>
      <c r="L131" s="522" t="s">
        <v>4825</v>
      </c>
      <c r="M131" s="522" t="s">
        <v>4825</v>
      </c>
    </row>
    <row r="132" spans="1:13" x14ac:dyDescent="0.3">
      <c r="A132" s="2" t="s">
        <v>4828</v>
      </c>
      <c r="B132" s="521" t="str">
        <f t="shared" si="5"/>
        <v>Name</v>
      </c>
      <c r="C132" s="2" t="s">
        <v>4829</v>
      </c>
      <c r="D132" s="516" t="s">
        <v>4830</v>
      </c>
      <c r="E132" s="516" t="s">
        <v>4831</v>
      </c>
      <c r="F132" s="516" t="s">
        <v>4832</v>
      </c>
      <c r="G132" s="523" t="s">
        <v>4829</v>
      </c>
      <c r="H132" s="523" t="s">
        <v>4833</v>
      </c>
      <c r="I132" s="2" t="s">
        <v>4834</v>
      </c>
      <c r="J132" s="522" t="s">
        <v>4835</v>
      </c>
      <c r="K132" s="522" t="s">
        <v>4836</v>
      </c>
      <c r="L132" s="522" t="s">
        <v>4834</v>
      </c>
      <c r="M132" s="522" t="s">
        <v>4837</v>
      </c>
    </row>
    <row r="133" spans="1:13" ht="29.4" thickBot="1" x14ac:dyDescent="0.35">
      <c r="A133" s="528" t="s">
        <v>4838</v>
      </c>
      <c r="B133" s="525" t="str">
        <f t="shared" si="5"/>
        <v>Registered Address</v>
      </c>
      <c r="C133" s="528" t="s">
        <v>4839</v>
      </c>
      <c r="D133" s="524" t="s">
        <v>4840</v>
      </c>
      <c r="E133" s="524" t="s">
        <v>4841</v>
      </c>
      <c r="F133" s="524" t="s">
        <v>4842</v>
      </c>
      <c r="G133" s="527" t="s">
        <v>4843</v>
      </c>
      <c r="H133" s="527" t="s">
        <v>4844</v>
      </c>
      <c r="I133" s="528" t="s">
        <v>4845</v>
      </c>
      <c r="J133" s="526" t="s">
        <v>4846</v>
      </c>
      <c r="K133" s="526" t="s">
        <v>4847</v>
      </c>
      <c r="L133" s="526" t="s">
        <v>4848</v>
      </c>
      <c r="M133" s="526" t="s">
        <v>4849</v>
      </c>
    </row>
    <row r="134" spans="1:13" ht="28.8" x14ac:dyDescent="0.3">
      <c r="A134" s="2" t="s">
        <v>4850</v>
      </c>
      <c r="B134" s="521" t="str">
        <f t="shared" si="5"/>
        <v>B1 - Disclosure of sustainability-related certification(s) or label(s)</v>
      </c>
      <c r="C134" s="2" t="s">
        <v>4851</v>
      </c>
      <c r="D134" s="516" t="s">
        <v>4852</v>
      </c>
      <c r="E134" s="516" t="s">
        <v>4853</v>
      </c>
      <c r="F134" s="516" t="s">
        <v>4854</v>
      </c>
      <c r="G134" s="523" t="s">
        <v>4855</v>
      </c>
      <c r="H134" s="523" t="s">
        <v>4856</v>
      </c>
      <c r="I134" s="2" t="s">
        <v>4857</v>
      </c>
      <c r="J134" s="522" t="s">
        <v>4858</v>
      </c>
      <c r="K134" s="522" t="s">
        <v>4859</v>
      </c>
      <c r="L134" s="522" t="s">
        <v>4860</v>
      </c>
      <c r="M134" s="522" t="s">
        <v>4861</v>
      </c>
    </row>
    <row r="135" spans="1:13" ht="43.2" x14ac:dyDescent="0.3">
      <c r="A135" s="2" t="s">
        <v>4862</v>
      </c>
      <c r="B135" s="521" t="str">
        <f t="shared" si="5"/>
        <v>Has the undertaking obtained any sustainability-related certification(s) or label(s) ?</v>
      </c>
      <c r="C135" s="2" t="s">
        <v>4863</v>
      </c>
      <c r="D135" s="516" t="s">
        <v>4864</v>
      </c>
      <c r="E135" s="516" t="s">
        <v>4865</v>
      </c>
      <c r="F135" s="516" t="s">
        <v>4866</v>
      </c>
      <c r="G135" s="523" t="s">
        <v>4867</v>
      </c>
      <c r="H135" s="523" t="s">
        <v>4868</v>
      </c>
      <c r="I135" s="2" t="s">
        <v>4869</v>
      </c>
      <c r="J135" s="522" t="s">
        <v>4870</v>
      </c>
      <c r="K135" s="522" t="s">
        <v>4871</v>
      </c>
      <c r="L135" s="522" t="s">
        <v>4872</v>
      </c>
      <c r="M135" s="522" t="s">
        <v>4873</v>
      </c>
    </row>
    <row r="136" spans="1:13" ht="72.599999999999994" thickBot="1" x14ac:dyDescent="0.35">
      <c r="A136" s="528" t="s">
        <v>4874</v>
      </c>
      <c r="B136" s="525" t="str">
        <f t="shared" si="5"/>
        <v>Description of sustainability-related certification(s) or label(s) including where relevant the issuers of the certification or label date and rating score</v>
      </c>
      <c r="C136" s="528" t="s">
        <v>4875</v>
      </c>
      <c r="D136" s="524" t="s">
        <v>4876</v>
      </c>
      <c r="E136" s="524" t="s">
        <v>4877</v>
      </c>
      <c r="F136" s="524" t="s">
        <v>4878</v>
      </c>
      <c r="G136" s="527" t="s">
        <v>4879</v>
      </c>
      <c r="H136" s="527" t="s">
        <v>4880</v>
      </c>
      <c r="I136" s="528" t="s">
        <v>4881</v>
      </c>
      <c r="J136" s="526" t="s">
        <v>4882</v>
      </c>
      <c r="K136" s="526" t="s">
        <v>4883</v>
      </c>
      <c r="L136" s="526" t="s">
        <v>4884</v>
      </c>
      <c r="M136" s="526" t="s">
        <v>4885</v>
      </c>
    </row>
    <row r="137" spans="1:13" ht="28.8" x14ac:dyDescent="0.3">
      <c r="A137" s="2" t="s">
        <v>4886</v>
      </c>
      <c r="B137" s="521" t="str">
        <f t="shared" si="5"/>
        <v>B1 - List of site(s)</v>
      </c>
      <c r="C137" s="2" t="s">
        <v>4887</v>
      </c>
      <c r="D137" s="516" t="s">
        <v>4888</v>
      </c>
      <c r="E137" s="516" t="s">
        <v>4889</v>
      </c>
      <c r="F137" s="516" t="s">
        <v>4890</v>
      </c>
      <c r="G137" s="523" t="s">
        <v>4891</v>
      </c>
      <c r="H137" s="523" t="s">
        <v>4892</v>
      </c>
      <c r="I137" s="2" t="s">
        <v>4893</v>
      </c>
      <c r="J137" s="522" t="s">
        <v>4894</v>
      </c>
      <c r="K137" s="522" t="s">
        <v>4895</v>
      </c>
      <c r="L137" s="522" t="s">
        <v>4896</v>
      </c>
      <c r="M137" s="522" t="s">
        <v>4897</v>
      </c>
    </row>
    <row r="138" spans="1:13" x14ac:dyDescent="0.3">
      <c r="A138" s="2" t="s">
        <v>4898</v>
      </c>
      <c r="B138" s="521" t="str">
        <f t="shared" si="5"/>
        <v>Address</v>
      </c>
      <c r="C138" s="2" t="s">
        <v>4899</v>
      </c>
      <c r="D138" s="516" t="s">
        <v>4900</v>
      </c>
      <c r="E138" s="516" t="s">
        <v>4901</v>
      </c>
      <c r="F138" s="516" t="s">
        <v>4900</v>
      </c>
      <c r="G138" s="523" t="s">
        <v>4900</v>
      </c>
      <c r="H138" s="523" t="s">
        <v>4902</v>
      </c>
      <c r="I138" s="2" t="s">
        <v>4903</v>
      </c>
      <c r="J138" s="522" t="s">
        <v>4904</v>
      </c>
      <c r="K138" s="522" t="s">
        <v>4901</v>
      </c>
      <c r="L138" s="522" t="s">
        <v>4905</v>
      </c>
      <c r="M138" s="522" t="s">
        <v>4906</v>
      </c>
    </row>
    <row r="139" spans="1:13" x14ac:dyDescent="0.3">
      <c r="A139" s="2" t="s">
        <v>4907</v>
      </c>
      <c r="B139" s="521" t="str">
        <f t="shared" si="5"/>
        <v>Postal code</v>
      </c>
      <c r="C139" s="2" t="s">
        <v>4908</v>
      </c>
      <c r="D139" s="516" t="s">
        <v>4909</v>
      </c>
      <c r="E139" s="516" t="s">
        <v>4910</v>
      </c>
      <c r="F139" s="516" t="s">
        <v>4911</v>
      </c>
      <c r="G139" s="523" t="s">
        <v>4912</v>
      </c>
      <c r="H139" s="523" t="s">
        <v>4913</v>
      </c>
      <c r="I139" s="2" t="s">
        <v>4914</v>
      </c>
      <c r="J139" s="522" t="s">
        <v>4915</v>
      </c>
      <c r="K139" s="522" t="s">
        <v>4916</v>
      </c>
      <c r="L139" s="522" t="s">
        <v>4917</v>
      </c>
      <c r="M139" s="522" t="s">
        <v>4917</v>
      </c>
    </row>
    <row r="140" spans="1:13" ht="43.2" x14ac:dyDescent="0.3">
      <c r="A140" s="2" t="s">
        <v>4918</v>
      </c>
      <c r="B140" s="521" t="str">
        <f t="shared" si="5"/>
        <v>City</v>
      </c>
      <c r="C140" s="2" t="s">
        <v>4919</v>
      </c>
      <c r="D140" s="516" t="s">
        <v>4920</v>
      </c>
      <c r="E140" s="516" t="s">
        <v>4921</v>
      </c>
      <c r="F140" s="516" t="s">
        <v>4922</v>
      </c>
      <c r="G140" s="523" t="s">
        <v>4923</v>
      </c>
      <c r="H140" s="523" t="s">
        <v>4924</v>
      </c>
      <c r="I140" s="2" t="s">
        <v>4925</v>
      </c>
      <c r="J140" s="522" t="s">
        <v>4926</v>
      </c>
      <c r="K140" s="522" t="s">
        <v>4927</v>
      </c>
      <c r="L140" s="522" t="s">
        <v>4928</v>
      </c>
      <c r="M140" s="522" t="s">
        <v>4929</v>
      </c>
    </row>
    <row r="141" spans="1:13" x14ac:dyDescent="0.3">
      <c r="A141" s="2" t="s">
        <v>4930</v>
      </c>
      <c r="B141" s="521" t="str">
        <f t="shared" si="5"/>
        <v>Country</v>
      </c>
      <c r="C141" s="2" t="s">
        <v>4931</v>
      </c>
      <c r="D141" s="516" t="s">
        <v>4932</v>
      </c>
      <c r="E141" s="516" t="s">
        <v>4932</v>
      </c>
      <c r="F141" s="516" t="s">
        <v>4933</v>
      </c>
      <c r="G141" s="523" t="s">
        <v>4932</v>
      </c>
      <c r="H141" s="523" t="s">
        <v>4934</v>
      </c>
      <c r="I141" s="2" t="s">
        <v>4935</v>
      </c>
      <c r="J141" s="522" t="s">
        <v>4936</v>
      </c>
      <c r="K141" s="522" t="s">
        <v>4937</v>
      </c>
      <c r="L141" s="522" t="s">
        <v>4938</v>
      </c>
      <c r="M141" s="522" t="s">
        <v>4938</v>
      </c>
    </row>
    <row r="142" spans="1:13" x14ac:dyDescent="0.3">
      <c r="A142" s="2" t="s">
        <v>4939</v>
      </c>
      <c r="B142" s="521" t="str">
        <f t="shared" si="5"/>
        <v>GPS Coordinates (geolocation)</v>
      </c>
      <c r="C142" s="2" t="s">
        <v>4940</v>
      </c>
      <c r="D142" s="516" t="s">
        <v>4941</v>
      </c>
      <c r="E142" s="516" t="s">
        <v>4942</v>
      </c>
      <c r="F142" s="516" t="s">
        <v>4943</v>
      </c>
      <c r="G142" s="523" t="s">
        <v>4944</v>
      </c>
      <c r="H142" s="523" t="s">
        <v>4945</v>
      </c>
      <c r="I142" s="2" t="s">
        <v>4946</v>
      </c>
      <c r="J142" s="522" t="s">
        <v>4947</v>
      </c>
      <c r="K142" s="522" t="s">
        <v>4948</v>
      </c>
      <c r="L142" s="522" t="s">
        <v>4949</v>
      </c>
      <c r="M142" s="522" t="s">
        <v>4950</v>
      </c>
    </row>
    <row r="143" spans="1:13" ht="13.95" customHeight="1" thickBot="1" x14ac:dyDescent="0.35">
      <c r="A143" s="528" t="s">
        <v>4951</v>
      </c>
      <c r="B143" s="525" t="str">
        <f t="shared" si="5"/>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3" s="528" t="s">
        <v>4952</v>
      </c>
      <c r="D143" s="524" t="s">
        <v>4953</v>
      </c>
      <c r="E143" s="524" t="s">
        <v>4954</v>
      </c>
      <c r="F143" s="524" t="s">
        <v>4955</v>
      </c>
      <c r="G143" s="527" t="s">
        <v>4956</v>
      </c>
      <c r="H143" s="527" t="s">
        <v>4957</v>
      </c>
      <c r="I143" s="528" t="s">
        <v>4958</v>
      </c>
      <c r="J143" s="526" t="s">
        <v>4959</v>
      </c>
      <c r="K143" s="526" t="s">
        <v>4960</v>
      </c>
      <c r="L143" s="526" t="s">
        <v>4961</v>
      </c>
      <c r="M143" s="526" t="s">
        <v>4962</v>
      </c>
    </row>
    <row r="144" spans="1:13" ht="28.8" x14ac:dyDescent="0.3">
      <c r="A144" s="2" t="s">
        <v>4963</v>
      </c>
      <c r="B144" s="521" t="str">
        <f t="shared" si="5"/>
        <v>B2 - Practices, policies and future initiatives for transitioning towards a more sustainable economy</v>
      </c>
      <c r="C144" s="2" t="s">
        <v>4060</v>
      </c>
      <c r="D144" s="516" t="s">
        <v>4965</v>
      </c>
      <c r="E144" s="516" t="s">
        <v>4061</v>
      </c>
      <c r="F144" s="516" t="s">
        <v>4062</v>
      </c>
      <c r="G144" s="523" t="s">
        <v>4966</v>
      </c>
      <c r="H144" s="523" t="s">
        <v>4967</v>
      </c>
      <c r="I144" s="2" t="s">
        <v>4968</v>
      </c>
      <c r="J144" s="522" t="s">
        <v>8833</v>
      </c>
      <c r="K144" s="522" t="s">
        <v>4063</v>
      </c>
      <c r="L144" s="522" t="s">
        <v>4064</v>
      </c>
      <c r="M144" s="522" t="s">
        <v>4065</v>
      </c>
    </row>
    <row r="145" spans="1:13" ht="43.2" x14ac:dyDescent="0.3">
      <c r="A145" s="2" t="s">
        <v>4969</v>
      </c>
      <c r="B145" s="521" t="str">
        <f t="shared" si="5"/>
        <v>Has the undertaking put in place specific practices policies and or future initiatives for transitioning towards a more sustainable economy?</v>
      </c>
      <c r="C145" s="2" t="s">
        <v>4970</v>
      </c>
      <c r="D145" s="516" t="s">
        <v>4971</v>
      </c>
      <c r="E145" s="516" t="s">
        <v>4972</v>
      </c>
      <c r="F145" s="516" t="s">
        <v>4973</v>
      </c>
      <c r="G145" s="523" t="s">
        <v>4974</v>
      </c>
      <c r="H145" s="523" t="s">
        <v>4975</v>
      </c>
      <c r="I145" s="2" t="s">
        <v>4976</v>
      </c>
      <c r="J145" s="522" t="s">
        <v>4977</v>
      </c>
      <c r="K145" s="522" t="s">
        <v>4978</v>
      </c>
      <c r="L145" s="522" t="s">
        <v>4979</v>
      </c>
      <c r="M145" s="522" t="s">
        <v>4980</v>
      </c>
    </row>
    <row r="146" spans="1:13" ht="57.6" x14ac:dyDescent="0.3">
      <c r="A146" s="2" t="s">
        <v>4981</v>
      </c>
      <c r="B146" s="521" t="str">
        <f t="shared" si="5"/>
        <v>Sustainability issues addressed by a practice policy and or future initiatives that the undertaking has put in place</v>
      </c>
      <c r="C146" s="2" t="s">
        <v>4982</v>
      </c>
      <c r="D146" s="516" t="s">
        <v>4983</v>
      </c>
      <c r="E146" s="516" t="s">
        <v>4984</v>
      </c>
      <c r="F146" s="516" t="s">
        <v>4985</v>
      </c>
      <c r="G146" s="523" t="s">
        <v>4986</v>
      </c>
      <c r="H146" s="523" t="s">
        <v>4987</v>
      </c>
      <c r="I146" s="2" t="s">
        <v>4988</v>
      </c>
      <c r="J146" s="522" t="s">
        <v>4989</v>
      </c>
      <c r="K146" s="522" t="s">
        <v>4990</v>
      </c>
      <c r="L146" s="522" t="s">
        <v>4991</v>
      </c>
      <c r="M146" s="522" t="s">
        <v>4992</v>
      </c>
    </row>
    <row r="147" spans="1:13" ht="57.6" x14ac:dyDescent="0.3">
      <c r="A147" s="2" t="s">
        <v>4993</v>
      </c>
      <c r="B147" s="521" t="str">
        <f t="shared" si="5"/>
        <v>Undertaking has a practice policy and or future initiative that is publicly available</v>
      </c>
      <c r="C147" s="2" t="s">
        <v>4994</v>
      </c>
      <c r="D147" s="516" t="s">
        <v>4995</v>
      </c>
      <c r="E147" s="516" t="s">
        <v>4996</v>
      </c>
      <c r="F147" s="516" t="s">
        <v>4997</v>
      </c>
      <c r="G147" s="523" t="s">
        <v>4998</v>
      </c>
      <c r="H147" s="523" t="s">
        <v>4999</v>
      </c>
      <c r="I147" s="2" t="s">
        <v>5000</v>
      </c>
      <c r="J147" s="522" t="s">
        <v>5001</v>
      </c>
      <c r="K147" s="522" t="s">
        <v>5002</v>
      </c>
      <c r="L147" s="522" t="s">
        <v>5003</v>
      </c>
      <c r="M147" s="522" t="s">
        <v>5004</v>
      </c>
    </row>
    <row r="148" spans="1:13" ht="28.8" x14ac:dyDescent="0.3">
      <c r="A148" s="2" t="s">
        <v>5005</v>
      </c>
      <c r="B148" s="521" t="str">
        <f t="shared" si="5"/>
        <v>Undertaking has set a target which is related to a policy</v>
      </c>
      <c r="C148" s="2" t="s">
        <v>5006</v>
      </c>
      <c r="D148" s="516" t="s">
        <v>5007</v>
      </c>
      <c r="E148" s="516" t="s">
        <v>5008</v>
      </c>
      <c r="F148" s="516" t="s">
        <v>5009</v>
      </c>
      <c r="G148" s="523" t="s">
        <v>5010</v>
      </c>
      <c r="H148" s="523" t="s">
        <v>5011</v>
      </c>
      <c r="I148" s="2" t="s">
        <v>5012</v>
      </c>
      <c r="J148" s="522" t="s">
        <v>5013</v>
      </c>
      <c r="K148" s="522" t="s">
        <v>5014</v>
      </c>
      <c r="L148" s="522" t="s">
        <v>5015</v>
      </c>
      <c r="M148" s="522" t="s">
        <v>5016</v>
      </c>
    </row>
    <row r="149" spans="1:13" x14ac:dyDescent="0.3">
      <c r="A149" s="2" t="s">
        <v>5017</v>
      </c>
      <c r="B149" s="521" t="str">
        <f t="shared" si="5"/>
        <v>Climate change</v>
      </c>
      <c r="C149" s="2" t="s">
        <v>375</v>
      </c>
      <c r="D149" s="516" t="s">
        <v>5018</v>
      </c>
      <c r="E149" s="516" t="s">
        <v>5019</v>
      </c>
      <c r="F149" s="516" t="s">
        <v>5020</v>
      </c>
      <c r="G149" s="523" t="s">
        <v>5021</v>
      </c>
      <c r="H149" s="523" t="s">
        <v>5022</v>
      </c>
      <c r="I149" s="2" t="s">
        <v>5023</v>
      </c>
      <c r="J149" s="522" t="s">
        <v>5024</v>
      </c>
      <c r="K149" s="522" t="s">
        <v>5025</v>
      </c>
      <c r="L149" s="522" t="s">
        <v>5026</v>
      </c>
      <c r="M149" s="522" t="s">
        <v>5027</v>
      </c>
    </row>
    <row r="150" spans="1:13" x14ac:dyDescent="0.3">
      <c r="A150" s="2" t="s">
        <v>5028</v>
      </c>
      <c r="B150" s="521" t="str">
        <f t="shared" si="5"/>
        <v>Pollution</v>
      </c>
      <c r="C150" s="2" t="s">
        <v>392</v>
      </c>
      <c r="D150" s="516" t="s">
        <v>5029</v>
      </c>
      <c r="E150" s="516" t="s">
        <v>5030</v>
      </c>
      <c r="F150" s="516" t="s">
        <v>392</v>
      </c>
      <c r="G150" s="523" t="s">
        <v>5031</v>
      </c>
      <c r="H150" s="523" t="s">
        <v>5032</v>
      </c>
      <c r="I150" s="2" t="s">
        <v>5033</v>
      </c>
      <c r="J150" s="522" t="s">
        <v>5034</v>
      </c>
      <c r="K150" s="522" t="s">
        <v>5035</v>
      </c>
      <c r="L150" s="522" t="s">
        <v>5036</v>
      </c>
      <c r="M150" s="522" t="s">
        <v>5037</v>
      </c>
    </row>
    <row r="151" spans="1:13" x14ac:dyDescent="0.3">
      <c r="A151" s="2" t="s">
        <v>5038</v>
      </c>
      <c r="B151" s="521" t="str">
        <f t="shared" si="5"/>
        <v>Water and marine resources</v>
      </c>
      <c r="C151" s="2" t="s">
        <v>409</v>
      </c>
      <c r="D151" s="516" t="s">
        <v>5039</v>
      </c>
      <c r="E151" s="516" t="s">
        <v>5040</v>
      </c>
      <c r="F151" s="516" t="s">
        <v>5041</v>
      </c>
      <c r="G151" s="523" t="s">
        <v>5042</v>
      </c>
      <c r="H151" s="523" t="s">
        <v>5043</v>
      </c>
      <c r="I151" s="2" t="s">
        <v>5044</v>
      </c>
      <c r="J151" s="522" t="s">
        <v>5045</v>
      </c>
      <c r="K151" s="522" t="s">
        <v>5046</v>
      </c>
      <c r="L151" s="522" t="s">
        <v>5047</v>
      </c>
      <c r="M151" s="522" t="s">
        <v>5048</v>
      </c>
    </row>
    <row r="152" spans="1:13" x14ac:dyDescent="0.3">
      <c r="A152" s="2" t="s">
        <v>5049</v>
      </c>
      <c r="B152" s="521" t="str">
        <f t="shared" si="5"/>
        <v>Biodiversity and ecosystems</v>
      </c>
      <c r="C152" s="2" t="s">
        <v>422</v>
      </c>
      <c r="D152" s="516" t="s">
        <v>5050</v>
      </c>
      <c r="E152" s="516" t="s">
        <v>5051</v>
      </c>
      <c r="F152" s="516" t="s">
        <v>5052</v>
      </c>
      <c r="G152" s="523" t="s">
        <v>5053</v>
      </c>
      <c r="H152" s="523" t="s">
        <v>5054</v>
      </c>
      <c r="I152" s="2" t="s">
        <v>5055</v>
      </c>
      <c r="J152" s="522" t="s">
        <v>5056</v>
      </c>
      <c r="K152" s="522" t="s">
        <v>5057</v>
      </c>
      <c r="L152" s="522" t="s">
        <v>5058</v>
      </c>
      <c r="M152" s="522" t="s">
        <v>5059</v>
      </c>
    </row>
    <row r="153" spans="1:13" x14ac:dyDescent="0.3">
      <c r="A153" s="2" t="s">
        <v>5060</v>
      </c>
      <c r="B153" s="521" t="str">
        <f t="shared" si="5"/>
        <v>Circular economy</v>
      </c>
      <c r="C153" s="2" t="s">
        <v>435</v>
      </c>
      <c r="D153" s="516" t="s">
        <v>5061</v>
      </c>
      <c r="E153" s="516" t="s">
        <v>5062</v>
      </c>
      <c r="F153" s="516" t="s">
        <v>5063</v>
      </c>
      <c r="G153" s="523" t="s">
        <v>5064</v>
      </c>
      <c r="H153" s="523" t="s">
        <v>5065</v>
      </c>
      <c r="I153" s="2" t="s">
        <v>5066</v>
      </c>
      <c r="J153" s="522" t="s">
        <v>5067</v>
      </c>
      <c r="K153" s="522" t="s">
        <v>5068</v>
      </c>
      <c r="L153" s="522" t="s">
        <v>5069</v>
      </c>
      <c r="M153" s="522" t="s">
        <v>5070</v>
      </c>
    </row>
    <row r="154" spans="1:13" x14ac:dyDescent="0.3">
      <c r="A154" s="2" t="s">
        <v>5071</v>
      </c>
      <c r="B154" s="521" t="str">
        <f t="shared" si="5"/>
        <v>Own workforce</v>
      </c>
      <c r="C154" s="2" t="s">
        <v>445</v>
      </c>
      <c r="D154" s="516" t="s">
        <v>5072</v>
      </c>
      <c r="E154" s="516" t="s">
        <v>5073</v>
      </c>
      <c r="F154" s="516" t="s">
        <v>5074</v>
      </c>
      <c r="G154" s="523" t="s">
        <v>5075</v>
      </c>
      <c r="H154" s="523" t="s">
        <v>5076</v>
      </c>
      <c r="I154" s="2" t="s">
        <v>5077</v>
      </c>
      <c r="J154" s="522" t="s">
        <v>5078</v>
      </c>
      <c r="K154" s="522" t="s">
        <v>5079</v>
      </c>
      <c r="L154" s="522" t="s">
        <v>5080</v>
      </c>
      <c r="M154" s="522" t="s">
        <v>5081</v>
      </c>
    </row>
    <row r="155" spans="1:13" ht="43.2" x14ac:dyDescent="0.3">
      <c r="A155" s="2" t="s">
        <v>5082</v>
      </c>
      <c r="B155" s="521" t="str">
        <f t="shared" si="5"/>
        <v>Workers in the value chain</v>
      </c>
      <c r="C155" s="2" t="s">
        <v>456</v>
      </c>
      <c r="D155" s="516" t="s">
        <v>5083</v>
      </c>
      <c r="E155" s="516" t="s">
        <v>5084</v>
      </c>
      <c r="F155" s="516" t="s">
        <v>5085</v>
      </c>
      <c r="G155" s="523" t="s">
        <v>5086</v>
      </c>
      <c r="H155" s="523" t="s">
        <v>5087</v>
      </c>
      <c r="I155" s="2" t="s">
        <v>5088</v>
      </c>
      <c r="J155" s="522" t="s">
        <v>5089</v>
      </c>
      <c r="K155" s="522" t="s">
        <v>5090</v>
      </c>
      <c r="L155" s="522" t="s">
        <v>5091</v>
      </c>
      <c r="M155" s="522" t="s">
        <v>5092</v>
      </c>
    </row>
    <row r="156" spans="1:13" ht="43.2" x14ac:dyDescent="0.3">
      <c r="A156" s="2" t="s">
        <v>5093</v>
      </c>
      <c r="B156" s="521" t="str">
        <f t="shared" si="5"/>
        <v>Affected communities</v>
      </c>
      <c r="C156" s="2" t="s">
        <v>467</v>
      </c>
      <c r="D156" s="516" t="s">
        <v>5094</v>
      </c>
      <c r="E156" s="516" t="s">
        <v>5095</v>
      </c>
      <c r="F156" s="516" t="s">
        <v>5096</v>
      </c>
      <c r="G156" s="523" t="s">
        <v>5097</v>
      </c>
      <c r="H156" s="523" t="s">
        <v>5098</v>
      </c>
      <c r="I156" s="2" t="s">
        <v>5099</v>
      </c>
      <c r="J156" s="522" t="s">
        <v>5100</v>
      </c>
      <c r="K156" s="522" t="s">
        <v>5101</v>
      </c>
      <c r="L156" s="522" t="s">
        <v>5102</v>
      </c>
      <c r="M156" s="522" t="s">
        <v>5103</v>
      </c>
    </row>
    <row r="157" spans="1:13" x14ac:dyDescent="0.3">
      <c r="A157" s="2" t="s">
        <v>5104</v>
      </c>
      <c r="B157" s="521" t="str">
        <f t="shared" si="5"/>
        <v>Consumers and end-users</v>
      </c>
      <c r="C157" s="2" t="s">
        <v>478</v>
      </c>
      <c r="D157" s="516" t="s">
        <v>5105</v>
      </c>
      <c r="E157" s="516" t="s">
        <v>5106</v>
      </c>
      <c r="F157" s="516" t="s">
        <v>5107</v>
      </c>
      <c r="G157" s="523" t="s">
        <v>5108</v>
      </c>
      <c r="H157" s="523" t="s">
        <v>5109</v>
      </c>
      <c r="I157" s="2" t="s">
        <v>5110</v>
      </c>
      <c r="J157" s="522" t="s">
        <v>5111</v>
      </c>
      <c r="K157" s="522" t="s">
        <v>5112</v>
      </c>
      <c r="L157" s="522" t="s">
        <v>5113</v>
      </c>
      <c r="M157" s="522" t="s">
        <v>5114</v>
      </c>
    </row>
    <row r="158" spans="1:13" ht="15" thickBot="1" x14ac:dyDescent="0.35">
      <c r="A158" s="528" t="s">
        <v>5115</v>
      </c>
      <c r="B158" s="525" t="str">
        <f t="shared" si="5"/>
        <v>Business conduct</v>
      </c>
      <c r="C158" s="528" t="s">
        <v>489</v>
      </c>
      <c r="D158" s="524" t="s">
        <v>5116</v>
      </c>
      <c r="E158" s="524" t="s">
        <v>5117</v>
      </c>
      <c r="F158" s="524" t="s">
        <v>5118</v>
      </c>
      <c r="G158" s="527" t="s">
        <v>5119</v>
      </c>
      <c r="H158" s="527" t="s">
        <v>5120</v>
      </c>
      <c r="I158" s="528" t="s">
        <v>5121</v>
      </c>
      <c r="J158" s="526" t="s">
        <v>5122</v>
      </c>
      <c r="K158" s="526" t="s">
        <v>5123</v>
      </c>
      <c r="L158" s="526" t="s">
        <v>5124</v>
      </c>
      <c r="M158" s="526" t="s">
        <v>5125</v>
      </c>
    </row>
    <row r="159" spans="1:13" x14ac:dyDescent="0.3">
      <c r="A159" s="2" t="s">
        <v>5126</v>
      </c>
      <c r="B159" s="521" t="str">
        <f t="shared" si="5"/>
        <v>B2 - Cooperative specific disclosures</v>
      </c>
      <c r="C159" s="2" t="s">
        <v>5127</v>
      </c>
      <c r="D159" s="516" t="s">
        <v>5128</v>
      </c>
      <c r="E159" s="516" t="s">
        <v>5129</v>
      </c>
      <c r="F159" s="522" t="s">
        <v>5130</v>
      </c>
      <c r="G159" s="523" t="s">
        <v>5131</v>
      </c>
      <c r="H159" s="523" t="s">
        <v>5132</v>
      </c>
      <c r="I159" s="2" t="s">
        <v>5133</v>
      </c>
      <c r="J159" s="522" t="s">
        <v>5134</v>
      </c>
      <c r="K159" s="522" t="s">
        <v>5135</v>
      </c>
      <c r="L159" s="522" t="s">
        <v>5136</v>
      </c>
      <c r="M159" s="522" t="s">
        <v>5137</v>
      </c>
    </row>
    <row r="160" spans="1:13" ht="43.2" x14ac:dyDescent="0.3">
      <c r="A160" s="2" t="s">
        <v>5138</v>
      </c>
      <c r="B160" s="521" t="str">
        <f t="shared" si="5"/>
        <v>Effective participation of workers users or other interested parties or communities in governance</v>
      </c>
      <c r="C160" s="2" t="s">
        <v>5139</v>
      </c>
      <c r="D160" s="516" t="s">
        <v>5140</v>
      </c>
      <c r="E160" s="516" t="s">
        <v>5141</v>
      </c>
      <c r="F160" s="516" t="s">
        <v>5142</v>
      </c>
      <c r="G160" s="523" t="s">
        <v>5143</v>
      </c>
      <c r="H160" s="523" t="s">
        <v>5144</v>
      </c>
      <c r="I160" s="2" t="s">
        <v>5145</v>
      </c>
      <c r="J160" s="522" t="s">
        <v>5146</v>
      </c>
      <c r="K160" s="522" t="s">
        <v>5147</v>
      </c>
      <c r="L160" s="522" t="s">
        <v>5148</v>
      </c>
      <c r="M160" s="522" t="s">
        <v>5149</v>
      </c>
    </row>
    <row r="161" spans="1:13" ht="57.6" x14ac:dyDescent="0.3">
      <c r="A161" s="2" t="s">
        <v>5150</v>
      </c>
      <c r="B161" s="521" t="str">
        <f t="shared" si="5"/>
        <v>Financial investment in the capital or assets of social economy entities referred to in the Council Recommendation of 29 September 2023 (excluding donations and contributions)</v>
      </c>
      <c r="C161" s="2" t="s">
        <v>5151</v>
      </c>
      <c r="D161" s="516" t="s">
        <v>5152</v>
      </c>
      <c r="E161" s="516" t="s">
        <v>5153</v>
      </c>
      <c r="F161" s="516" t="s">
        <v>5154</v>
      </c>
      <c r="G161" s="523" t="s">
        <v>5155</v>
      </c>
      <c r="H161" s="523" t="s">
        <v>5156</v>
      </c>
      <c r="I161" s="2" t="s">
        <v>5157</v>
      </c>
      <c r="J161" s="522" t="s">
        <v>5158</v>
      </c>
      <c r="K161" s="522" t="s">
        <v>5159</v>
      </c>
      <c r="L161" s="522" t="s">
        <v>5160</v>
      </c>
      <c r="M161" s="522" t="s">
        <v>5161</v>
      </c>
    </row>
    <row r="162" spans="1:13" ht="58.2" thickBot="1" x14ac:dyDescent="0.35">
      <c r="A162" s="528" t="s">
        <v>5162</v>
      </c>
      <c r="B162" s="525" t="str">
        <f t="shared" si="5"/>
        <v>Any limits to the distribution of profits connected to the mutualistic nature or to the nature of the activities consisting in services of general economic interest (SGEI)</v>
      </c>
      <c r="C162" s="528" t="s">
        <v>5163</v>
      </c>
      <c r="D162" s="524" t="s">
        <v>5164</v>
      </c>
      <c r="E162" s="524" t="s">
        <v>5165</v>
      </c>
      <c r="F162" s="524" t="s">
        <v>5166</v>
      </c>
      <c r="G162" s="527" t="s">
        <v>5167</v>
      </c>
      <c r="H162" s="527" t="s">
        <v>5168</v>
      </c>
      <c r="I162" s="528" t="s">
        <v>5169</v>
      </c>
      <c r="J162" s="526" t="s">
        <v>5170</v>
      </c>
      <c r="K162" s="526" t="s">
        <v>5171</v>
      </c>
      <c r="L162" s="526" t="s">
        <v>5172</v>
      </c>
      <c r="M162" s="526" t="s">
        <v>5173</v>
      </c>
    </row>
    <row r="163" spans="1:13" ht="43.2" x14ac:dyDescent="0.3">
      <c r="A163" s="2" t="s">
        <v>5174</v>
      </c>
      <c r="B163" s="521" t="str">
        <f t="shared" si="5"/>
        <v>C2 - Description of practices policies and future initiatives for transitioning towards a more sustainable economy</v>
      </c>
      <c r="C163" s="2" t="s">
        <v>5175</v>
      </c>
      <c r="D163" s="516" t="s">
        <v>5176</v>
      </c>
      <c r="E163" s="516" t="s">
        <v>4230</v>
      </c>
      <c r="F163" s="516" t="s">
        <v>4231</v>
      </c>
      <c r="G163" s="523" t="s">
        <v>5177</v>
      </c>
      <c r="H163" s="523" t="s">
        <v>5178</v>
      </c>
      <c r="I163" s="2" t="s">
        <v>4234</v>
      </c>
      <c r="J163" s="522" t="s">
        <v>5179</v>
      </c>
      <c r="K163" s="522" t="s">
        <v>4236</v>
      </c>
      <c r="L163" s="522" t="s">
        <v>5180</v>
      </c>
      <c r="M163" s="522" t="s">
        <v>4238</v>
      </c>
    </row>
    <row r="164" spans="1:13" ht="72" x14ac:dyDescent="0.3">
      <c r="A164" s="2" t="s">
        <v>5181</v>
      </c>
      <c r="B164" s="521" t="str">
        <f t="shared" si="5"/>
        <v>Description of a practice policy and or future initiative towards a more sustainable future (In case the practice  policy  future initiative covers suppliers or clients the undertaking shall mention it)</v>
      </c>
      <c r="C164" s="2" t="s">
        <v>5182</v>
      </c>
      <c r="D164" s="516" t="s">
        <v>5183</v>
      </c>
      <c r="E164" s="516" t="s">
        <v>5184</v>
      </c>
      <c r="F164" s="516" t="s">
        <v>5185</v>
      </c>
      <c r="G164" s="523" t="s">
        <v>5186</v>
      </c>
      <c r="H164" s="523" t="s">
        <v>5187</v>
      </c>
      <c r="I164" s="2" t="s">
        <v>5188</v>
      </c>
      <c r="J164" s="522" t="s">
        <v>5189</v>
      </c>
      <c r="K164" s="522" t="s">
        <v>5190</v>
      </c>
      <c r="L164" s="522" t="s">
        <v>5191</v>
      </c>
      <c r="M164" s="522" t="s">
        <v>5192</v>
      </c>
    </row>
    <row r="165" spans="1:13" ht="43.2" x14ac:dyDescent="0.3">
      <c r="A165" s="2" t="s">
        <v>5193</v>
      </c>
      <c r="B165" s="521" t="str">
        <f t="shared" si="5"/>
        <v>Description of target related to a policy</v>
      </c>
      <c r="C165" s="2" t="s">
        <v>5194</v>
      </c>
      <c r="D165" s="516" t="s">
        <v>5195</v>
      </c>
      <c r="E165" s="516" t="s">
        <v>5196</v>
      </c>
      <c r="F165" s="516" t="s">
        <v>5197</v>
      </c>
      <c r="G165" s="523" t="s">
        <v>5198</v>
      </c>
      <c r="H165" s="523" t="s">
        <v>5199</v>
      </c>
      <c r="I165" s="2" t="s">
        <v>5200</v>
      </c>
      <c r="J165" s="522" t="s">
        <v>5201</v>
      </c>
      <c r="K165" s="522" t="s">
        <v>5202</v>
      </c>
      <c r="L165" s="522" t="s">
        <v>5203</v>
      </c>
      <c r="M165" s="522" t="s">
        <v>5204</v>
      </c>
    </row>
    <row r="166" spans="1:13" ht="43.8" thickBot="1" x14ac:dyDescent="0.35">
      <c r="A166" s="528" t="s">
        <v>5205</v>
      </c>
      <c r="B166" s="525" t="str">
        <f t="shared" si="5"/>
        <v>Most senior level within its employees that is accountable for implementing the policies when this has been determined by the undertaking</v>
      </c>
      <c r="C166" s="528" t="s">
        <v>5206</v>
      </c>
      <c r="D166" s="524" t="s">
        <v>5207</v>
      </c>
      <c r="E166" s="524" t="s">
        <v>5208</v>
      </c>
      <c r="F166" s="524" t="s">
        <v>5209</v>
      </c>
      <c r="G166" s="527" t="s">
        <v>5210</v>
      </c>
      <c r="H166" s="527" t="s">
        <v>5211</v>
      </c>
      <c r="I166" s="528" t="s">
        <v>5212</v>
      </c>
      <c r="J166" s="526" t="s">
        <v>5213</v>
      </c>
      <c r="K166" s="526" t="s">
        <v>5214</v>
      </c>
      <c r="L166" s="526" t="s">
        <v>5215</v>
      </c>
      <c r="M166" s="526" t="s">
        <v>5216</v>
      </c>
    </row>
    <row r="167" spans="1:13" ht="57.6" x14ac:dyDescent="0.3">
      <c r="A167" s="2" t="s">
        <v>5217</v>
      </c>
      <c r="B167" s="521" t="str">
        <f t="shared" si="5"/>
        <v>C1 - Strategy: Business Model and Sustainability - Related Initiatives</v>
      </c>
      <c r="C167" s="2" t="s">
        <v>4216</v>
      </c>
      <c r="D167" s="516" t="s">
        <v>5218</v>
      </c>
      <c r="E167" s="516" t="s">
        <v>5219</v>
      </c>
      <c r="F167" s="516" t="s">
        <v>5220</v>
      </c>
      <c r="G167" s="523" t="s">
        <v>5221</v>
      </c>
      <c r="H167" s="523" t="s">
        <v>5222</v>
      </c>
      <c r="I167" s="2" t="s">
        <v>5223</v>
      </c>
      <c r="J167" s="522" t="s">
        <v>5224</v>
      </c>
      <c r="K167" s="522" t="s">
        <v>5225</v>
      </c>
      <c r="L167" s="522" t="s">
        <v>5226</v>
      </c>
      <c r="M167" s="522" t="s">
        <v>4226</v>
      </c>
    </row>
    <row r="168" spans="1:13" ht="28.8" x14ac:dyDescent="0.3">
      <c r="A168" s="2" t="s">
        <v>5227</v>
      </c>
      <c r="B168" s="521" t="str">
        <f t="shared" si="5"/>
        <v>Description of significant groups of products and or services offered</v>
      </c>
      <c r="C168" s="2" t="s">
        <v>5228</v>
      </c>
      <c r="D168" s="516" t="s">
        <v>5229</v>
      </c>
      <c r="E168" s="516" t="s">
        <v>5230</v>
      </c>
      <c r="F168" s="516" t="s">
        <v>5231</v>
      </c>
      <c r="G168" s="523" t="s">
        <v>5232</v>
      </c>
      <c r="H168" s="523" t="s">
        <v>5233</v>
      </c>
      <c r="I168" s="2" t="s">
        <v>5234</v>
      </c>
      <c r="J168" s="522" t="s">
        <v>5235</v>
      </c>
      <c r="K168" s="522" t="s">
        <v>5236</v>
      </c>
      <c r="L168" s="522" t="s">
        <v>5237</v>
      </c>
      <c r="M168" s="522" t="s">
        <v>5238</v>
      </c>
    </row>
    <row r="169" spans="1:13" ht="57.6" x14ac:dyDescent="0.3">
      <c r="A169" s="2" t="s">
        <v>5239</v>
      </c>
      <c r="B169" s="521" t="str">
        <f t="shared" si="5"/>
        <v>Description of significant market(s) the undertaking operates in (e.g. B2B, wholesale, retail, countries)</v>
      </c>
      <c r="C169" s="2" t="s">
        <v>5240</v>
      </c>
      <c r="D169" s="516" t="s">
        <v>5241</v>
      </c>
      <c r="E169" s="516" t="s">
        <v>5242</v>
      </c>
      <c r="F169" s="516" t="s">
        <v>5243</v>
      </c>
      <c r="G169" s="523" t="s">
        <v>5244</v>
      </c>
      <c r="H169" s="523" t="s">
        <v>5245</v>
      </c>
      <c r="I169" s="2" t="s">
        <v>5246</v>
      </c>
      <c r="J169" s="522" t="s">
        <v>5247</v>
      </c>
      <c r="K169" s="522" t="s">
        <v>5248</v>
      </c>
      <c r="L169" s="522" t="s">
        <v>5249</v>
      </c>
      <c r="M169" s="522" t="s">
        <v>5250</v>
      </c>
    </row>
    <row r="170" spans="1:13" ht="29.4" thickBot="1" x14ac:dyDescent="0.35">
      <c r="A170" s="528" t="s">
        <v>5251</v>
      </c>
      <c r="B170" s="525" t="str">
        <f t="shared" ref="B170:B233" si="7">INDEX(C170:M170,MATCH(template_selected_display_language,$C$3:$M$3,0))</f>
        <v>Description of main business relationships (such as key suppliers, customers, distribution channels)</v>
      </c>
      <c r="C170" s="528" t="s">
        <v>5252</v>
      </c>
      <c r="D170" s="524" t="s">
        <v>5253</v>
      </c>
      <c r="E170" s="524" t="s">
        <v>5254</v>
      </c>
      <c r="F170" s="524" t="s">
        <v>5255</v>
      </c>
      <c r="G170" s="527" t="s">
        <v>5256</v>
      </c>
      <c r="H170" s="527" t="s">
        <v>5257</v>
      </c>
      <c r="I170" s="528" t="s">
        <v>5258</v>
      </c>
      <c r="J170" s="526" t="s">
        <v>5259</v>
      </c>
      <c r="K170" s="526" t="s">
        <v>5260</v>
      </c>
      <c r="L170" s="526" t="s">
        <v>5261</v>
      </c>
      <c r="M170" s="526" t="s">
        <v>5262</v>
      </c>
    </row>
    <row r="171" spans="1:13" ht="43.2" x14ac:dyDescent="0.3">
      <c r="A171" s="2" t="s">
        <v>5263</v>
      </c>
      <c r="B171" s="521" t="str">
        <f t="shared" si="7"/>
        <v>Has the strategy key elements that relate to or affect sustainability issues?</v>
      </c>
      <c r="C171" s="2" t="s">
        <v>5264</v>
      </c>
      <c r="D171" s="516" t="s">
        <v>5265</v>
      </c>
      <c r="E171" s="516" t="s">
        <v>5266</v>
      </c>
      <c r="F171" s="516" t="s">
        <v>5267</v>
      </c>
      <c r="G171" s="523" t="s">
        <v>5268</v>
      </c>
      <c r="H171" s="523" t="s">
        <v>5269</v>
      </c>
      <c r="I171" s="2" t="s">
        <v>5270</v>
      </c>
      <c r="J171" s="522" t="s">
        <v>5271</v>
      </c>
      <c r="K171" s="522" t="s">
        <v>5272</v>
      </c>
      <c r="L171" s="522" t="s">
        <v>5273</v>
      </c>
      <c r="M171" s="522" t="s">
        <v>5274</v>
      </c>
    </row>
    <row r="172" spans="1:13" ht="43.2" x14ac:dyDescent="0.3">
      <c r="A172" s="2" t="s">
        <v>5275</v>
      </c>
      <c r="B172" s="521" t="str">
        <f t="shared" si="7"/>
        <v>Description of those key elements in the strategy that relate or affect sustainability issues</v>
      </c>
      <c r="C172" s="2" t="s">
        <v>5276</v>
      </c>
      <c r="D172" s="516" t="s">
        <v>5277</v>
      </c>
      <c r="E172" s="516" t="s">
        <v>5278</v>
      </c>
      <c r="F172" s="516" t="s">
        <v>5279</v>
      </c>
      <c r="G172" s="523" t="s">
        <v>5280</v>
      </c>
      <c r="H172" s="523" t="s">
        <v>5281</v>
      </c>
      <c r="I172" s="2" t="s">
        <v>5282</v>
      </c>
      <c r="J172" s="522" t="s">
        <v>5283</v>
      </c>
      <c r="K172" s="522" t="s">
        <v>5284</v>
      </c>
      <c r="L172" s="522" t="s">
        <v>5285</v>
      </c>
      <c r="M172" s="522" t="s">
        <v>5286</v>
      </c>
    </row>
    <row r="173" spans="1:13" ht="29.4" thickBot="1" x14ac:dyDescent="0.35">
      <c r="A173" s="528" t="s">
        <v>5287</v>
      </c>
      <c r="B173" s="525" t="str">
        <f t="shared" si="7"/>
        <v>Disclosure of any other general and/or entity specific information on the reporting period</v>
      </c>
      <c r="C173" s="2" t="s">
        <v>5288</v>
      </c>
      <c r="D173" s="2" t="s">
        <v>8795</v>
      </c>
      <c r="E173" s="2" t="s">
        <v>8796</v>
      </c>
      <c r="F173" s="2" t="s">
        <v>8797</v>
      </c>
      <c r="G173" s="2" t="s">
        <v>8798</v>
      </c>
      <c r="H173" s="2" t="s">
        <v>8799</v>
      </c>
      <c r="I173" s="2" t="s">
        <v>8800</v>
      </c>
      <c r="J173" s="2" t="s">
        <v>8801</v>
      </c>
      <c r="K173" s="2" t="s">
        <v>8802</v>
      </c>
      <c r="L173" s="2" t="s">
        <v>8803</v>
      </c>
      <c r="M173" s="2" t="s">
        <v>8804</v>
      </c>
    </row>
    <row r="174" spans="1:13" x14ac:dyDescent="0.3">
      <c r="A174" s="2" t="s">
        <v>5289</v>
      </c>
      <c r="B174" s="521" t="str">
        <f t="shared" si="7"/>
        <v>B3 - Total Energy Consumption (in MWh)</v>
      </c>
      <c r="C174" s="2" t="s">
        <v>5290</v>
      </c>
      <c r="D174" s="516" t="s">
        <v>5291</v>
      </c>
      <c r="E174" s="516" t="s">
        <v>5292</v>
      </c>
      <c r="F174" s="516" t="s">
        <v>5293</v>
      </c>
      <c r="G174" s="523" t="s">
        <v>5294</v>
      </c>
      <c r="H174" s="523" t="s">
        <v>5295</v>
      </c>
      <c r="I174" s="2" t="s">
        <v>5296</v>
      </c>
      <c r="J174" s="522" t="s">
        <v>5297</v>
      </c>
      <c r="K174" s="522" t="s">
        <v>5298</v>
      </c>
      <c r="L174" s="522" t="s">
        <v>5299</v>
      </c>
      <c r="M174" s="522" t="s">
        <v>5300</v>
      </c>
    </row>
    <row r="175" spans="1:13" ht="29.4" thickBot="1" x14ac:dyDescent="0.35">
      <c r="A175" s="528" t="s">
        <v>5301</v>
      </c>
      <c r="B175" s="525" t="str">
        <f t="shared" si="7"/>
        <v>Total Energy Consumption</v>
      </c>
      <c r="C175" s="528" t="s">
        <v>5302</v>
      </c>
      <c r="D175" s="524" t="s">
        <v>5303</v>
      </c>
      <c r="E175" s="524" t="s">
        <v>5304</v>
      </c>
      <c r="F175" s="524" t="s">
        <v>5305</v>
      </c>
      <c r="G175" s="527" t="s">
        <v>5306</v>
      </c>
      <c r="H175" s="527" t="s">
        <v>5307</v>
      </c>
      <c r="I175" s="528" t="s">
        <v>5308</v>
      </c>
      <c r="J175" s="526" t="s">
        <v>5309</v>
      </c>
      <c r="K175" s="526" t="s">
        <v>5310</v>
      </c>
      <c r="L175" s="526" t="s">
        <v>5311</v>
      </c>
      <c r="M175" s="526" t="s">
        <v>5312</v>
      </c>
    </row>
    <row r="176" spans="1:13" x14ac:dyDescent="0.3">
      <c r="A176" s="2" t="s">
        <v>5313</v>
      </c>
      <c r="B176" s="521" t="str">
        <f t="shared" si="7"/>
        <v>B3 - Breakdown of energy consumption (in MWh)</v>
      </c>
      <c r="C176" s="2" t="s">
        <v>5314</v>
      </c>
      <c r="D176" s="516" t="s">
        <v>5315</v>
      </c>
      <c r="E176" s="516" t="s">
        <v>5316</v>
      </c>
      <c r="F176" s="516" t="s">
        <v>5317</v>
      </c>
      <c r="G176" s="523" t="s">
        <v>5318</v>
      </c>
      <c r="H176" s="523" t="s">
        <v>5319</v>
      </c>
      <c r="I176" s="2" t="s">
        <v>5320</v>
      </c>
      <c r="J176" s="522" t="s">
        <v>5321</v>
      </c>
      <c r="K176" s="522" t="s">
        <v>5322</v>
      </c>
      <c r="L176" s="522" t="s">
        <v>5323</v>
      </c>
      <c r="M176" s="522" t="s">
        <v>5324</v>
      </c>
    </row>
    <row r="177" spans="1:13" ht="43.2" x14ac:dyDescent="0.3">
      <c r="A177" s="2" t="s">
        <v>5325</v>
      </c>
      <c r="B177" s="521" t="str">
        <f t="shared" si="7"/>
        <v>Has the undertaking obtained the necessary information to provide an energy consumption breakdown?</v>
      </c>
      <c r="C177" s="2" t="s">
        <v>5326</v>
      </c>
      <c r="D177" s="516" t="s">
        <v>5327</v>
      </c>
      <c r="E177" s="516" t="s">
        <v>5328</v>
      </c>
      <c r="F177" s="516" t="s">
        <v>5329</v>
      </c>
      <c r="G177" s="523" t="s">
        <v>5330</v>
      </c>
      <c r="H177" s="523" t="s">
        <v>5331</v>
      </c>
      <c r="I177" s="2" t="s">
        <v>5332</v>
      </c>
      <c r="J177" s="522" t="s">
        <v>5333</v>
      </c>
      <c r="K177" s="522" t="s">
        <v>5334</v>
      </c>
      <c r="L177" s="522" t="s">
        <v>5335</v>
      </c>
      <c r="M177" s="522" t="s">
        <v>5336</v>
      </c>
    </row>
    <row r="178" spans="1:13" x14ac:dyDescent="0.3">
      <c r="A178" s="2" t="s">
        <v>5337</v>
      </c>
      <c r="B178" s="521" t="str">
        <f t="shared" si="7"/>
        <v>Renewable</v>
      </c>
      <c r="C178" s="2" t="s">
        <v>183</v>
      </c>
      <c r="D178" s="516" t="s">
        <v>5338</v>
      </c>
      <c r="E178" s="516" t="s">
        <v>5339</v>
      </c>
      <c r="F178" s="516" t="s">
        <v>5340</v>
      </c>
      <c r="G178" s="523" t="s">
        <v>5341</v>
      </c>
      <c r="H178" s="523" t="s">
        <v>5342</v>
      </c>
      <c r="I178" s="2" t="s">
        <v>5343</v>
      </c>
      <c r="J178" s="522" t="s">
        <v>5344</v>
      </c>
      <c r="K178" s="522" t="s">
        <v>5345</v>
      </c>
      <c r="L178" s="522" t="s">
        <v>5346</v>
      </c>
      <c r="M178" s="522" t="s">
        <v>5347</v>
      </c>
    </row>
    <row r="179" spans="1:13" x14ac:dyDescent="0.3">
      <c r="A179" s="2" t="s">
        <v>5348</v>
      </c>
      <c r="B179" s="521" t="str">
        <f t="shared" si="7"/>
        <v>Non-renewable</v>
      </c>
      <c r="C179" s="2" t="s">
        <v>179</v>
      </c>
      <c r="D179" s="516" t="s">
        <v>5349</v>
      </c>
      <c r="E179" s="516" t="s">
        <v>5350</v>
      </c>
      <c r="F179" s="516" t="s">
        <v>5351</v>
      </c>
      <c r="G179" s="523" t="s">
        <v>5352</v>
      </c>
      <c r="H179" s="523" t="s">
        <v>5353</v>
      </c>
      <c r="I179" s="2" t="s">
        <v>5354</v>
      </c>
      <c r="J179" s="522" t="s">
        <v>5355</v>
      </c>
      <c r="K179" s="522" t="s">
        <v>5356</v>
      </c>
      <c r="L179" s="522" t="s">
        <v>5357</v>
      </c>
      <c r="M179" s="522" t="s">
        <v>5358</v>
      </c>
    </row>
    <row r="180" spans="1:13" ht="28.8" x14ac:dyDescent="0.3">
      <c r="A180" s="2" t="s">
        <v>5359</v>
      </c>
      <c r="B180" s="521" t="str">
        <f t="shared" si="7"/>
        <v>Total renewable and non-renewable</v>
      </c>
      <c r="C180" s="2" t="s">
        <v>5360</v>
      </c>
      <c r="D180" s="516" t="s">
        <v>5361</v>
      </c>
      <c r="E180" s="516" t="s">
        <v>5362</v>
      </c>
      <c r="F180" s="516" t="s">
        <v>5363</v>
      </c>
      <c r="G180" s="523" t="s">
        <v>5364</v>
      </c>
      <c r="H180" s="523" t="s">
        <v>5365</v>
      </c>
      <c r="I180" s="2" t="s">
        <v>5366</v>
      </c>
      <c r="J180" s="522" t="s">
        <v>5367</v>
      </c>
      <c r="K180" s="522" t="s">
        <v>5368</v>
      </c>
      <c r="L180" s="522" t="s">
        <v>5369</v>
      </c>
      <c r="M180" s="522" t="s">
        <v>5370</v>
      </c>
    </row>
    <row r="181" spans="1:13" ht="28.8" x14ac:dyDescent="0.3">
      <c r="A181" s="2" t="s">
        <v>5371</v>
      </c>
      <c r="B181" s="521" t="str">
        <f t="shared" si="7"/>
        <v>Electricity (as reflected in utility billings)</v>
      </c>
      <c r="C181" s="2" t="s">
        <v>5372</v>
      </c>
      <c r="D181" s="516" t="s">
        <v>5373</v>
      </c>
      <c r="E181" s="516" t="s">
        <v>5374</v>
      </c>
      <c r="F181" s="529" t="s">
        <v>5375</v>
      </c>
      <c r="G181" s="523" t="s">
        <v>5376</v>
      </c>
      <c r="H181" s="523" t="s">
        <v>5377</v>
      </c>
      <c r="I181" s="2" t="s">
        <v>5378</v>
      </c>
      <c r="J181" s="522" t="s">
        <v>5379</v>
      </c>
      <c r="K181" s="522" t="s">
        <v>5380</v>
      </c>
      <c r="L181" s="522" t="s">
        <v>5381</v>
      </c>
      <c r="M181" s="522" t="s">
        <v>5382</v>
      </c>
    </row>
    <row r="182" spans="1:13" x14ac:dyDescent="0.3">
      <c r="A182" s="2" t="s">
        <v>5383</v>
      </c>
      <c r="B182" s="521" t="str">
        <f t="shared" si="7"/>
        <v>Self-generated electricity</v>
      </c>
      <c r="C182" s="2" t="s">
        <v>5384</v>
      </c>
      <c r="D182" s="516" t="s">
        <v>5385</v>
      </c>
      <c r="E182" s="516" t="s">
        <v>5386</v>
      </c>
      <c r="F182" s="516" t="s">
        <v>5387</v>
      </c>
      <c r="G182" s="523" t="s">
        <v>5388</v>
      </c>
      <c r="H182" s="523" t="s">
        <v>5389</v>
      </c>
      <c r="I182" s="2" t="s">
        <v>5390</v>
      </c>
      <c r="J182" s="522" t="s">
        <v>5391</v>
      </c>
      <c r="K182" s="522" t="s">
        <v>5392</v>
      </c>
      <c r="L182" s="522" t="s">
        <v>5393</v>
      </c>
      <c r="M182" s="522" t="s">
        <v>5394</v>
      </c>
    </row>
    <row r="183" spans="1:13" ht="29.4" thickBot="1" x14ac:dyDescent="0.35">
      <c r="A183" s="528" t="s">
        <v>5395</v>
      </c>
      <c r="B183" s="525" t="str">
        <f t="shared" si="7"/>
        <v>Fuels (see Fuel Converter on Fuels worksheet)</v>
      </c>
      <c r="C183" s="528" t="s">
        <v>5396</v>
      </c>
      <c r="D183" s="524" t="s">
        <v>5397</v>
      </c>
      <c r="E183" s="524" t="s">
        <v>5398</v>
      </c>
      <c r="F183" s="524" t="s">
        <v>5399</v>
      </c>
      <c r="G183" s="527" t="s">
        <v>5400</v>
      </c>
      <c r="H183" s="527" t="s">
        <v>5401</v>
      </c>
      <c r="I183" s="528" t="s">
        <v>5402</v>
      </c>
      <c r="J183" s="526" t="s">
        <v>5403</v>
      </c>
      <c r="K183" s="526" t="s">
        <v>5404</v>
      </c>
      <c r="L183" s="526" t="s">
        <v>5405</v>
      </c>
      <c r="M183" s="526" t="s">
        <v>5406</v>
      </c>
    </row>
    <row r="184" spans="1:13" ht="57.6" x14ac:dyDescent="0.3">
      <c r="A184" s="2" t="s">
        <v>5407</v>
      </c>
      <c r="B184" s="521" t="str">
        <f t="shared" si="7"/>
        <v>B3 - Estimated Greenhouse Gas Emissions considering the GHG Protocol Version 2004 (in tCO2e)</v>
      </c>
      <c r="C184" s="2" t="s">
        <v>5408</v>
      </c>
      <c r="D184" s="516" t="s">
        <v>5409</v>
      </c>
      <c r="E184" s="516" t="s">
        <v>5410</v>
      </c>
      <c r="F184" s="516" t="s">
        <v>5411</v>
      </c>
      <c r="G184" s="523" t="s">
        <v>5412</v>
      </c>
      <c r="H184" s="523" t="s">
        <v>5413</v>
      </c>
      <c r="I184" s="2" t="s">
        <v>5414</v>
      </c>
      <c r="J184" s="522" t="s">
        <v>5415</v>
      </c>
      <c r="K184" s="522" t="s">
        <v>5416</v>
      </c>
      <c r="L184" s="522" t="s">
        <v>5417</v>
      </c>
      <c r="M184" s="522" t="s">
        <v>5418</v>
      </c>
    </row>
    <row r="185" spans="1:13" ht="28.8" x14ac:dyDescent="0.3">
      <c r="A185" s="2" t="s">
        <v>5419</v>
      </c>
      <c r="B185" s="521" t="str">
        <f t="shared" si="7"/>
        <v>C3 - GHG reduction targets (in tC02e)</v>
      </c>
      <c r="C185" s="2" t="s">
        <v>5420</v>
      </c>
      <c r="D185" s="516" t="s">
        <v>5421</v>
      </c>
      <c r="E185" s="516" t="s">
        <v>5422</v>
      </c>
      <c r="F185" s="516" t="s">
        <v>5423</v>
      </c>
      <c r="G185" s="523" t="s">
        <v>5424</v>
      </c>
      <c r="H185" s="523" t="s">
        <v>5425</v>
      </c>
      <c r="I185" s="2" t="s">
        <v>5426</v>
      </c>
      <c r="J185" s="522" t="s">
        <v>5427</v>
      </c>
      <c r="K185" s="522" t="s">
        <v>5428</v>
      </c>
      <c r="L185" s="522" t="s">
        <v>5429</v>
      </c>
      <c r="M185" s="522" t="s">
        <v>5430</v>
      </c>
    </row>
    <row r="186" spans="1:13" ht="28.8" x14ac:dyDescent="0.3">
      <c r="A186" s="2" t="s">
        <v>5431</v>
      </c>
      <c r="B186" s="521" t="str">
        <f t="shared" si="7"/>
        <v>Has  the undertaking has established GHG emission reduction targets?</v>
      </c>
      <c r="C186" s="2" t="s">
        <v>5432</v>
      </c>
      <c r="D186" s="516" t="s">
        <v>5433</v>
      </c>
      <c r="E186" s="516" t="s">
        <v>5434</v>
      </c>
      <c r="F186" s="516" t="s">
        <v>5435</v>
      </c>
      <c r="G186" s="523" t="s">
        <v>5436</v>
      </c>
      <c r="H186" s="523" t="s">
        <v>5437</v>
      </c>
      <c r="I186" s="2" t="s">
        <v>5438</v>
      </c>
      <c r="J186" s="522" t="s">
        <v>5439</v>
      </c>
      <c r="K186" s="522" t="s">
        <v>5440</v>
      </c>
      <c r="L186" s="522" t="s">
        <v>5441</v>
      </c>
      <c r="M186" s="522" t="s">
        <v>5442</v>
      </c>
    </row>
    <row r="187" spans="1:13" x14ac:dyDescent="0.3">
      <c r="A187" s="2" t="s">
        <v>5443</v>
      </c>
      <c r="B187" s="521" t="str">
        <f t="shared" si="7"/>
        <v>Current Reporting Period</v>
      </c>
      <c r="C187" s="2" t="s">
        <v>5444</v>
      </c>
      <c r="D187" s="516" t="s">
        <v>5445</v>
      </c>
      <c r="E187" s="516" t="s">
        <v>5446</v>
      </c>
      <c r="F187" s="516" t="s">
        <v>5447</v>
      </c>
      <c r="G187" s="523" t="s">
        <v>5448</v>
      </c>
      <c r="H187" s="523" t="s">
        <v>5449</v>
      </c>
      <c r="I187" s="2" t="s">
        <v>5450</v>
      </c>
      <c r="J187" s="522" t="s">
        <v>5451</v>
      </c>
      <c r="K187" s="522" t="s">
        <v>5452</v>
      </c>
      <c r="L187" s="522" t="s">
        <v>5453</v>
      </c>
      <c r="M187" s="522" t="s">
        <v>5454</v>
      </c>
    </row>
    <row r="188" spans="1:13" x14ac:dyDescent="0.3">
      <c r="A188" s="2" t="s">
        <v>5455</v>
      </c>
      <c r="B188" s="521" t="str">
        <f t="shared" si="7"/>
        <v>Base Year</v>
      </c>
      <c r="C188" s="2" t="s">
        <v>5456</v>
      </c>
      <c r="D188" s="516" t="s">
        <v>5457</v>
      </c>
      <c r="E188" s="516" t="s">
        <v>5458</v>
      </c>
      <c r="F188" s="516" t="s">
        <v>5459</v>
      </c>
      <c r="G188" s="523" t="s">
        <v>5460</v>
      </c>
      <c r="H188" s="523" t="s">
        <v>5461</v>
      </c>
      <c r="I188" s="2" t="s">
        <v>5462</v>
      </c>
      <c r="J188" s="522" t="s">
        <v>5463</v>
      </c>
      <c r="K188" s="522" t="s">
        <v>5464</v>
      </c>
      <c r="L188" s="522" t="s">
        <v>5465</v>
      </c>
      <c r="M188" s="522" t="s">
        <v>5466</v>
      </c>
    </row>
    <row r="189" spans="1:13" x14ac:dyDescent="0.3">
      <c r="A189" s="2" t="s">
        <v>5467</v>
      </c>
      <c r="B189" s="521" t="str">
        <f t="shared" si="7"/>
        <v>Target Year</v>
      </c>
      <c r="C189" s="2" t="s">
        <v>5468</v>
      </c>
      <c r="D189" s="516" t="s">
        <v>5469</v>
      </c>
      <c r="E189" s="516" t="s">
        <v>5470</v>
      </c>
      <c r="F189" s="516" t="s">
        <v>5471</v>
      </c>
      <c r="G189" s="523" t="s">
        <v>5472</v>
      </c>
      <c r="H189" s="523" t="s">
        <v>5473</v>
      </c>
      <c r="I189" s="2" t="s">
        <v>5474</v>
      </c>
      <c r="J189" s="522" t="s">
        <v>5475</v>
      </c>
      <c r="K189" s="522" t="s">
        <v>5476</v>
      </c>
      <c r="L189" s="522" t="s">
        <v>5477</v>
      </c>
      <c r="M189" s="522" t="s">
        <v>5478</v>
      </c>
    </row>
    <row r="190" spans="1:13" x14ac:dyDescent="0.3">
      <c r="A190" s="2" t="s">
        <v>5479</v>
      </c>
      <c r="B190" s="521" t="str">
        <f t="shared" si="7"/>
        <v>Percentage reduction from base year</v>
      </c>
      <c r="C190" s="2" t="s">
        <v>5480</v>
      </c>
      <c r="D190" s="516" t="s">
        <v>5481</v>
      </c>
      <c r="E190" s="516" t="s">
        <v>5482</v>
      </c>
      <c r="F190" s="516" t="s">
        <v>5483</v>
      </c>
      <c r="G190" s="523" t="s">
        <v>5484</v>
      </c>
      <c r="H190" s="523" t="s">
        <v>5485</v>
      </c>
      <c r="I190" s="2" t="s">
        <v>5486</v>
      </c>
      <c r="J190" s="522" t="s">
        <v>5487</v>
      </c>
      <c r="K190" s="522" t="s">
        <v>5488</v>
      </c>
      <c r="L190" s="522" t="s">
        <v>5489</v>
      </c>
      <c r="M190" s="522" t="s">
        <v>5490</v>
      </c>
    </row>
    <row r="191" spans="1:13" x14ac:dyDescent="0.3">
      <c r="A191" s="2" t="s">
        <v>5491</v>
      </c>
      <c r="B191" s="521" t="str">
        <f t="shared" si="7"/>
        <v>Year (date)</v>
      </c>
      <c r="C191" s="2" t="s">
        <v>5492</v>
      </c>
      <c r="D191" s="516" t="s">
        <v>5493</v>
      </c>
      <c r="E191" s="516" t="s">
        <v>5494</v>
      </c>
      <c r="F191" s="516" t="s">
        <v>5495</v>
      </c>
      <c r="G191" s="523" t="s">
        <v>5496</v>
      </c>
      <c r="H191" s="523" t="s">
        <v>5497</v>
      </c>
      <c r="I191" s="2" t="s">
        <v>5498</v>
      </c>
      <c r="J191" s="522" t="s">
        <v>5499</v>
      </c>
      <c r="K191" s="522" t="s">
        <v>5500</v>
      </c>
      <c r="L191" s="522" t="s">
        <v>5501</v>
      </c>
      <c r="M191" s="522" t="s">
        <v>5502</v>
      </c>
    </row>
    <row r="192" spans="1:13" ht="28.8" x14ac:dyDescent="0.3">
      <c r="A192" s="2" t="s">
        <v>5503</v>
      </c>
      <c r="B192" s="521" t="str">
        <f t="shared" si="7"/>
        <v>Gross Scope 1 GHG Emissions</v>
      </c>
      <c r="C192" s="2" t="s">
        <v>5504</v>
      </c>
      <c r="D192" s="516" t="s">
        <v>5505</v>
      </c>
      <c r="E192" s="516" t="s">
        <v>5506</v>
      </c>
      <c r="F192" s="516" t="s">
        <v>5507</v>
      </c>
      <c r="G192" s="523" t="s">
        <v>5508</v>
      </c>
      <c r="H192" s="523" t="s">
        <v>5509</v>
      </c>
      <c r="I192" s="2" t="s">
        <v>5510</v>
      </c>
      <c r="J192" s="522" t="s">
        <v>5511</v>
      </c>
      <c r="K192" s="522" t="s">
        <v>5512</v>
      </c>
      <c r="L192" s="522" t="s">
        <v>5513</v>
      </c>
      <c r="M192" s="522" t="s">
        <v>5514</v>
      </c>
    </row>
    <row r="193" spans="1:13" ht="28.8" x14ac:dyDescent="0.3">
      <c r="A193" s="2" t="s">
        <v>5515</v>
      </c>
      <c r="B193" s="521" t="str">
        <f t="shared" si="7"/>
        <v>Gross Scope 2 location-based GHG Emissions</v>
      </c>
      <c r="C193" s="2" t="s">
        <v>5516</v>
      </c>
      <c r="D193" s="516" t="s">
        <v>5517</v>
      </c>
      <c r="E193" s="516" t="s">
        <v>5518</v>
      </c>
      <c r="F193" s="516" t="s">
        <v>5519</v>
      </c>
      <c r="G193" s="523" t="s">
        <v>5520</v>
      </c>
      <c r="H193" s="523" t="s">
        <v>5521</v>
      </c>
      <c r="I193" s="2" t="s">
        <v>5522</v>
      </c>
      <c r="J193" s="522" t="s">
        <v>5523</v>
      </c>
      <c r="K193" s="522" t="s">
        <v>5524</v>
      </c>
      <c r="L193" s="522" t="s">
        <v>5525</v>
      </c>
      <c r="M193" s="522" t="s">
        <v>5526</v>
      </c>
    </row>
    <row r="194" spans="1:13" ht="28.8" x14ac:dyDescent="0.3">
      <c r="A194" s="2" t="s">
        <v>5527</v>
      </c>
      <c r="B194" s="521" t="str">
        <f t="shared" si="7"/>
        <v>Gross scope 2 market-based GHG Emissions</v>
      </c>
      <c r="C194" s="2" t="s">
        <v>5528</v>
      </c>
      <c r="D194" s="516" t="s">
        <v>5529</v>
      </c>
      <c r="E194" s="516" t="s">
        <v>5530</v>
      </c>
      <c r="F194" s="516" t="s">
        <v>5531</v>
      </c>
      <c r="G194" s="523" t="s">
        <v>5532</v>
      </c>
      <c r="H194" s="523" t="s">
        <v>5533</v>
      </c>
      <c r="I194" s="2" t="s">
        <v>5534</v>
      </c>
      <c r="J194" s="522" t="s">
        <v>5535</v>
      </c>
      <c r="K194" s="522" t="s">
        <v>5536</v>
      </c>
      <c r="L194" s="522" t="s">
        <v>5537</v>
      </c>
      <c r="M194" s="522" t="s">
        <v>5538</v>
      </c>
    </row>
    <row r="195" spans="1:13" ht="28.8" x14ac:dyDescent="0.3">
      <c r="A195" s="2" t="s">
        <v>5539</v>
      </c>
      <c r="B195" s="521" t="str">
        <f t="shared" si="7"/>
        <v>Total Scope 1 and Scope 2 GHG Emissions (location-based)</v>
      </c>
      <c r="C195" s="2" t="s">
        <v>5540</v>
      </c>
      <c r="D195" s="516" t="s">
        <v>5541</v>
      </c>
      <c r="E195" s="516" t="s">
        <v>5542</v>
      </c>
      <c r="F195" s="516" t="s">
        <v>5543</v>
      </c>
      <c r="G195" s="523" t="s">
        <v>5544</v>
      </c>
      <c r="H195" s="523" t="s">
        <v>5545</v>
      </c>
      <c r="I195" s="2" t="s">
        <v>5546</v>
      </c>
      <c r="J195" s="522" t="s">
        <v>5547</v>
      </c>
      <c r="K195" s="522" t="s">
        <v>5548</v>
      </c>
      <c r="L195" s="522" t="s">
        <v>5549</v>
      </c>
      <c r="M195" s="522" t="s">
        <v>5550</v>
      </c>
    </row>
    <row r="196" spans="1:13" ht="28.8" x14ac:dyDescent="0.3">
      <c r="A196" s="2" t="s">
        <v>5551</v>
      </c>
      <c r="B196" s="521" t="str">
        <f t="shared" si="7"/>
        <v>Total Scope 1 and Scope 2 GHG emissions  (market-based)</v>
      </c>
      <c r="C196" s="2" t="s">
        <v>5552</v>
      </c>
      <c r="D196" s="516" t="s">
        <v>5553</v>
      </c>
      <c r="E196" s="516" t="s">
        <v>5554</v>
      </c>
      <c r="F196" s="516" t="s">
        <v>5555</v>
      </c>
      <c r="G196" s="523" t="s">
        <v>5556</v>
      </c>
      <c r="H196" s="523" t="s">
        <v>5557</v>
      </c>
      <c r="I196" s="2" t="s">
        <v>5558</v>
      </c>
      <c r="J196" s="522" t="s">
        <v>5547</v>
      </c>
      <c r="K196" s="522" t="s">
        <v>5559</v>
      </c>
      <c r="L196" s="522" t="s">
        <v>5560</v>
      </c>
      <c r="M196" s="522" t="s">
        <v>5561</v>
      </c>
    </row>
    <row r="197" spans="1:13" ht="28.8" x14ac:dyDescent="0.3">
      <c r="A197" s="2" t="s">
        <v>5562</v>
      </c>
      <c r="B197" s="521" t="str">
        <f t="shared" si="7"/>
        <v>Is the undertaking disclosing entity-specific information on Scope 3 emissions (in tCO2e)?</v>
      </c>
      <c r="C197" s="2" t="s">
        <v>5563</v>
      </c>
      <c r="D197" s="516" t="s">
        <v>5564</v>
      </c>
      <c r="E197" s="516" t="s">
        <v>5565</v>
      </c>
      <c r="F197" s="516" t="s">
        <v>5566</v>
      </c>
      <c r="G197" s="523" t="s">
        <v>5567</v>
      </c>
      <c r="H197" s="523" t="s">
        <v>5568</v>
      </c>
      <c r="I197" s="2" t="s">
        <v>5569</v>
      </c>
      <c r="J197" s="522" t="s">
        <v>5570</v>
      </c>
      <c r="K197" s="522" t="s">
        <v>5571</v>
      </c>
      <c r="L197" s="522" t="s">
        <v>5572</v>
      </c>
      <c r="M197" s="522" t="s">
        <v>5573</v>
      </c>
    </row>
    <row r="198" spans="1:13" ht="28.8" x14ac:dyDescent="0.3">
      <c r="A198" s="2" t="s">
        <v>5574</v>
      </c>
      <c r="B198" s="521" t="str">
        <f t="shared" si="7"/>
        <v>1. Purchased Goods and Services</v>
      </c>
      <c r="C198" s="2" t="s">
        <v>5575</v>
      </c>
      <c r="D198" s="516" t="s">
        <v>5576</v>
      </c>
      <c r="E198" s="516" t="s">
        <v>5577</v>
      </c>
      <c r="F198" s="516" t="s">
        <v>5578</v>
      </c>
      <c r="G198" s="523" t="s">
        <v>5579</v>
      </c>
      <c r="H198" s="523" t="s">
        <v>5580</v>
      </c>
      <c r="I198" s="2" t="s">
        <v>5581</v>
      </c>
      <c r="J198" s="522" t="s">
        <v>5582</v>
      </c>
      <c r="K198" s="522" t="s">
        <v>5583</v>
      </c>
      <c r="L198" s="522" t="s">
        <v>5584</v>
      </c>
      <c r="M198" s="522" t="s">
        <v>5585</v>
      </c>
    </row>
    <row r="199" spans="1:13" x14ac:dyDescent="0.3">
      <c r="A199" s="2" t="s">
        <v>5586</v>
      </c>
      <c r="B199" s="521" t="str">
        <f t="shared" si="7"/>
        <v>2. Capital Goods</v>
      </c>
      <c r="C199" s="2" t="s">
        <v>5587</v>
      </c>
      <c r="D199" s="516" t="s">
        <v>5588</v>
      </c>
      <c r="E199" s="516" t="s">
        <v>5589</v>
      </c>
      <c r="F199" s="516" t="s">
        <v>5590</v>
      </c>
      <c r="G199" s="523" t="s">
        <v>5591</v>
      </c>
      <c r="H199" s="523" t="s">
        <v>5592</v>
      </c>
      <c r="I199" s="2" t="s">
        <v>5593</v>
      </c>
      <c r="J199" s="522" t="s">
        <v>5594</v>
      </c>
      <c r="K199" s="522" t="s">
        <v>5595</v>
      </c>
      <c r="L199" s="522" t="s">
        <v>5596</v>
      </c>
      <c r="M199" s="522" t="s">
        <v>5597</v>
      </c>
    </row>
    <row r="200" spans="1:13" ht="43.2" x14ac:dyDescent="0.3">
      <c r="A200" s="2" t="s">
        <v>5598</v>
      </c>
      <c r="B200" s="521" t="str">
        <f t="shared" si="7"/>
        <v>3. Fuel- and Energy-Related Activities (Not Included in Scope 1 or Scope 2)</v>
      </c>
      <c r="C200" s="2" t="s">
        <v>5599</v>
      </c>
      <c r="D200" s="516" t="s">
        <v>5600</v>
      </c>
      <c r="E200" s="516" t="s">
        <v>5601</v>
      </c>
      <c r="F200" s="516" t="s">
        <v>5602</v>
      </c>
      <c r="G200" s="523" t="s">
        <v>5603</v>
      </c>
      <c r="H200" s="523" t="s">
        <v>5604</v>
      </c>
      <c r="I200" s="2" t="s">
        <v>5605</v>
      </c>
      <c r="J200" s="522" t="s">
        <v>5606</v>
      </c>
      <c r="K200" s="522" t="s">
        <v>5607</v>
      </c>
      <c r="L200" s="522" t="s">
        <v>5608</v>
      </c>
      <c r="M200" s="522" t="s">
        <v>5609</v>
      </c>
    </row>
    <row r="201" spans="1:13" ht="28.8" x14ac:dyDescent="0.3">
      <c r="A201" s="2" t="s">
        <v>5610</v>
      </c>
      <c r="B201" s="521" t="str">
        <f t="shared" si="7"/>
        <v>4. Upstream Transportation and Distribution</v>
      </c>
      <c r="C201" s="2" t="s">
        <v>5611</v>
      </c>
      <c r="D201" s="516" t="s">
        <v>5612</v>
      </c>
      <c r="E201" s="516" t="s">
        <v>5613</v>
      </c>
      <c r="F201" s="516" t="s">
        <v>5614</v>
      </c>
      <c r="G201" s="523" t="s">
        <v>5615</v>
      </c>
      <c r="H201" s="523" t="s">
        <v>5616</v>
      </c>
      <c r="I201" s="2" t="s">
        <v>5617</v>
      </c>
      <c r="J201" s="522" t="s">
        <v>5618</v>
      </c>
      <c r="K201" s="522" t="s">
        <v>5619</v>
      </c>
      <c r="L201" s="522" t="s">
        <v>5620</v>
      </c>
      <c r="M201" s="522" t="s">
        <v>5621</v>
      </c>
    </row>
    <row r="202" spans="1:13" x14ac:dyDescent="0.3">
      <c r="A202" s="2" t="s">
        <v>5622</v>
      </c>
      <c r="B202" s="521" t="str">
        <f t="shared" si="7"/>
        <v>5. Waste Generated in Operations</v>
      </c>
      <c r="C202" s="2" t="s">
        <v>5623</v>
      </c>
      <c r="D202" s="516" t="s">
        <v>5624</v>
      </c>
      <c r="E202" s="516" t="s">
        <v>5625</v>
      </c>
      <c r="F202" s="516" t="s">
        <v>5626</v>
      </c>
      <c r="G202" s="523" t="s">
        <v>5627</v>
      </c>
      <c r="H202" s="523" t="s">
        <v>5628</v>
      </c>
      <c r="I202" s="2" t="s">
        <v>5629</v>
      </c>
      <c r="J202" s="522" t="s">
        <v>5630</v>
      </c>
      <c r="K202" s="522" t="s">
        <v>5631</v>
      </c>
      <c r="L202" s="522" t="s">
        <v>5632</v>
      </c>
      <c r="M202" s="522" t="s">
        <v>5633</v>
      </c>
    </row>
    <row r="203" spans="1:13" x14ac:dyDescent="0.3">
      <c r="A203" s="2" t="s">
        <v>5634</v>
      </c>
      <c r="B203" s="521" t="str">
        <f t="shared" si="7"/>
        <v>6. Business Travel</v>
      </c>
      <c r="C203" s="2" t="s">
        <v>5635</v>
      </c>
      <c r="D203" s="516" t="s">
        <v>5636</v>
      </c>
      <c r="E203" s="516" t="s">
        <v>5637</v>
      </c>
      <c r="F203" s="516" t="s">
        <v>5638</v>
      </c>
      <c r="G203" s="523" t="s">
        <v>5639</v>
      </c>
      <c r="H203" s="523" t="s">
        <v>5640</v>
      </c>
      <c r="I203" s="2" t="s">
        <v>5641</v>
      </c>
      <c r="J203" s="522" t="s">
        <v>5642</v>
      </c>
      <c r="K203" s="522" t="s">
        <v>5643</v>
      </c>
      <c r="L203" s="522" t="s">
        <v>5644</v>
      </c>
      <c r="M203" s="522" t="s">
        <v>5645</v>
      </c>
    </row>
    <row r="204" spans="1:13" x14ac:dyDescent="0.3">
      <c r="A204" s="2" t="s">
        <v>5646</v>
      </c>
      <c r="B204" s="521" t="str">
        <f t="shared" si="7"/>
        <v>7. Employee Commuting</v>
      </c>
      <c r="C204" s="2" t="s">
        <v>5647</v>
      </c>
      <c r="D204" s="516" t="s">
        <v>5648</v>
      </c>
      <c r="E204" s="516" t="s">
        <v>5649</v>
      </c>
      <c r="F204" s="516" t="s">
        <v>5650</v>
      </c>
      <c r="G204" s="523" t="s">
        <v>5651</v>
      </c>
      <c r="H204" s="523" t="s">
        <v>5652</v>
      </c>
      <c r="I204" s="2" t="s">
        <v>5653</v>
      </c>
      <c r="J204" s="522" t="s">
        <v>5654</v>
      </c>
      <c r="K204" s="522" t="s">
        <v>5655</v>
      </c>
      <c r="L204" s="522" t="s">
        <v>5656</v>
      </c>
      <c r="M204" s="522" t="s">
        <v>5657</v>
      </c>
    </row>
    <row r="205" spans="1:13" ht="28.8" x14ac:dyDescent="0.3">
      <c r="A205" s="2" t="s">
        <v>5658</v>
      </c>
      <c r="B205" s="521" t="str">
        <f t="shared" si="7"/>
        <v>8. Upstream Leased Assets</v>
      </c>
      <c r="C205" s="2" t="s">
        <v>5659</v>
      </c>
      <c r="D205" s="516" t="s">
        <v>5660</v>
      </c>
      <c r="E205" s="516" t="s">
        <v>5661</v>
      </c>
      <c r="F205" s="516" t="s">
        <v>5662</v>
      </c>
      <c r="G205" s="523" t="s">
        <v>5663</v>
      </c>
      <c r="H205" s="523" t="s">
        <v>5664</v>
      </c>
      <c r="I205" s="2" t="s">
        <v>5665</v>
      </c>
      <c r="J205" s="522" t="s">
        <v>5666</v>
      </c>
      <c r="K205" s="522" t="s">
        <v>5667</v>
      </c>
      <c r="L205" s="522" t="s">
        <v>5668</v>
      </c>
      <c r="M205" s="522" t="s">
        <v>5669</v>
      </c>
    </row>
    <row r="206" spans="1:13" ht="28.8" x14ac:dyDescent="0.3">
      <c r="A206" s="2" t="s">
        <v>5670</v>
      </c>
      <c r="B206" s="521" t="str">
        <f t="shared" si="7"/>
        <v>9. Downstream Transportation and Distribution</v>
      </c>
      <c r="C206" s="2" t="s">
        <v>5671</v>
      </c>
      <c r="D206" s="516" t="s">
        <v>5672</v>
      </c>
      <c r="E206" s="516" t="s">
        <v>5673</v>
      </c>
      <c r="F206" s="516" t="s">
        <v>5674</v>
      </c>
      <c r="G206" s="523" t="s">
        <v>5675</v>
      </c>
      <c r="H206" s="523" t="s">
        <v>5676</v>
      </c>
      <c r="I206" s="2" t="s">
        <v>5677</v>
      </c>
      <c r="J206" s="522" t="s">
        <v>5678</v>
      </c>
      <c r="K206" s="522" t="s">
        <v>5679</v>
      </c>
      <c r="L206" s="522" t="s">
        <v>5680</v>
      </c>
      <c r="M206" s="522" t="s">
        <v>5681</v>
      </c>
    </row>
    <row r="207" spans="1:13" x14ac:dyDescent="0.3">
      <c r="A207" s="2" t="s">
        <v>5682</v>
      </c>
      <c r="B207" s="521" t="str">
        <f t="shared" si="7"/>
        <v>10. Processing of Sold Products</v>
      </c>
      <c r="C207" s="2" t="s">
        <v>5683</v>
      </c>
      <c r="D207" s="516" t="s">
        <v>5684</v>
      </c>
      <c r="E207" s="516" t="s">
        <v>5685</v>
      </c>
      <c r="F207" s="516" t="s">
        <v>5686</v>
      </c>
      <c r="G207" s="523" t="s">
        <v>5687</v>
      </c>
      <c r="H207" s="523" t="s">
        <v>5688</v>
      </c>
      <c r="I207" s="2" t="s">
        <v>5689</v>
      </c>
      <c r="J207" s="522" t="s">
        <v>5690</v>
      </c>
      <c r="K207" s="522" t="s">
        <v>5691</v>
      </c>
      <c r="L207" s="522" t="s">
        <v>5692</v>
      </c>
      <c r="M207" s="522" t="s">
        <v>5693</v>
      </c>
    </row>
    <row r="208" spans="1:13" x14ac:dyDescent="0.3">
      <c r="A208" s="2" t="s">
        <v>5694</v>
      </c>
      <c r="B208" s="521" t="str">
        <f t="shared" si="7"/>
        <v>11. Use of Sold Products</v>
      </c>
      <c r="C208" s="2" t="s">
        <v>5695</v>
      </c>
      <c r="D208" s="516" t="s">
        <v>5696</v>
      </c>
      <c r="E208" s="516" t="s">
        <v>5697</v>
      </c>
      <c r="F208" s="516" t="s">
        <v>5698</v>
      </c>
      <c r="G208" s="523" t="s">
        <v>5699</v>
      </c>
      <c r="H208" s="523" t="s">
        <v>5700</v>
      </c>
      <c r="I208" s="2" t="s">
        <v>5701</v>
      </c>
      <c r="J208" s="522" t="s">
        <v>5702</v>
      </c>
      <c r="K208" s="522" t="s">
        <v>5703</v>
      </c>
      <c r="L208" s="522" t="s">
        <v>5704</v>
      </c>
      <c r="M208" s="522" t="s">
        <v>5705</v>
      </c>
    </row>
    <row r="209" spans="1:13" ht="28.8" x14ac:dyDescent="0.3">
      <c r="A209" s="2" t="s">
        <v>5706</v>
      </c>
      <c r="B209" s="521" t="str">
        <f t="shared" si="7"/>
        <v>12. End-of-Life Treatment of Sold Products</v>
      </c>
      <c r="C209" s="2" t="s">
        <v>5707</v>
      </c>
      <c r="D209" s="516" t="s">
        <v>5708</v>
      </c>
      <c r="E209" s="516" t="s">
        <v>5709</v>
      </c>
      <c r="F209" s="516" t="s">
        <v>5710</v>
      </c>
      <c r="G209" s="523" t="s">
        <v>5711</v>
      </c>
      <c r="H209" s="523" t="s">
        <v>5712</v>
      </c>
      <c r="I209" s="2" t="s">
        <v>5713</v>
      </c>
      <c r="J209" s="522" t="s">
        <v>5714</v>
      </c>
      <c r="K209" s="522" t="s">
        <v>5715</v>
      </c>
      <c r="L209" s="522" t="s">
        <v>5716</v>
      </c>
      <c r="M209" s="522" t="s">
        <v>5717</v>
      </c>
    </row>
    <row r="210" spans="1:13" ht="28.8" x14ac:dyDescent="0.3">
      <c r="A210" s="2" t="s">
        <v>5718</v>
      </c>
      <c r="B210" s="521" t="str">
        <f t="shared" si="7"/>
        <v>13. Downstream Leased Assets</v>
      </c>
      <c r="C210" s="2" t="s">
        <v>5719</v>
      </c>
      <c r="D210" s="516" t="s">
        <v>5720</v>
      </c>
      <c r="E210" s="516" t="s">
        <v>5721</v>
      </c>
      <c r="F210" s="516" t="s">
        <v>5722</v>
      </c>
      <c r="G210" s="523" t="s">
        <v>5723</v>
      </c>
      <c r="H210" s="523" t="s">
        <v>5724</v>
      </c>
      <c r="I210" s="2" t="s">
        <v>5725</v>
      </c>
      <c r="J210" s="522" t="s">
        <v>5726</v>
      </c>
      <c r="K210" s="522" t="s">
        <v>5727</v>
      </c>
      <c r="L210" s="522" t="s">
        <v>5728</v>
      </c>
      <c r="M210" s="522" t="s">
        <v>5729</v>
      </c>
    </row>
    <row r="211" spans="1:13" x14ac:dyDescent="0.3">
      <c r="A211" s="2" t="s">
        <v>5730</v>
      </c>
      <c r="B211" s="521" t="str">
        <f t="shared" si="7"/>
        <v>14. Franchises</v>
      </c>
      <c r="C211" s="2" t="s">
        <v>5731</v>
      </c>
      <c r="D211" s="516" t="s">
        <v>5732</v>
      </c>
      <c r="E211" s="516" t="s">
        <v>5731</v>
      </c>
      <c r="F211" s="516" t="s">
        <v>5731</v>
      </c>
      <c r="G211" s="523" t="s">
        <v>5731</v>
      </c>
      <c r="H211" s="523" t="s">
        <v>5733</v>
      </c>
      <c r="I211" s="2" t="s">
        <v>5734</v>
      </c>
      <c r="J211" s="522" t="s">
        <v>5735</v>
      </c>
      <c r="K211" s="522" t="s">
        <v>5736</v>
      </c>
      <c r="L211" s="522" t="s">
        <v>5737</v>
      </c>
      <c r="M211" s="522" t="s">
        <v>5738</v>
      </c>
    </row>
    <row r="212" spans="1:13" x14ac:dyDescent="0.3">
      <c r="A212" s="2" t="s">
        <v>5739</v>
      </c>
      <c r="B212" s="521" t="str">
        <f t="shared" si="7"/>
        <v>15. Investments</v>
      </c>
      <c r="C212" s="2" t="s">
        <v>5740</v>
      </c>
      <c r="D212" s="516" t="s">
        <v>5741</v>
      </c>
      <c r="E212" s="516" t="s">
        <v>5742</v>
      </c>
      <c r="F212" s="516" t="s">
        <v>5743</v>
      </c>
      <c r="G212" s="523" t="s">
        <v>5744</v>
      </c>
      <c r="H212" s="523" t="s">
        <v>5745</v>
      </c>
      <c r="I212" s="2" t="s">
        <v>5746</v>
      </c>
      <c r="J212" s="522" t="s">
        <v>5747</v>
      </c>
      <c r="K212" s="522" t="s">
        <v>5748</v>
      </c>
      <c r="L212" s="522" t="s">
        <v>5749</v>
      </c>
      <c r="M212" s="522" t="s">
        <v>5750</v>
      </c>
    </row>
    <row r="213" spans="1:13" x14ac:dyDescent="0.3">
      <c r="A213" s="2" t="s">
        <v>5751</v>
      </c>
      <c r="B213" s="521" t="str">
        <f t="shared" si="7"/>
        <v>Total Scope 3 GHG  emissions</v>
      </c>
      <c r="C213" s="2" t="s">
        <v>5752</v>
      </c>
      <c r="D213" s="516" t="s">
        <v>5753</v>
      </c>
      <c r="E213" s="516" t="s">
        <v>5754</v>
      </c>
      <c r="F213" s="516" t="s">
        <v>5755</v>
      </c>
      <c r="G213" s="523" t="s">
        <v>5756</v>
      </c>
      <c r="H213" s="523" t="s">
        <v>5757</v>
      </c>
      <c r="I213" s="2" t="s">
        <v>5758</v>
      </c>
      <c r="J213" s="522" t="s">
        <v>5759</v>
      </c>
      <c r="K213" s="522" t="s">
        <v>5760</v>
      </c>
      <c r="L213" s="522" t="s">
        <v>5761</v>
      </c>
      <c r="M213" s="522" t="s">
        <v>5762</v>
      </c>
    </row>
    <row r="214" spans="1:13" ht="28.8" x14ac:dyDescent="0.3">
      <c r="A214" s="2" t="s">
        <v>5763</v>
      </c>
      <c r="B214" s="521" t="str">
        <f t="shared" si="7"/>
        <v>Total Scope 1 Scope 2 and Scope 3 GHG Emissions (location-based)</v>
      </c>
      <c r="C214" s="2" t="s">
        <v>5764</v>
      </c>
      <c r="D214" s="516" t="s">
        <v>5765</v>
      </c>
      <c r="E214" s="516" t="s">
        <v>5766</v>
      </c>
      <c r="F214" s="516" t="s">
        <v>5767</v>
      </c>
      <c r="G214" s="523" t="s">
        <v>5768</v>
      </c>
      <c r="H214" s="523" t="s">
        <v>5769</v>
      </c>
      <c r="I214" s="2" t="s">
        <v>5770</v>
      </c>
      <c r="J214" s="522" t="s">
        <v>5771</v>
      </c>
      <c r="K214" s="522" t="s">
        <v>5772</v>
      </c>
      <c r="L214" s="522" t="s">
        <v>5773</v>
      </c>
      <c r="M214" s="522" t="s">
        <v>5774</v>
      </c>
    </row>
    <row r="215" spans="1:13" ht="29.4" thickBot="1" x14ac:dyDescent="0.35">
      <c r="A215" s="528" t="s">
        <v>5775</v>
      </c>
      <c r="B215" s="525" t="str">
        <f t="shared" si="7"/>
        <v>Total Scope 1 Scope 2 and Scope 3 GHG Emissions (market-based)</v>
      </c>
      <c r="C215" s="528" t="s">
        <v>5776</v>
      </c>
      <c r="D215" s="524" t="s">
        <v>5777</v>
      </c>
      <c r="E215" s="524" t="s">
        <v>5778</v>
      </c>
      <c r="F215" s="524" t="s">
        <v>5779</v>
      </c>
      <c r="G215" s="527" t="s">
        <v>5780</v>
      </c>
      <c r="H215" s="527" t="s">
        <v>5781</v>
      </c>
      <c r="I215" s="528" t="s">
        <v>5782</v>
      </c>
      <c r="J215" s="526" t="s">
        <v>5783</v>
      </c>
      <c r="K215" s="526" t="s">
        <v>5784</v>
      </c>
      <c r="L215" s="526" t="s">
        <v>5785</v>
      </c>
      <c r="M215" s="526" t="s">
        <v>5786</v>
      </c>
    </row>
    <row r="216" spans="1:13" ht="43.2" x14ac:dyDescent="0.3">
      <c r="A216" s="2" t="s">
        <v>5787</v>
      </c>
      <c r="B216" s="521" t="str">
        <f t="shared" si="7"/>
        <v>C3 - Disclosure of list of main actions the entity seeks in order to achieve its targets</v>
      </c>
      <c r="C216" s="2" t="s">
        <v>5788</v>
      </c>
      <c r="D216" s="516" t="s">
        <v>5789</v>
      </c>
      <c r="E216" s="516" t="s">
        <v>5790</v>
      </c>
      <c r="F216" s="516" t="s">
        <v>5791</v>
      </c>
      <c r="G216" s="523" t="s">
        <v>5792</v>
      </c>
      <c r="H216" s="523" t="s">
        <v>5793</v>
      </c>
      <c r="I216" s="2" t="s">
        <v>5794</v>
      </c>
      <c r="J216" s="522" t="s">
        <v>5795</v>
      </c>
      <c r="K216" s="522" t="s">
        <v>5796</v>
      </c>
      <c r="L216" s="522" t="s">
        <v>5797</v>
      </c>
      <c r="M216" s="522" t="s">
        <v>5798</v>
      </c>
    </row>
    <row r="217" spans="1:13" ht="28.8" x14ac:dyDescent="0.3">
      <c r="A217" s="2" t="s">
        <v>5799</v>
      </c>
      <c r="B217" s="521" t="str">
        <f t="shared" si="7"/>
        <v>C3 - Transition plan for undertakings operating in high climate impact sectors</v>
      </c>
      <c r="C217" s="2" t="s">
        <v>5800</v>
      </c>
      <c r="D217" s="516" t="s">
        <v>5801</v>
      </c>
      <c r="E217" s="516" t="s">
        <v>5802</v>
      </c>
      <c r="F217" s="516" t="s">
        <v>5803</v>
      </c>
      <c r="G217" s="523" t="s">
        <v>5804</v>
      </c>
      <c r="H217" s="523" t="s">
        <v>5805</v>
      </c>
      <c r="I217" s="2" t="s">
        <v>5806</v>
      </c>
      <c r="J217" s="522" t="s">
        <v>5807</v>
      </c>
      <c r="K217" s="522" t="s">
        <v>5808</v>
      </c>
      <c r="L217" s="522" t="s">
        <v>5809</v>
      </c>
      <c r="M217" s="522" t="s">
        <v>5810</v>
      </c>
    </row>
    <row r="218" spans="1:13" ht="28.8" x14ac:dyDescent="0.3">
      <c r="A218" s="2" t="s">
        <v>5811</v>
      </c>
      <c r="B218" s="521" t="str">
        <f t="shared" si="7"/>
        <v>Is the undertaking operating in high impact sectors?</v>
      </c>
      <c r="C218" s="2" t="s">
        <v>5812</v>
      </c>
      <c r="D218" s="516" t="s">
        <v>5813</v>
      </c>
      <c r="E218" s="516" t="s">
        <v>5814</v>
      </c>
      <c r="F218" s="516" t="s">
        <v>5815</v>
      </c>
      <c r="G218" s="523" t="s">
        <v>5816</v>
      </c>
      <c r="H218" s="523" t="s">
        <v>5817</v>
      </c>
      <c r="I218" s="2" t="s">
        <v>5818</v>
      </c>
      <c r="J218" s="522" t="s">
        <v>5819</v>
      </c>
      <c r="K218" s="522" t="s">
        <v>5820</v>
      </c>
      <c r="L218" s="522" t="s">
        <v>5821</v>
      </c>
      <c r="M218" s="522" t="s">
        <v>5822</v>
      </c>
    </row>
    <row r="219" spans="1:13" ht="28.8" x14ac:dyDescent="0.3">
      <c r="A219" s="2" t="s">
        <v>5823</v>
      </c>
      <c r="B219" s="521" t="str">
        <f t="shared" si="7"/>
        <v>Status of implementation of a transition plan in relation to climate change mitigation</v>
      </c>
      <c r="C219" s="2" t="s">
        <v>5824</v>
      </c>
      <c r="D219" s="516" t="s">
        <v>5825</v>
      </c>
      <c r="E219" s="516" t="s">
        <v>5826</v>
      </c>
      <c r="F219" s="516" t="s">
        <v>5827</v>
      </c>
      <c r="G219" s="523" t="s">
        <v>5828</v>
      </c>
      <c r="H219" s="523" t="s">
        <v>5829</v>
      </c>
      <c r="I219" s="2" t="s">
        <v>5830</v>
      </c>
      <c r="J219" s="522" t="s">
        <v>5831</v>
      </c>
      <c r="K219" s="522" t="s">
        <v>5832</v>
      </c>
      <c r="L219" s="522" t="s">
        <v>5833</v>
      </c>
      <c r="M219" s="522" t="s">
        <v>5834</v>
      </c>
    </row>
    <row r="220" spans="1:13" ht="72" x14ac:dyDescent="0.3">
      <c r="A220" s="2" t="s">
        <v>5835</v>
      </c>
      <c r="B220" s="521" t="str">
        <f t="shared" si="7"/>
        <v>Description of a transition plan for climate change mitigation including an explanation of how it is contributing to reduce GHG emissions</v>
      </c>
      <c r="C220" s="2" t="s">
        <v>5836</v>
      </c>
      <c r="D220" s="516" t="s">
        <v>5837</v>
      </c>
      <c r="E220" s="516" t="s">
        <v>5838</v>
      </c>
      <c r="F220" s="516" t="s">
        <v>5839</v>
      </c>
      <c r="G220" s="523" t="s">
        <v>5840</v>
      </c>
      <c r="H220" s="523" t="s">
        <v>5841</v>
      </c>
      <c r="I220" s="2" t="s">
        <v>5842</v>
      </c>
      <c r="J220" s="522" t="s">
        <v>5843</v>
      </c>
      <c r="K220" s="522" t="s">
        <v>5844</v>
      </c>
      <c r="L220" s="522" t="s">
        <v>5845</v>
      </c>
      <c r="M220" s="522" t="s">
        <v>5846</v>
      </c>
    </row>
    <row r="221" spans="1:13" ht="43.2" x14ac:dyDescent="0.3">
      <c r="A221" s="2" t="s">
        <v>5847</v>
      </c>
      <c r="B221" s="521" t="str">
        <f t="shared" si="7"/>
        <v>Date of foreseen adoption of transition plan for undertaking not having adopted transition plan yet</v>
      </c>
      <c r="C221" s="2" t="s">
        <v>5848</v>
      </c>
      <c r="D221" s="516" t="s">
        <v>5849</v>
      </c>
      <c r="E221" s="516" t="s">
        <v>5850</v>
      </c>
      <c r="F221" s="516" t="s">
        <v>5851</v>
      </c>
      <c r="G221" s="523" t="s">
        <v>5852</v>
      </c>
      <c r="H221" s="523" t="s">
        <v>5853</v>
      </c>
      <c r="I221" s="2" t="s">
        <v>5854</v>
      </c>
      <c r="J221" s="522" t="s">
        <v>5855</v>
      </c>
      <c r="K221" s="522" t="s">
        <v>5856</v>
      </c>
      <c r="L221" s="522" t="s">
        <v>5857</v>
      </c>
      <c r="M221" s="522" t="s">
        <v>5858</v>
      </c>
    </row>
    <row r="222" spans="1:13" ht="28.8" x14ac:dyDescent="0.3">
      <c r="A222" s="2" t="s">
        <v>5859</v>
      </c>
      <c r="B222" s="521" t="str">
        <f t="shared" si="7"/>
        <v>Year</v>
      </c>
      <c r="C222" s="2" t="s">
        <v>354</v>
      </c>
      <c r="D222" s="516" t="s">
        <v>5860</v>
      </c>
      <c r="E222" s="516" t="s">
        <v>5861</v>
      </c>
      <c r="F222" s="516" t="s">
        <v>5862</v>
      </c>
      <c r="G222" s="523" t="s">
        <v>5863</v>
      </c>
      <c r="H222" s="523" t="s">
        <v>5864</v>
      </c>
      <c r="I222" s="2" t="s">
        <v>5865</v>
      </c>
      <c r="J222" s="522" t="s">
        <v>5866</v>
      </c>
      <c r="K222" s="522" t="s">
        <v>5867</v>
      </c>
      <c r="L222" s="522" t="s">
        <v>5868</v>
      </c>
      <c r="M222" s="522" t="s">
        <v>5869</v>
      </c>
    </row>
    <row r="223" spans="1:13" x14ac:dyDescent="0.3">
      <c r="A223" s="2" t="s">
        <v>5870</v>
      </c>
      <c r="B223" s="521" t="str">
        <f t="shared" si="7"/>
        <v>Month</v>
      </c>
      <c r="C223" s="2" t="s">
        <v>355</v>
      </c>
      <c r="D223" s="516" t="s">
        <v>5871</v>
      </c>
      <c r="E223" s="516" t="s">
        <v>5872</v>
      </c>
      <c r="F223" s="516" t="s">
        <v>5873</v>
      </c>
      <c r="G223" s="523" t="s">
        <v>5874</v>
      </c>
      <c r="H223" s="523" t="s">
        <v>5875</v>
      </c>
      <c r="I223" s="2" t="s">
        <v>5876</v>
      </c>
      <c r="J223" s="522" t="s">
        <v>5877</v>
      </c>
      <c r="K223" s="522" t="s">
        <v>5878</v>
      </c>
      <c r="L223" s="522" t="s">
        <v>5879</v>
      </c>
      <c r="M223" s="522" t="s">
        <v>5880</v>
      </c>
    </row>
    <row r="224" spans="1:13" x14ac:dyDescent="0.3">
      <c r="A224" s="2" t="s">
        <v>5881</v>
      </c>
      <c r="B224" s="521" t="str">
        <f t="shared" si="7"/>
        <v>Day</v>
      </c>
      <c r="C224" s="2" t="s">
        <v>5882</v>
      </c>
      <c r="D224" s="516" t="s">
        <v>5883</v>
      </c>
      <c r="E224" s="516" t="s">
        <v>5883</v>
      </c>
      <c r="F224" s="516" t="s">
        <v>5884</v>
      </c>
      <c r="G224" s="523" t="s">
        <v>5885</v>
      </c>
      <c r="H224" s="523" t="s">
        <v>5886</v>
      </c>
      <c r="I224" s="2" t="s">
        <v>5887</v>
      </c>
      <c r="J224" s="522" t="s">
        <v>5888</v>
      </c>
      <c r="K224" s="522" t="s">
        <v>5889</v>
      </c>
      <c r="L224" s="522" t="s">
        <v>5890</v>
      </c>
      <c r="M224" s="522" t="s">
        <v>5891</v>
      </c>
    </row>
    <row r="225" spans="1:13" ht="28.8" x14ac:dyDescent="0.3">
      <c r="A225" s="2" t="s">
        <v>5892</v>
      </c>
      <c r="B225" s="521" t="str">
        <f t="shared" si="7"/>
        <v>B3 - Greenhouse gas emission intensity per turnover (in tCO2e)</v>
      </c>
      <c r="C225" s="2" t="s">
        <v>5893</v>
      </c>
      <c r="D225" s="516" t="s">
        <v>5894</v>
      </c>
      <c r="E225" s="516" t="s">
        <v>5895</v>
      </c>
      <c r="F225" s="516" t="s">
        <v>5896</v>
      </c>
      <c r="G225" s="523" t="s">
        <v>5897</v>
      </c>
      <c r="H225" s="523" t="s">
        <v>5898</v>
      </c>
      <c r="I225" s="2" t="s">
        <v>5899</v>
      </c>
      <c r="J225" s="522" t="s">
        <v>5900</v>
      </c>
      <c r="K225" s="522" t="s">
        <v>5901</v>
      </c>
      <c r="L225" s="522" t="s">
        <v>5902</v>
      </c>
      <c r="M225" s="522" t="s">
        <v>5903</v>
      </c>
    </row>
    <row r="226" spans="1:13" ht="28.8" x14ac:dyDescent="0.3">
      <c r="A226" s="2" t="s">
        <v>5904</v>
      </c>
      <c r="B226" s="521" t="str">
        <f t="shared" si="7"/>
        <v>Scope 1 and Scope 2 GHG Emissions intensity (location-based)</v>
      </c>
      <c r="C226" s="2" t="s">
        <v>5905</v>
      </c>
      <c r="D226" s="516" t="s">
        <v>5906</v>
      </c>
      <c r="E226" s="516" t="s">
        <v>5907</v>
      </c>
      <c r="F226" s="516" t="s">
        <v>5908</v>
      </c>
      <c r="G226" s="523" t="s">
        <v>5909</v>
      </c>
      <c r="H226" s="523" t="s">
        <v>5910</v>
      </c>
      <c r="I226" s="2" t="s">
        <v>5911</v>
      </c>
      <c r="J226" s="522" t="s">
        <v>5912</v>
      </c>
      <c r="K226" s="522" t="s">
        <v>5913</v>
      </c>
      <c r="L226" s="522" t="s">
        <v>5914</v>
      </c>
      <c r="M226" s="522" t="s">
        <v>5915</v>
      </c>
    </row>
    <row r="227" spans="1:13" ht="28.8" x14ac:dyDescent="0.3">
      <c r="A227" s="2" t="s">
        <v>5916</v>
      </c>
      <c r="B227" s="521" t="str">
        <f t="shared" si="7"/>
        <v>Scope 1 and Scope 2 GHG Emissions intensity (market-based)</v>
      </c>
      <c r="C227" s="2" t="s">
        <v>5917</v>
      </c>
      <c r="D227" s="516" t="s">
        <v>5918</v>
      </c>
      <c r="E227" s="516" t="s">
        <v>5919</v>
      </c>
      <c r="F227" s="516" t="s">
        <v>5920</v>
      </c>
      <c r="G227" s="523" t="s">
        <v>5921</v>
      </c>
      <c r="H227" s="523" t="s">
        <v>5922</v>
      </c>
      <c r="I227" s="2" t="s">
        <v>5923</v>
      </c>
      <c r="J227" s="522" t="s">
        <v>5924</v>
      </c>
      <c r="K227" s="522" t="s">
        <v>5925</v>
      </c>
      <c r="L227" s="522" t="s">
        <v>5926</v>
      </c>
      <c r="M227" s="522" t="s">
        <v>5927</v>
      </c>
    </row>
    <row r="228" spans="1:13" ht="28.8" x14ac:dyDescent="0.3">
      <c r="A228" s="2" t="s">
        <v>5928</v>
      </c>
      <c r="B228" s="521" t="str">
        <f t="shared" si="7"/>
        <v>Total Scope 1 Scope 2 and Scope 3 GHG Emissions intensity (location-based)</v>
      </c>
      <c r="C228" s="2" t="s">
        <v>5929</v>
      </c>
      <c r="D228" s="516" t="s">
        <v>5930</v>
      </c>
      <c r="E228" s="516" t="s">
        <v>5931</v>
      </c>
      <c r="F228" s="516" t="s">
        <v>5932</v>
      </c>
      <c r="G228" s="523" t="s">
        <v>5933</v>
      </c>
      <c r="H228" s="523" t="s">
        <v>5934</v>
      </c>
      <c r="I228" s="2" t="s">
        <v>5935</v>
      </c>
      <c r="J228" s="522" t="s">
        <v>5936</v>
      </c>
      <c r="K228" s="522" t="s">
        <v>5937</v>
      </c>
      <c r="L228" s="522" t="s">
        <v>5938</v>
      </c>
      <c r="M228" s="522" t="s">
        <v>5939</v>
      </c>
    </row>
    <row r="229" spans="1:13" ht="29.4" thickBot="1" x14ac:dyDescent="0.35">
      <c r="A229" s="528" t="s">
        <v>5940</v>
      </c>
      <c r="B229" s="525" t="str">
        <f t="shared" si="7"/>
        <v>Total Scope 1 Scope 2 and Scope 3 GHG Emissions intensity (market-based)</v>
      </c>
      <c r="C229" s="528" t="s">
        <v>5941</v>
      </c>
      <c r="D229" s="524" t="s">
        <v>5942</v>
      </c>
      <c r="E229" s="524" t="s">
        <v>5943</v>
      </c>
      <c r="F229" s="524" t="s">
        <v>5944</v>
      </c>
      <c r="G229" s="527" t="s">
        <v>5945</v>
      </c>
      <c r="H229" s="527" t="s">
        <v>5946</v>
      </c>
      <c r="I229" s="528" t="s">
        <v>5947</v>
      </c>
      <c r="J229" s="526" t="s">
        <v>5948</v>
      </c>
      <c r="K229" s="526" t="s">
        <v>5949</v>
      </c>
      <c r="L229" s="526" t="s">
        <v>5950</v>
      </c>
      <c r="M229" s="526" t="s">
        <v>5951</v>
      </c>
    </row>
    <row r="230" spans="1:13" x14ac:dyDescent="0.3">
      <c r="A230" s="2" t="s">
        <v>5952</v>
      </c>
      <c r="B230" s="521" t="str">
        <f t="shared" si="7"/>
        <v>B4 - Pollution of air water and soil</v>
      </c>
      <c r="C230" s="2" t="s">
        <v>5953</v>
      </c>
      <c r="D230" s="516" t="s">
        <v>4092</v>
      </c>
      <c r="E230" s="516" t="s">
        <v>5954</v>
      </c>
      <c r="F230" s="516" t="s">
        <v>5955</v>
      </c>
      <c r="G230" s="523" t="s">
        <v>5956</v>
      </c>
      <c r="H230" s="523" t="s">
        <v>5957</v>
      </c>
      <c r="I230" s="2" t="s">
        <v>4097</v>
      </c>
      <c r="J230" s="522" t="s">
        <v>5958</v>
      </c>
      <c r="K230" s="522" t="s">
        <v>4099</v>
      </c>
      <c r="L230" s="522" t="s">
        <v>4100</v>
      </c>
      <c r="M230" s="522" t="s">
        <v>4101</v>
      </c>
    </row>
    <row r="231" spans="1:13" ht="72" x14ac:dyDescent="0.3">
      <c r="A231" s="2" t="s">
        <v>5959</v>
      </c>
      <c r="B231" s="521" t="str">
        <f t="shared" si="7"/>
        <v>Is the undertaking already required by law or other national regulations to report to competent authorities its emissions of pollutants or does it already voluntarily report on them according to an Environmental Management System?</v>
      </c>
      <c r="C231" s="2" t="s">
        <v>5960</v>
      </c>
      <c r="D231" s="516" t="s">
        <v>5961</v>
      </c>
      <c r="E231" s="516" t="s">
        <v>5962</v>
      </c>
      <c r="F231" s="516" t="s">
        <v>5963</v>
      </c>
      <c r="G231" s="523" t="s">
        <v>5964</v>
      </c>
      <c r="H231" s="523" t="s">
        <v>5965</v>
      </c>
      <c r="I231" s="2" t="s">
        <v>5966</v>
      </c>
      <c r="J231" s="522" t="s">
        <v>5967</v>
      </c>
      <c r="K231" s="522" t="s">
        <v>5968</v>
      </c>
      <c r="L231" s="522" t="s">
        <v>5969</v>
      </c>
      <c r="M231" s="522" t="s">
        <v>5970</v>
      </c>
    </row>
    <row r="232" spans="1:13" ht="28.8" x14ac:dyDescent="0.3">
      <c r="A232" s="2" t="s">
        <v>5971</v>
      </c>
      <c r="B232" s="521" t="str">
        <f t="shared" si="7"/>
        <v>Is this disclosure already publicly available?</v>
      </c>
      <c r="C232" s="2" t="s">
        <v>5972</v>
      </c>
      <c r="D232" s="516" t="s">
        <v>5973</v>
      </c>
      <c r="E232" s="516" t="s">
        <v>5974</v>
      </c>
      <c r="F232" s="516" t="s">
        <v>5975</v>
      </c>
      <c r="G232" s="523" t="s">
        <v>5976</v>
      </c>
      <c r="H232" s="523" t="s">
        <v>5977</v>
      </c>
      <c r="I232" s="2" t="s">
        <v>5978</v>
      </c>
      <c r="J232" s="522" t="s">
        <v>5979</v>
      </c>
      <c r="K232" s="522" t="s">
        <v>5980</v>
      </c>
      <c r="L232" s="522" t="s">
        <v>5981</v>
      </c>
      <c r="M232" s="522" t="s">
        <v>5982</v>
      </c>
    </row>
    <row r="233" spans="1:13" ht="28.8" x14ac:dyDescent="0.3">
      <c r="A233" s="2" t="s">
        <v>5983</v>
      </c>
      <c r="B233" s="521" t="str">
        <f t="shared" si="7"/>
        <v>Please provide the relevant URL link or hyperlink of where this information is reported</v>
      </c>
      <c r="C233" s="2" t="s">
        <v>5984</v>
      </c>
      <c r="D233" s="516" t="s">
        <v>5985</v>
      </c>
      <c r="E233" s="516" t="s">
        <v>5986</v>
      </c>
      <c r="F233" s="516" t="s">
        <v>5987</v>
      </c>
      <c r="G233" s="523" t="s">
        <v>5988</v>
      </c>
      <c r="H233" s="523" t="s">
        <v>5989</v>
      </c>
      <c r="I233" s="2" t="s">
        <v>5990</v>
      </c>
      <c r="J233" s="522" t="s">
        <v>5991</v>
      </c>
      <c r="K233" s="522" t="s">
        <v>5992</v>
      </c>
      <c r="L233" s="522" t="s">
        <v>5993</v>
      </c>
      <c r="M233" s="522" t="s">
        <v>5994</v>
      </c>
    </row>
    <row r="234" spans="1:13" ht="28.8" x14ac:dyDescent="0.3">
      <c r="A234" s="2" t="s">
        <v>5995</v>
      </c>
      <c r="B234" s="521" t="str">
        <f t="shared" ref="B234:B297" si="8">INDEX(C234:M234,MATCH(template_selected_display_language,$C$3:$M$3,0))</f>
        <v>Please select the unit used for reporting the amount (i.e. either kg or tonne)</v>
      </c>
      <c r="C234" s="2" t="s">
        <v>5996</v>
      </c>
      <c r="D234" s="516" t="s">
        <v>5997</v>
      </c>
      <c r="E234" s="516" t="s">
        <v>5998</v>
      </c>
      <c r="F234" s="516" t="s">
        <v>5999</v>
      </c>
      <c r="G234" s="523" t="s">
        <v>6000</v>
      </c>
      <c r="H234" s="523" t="s">
        <v>6001</v>
      </c>
      <c r="I234" s="2" t="s">
        <v>6002</v>
      </c>
      <c r="J234" s="522" t="s">
        <v>6003</v>
      </c>
      <c r="K234" s="522" t="s">
        <v>6004</v>
      </c>
      <c r="L234" s="522" t="s">
        <v>6005</v>
      </c>
      <c r="M234" s="522" t="s">
        <v>6006</v>
      </c>
    </row>
    <row r="235" spans="1:13" x14ac:dyDescent="0.3">
      <c r="A235" s="2" t="s">
        <v>6007</v>
      </c>
      <c r="B235" s="521" t="str">
        <f t="shared" si="8"/>
        <v>Row ID</v>
      </c>
      <c r="C235" s="2" t="s">
        <v>6008</v>
      </c>
      <c r="D235" s="516" t="s">
        <v>6009</v>
      </c>
      <c r="E235" s="516" t="s">
        <v>6010</v>
      </c>
      <c r="F235" s="516" t="s">
        <v>6011</v>
      </c>
      <c r="G235" s="523" t="s">
        <v>6012</v>
      </c>
      <c r="H235" s="523" t="s">
        <v>6013</v>
      </c>
      <c r="I235" s="2" t="s">
        <v>6014</v>
      </c>
      <c r="J235" s="522" t="s">
        <v>6015</v>
      </c>
      <c r="K235" s="522" t="s">
        <v>6016</v>
      </c>
      <c r="L235" s="522" t="s">
        <v>6017</v>
      </c>
      <c r="M235" s="522" t="s">
        <v>6018</v>
      </c>
    </row>
    <row r="236" spans="1:13" ht="43.2" x14ac:dyDescent="0.3">
      <c r="A236" s="2" t="s">
        <v>6019</v>
      </c>
      <c r="B236" s="521" t="str">
        <f t="shared" si="8"/>
        <v>Pollutant</v>
      </c>
      <c r="C236" s="2" t="s">
        <v>6020</v>
      </c>
      <c r="D236" s="516" t="s">
        <v>6021</v>
      </c>
      <c r="E236" s="516" t="s">
        <v>6022</v>
      </c>
      <c r="F236" s="516" t="s">
        <v>6023</v>
      </c>
      <c r="G236" s="523" t="s">
        <v>6024</v>
      </c>
      <c r="H236" s="523" t="s">
        <v>6025</v>
      </c>
      <c r="I236" s="2" t="s">
        <v>6026</v>
      </c>
      <c r="J236" s="522" t="s">
        <v>6027</v>
      </c>
      <c r="K236" s="522" t="s">
        <v>6028</v>
      </c>
      <c r="L236" s="522" t="s">
        <v>6029</v>
      </c>
      <c r="M236" s="522" t="s">
        <v>6030</v>
      </c>
    </row>
    <row r="237" spans="1:13" x14ac:dyDescent="0.3">
      <c r="A237" s="2" t="s">
        <v>6031</v>
      </c>
      <c r="B237" s="521" t="str">
        <f t="shared" si="8"/>
        <v>Emission to air</v>
      </c>
      <c r="C237" s="2" t="s">
        <v>6032</v>
      </c>
      <c r="D237" s="516" t="s">
        <v>6033</v>
      </c>
      <c r="E237" s="516" t="s">
        <v>6034</v>
      </c>
      <c r="F237" s="516" t="s">
        <v>6035</v>
      </c>
      <c r="G237" s="523" t="s">
        <v>6036</v>
      </c>
      <c r="H237" s="523" t="s">
        <v>6037</v>
      </c>
      <c r="I237" s="2" t="s">
        <v>6038</v>
      </c>
      <c r="J237" s="522" t="s">
        <v>6039</v>
      </c>
      <c r="K237" s="522" t="s">
        <v>6040</v>
      </c>
      <c r="L237" s="522" t="s">
        <v>6041</v>
      </c>
      <c r="M237" s="522" t="s">
        <v>6042</v>
      </c>
    </row>
    <row r="238" spans="1:13" x14ac:dyDescent="0.3">
      <c r="A238" s="2" t="s">
        <v>6043</v>
      </c>
      <c r="B238" s="521" t="str">
        <f t="shared" si="8"/>
        <v>Emission to water</v>
      </c>
      <c r="C238" s="2" t="s">
        <v>6044</v>
      </c>
      <c r="D238" s="516" t="s">
        <v>6045</v>
      </c>
      <c r="E238" s="516" t="s">
        <v>6046</v>
      </c>
      <c r="F238" s="516" t="s">
        <v>6047</v>
      </c>
      <c r="G238" s="523" t="s">
        <v>6048</v>
      </c>
      <c r="H238" s="523" t="s">
        <v>6049</v>
      </c>
      <c r="I238" s="2" t="s">
        <v>6050</v>
      </c>
      <c r="J238" s="522" t="s">
        <v>6051</v>
      </c>
      <c r="K238" s="522" t="s">
        <v>6052</v>
      </c>
      <c r="L238" s="522" t="s">
        <v>6053</v>
      </c>
      <c r="M238" s="522" t="s">
        <v>6054</v>
      </c>
    </row>
    <row r="239" spans="1:13" ht="15" thickBot="1" x14ac:dyDescent="0.35">
      <c r="A239" s="528" t="s">
        <v>6055</v>
      </c>
      <c r="B239" s="525" t="str">
        <f t="shared" si="8"/>
        <v>Emission to soil</v>
      </c>
      <c r="C239" s="528" t="s">
        <v>6056</v>
      </c>
      <c r="D239" s="524" t="s">
        <v>6057</v>
      </c>
      <c r="E239" s="524" t="s">
        <v>6058</v>
      </c>
      <c r="F239" s="524" t="s">
        <v>6059</v>
      </c>
      <c r="G239" s="527" t="s">
        <v>6060</v>
      </c>
      <c r="H239" s="527" t="s">
        <v>6061</v>
      </c>
      <c r="I239" s="528" t="s">
        <v>6062</v>
      </c>
      <c r="J239" s="526" t="s">
        <v>6063</v>
      </c>
      <c r="K239" s="526" t="s">
        <v>6064</v>
      </c>
      <c r="L239" s="526" t="s">
        <v>6065</v>
      </c>
      <c r="M239" s="526" t="s">
        <v>6066</v>
      </c>
    </row>
    <row r="240" spans="1:13" ht="28.8" x14ac:dyDescent="0.3">
      <c r="A240" s="2" t="s">
        <v>6067</v>
      </c>
      <c r="B240" s="521" t="str">
        <f t="shared" si="8"/>
        <v>B5 - Sites in biodiversity sensitive areas</v>
      </c>
      <c r="C240" s="2" t="s">
        <v>6068</v>
      </c>
      <c r="D240" s="516" t="s">
        <v>6069</v>
      </c>
      <c r="E240" s="516" t="s">
        <v>6070</v>
      </c>
      <c r="F240" s="516" t="s">
        <v>6071</v>
      </c>
      <c r="G240" s="523" t="s">
        <v>6072</v>
      </c>
      <c r="H240" s="523" t="s">
        <v>6073</v>
      </c>
      <c r="I240" s="2" t="s">
        <v>6074</v>
      </c>
      <c r="J240" s="522" t="s">
        <v>6075</v>
      </c>
      <c r="K240" s="522" t="s">
        <v>6076</v>
      </c>
      <c r="L240" s="522" t="s">
        <v>6077</v>
      </c>
      <c r="M240" s="522" t="s">
        <v>6078</v>
      </c>
    </row>
    <row r="241" spans="1:13" ht="43.2" x14ac:dyDescent="0.3">
      <c r="A241" s="2" t="s">
        <v>6079</v>
      </c>
      <c r="B241" s="521" t="str">
        <f t="shared" si="8"/>
        <v>Does the undertaking have sites that are located in or near biodiversity sensitive areas?</v>
      </c>
      <c r="C241" s="2" t="s">
        <v>6080</v>
      </c>
      <c r="D241" s="516" t="s">
        <v>6081</v>
      </c>
      <c r="E241" s="516" t="s">
        <v>6082</v>
      </c>
      <c r="F241" s="516" t="s">
        <v>6083</v>
      </c>
      <c r="G241" s="523" t="s">
        <v>6084</v>
      </c>
      <c r="H241" s="523" t="s">
        <v>6085</v>
      </c>
      <c r="I241" s="2" t="s">
        <v>6086</v>
      </c>
      <c r="J241" s="522" t="s">
        <v>6087</v>
      </c>
      <c r="K241" s="522" t="s">
        <v>6088</v>
      </c>
      <c r="L241" s="522" t="s">
        <v>6089</v>
      </c>
      <c r="M241" s="522" t="s">
        <v>6090</v>
      </c>
    </row>
    <row r="242" spans="1:13" ht="28.8" x14ac:dyDescent="0.3">
      <c r="A242" s="2" t="s">
        <v>6091</v>
      </c>
      <c r="B242" s="521" t="str">
        <f t="shared" si="8"/>
        <v>Please select the unit used for the area (i.e. either hectares or m²):</v>
      </c>
      <c r="C242" s="2" t="s">
        <v>6092</v>
      </c>
      <c r="D242" s="516" t="s">
        <v>6093</v>
      </c>
      <c r="E242" s="516" t="s">
        <v>6094</v>
      </c>
      <c r="F242" s="516" t="s">
        <v>6095</v>
      </c>
      <c r="G242" s="523" t="s">
        <v>6096</v>
      </c>
      <c r="H242" s="523" t="s">
        <v>6097</v>
      </c>
      <c r="I242" s="2" t="s">
        <v>6098</v>
      </c>
      <c r="J242" s="522" t="s">
        <v>6099</v>
      </c>
      <c r="K242" s="522" t="s">
        <v>6100</v>
      </c>
      <c r="L242" s="522" t="s">
        <v>6101</v>
      </c>
      <c r="M242" s="522" t="s">
        <v>6102</v>
      </c>
    </row>
    <row r="243" spans="1:13" ht="28.8" x14ac:dyDescent="0.3">
      <c r="A243" s="2" t="s">
        <v>6103</v>
      </c>
      <c r="B243" s="521" t="str">
        <f t="shared" si="8"/>
        <v>Related Site ID (select an ID from a site location reported in B1)</v>
      </c>
      <c r="C243" s="2" t="s">
        <v>6104</v>
      </c>
      <c r="D243" s="516" t="s">
        <v>6105</v>
      </c>
      <c r="E243" s="516" t="s">
        <v>6106</v>
      </c>
      <c r="F243" s="516" t="s">
        <v>6107</v>
      </c>
      <c r="G243" s="523" t="s">
        <v>6108</v>
      </c>
      <c r="H243" s="523" t="s">
        <v>6109</v>
      </c>
      <c r="I243" s="2" t="s">
        <v>6110</v>
      </c>
      <c r="J243" s="522" t="s">
        <v>6111</v>
      </c>
      <c r="K243" s="522" t="s">
        <v>6112</v>
      </c>
      <c r="L243" s="522" t="s">
        <v>6113</v>
      </c>
      <c r="M243" s="522" t="s">
        <v>6114</v>
      </c>
    </row>
    <row r="244" spans="1:13" ht="57.6" x14ac:dyDescent="0.3">
      <c r="A244" s="2" t="s">
        <v>6115</v>
      </c>
      <c r="B244" s="521" t="str">
        <f t="shared" si="8"/>
        <v>Site Location in near a biodiversity area - auto filled from B1</v>
      </c>
      <c r="C244" s="2" t="s">
        <v>6116</v>
      </c>
      <c r="D244" s="516" t="s">
        <v>6117</v>
      </c>
      <c r="E244" s="516" t="s">
        <v>6118</v>
      </c>
      <c r="F244" s="516" t="s">
        <v>6119</v>
      </c>
      <c r="G244" s="523" t="s">
        <v>6120</v>
      </c>
      <c r="H244" s="523" t="s">
        <v>6121</v>
      </c>
      <c r="I244" s="2" t="s">
        <v>6122</v>
      </c>
      <c r="J244" s="522" t="s">
        <v>6123</v>
      </c>
      <c r="K244" s="522" t="s">
        <v>6124</v>
      </c>
      <c r="L244" s="522" t="s">
        <v>6125</v>
      </c>
      <c r="M244" s="522" t="s">
        <v>6126</v>
      </c>
    </row>
    <row r="245" spans="1:13" ht="28.8" x14ac:dyDescent="0.3">
      <c r="A245" s="2" t="s">
        <v>6127</v>
      </c>
      <c r="B245" s="521" t="str">
        <f t="shared" si="8"/>
        <v>Area (hectares or m² based on the selection above)</v>
      </c>
      <c r="C245" s="2" t="s">
        <v>6128</v>
      </c>
      <c r="D245" s="516" t="s">
        <v>6129</v>
      </c>
      <c r="E245" s="516" t="s">
        <v>6130</v>
      </c>
      <c r="F245" s="516" t="s">
        <v>6131</v>
      </c>
      <c r="G245" s="523" t="s">
        <v>6132</v>
      </c>
      <c r="H245" s="523" t="s">
        <v>6133</v>
      </c>
      <c r="I245" s="2" t="s">
        <v>6134</v>
      </c>
      <c r="J245" s="522" t="s">
        <v>6135</v>
      </c>
      <c r="K245" s="522" t="s">
        <v>6136</v>
      </c>
      <c r="L245" s="522" t="s">
        <v>6137</v>
      </c>
      <c r="M245" s="522" t="s">
        <v>6138</v>
      </c>
    </row>
    <row r="246" spans="1:13" ht="28.8" x14ac:dyDescent="0.3">
      <c r="A246" s="2" t="s">
        <v>6139</v>
      </c>
      <c r="B246" s="521" t="str">
        <f t="shared" si="8"/>
        <v>Site located in a biodiversity sensitive area</v>
      </c>
      <c r="C246" s="2" t="s">
        <v>6140</v>
      </c>
      <c r="D246" s="516" t="s">
        <v>6141</v>
      </c>
      <c r="E246" s="516" t="s">
        <v>6142</v>
      </c>
      <c r="F246" s="516" t="s">
        <v>6143</v>
      </c>
      <c r="G246" s="523" t="s">
        <v>6144</v>
      </c>
      <c r="H246" s="523" t="s">
        <v>6145</v>
      </c>
      <c r="I246" s="2" t="s">
        <v>6146</v>
      </c>
      <c r="J246" s="522" t="s">
        <v>6147</v>
      </c>
      <c r="K246" s="522" t="s">
        <v>6148</v>
      </c>
      <c r="L246" s="522" t="s">
        <v>6149</v>
      </c>
      <c r="M246" s="522" t="s">
        <v>6150</v>
      </c>
    </row>
    <row r="247" spans="1:13" ht="29.4" thickBot="1" x14ac:dyDescent="0.35">
      <c r="A247" s="528" t="s">
        <v>6151</v>
      </c>
      <c r="B247" s="525" t="str">
        <f t="shared" si="8"/>
        <v>Site located near a biodiversity sensitive area</v>
      </c>
      <c r="C247" s="528" t="s">
        <v>6152</v>
      </c>
      <c r="D247" s="524" t="s">
        <v>6153</v>
      </c>
      <c r="E247" s="524" t="s">
        <v>6154</v>
      </c>
      <c r="F247" s="524" t="s">
        <v>6155</v>
      </c>
      <c r="G247" s="527" t="s">
        <v>6156</v>
      </c>
      <c r="H247" s="527" t="s">
        <v>6157</v>
      </c>
      <c r="I247" s="528" t="s">
        <v>6158</v>
      </c>
      <c r="J247" s="526" t="s">
        <v>6159</v>
      </c>
      <c r="K247" s="526" t="s">
        <v>6160</v>
      </c>
      <c r="L247" s="526" t="s">
        <v>6161</v>
      </c>
      <c r="M247" s="526" t="s">
        <v>6162</v>
      </c>
    </row>
    <row r="248" spans="1:13" x14ac:dyDescent="0.3">
      <c r="A248" s="2" t="s">
        <v>6163</v>
      </c>
      <c r="B248" s="521" t="str">
        <f t="shared" si="8"/>
        <v>B5 - Biodiversity - Land-use</v>
      </c>
      <c r="C248" s="2" t="s">
        <v>6164</v>
      </c>
      <c r="D248" s="516" t="s">
        <v>6165</v>
      </c>
      <c r="E248" s="516" t="s">
        <v>6166</v>
      </c>
      <c r="F248" s="516" t="s">
        <v>6167</v>
      </c>
      <c r="G248" s="523" t="s">
        <v>6168</v>
      </c>
      <c r="H248" s="523" t="s">
        <v>6169</v>
      </c>
      <c r="I248" s="2" t="s">
        <v>6170</v>
      </c>
      <c r="J248" s="522" t="s">
        <v>6171</v>
      </c>
      <c r="K248" s="522" t="s">
        <v>6172</v>
      </c>
      <c r="L248" s="522" t="s">
        <v>6173</v>
      </c>
      <c r="M248" s="522" t="s">
        <v>6174</v>
      </c>
    </row>
    <row r="249" spans="1:13" x14ac:dyDescent="0.3">
      <c r="A249" s="2" t="s">
        <v>6175</v>
      </c>
      <c r="B249" s="521" t="str">
        <f t="shared" si="8"/>
        <v>Land-use type</v>
      </c>
      <c r="C249" s="2" t="s">
        <v>6176</v>
      </c>
      <c r="D249" s="516" t="s">
        <v>6177</v>
      </c>
      <c r="E249" s="516" t="s">
        <v>6178</v>
      </c>
      <c r="F249" s="530" t="s">
        <v>6179</v>
      </c>
      <c r="G249" s="523" t="s">
        <v>6180</v>
      </c>
      <c r="H249" s="523" t="s">
        <v>6181</v>
      </c>
      <c r="I249" s="2" t="s">
        <v>6182</v>
      </c>
      <c r="J249" s="522" t="s">
        <v>6183</v>
      </c>
      <c r="K249" s="522" t="s">
        <v>6184</v>
      </c>
      <c r="L249" s="522" t="s">
        <v>6185</v>
      </c>
      <c r="M249" s="522" t="s">
        <v>6186</v>
      </c>
    </row>
    <row r="250" spans="1:13" x14ac:dyDescent="0.3">
      <c r="A250" s="2" t="s">
        <v>6187</v>
      </c>
      <c r="B250" s="521" t="str">
        <f t="shared" si="8"/>
        <v>Area</v>
      </c>
      <c r="C250" s="2" t="s">
        <v>6188</v>
      </c>
      <c r="D250" s="516" t="s">
        <v>6189</v>
      </c>
      <c r="E250" s="516" t="s">
        <v>6190</v>
      </c>
      <c r="F250" s="522" t="s">
        <v>6191</v>
      </c>
      <c r="G250" s="523" t="s">
        <v>6192</v>
      </c>
      <c r="H250" s="523" t="s">
        <v>6193</v>
      </c>
      <c r="I250" s="2" t="s">
        <v>6194</v>
      </c>
      <c r="J250" s="522" t="s">
        <v>6195</v>
      </c>
      <c r="K250" s="522" t="s">
        <v>6196</v>
      </c>
      <c r="L250" s="522" t="s">
        <v>6197</v>
      </c>
      <c r="M250" s="522" t="s">
        <v>6197</v>
      </c>
    </row>
    <row r="251" spans="1:13" x14ac:dyDescent="0.3">
      <c r="A251" s="2" t="s">
        <v>6198</v>
      </c>
      <c r="B251" s="521" t="str">
        <f t="shared" si="8"/>
        <v>Total sealed area</v>
      </c>
      <c r="C251" s="2" t="s">
        <v>6199</v>
      </c>
      <c r="D251" s="516" t="s">
        <v>6200</v>
      </c>
      <c r="E251" s="516" t="s">
        <v>6201</v>
      </c>
      <c r="F251" s="516" t="s">
        <v>6202</v>
      </c>
      <c r="G251" s="523" t="s">
        <v>6203</v>
      </c>
      <c r="H251" s="523" t="s">
        <v>6204</v>
      </c>
      <c r="I251" s="2" t="s">
        <v>6205</v>
      </c>
      <c r="J251" s="522" t="s">
        <v>6206</v>
      </c>
      <c r="K251" s="522" t="s">
        <v>6207</v>
      </c>
      <c r="L251" s="522" t="s">
        <v>6208</v>
      </c>
      <c r="M251" s="522" t="s">
        <v>6209</v>
      </c>
    </row>
    <row r="252" spans="1:13" ht="28.8" x14ac:dyDescent="0.3">
      <c r="A252" s="2" t="s">
        <v>6210</v>
      </c>
      <c r="B252" s="521" t="str">
        <f t="shared" si="8"/>
        <v>Total nature-oriented area on-site</v>
      </c>
      <c r="C252" s="2" t="s">
        <v>6211</v>
      </c>
      <c r="D252" s="516" t="s">
        <v>6212</v>
      </c>
      <c r="E252" s="516" t="s">
        <v>6213</v>
      </c>
      <c r="F252" s="516" t="s">
        <v>6214</v>
      </c>
      <c r="G252" s="523" t="s">
        <v>6215</v>
      </c>
      <c r="H252" s="523" t="s">
        <v>6216</v>
      </c>
      <c r="I252" s="2" t="s">
        <v>6217</v>
      </c>
      <c r="J252" s="522" t="s">
        <v>6218</v>
      </c>
      <c r="K252" s="522" t="s">
        <v>6219</v>
      </c>
      <c r="L252" s="522" t="s">
        <v>6220</v>
      </c>
      <c r="M252" s="522" t="s">
        <v>6221</v>
      </c>
    </row>
    <row r="253" spans="1:13" ht="28.8" x14ac:dyDescent="0.3">
      <c r="A253" s="2" t="s">
        <v>6222</v>
      </c>
      <c r="B253" s="521" t="str">
        <f t="shared" si="8"/>
        <v>Total nature-oriented area off-site</v>
      </c>
      <c r="C253" s="2" t="s">
        <v>6223</v>
      </c>
      <c r="D253" s="516" t="s">
        <v>6224</v>
      </c>
      <c r="E253" s="516" t="s">
        <v>6225</v>
      </c>
      <c r="F253" s="516" t="s">
        <v>6226</v>
      </c>
      <c r="G253" s="523" t="s">
        <v>6227</v>
      </c>
      <c r="H253" s="523" t="s">
        <v>6228</v>
      </c>
      <c r="I253" s="2" t="s">
        <v>6229</v>
      </c>
      <c r="J253" s="522" t="s">
        <v>6230</v>
      </c>
      <c r="K253" s="522" t="s">
        <v>6231</v>
      </c>
      <c r="L253" s="522" t="s">
        <v>6232</v>
      </c>
      <c r="M253" s="522" t="s">
        <v>6233</v>
      </c>
    </row>
    <row r="254" spans="1:13" ht="15" thickBot="1" x14ac:dyDescent="0.35">
      <c r="A254" s="528" t="s">
        <v>6234</v>
      </c>
      <c r="B254" s="525" t="str">
        <f t="shared" si="8"/>
        <v>Total use of land</v>
      </c>
      <c r="C254" s="528" t="s">
        <v>6235</v>
      </c>
      <c r="D254" s="524" t="s">
        <v>6236</v>
      </c>
      <c r="E254" s="524" t="s">
        <v>6237</v>
      </c>
      <c r="F254" s="524" t="s">
        <v>6238</v>
      </c>
      <c r="G254" s="527" t="s">
        <v>6239</v>
      </c>
      <c r="H254" s="527" t="s">
        <v>6240</v>
      </c>
      <c r="I254" s="528" t="s">
        <v>6241</v>
      </c>
      <c r="J254" s="526" t="s">
        <v>6242</v>
      </c>
      <c r="K254" s="526" t="s">
        <v>6243</v>
      </c>
      <c r="L254" s="526" t="s">
        <v>6244</v>
      </c>
      <c r="M254" s="526" t="s">
        <v>6245</v>
      </c>
    </row>
    <row r="255" spans="1:13" x14ac:dyDescent="0.3">
      <c r="A255" s="2" t="s">
        <v>6246</v>
      </c>
      <c r="B255" s="521" t="str">
        <f t="shared" si="8"/>
        <v>B6 - Water Withdrawal</v>
      </c>
      <c r="C255" s="2" t="s">
        <v>6247</v>
      </c>
      <c r="D255" s="516" t="s">
        <v>8782</v>
      </c>
      <c r="E255" s="516" t="s">
        <v>6248</v>
      </c>
      <c r="F255" s="516" t="s">
        <v>6249</v>
      </c>
      <c r="G255" s="523" t="s">
        <v>6250</v>
      </c>
      <c r="H255" s="523" t="s">
        <v>6251</v>
      </c>
      <c r="I255" s="2" t="s">
        <v>6252</v>
      </c>
      <c r="J255" s="522" t="s">
        <v>6253</v>
      </c>
      <c r="K255" s="522" t="s">
        <v>6254</v>
      </c>
      <c r="L255" s="522" t="s">
        <v>6255</v>
      </c>
      <c r="M255" s="522" t="s">
        <v>8785</v>
      </c>
    </row>
    <row r="256" spans="1:13" ht="28.8" x14ac:dyDescent="0.3">
      <c r="A256" s="2" t="s">
        <v>6256</v>
      </c>
      <c r="B256" s="521" t="str">
        <f t="shared" si="8"/>
        <v>Total amount of water withdrawn from all sites (cubic meters m³)</v>
      </c>
      <c r="C256" s="2" t="s">
        <v>6257</v>
      </c>
      <c r="D256" s="516" t="s">
        <v>6258</v>
      </c>
      <c r="E256" s="516" t="s">
        <v>6259</v>
      </c>
      <c r="F256" s="516" t="s">
        <v>6260</v>
      </c>
      <c r="G256" s="523" t="s">
        <v>6261</v>
      </c>
      <c r="H256" s="523" t="s">
        <v>6262</v>
      </c>
      <c r="I256" s="2" t="s">
        <v>6263</v>
      </c>
      <c r="J256" s="522" t="s">
        <v>6264</v>
      </c>
      <c r="K256" s="522" t="s">
        <v>6265</v>
      </c>
      <c r="L256" s="522" t="s">
        <v>6266</v>
      </c>
      <c r="M256" s="522" t="s">
        <v>6267</v>
      </c>
    </row>
    <row r="257" spans="1:13" ht="43.8" thickBot="1" x14ac:dyDescent="0.35">
      <c r="A257" s="528" t="s">
        <v>6268</v>
      </c>
      <c r="B257" s="525" t="str">
        <f t="shared" si="8"/>
        <v>Amount of water withdrawn at sites located in areas of high water-stress (cubic meters m³)</v>
      </c>
      <c r="C257" s="528" t="s">
        <v>6269</v>
      </c>
      <c r="D257" s="524" t="s">
        <v>6270</v>
      </c>
      <c r="E257" s="524" t="s">
        <v>6271</v>
      </c>
      <c r="F257" s="524" t="s">
        <v>6272</v>
      </c>
      <c r="G257" s="527" t="s">
        <v>6273</v>
      </c>
      <c r="H257" s="527" t="s">
        <v>6274</v>
      </c>
      <c r="I257" s="528" t="s">
        <v>6275</v>
      </c>
      <c r="J257" s="526" t="s">
        <v>6276</v>
      </c>
      <c r="K257" s="526" t="s">
        <v>6277</v>
      </c>
      <c r="L257" s="526" t="s">
        <v>6278</v>
      </c>
      <c r="M257" s="526" t="s">
        <v>6279</v>
      </c>
    </row>
    <row r="258" spans="1:13" ht="28.8" x14ac:dyDescent="0.3">
      <c r="A258" s="2" t="s">
        <v>6280</v>
      </c>
      <c r="B258" s="521" t="str">
        <f t="shared" si="8"/>
        <v>B6 - Water Consumption</v>
      </c>
      <c r="C258" s="2" t="s">
        <v>6281</v>
      </c>
      <c r="D258" s="516" t="s">
        <v>8784</v>
      </c>
      <c r="E258" s="516" t="s">
        <v>6282</v>
      </c>
      <c r="F258" s="516" t="s">
        <v>6283</v>
      </c>
      <c r="G258" s="523" t="s">
        <v>6284</v>
      </c>
      <c r="H258" s="523" t="s">
        <v>6285</v>
      </c>
      <c r="I258" s="2" t="s">
        <v>6286</v>
      </c>
      <c r="J258" s="522" t="s">
        <v>6287</v>
      </c>
      <c r="K258" s="522" t="s">
        <v>6288</v>
      </c>
      <c r="L258" s="522" t="s">
        <v>6289</v>
      </c>
      <c r="M258" s="522" t="s">
        <v>6290</v>
      </c>
    </row>
    <row r="259" spans="1:13" ht="86.4" x14ac:dyDescent="0.3">
      <c r="A259" s="2" t="s">
        <v>6291</v>
      </c>
      <c r="B259" s="521" t="str">
        <f t="shared" si="8"/>
        <v>Does the undertaking have production processes in place which significantly consume water (e.g. thermal energy processes like drying or power production production of goods agricultural irrigation etc.)?</v>
      </c>
      <c r="C259" s="2" t="s">
        <v>6292</v>
      </c>
      <c r="D259" s="516" t="s">
        <v>6293</v>
      </c>
      <c r="E259" s="516" t="s">
        <v>6294</v>
      </c>
      <c r="F259" s="516" t="s">
        <v>6295</v>
      </c>
      <c r="G259" s="523" t="s">
        <v>6296</v>
      </c>
      <c r="H259" s="523" t="s">
        <v>6297</v>
      </c>
      <c r="I259" s="2" t="s">
        <v>6298</v>
      </c>
      <c r="J259" s="522" t="s">
        <v>6299</v>
      </c>
      <c r="K259" s="522" t="s">
        <v>6300</v>
      </c>
      <c r="L259" s="522" t="s">
        <v>6301</v>
      </c>
      <c r="M259" s="522" t="s">
        <v>6302</v>
      </c>
    </row>
    <row r="260" spans="1:13" ht="28.8" x14ac:dyDescent="0.3">
      <c r="A260" s="2" t="s">
        <v>6303</v>
      </c>
      <c r="B260" s="521" t="str">
        <f t="shared" si="8"/>
        <v>Water discharge from undertaking production processes (m³)</v>
      </c>
      <c r="C260" s="2" t="s">
        <v>6304</v>
      </c>
      <c r="D260" s="516" t="s">
        <v>6305</v>
      </c>
      <c r="E260" s="516" t="s">
        <v>6306</v>
      </c>
      <c r="F260" s="516" t="s">
        <v>6307</v>
      </c>
      <c r="G260" s="523" t="s">
        <v>6308</v>
      </c>
      <c r="H260" s="523" t="s">
        <v>6309</v>
      </c>
      <c r="I260" s="2" t="s">
        <v>6310</v>
      </c>
      <c r="J260" s="522" t="s">
        <v>6311</v>
      </c>
      <c r="K260" s="522" t="s">
        <v>6312</v>
      </c>
      <c r="L260" s="522" t="s">
        <v>6313</v>
      </c>
      <c r="M260" s="522" t="s">
        <v>6314</v>
      </c>
    </row>
    <row r="261" spans="1:13" ht="15" thickBot="1" x14ac:dyDescent="0.35">
      <c r="A261" s="528" t="s">
        <v>6315</v>
      </c>
      <c r="B261" s="525" t="str">
        <f t="shared" si="8"/>
        <v>Total water consumption (m³)</v>
      </c>
      <c r="C261" s="528" t="s">
        <v>6316</v>
      </c>
      <c r="D261" s="524" t="s">
        <v>6317</v>
      </c>
      <c r="E261" s="524" t="s">
        <v>6318</v>
      </c>
      <c r="F261" s="524" t="s">
        <v>6319</v>
      </c>
      <c r="G261" s="527" t="s">
        <v>6320</v>
      </c>
      <c r="H261" s="527" t="s">
        <v>6321</v>
      </c>
      <c r="I261" s="528" t="s">
        <v>6322</v>
      </c>
      <c r="J261" s="526" t="s">
        <v>6323</v>
      </c>
      <c r="K261" s="526" t="s">
        <v>6324</v>
      </c>
      <c r="L261" s="526" t="s">
        <v>6325</v>
      </c>
      <c r="M261" s="526" t="s">
        <v>6326</v>
      </c>
    </row>
    <row r="262" spans="1:13" ht="28.8" x14ac:dyDescent="0.3">
      <c r="A262" s="2" t="s">
        <v>6327</v>
      </c>
      <c r="B262" s="521" t="str">
        <f t="shared" si="8"/>
        <v>B7 - Description of circular economy principles</v>
      </c>
      <c r="C262" s="2" t="s">
        <v>6328</v>
      </c>
      <c r="D262" s="516" t="s">
        <v>6329</v>
      </c>
      <c r="E262" s="516" t="s">
        <v>6330</v>
      </c>
      <c r="F262" s="516" t="s">
        <v>6331</v>
      </c>
      <c r="G262" s="523" t="s">
        <v>6332</v>
      </c>
      <c r="H262" s="523" t="s">
        <v>6333</v>
      </c>
      <c r="I262" s="2" t="s">
        <v>6334</v>
      </c>
      <c r="J262" s="522" t="s">
        <v>6335</v>
      </c>
      <c r="K262" s="522" t="s">
        <v>6336</v>
      </c>
      <c r="L262" s="522" t="s">
        <v>6337</v>
      </c>
      <c r="M262" s="522" t="s">
        <v>6338</v>
      </c>
    </row>
    <row r="263" spans="1:13" ht="28.8" x14ac:dyDescent="0.3">
      <c r="A263" s="2" t="s">
        <v>6339</v>
      </c>
      <c r="B263" s="521" t="str">
        <f t="shared" si="8"/>
        <v>Undertaking applies circular economy principles</v>
      </c>
      <c r="C263" s="2" t="s">
        <v>6340</v>
      </c>
      <c r="D263" s="516" t="s">
        <v>6341</v>
      </c>
      <c r="E263" s="516" t="s">
        <v>6342</v>
      </c>
      <c r="F263" s="516" t="s">
        <v>6343</v>
      </c>
      <c r="G263" s="523" t="s">
        <v>6344</v>
      </c>
      <c r="H263" s="523" t="s">
        <v>6345</v>
      </c>
      <c r="I263" s="2" t="s">
        <v>6346</v>
      </c>
      <c r="J263" s="522" t="s">
        <v>6347</v>
      </c>
      <c r="K263" s="522" t="s">
        <v>6348</v>
      </c>
      <c r="L263" s="522" t="s">
        <v>6349</v>
      </c>
      <c r="M263" s="522" t="s">
        <v>6350</v>
      </c>
    </row>
    <row r="264" spans="1:13" ht="43.8" thickBot="1" x14ac:dyDescent="0.35">
      <c r="A264" s="528" t="s">
        <v>6351</v>
      </c>
      <c r="B264" s="525" t="str">
        <f t="shared" si="8"/>
        <v>Description of how it applies these principles</v>
      </c>
      <c r="C264" s="528" t="s">
        <v>6352</v>
      </c>
      <c r="D264" s="524" t="s">
        <v>6353</v>
      </c>
      <c r="E264" s="524" t="s">
        <v>6354</v>
      </c>
      <c r="F264" s="524" t="s">
        <v>6355</v>
      </c>
      <c r="G264" s="527" t="s">
        <v>6356</v>
      </c>
      <c r="H264" s="527" t="s">
        <v>6357</v>
      </c>
      <c r="I264" s="528" t="s">
        <v>6358</v>
      </c>
      <c r="J264" s="526" t="s">
        <v>6359</v>
      </c>
      <c r="K264" s="526" t="s">
        <v>6360</v>
      </c>
      <c r="L264" s="526" t="s">
        <v>6361</v>
      </c>
      <c r="M264" s="526" t="s">
        <v>6362</v>
      </c>
    </row>
    <row r="265" spans="1:13" ht="28.8" x14ac:dyDescent="0.3">
      <c r="A265" s="2" t="s">
        <v>6363</v>
      </c>
      <c r="B265" s="521" t="str">
        <f t="shared" si="8"/>
        <v>B7 - Waste generated</v>
      </c>
      <c r="C265" s="2" t="s">
        <v>6364</v>
      </c>
      <c r="D265" s="516" t="s">
        <v>6365</v>
      </c>
      <c r="E265" s="516" t="s">
        <v>6366</v>
      </c>
      <c r="F265" s="516" t="s">
        <v>6367</v>
      </c>
      <c r="G265" s="523" t="s">
        <v>6368</v>
      </c>
      <c r="H265" s="523" t="s">
        <v>6369</v>
      </c>
      <c r="I265" s="2" t="s">
        <v>8783</v>
      </c>
      <c r="J265" s="522" t="s">
        <v>6370</v>
      </c>
      <c r="K265" s="522" t="s">
        <v>6371</v>
      </c>
      <c r="L265" s="522" t="s">
        <v>6372</v>
      </c>
      <c r="M265" s="522" t="s">
        <v>6373</v>
      </c>
    </row>
    <row r="266" spans="1:13" x14ac:dyDescent="0.3">
      <c r="A266" s="2" t="s">
        <v>6374</v>
      </c>
      <c r="B266" s="521" t="str">
        <f t="shared" si="8"/>
        <v>Type of waste</v>
      </c>
      <c r="C266" s="2" t="s">
        <v>6375</v>
      </c>
      <c r="D266" s="516" t="s">
        <v>6376</v>
      </c>
      <c r="E266" s="516" t="s">
        <v>6377</v>
      </c>
      <c r="F266" s="516" t="s">
        <v>6378</v>
      </c>
      <c r="G266" s="523" t="s">
        <v>6379</v>
      </c>
      <c r="H266" s="523" t="s">
        <v>6380</v>
      </c>
      <c r="I266" s="2" t="s">
        <v>6381</v>
      </c>
      <c r="J266" s="522" t="s">
        <v>6382</v>
      </c>
      <c r="K266" s="522" t="s">
        <v>6383</v>
      </c>
      <c r="L266" s="522" t="s">
        <v>6384</v>
      </c>
      <c r="M266" s="522" t="s">
        <v>6385</v>
      </c>
    </row>
    <row r="267" spans="1:13" x14ac:dyDescent="0.3">
      <c r="A267" s="2" t="s">
        <v>6386</v>
      </c>
      <c r="B267" s="521" t="str">
        <f t="shared" si="8"/>
        <v>Unit of measurement</v>
      </c>
      <c r="C267" s="2" t="s">
        <v>132</v>
      </c>
      <c r="D267" s="516" t="s">
        <v>6387</v>
      </c>
      <c r="E267" s="516" t="s">
        <v>6388</v>
      </c>
      <c r="F267" s="516" t="s">
        <v>6389</v>
      </c>
      <c r="G267" s="523" t="s">
        <v>6390</v>
      </c>
      <c r="H267" s="523" t="s">
        <v>6391</v>
      </c>
      <c r="I267" s="2" t="s">
        <v>6392</v>
      </c>
      <c r="J267" s="522" t="s">
        <v>6393</v>
      </c>
      <c r="K267" s="522" t="s">
        <v>6394</v>
      </c>
      <c r="L267" s="522" t="s">
        <v>6395</v>
      </c>
      <c r="M267" s="522" t="s">
        <v>6396</v>
      </c>
    </row>
    <row r="268" spans="1:13" ht="28.8" x14ac:dyDescent="0.3">
      <c r="A268" s="2" t="s">
        <v>6397</v>
      </c>
      <c r="B268" s="521" t="str">
        <f t="shared" si="8"/>
        <v>Waste diverted to recycle or reuse</v>
      </c>
      <c r="C268" s="2" t="s">
        <v>6398</v>
      </c>
      <c r="D268" s="516" t="s">
        <v>6399</v>
      </c>
      <c r="E268" s="516" t="s">
        <v>6400</v>
      </c>
      <c r="F268" s="516" t="s">
        <v>6401</v>
      </c>
      <c r="G268" s="523" t="s">
        <v>6402</v>
      </c>
      <c r="H268" s="523" t="s">
        <v>6403</v>
      </c>
      <c r="I268" s="2" t="s">
        <v>6404</v>
      </c>
      <c r="J268" s="522" t="s">
        <v>6405</v>
      </c>
      <c r="K268" s="522" t="s">
        <v>6406</v>
      </c>
      <c r="L268" s="522" t="s">
        <v>6407</v>
      </c>
      <c r="M268" s="522" t="s">
        <v>6408</v>
      </c>
    </row>
    <row r="269" spans="1:13" x14ac:dyDescent="0.3">
      <c r="A269" s="2" t="s">
        <v>6409</v>
      </c>
      <c r="B269" s="521" t="str">
        <f t="shared" si="8"/>
        <v>Waste directed to disposal</v>
      </c>
      <c r="C269" s="2" t="s">
        <v>6410</v>
      </c>
      <c r="D269" s="516" t="s">
        <v>6411</v>
      </c>
      <c r="E269" s="516" t="s">
        <v>6412</v>
      </c>
      <c r="F269" s="516" t="s">
        <v>6413</v>
      </c>
      <c r="G269" s="523" t="s">
        <v>6414</v>
      </c>
      <c r="H269" s="523" t="s">
        <v>6415</v>
      </c>
      <c r="I269" s="2" t="s">
        <v>6416</v>
      </c>
      <c r="J269" s="522" t="s">
        <v>6417</v>
      </c>
      <c r="K269" s="522" t="s">
        <v>6418</v>
      </c>
      <c r="L269" s="522" t="s">
        <v>6419</v>
      </c>
      <c r="M269" s="522" t="s">
        <v>6420</v>
      </c>
    </row>
    <row r="270" spans="1:13" ht="28.8" x14ac:dyDescent="0.3">
      <c r="A270" s="2" t="s">
        <v>6421</v>
      </c>
      <c r="B270" s="521" t="str">
        <f t="shared" si="8"/>
        <v>Amount of waste recycled reused and directed to disposal</v>
      </c>
      <c r="C270" s="2" t="s">
        <v>6422</v>
      </c>
      <c r="D270" s="516" t="s">
        <v>6423</v>
      </c>
      <c r="E270" s="516" t="s">
        <v>6424</v>
      </c>
      <c r="F270" s="516" t="s">
        <v>6425</v>
      </c>
      <c r="G270" s="523" t="s">
        <v>6426</v>
      </c>
      <c r="H270" s="523" t="s">
        <v>6427</v>
      </c>
      <c r="I270" s="2" t="s">
        <v>6428</v>
      </c>
      <c r="J270" s="522" t="s">
        <v>6429</v>
      </c>
      <c r="K270" s="522" t="s">
        <v>6430</v>
      </c>
      <c r="L270" s="522" t="s">
        <v>6431</v>
      </c>
      <c r="M270" s="522" t="s">
        <v>6432</v>
      </c>
    </row>
    <row r="271" spans="1:13" ht="28.8" x14ac:dyDescent="0.3">
      <c r="A271" s="2" t="s">
        <v>6433</v>
      </c>
      <c r="B271" s="521" t="str">
        <f t="shared" si="8"/>
        <v>Total Hazardous waste generated (mass)</v>
      </c>
      <c r="C271" s="2" t="s">
        <v>6434</v>
      </c>
      <c r="D271" s="516" t="s">
        <v>6435</v>
      </c>
      <c r="E271" s="516" t="s">
        <v>6436</v>
      </c>
      <c r="F271" s="516" t="s">
        <v>6437</v>
      </c>
      <c r="G271" s="523" t="s">
        <v>6438</v>
      </c>
      <c r="H271" s="523" t="s">
        <v>6439</v>
      </c>
      <c r="I271" s="2" t="s">
        <v>6440</v>
      </c>
      <c r="J271" s="522" t="s">
        <v>6441</v>
      </c>
      <c r="K271" s="522" t="s">
        <v>6442</v>
      </c>
      <c r="L271" s="522" t="s">
        <v>6443</v>
      </c>
      <c r="M271" s="522" t="s">
        <v>6444</v>
      </c>
    </row>
    <row r="272" spans="1:13" x14ac:dyDescent="0.3">
      <c r="A272" s="2" t="s">
        <v>6445</v>
      </c>
      <c r="B272" s="521" t="str">
        <f t="shared" si="8"/>
        <v>Total amount of waste generated</v>
      </c>
      <c r="C272" s="2" t="s">
        <v>6446</v>
      </c>
      <c r="D272" s="516" t="s">
        <v>6447</v>
      </c>
      <c r="E272" s="516" t="s">
        <v>6448</v>
      </c>
      <c r="F272" s="516" t="s">
        <v>6449</v>
      </c>
      <c r="G272" s="523" t="s">
        <v>6450</v>
      </c>
      <c r="H272" s="523" t="s">
        <v>6451</v>
      </c>
      <c r="I272" s="2" t="s">
        <v>6452</v>
      </c>
      <c r="J272" s="522" t="s">
        <v>6453</v>
      </c>
      <c r="K272" s="522" t="s">
        <v>6454</v>
      </c>
      <c r="L272" s="522" t="s">
        <v>6455</v>
      </c>
      <c r="M272" s="522" t="s">
        <v>6456</v>
      </c>
    </row>
    <row r="273" spans="1:13" ht="28.8" x14ac:dyDescent="0.3">
      <c r="A273" s="2" t="s">
        <v>6457</v>
      </c>
      <c r="B273" s="521" t="str">
        <f t="shared" si="8"/>
        <v>Total Non-Hazardous waste generated (mass)</v>
      </c>
      <c r="C273" s="2" t="s">
        <v>6458</v>
      </c>
      <c r="D273" s="516" t="s">
        <v>6459</v>
      </c>
      <c r="E273" s="516" t="s">
        <v>6460</v>
      </c>
      <c r="F273" s="516" t="s">
        <v>6461</v>
      </c>
      <c r="G273" s="523" t="s">
        <v>6462</v>
      </c>
      <c r="H273" s="523" t="s">
        <v>6463</v>
      </c>
      <c r="I273" s="2" t="s">
        <v>6464</v>
      </c>
      <c r="J273" s="522" t="s">
        <v>6465</v>
      </c>
      <c r="K273" s="522" t="s">
        <v>6466</v>
      </c>
      <c r="L273" s="522" t="s">
        <v>6467</v>
      </c>
      <c r="M273" s="522" t="s">
        <v>6468</v>
      </c>
    </row>
    <row r="274" spans="1:13" x14ac:dyDescent="0.3">
      <c r="A274" s="2" t="s">
        <v>6469</v>
      </c>
      <c r="B274" s="521" t="str">
        <f t="shared" si="8"/>
        <v>Total waste generated (mass)</v>
      </c>
      <c r="C274" s="2" t="s">
        <v>6470</v>
      </c>
      <c r="D274" s="516" t="s">
        <v>6471</v>
      </c>
      <c r="E274" s="516" t="s">
        <v>6472</v>
      </c>
      <c r="F274" s="516" t="s">
        <v>6473</v>
      </c>
      <c r="G274" s="523" t="s">
        <v>6474</v>
      </c>
      <c r="H274" s="523" t="s">
        <v>6475</v>
      </c>
      <c r="I274" s="2" t="s">
        <v>6476</v>
      </c>
      <c r="J274" s="522" t="s">
        <v>6477</v>
      </c>
      <c r="K274" s="522" t="s">
        <v>6478</v>
      </c>
      <c r="L274" s="522" t="s">
        <v>6479</v>
      </c>
      <c r="M274" s="522" t="s">
        <v>6480</v>
      </c>
    </row>
    <row r="275" spans="1:13" ht="28.8" x14ac:dyDescent="0.3">
      <c r="A275" s="2" t="s">
        <v>6481</v>
      </c>
      <c r="B275" s="521" t="str">
        <f t="shared" si="8"/>
        <v>Total Hazardous waste generated (volume)</v>
      </c>
      <c r="C275" s="2" t="s">
        <v>6482</v>
      </c>
      <c r="D275" s="516" t="s">
        <v>6483</v>
      </c>
      <c r="E275" s="516" t="s">
        <v>6484</v>
      </c>
      <c r="F275" s="516" t="s">
        <v>6485</v>
      </c>
      <c r="G275" s="523" t="s">
        <v>6486</v>
      </c>
      <c r="H275" s="523" t="s">
        <v>6487</v>
      </c>
      <c r="I275" s="2" t="s">
        <v>6488</v>
      </c>
      <c r="J275" s="522" t="s">
        <v>6489</v>
      </c>
      <c r="K275" s="522" t="s">
        <v>6490</v>
      </c>
      <c r="L275" s="522" t="s">
        <v>6491</v>
      </c>
      <c r="M275" s="522" t="s">
        <v>6492</v>
      </c>
    </row>
    <row r="276" spans="1:13" x14ac:dyDescent="0.3">
      <c r="A276" s="2" t="s">
        <v>6493</v>
      </c>
      <c r="B276" s="521" t="str">
        <f t="shared" si="8"/>
        <v>cubic meters (m³)</v>
      </c>
      <c r="C276" s="2" t="s">
        <v>6494</v>
      </c>
      <c r="D276" s="516" t="s">
        <v>6495</v>
      </c>
      <c r="E276" s="516" t="s">
        <v>6496</v>
      </c>
      <c r="F276" s="516" t="s">
        <v>6497</v>
      </c>
      <c r="G276" s="523" t="s">
        <v>6498</v>
      </c>
      <c r="H276" s="523" t="s">
        <v>6499</v>
      </c>
      <c r="I276" s="2" t="s">
        <v>6500</v>
      </c>
      <c r="J276" s="522" t="s">
        <v>6501</v>
      </c>
      <c r="K276" s="522" t="s">
        <v>6502</v>
      </c>
      <c r="L276" s="522" t="s">
        <v>6503</v>
      </c>
      <c r="M276" s="522" t="s">
        <v>6503</v>
      </c>
    </row>
    <row r="277" spans="1:13" ht="28.8" x14ac:dyDescent="0.3">
      <c r="A277" s="2" t="s">
        <v>6504</v>
      </c>
      <c r="B277" s="521" t="str">
        <f t="shared" si="8"/>
        <v>Total Non-Hazardous waste generated (volume)</v>
      </c>
      <c r="C277" s="2" t="s">
        <v>6505</v>
      </c>
      <c r="D277" s="516" t="s">
        <v>6506</v>
      </c>
      <c r="E277" s="516" t="s">
        <v>6507</v>
      </c>
      <c r="F277" s="516" t="s">
        <v>6508</v>
      </c>
      <c r="G277" s="523" t="s">
        <v>6509</v>
      </c>
      <c r="H277" s="523" t="s">
        <v>6510</v>
      </c>
      <c r="I277" s="2" t="s">
        <v>6511</v>
      </c>
      <c r="J277" s="522" t="s">
        <v>6512</v>
      </c>
      <c r="K277" s="522" t="s">
        <v>6513</v>
      </c>
      <c r="L277" s="522" t="s">
        <v>6514</v>
      </c>
      <c r="M277" s="522" t="s">
        <v>6515</v>
      </c>
    </row>
    <row r="278" spans="1:13" ht="15" thickBot="1" x14ac:dyDescent="0.35">
      <c r="A278" s="528" t="s">
        <v>6516</v>
      </c>
      <c r="B278" s="525" t="str">
        <f t="shared" si="8"/>
        <v>Total waste generated (volume)</v>
      </c>
      <c r="C278" s="528" t="s">
        <v>6517</v>
      </c>
      <c r="D278" s="524" t="s">
        <v>6518</v>
      </c>
      <c r="E278" s="524" t="s">
        <v>6519</v>
      </c>
      <c r="F278" s="524" t="s">
        <v>6520</v>
      </c>
      <c r="G278" s="527" t="s">
        <v>6521</v>
      </c>
      <c r="H278" s="527" t="s">
        <v>6522</v>
      </c>
      <c r="I278" s="528" t="s">
        <v>6523</v>
      </c>
      <c r="J278" s="526" t="s">
        <v>6524</v>
      </c>
      <c r="K278" s="526" t="s">
        <v>6525</v>
      </c>
      <c r="L278" s="526" t="s">
        <v>6526</v>
      </c>
      <c r="M278" s="526" t="s">
        <v>6527</v>
      </c>
    </row>
    <row r="279" spans="1:13" ht="28.8" x14ac:dyDescent="0.3">
      <c r="A279" s="2" t="s">
        <v>6528</v>
      </c>
      <c r="B279" s="521" t="str">
        <f t="shared" si="8"/>
        <v>B7 - Annual mass-flow of relevant materials used</v>
      </c>
      <c r="C279" s="2" t="s">
        <v>6529</v>
      </c>
      <c r="D279" s="516" t="s">
        <v>6530</v>
      </c>
      <c r="E279" s="516" t="s">
        <v>6531</v>
      </c>
      <c r="F279" s="516" t="s">
        <v>6532</v>
      </c>
      <c r="G279" s="523" t="s">
        <v>6533</v>
      </c>
      <c r="H279" s="523" t="s">
        <v>6534</v>
      </c>
      <c r="I279" s="2" t="s">
        <v>6535</v>
      </c>
      <c r="J279" s="522" t="s">
        <v>6536</v>
      </c>
      <c r="K279" s="522" t="s">
        <v>6537</v>
      </c>
      <c r="L279" s="522" t="s">
        <v>6538</v>
      </c>
      <c r="M279" s="522" t="s">
        <v>6539</v>
      </c>
    </row>
    <row r="280" spans="1:13" ht="13.95" customHeight="1" x14ac:dyDescent="0.3">
      <c r="A280" s="2" t="s">
        <v>6540</v>
      </c>
      <c r="B280" s="521" t="str">
        <f t="shared" si="8"/>
        <v>Does the undertaking the undertaking operate in a sector using significant material flows (for example manufacturing construction packaging or others)?</v>
      </c>
      <c r="C280" s="2" t="s">
        <v>6541</v>
      </c>
      <c r="D280" s="516" t="s">
        <v>6542</v>
      </c>
      <c r="E280" s="516" t="s">
        <v>6543</v>
      </c>
      <c r="F280" s="516" t="s">
        <v>6544</v>
      </c>
      <c r="G280" s="523" t="s">
        <v>6545</v>
      </c>
      <c r="H280" s="523" t="s">
        <v>6546</v>
      </c>
      <c r="I280" s="2" t="s">
        <v>6547</v>
      </c>
      <c r="J280" s="522" t="s">
        <v>6548</v>
      </c>
      <c r="K280" s="522" t="s">
        <v>6549</v>
      </c>
      <c r="L280" s="522" t="s">
        <v>6550</v>
      </c>
      <c r="M280" s="522" t="s">
        <v>6551</v>
      </c>
    </row>
    <row r="281" spans="1:13" x14ac:dyDescent="0.3">
      <c r="A281" s="2" t="s">
        <v>6552</v>
      </c>
      <c r="B281" s="521" t="str">
        <f t="shared" si="8"/>
        <v>Name of the key material</v>
      </c>
      <c r="C281" s="2" t="s">
        <v>6553</v>
      </c>
      <c r="D281" s="516" t="s">
        <v>6554</v>
      </c>
      <c r="E281" s="516" t="s">
        <v>6555</v>
      </c>
      <c r="F281" s="516" t="s">
        <v>6556</v>
      </c>
      <c r="G281" s="523" t="s">
        <v>6557</v>
      </c>
      <c r="H281" s="523" t="s">
        <v>6558</v>
      </c>
      <c r="I281" s="2" t="s">
        <v>6559</v>
      </c>
      <c r="J281" s="522" t="s">
        <v>6560</v>
      </c>
      <c r="K281" s="522" t="s">
        <v>6561</v>
      </c>
      <c r="L281" s="522" t="s">
        <v>6562</v>
      </c>
      <c r="M281" s="522" t="s">
        <v>6563</v>
      </c>
    </row>
    <row r="282" spans="1:13" x14ac:dyDescent="0.3">
      <c r="A282" s="2" t="s">
        <v>6564</v>
      </c>
      <c r="B282" s="521" t="str">
        <f t="shared" si="8"/>
        <v>Mass / Volume</v>
      </c>
      <c r="C282" s="2" t="s">
        <v>6565</v>
      </c>
      <c r="D282" s="516" t="s">
        <v>6566</v>
      </c>
      <c r="E282" s="516" t="s">
        <v>6567</v>
      </c>
      <c r="F282" s="516" t="s">
        <v>6568</v>
      </c>
      <c r="G282" s="523" t="s">
        <v>6569</v>
      </c>
      <c r="H282" s="523" t="s">
        <v>6570</v>
      </c>
      <c r="I282" s="2" t="s">
        <v>6571</v>
      </c>
      <c r="J282" s="522" t="s">
        <v>6572</v>
      </c>
      <c r="K282" s="522" t="s">
        <v>6573</v>
      </c>
      <c r="L282" s="522" t="s">
        <v>6571</v>
      </c>
      <c r="M282" s="522" t="s">
        <v>6574</v>
      </c>
    </row>
    <row r="283" spans="1:13" ht="28.8" x14ac:dyDescent="0.3">
      <c r="A283" s="2" t="s">
        <v>6575</v>
      </c>
      <c r="B283" s="521" t="str">
        <f t="shared" si="8"/>
        <v>Total annual mass-flow of relevant materials used (mass in kg)</v>
      </c>
      <c r="C283" s="2" t="s">
        <v>6576</v>
      </c>
      <c r="D283" s="516" t="s">
        <v>6577</v>
      </c>
      <c r="E283" s="516" t="s">
        <v>6578</v>
      </c>
      <c r="F283" s="516" t="s">
        <v>6579</v>
      </c>
      <c r="G283" s="523" t="s">
        <v>6580</v>
      </c>
      <c r="H283" s="523" t="s">
        <v>6581</v>
      </c>
      <c r="I283" s="2" t="s">
        <v>6582</v>
      </c>
      <c r="J283" s="522" t="s">
        <v>6583</v>
      </c>
      <c r="K283" s="522" t="s">
        <v>6584</v>
      </c>
      <c r="L283" s="522" t="s">
        <v>6585</v>
      </c>
      <c r="M283" s="522" t="s">
        <v>6586</v>
      </c>
    </row>
    <row r="284" spans="1:13" x14ac:dyDescent="0.3">
      <c r="A284" s="2" t="s">
        <v>6587</v>
      </c>
      <c r="B284" s="521" t="str">
        <f t="shared" si="8"/>
        <v>kilograms (kg)</v>
      </c>
      <c r="C284" s="2" t="s">
        <v>58</v>
      </c>
      <c r="D284" s="516" t="s">
        <v>6588</v>
      </c>
      <c r="E284" s="516" t="s">
        <v>6589</v>
      </c>
      <c r="F284" s="516" t="s">
        <v>6590</v>
      </c>
      <c r="G284" s="523" t="s">
        <v>6591</v>
      </c>
      <c r="H284" s="523" t="s">
        <v>6592</v>
      </c>
      <c r="I284" s="2" t="s">
        <v>6593</v>
      </c>
      <c r="J284" s="522" t="s">
        <v>6594</v>
      </c>
      <c r="K284" s="522" t="s">
        <v>6595</v>
      </c>
      <c r="L284" s="522" t="s">
        <v>6596</v>
      </c>
      <c r="M284" s="522" t="s">
        <v>6597</v>
      </c>
    </row>
    <row r="285" spans="1:13" ht="29.4" thickBot="1" x14ac:dyDescent="0.35">
      <c r="A285" s="528" t="s">
        <v>6598</v>
      </c>
      <c r="B285" s="525" t="str">
        <f t="shared" si="8"/>
        <v>Total annual mass-flow of relevant materials used (volume in m³)</v>
      </c>
      <c r="C285" s="528" t="s">
        <v>6599</v>
      </c>
      <c r="D285" s="524" t="s">
        <v>6600</v>
      </c>
      <c r="E285" s="524" t="s">
        <v>6601</v>
      </c>
      <c r="F285" s="524" t="s">
        <v>6602</v>
      </c>
      <c r="G285" s="527" t="s">
        <v>6603</v>
      </c>
      <c r="H285" s="527" t="s">
        <v>6604</v>
      </c>
      <c r="I285" s="528" t="s">
        <v>6605</v>
      </c>
      <c r="J285" s="526" t="s">
        <v>6606</v>
      </c>
      <c r="K285" s="526" t="s">
        <v>6607</v>
      </c>
      <c r="L285" s="526" t="s">
        <v>6608</v>
      </c>
      <c r="M285" s="526" t="s">
        <v>6609</v>
      </c>
    </row>
    <row r="286" spans="1:13" x14ac:dyDescent="0.3">
      <c r="A286" s="2" t="s">
        <v>6610</v>
      </c>
      <c r="B286" s="521" t="str">
        <f t="shared" si="8"/>
        <v>C4 - Climate risks</v>
      </c>
      <c r="C286" s="2" t="s">
        <v>4252</v>
      </c>
      <c r="D286" s="516" t="s">
        <v>6611</v>
      </c>
      <c r="E286" s="516" t="s">
        <v>6612</v>
      </c>
      <c r="F286" s="516" t="s">
        <v>4255</v>
      </c>
      <c r="G286" s="523" t="s">
        <v>6613</v>
      </c>
      <c r="H286" s="523" t="s">
        <v>6614</v>
      </c>
      <c r="I286" s="2" t="s">
        <v>6615</v>
      </c>
      <c r="J286" s="522" t="s">
        <v>6616</v>
      </c>
      <c r="K286" s="522" t="s">
        <v>6617</v>
      </c>
      <c r="L286" s="522" t="s">
        <v>4261</v>
      </c>
      <c r="M286" s="522" t="s">
        <v>6618</v>
      </c>
    </row>
    <row r="287" spans="1:13" ht="72" x14ac:dyDescent="0.3">
      <c r="A287" s="2" t="s">
        <v>6619</v>
      </c>
      <c r="B287" s="521" t="str">
        <f t="shared" si="8"/>
        <v>Has the undertaking identified climate-related hazards and climate-related transition events creating gross climate-related risks for the undertaking?</v>
      </c>
      <c r="C287" s="2" t="s">
        <v>6620</v>
      </c>
      <c r="D287" s="516" t="s">
        <v>6621</v>
      </c>
      <c r="E287" s="516" t="s">
        <v>6622</v>
      </c>
      <c r="F287" s="516" t="s">
        <v>6623</v>
      </c>
      <c r="G287" s="523" t="s">
        <v>6624</v>
      </c>
      <c r="H287" s="523" t="s">
        <v>6625</v>
      </c>
      <c r="I287" s="2" t="s">
        <v>6626</v>
      </c>
      <c r="J287" s="522" t="s">
        <v>6627</v>
      </c>
      <c r="K287" s="522" t="s">
        <v>6628</v>
      </c>
      <c r="L287" s="522" t="s">
        <v>6629</v>
      </c>
      <c r="M287" s="522" t="s">
        <v>6630</v>
      </c>
    </row>
    <row r="288" spans="1:13" ht="28.8" x14ac:dyDescent="0.3">
      <c r="A288" s="2" t="s">
        <v>6631</v>
      </c>
      <c r="B288" s="521" t="str">
        <f t="shared" si="8"/>
        <v>Description of climate-related hazards and climate-related transition events</v>
      </c>
      <c r="C288" s="2" t="s">
        <v>6632</v>
      </c>
      <c r="D288" s="516" t="s">
        <v>6633</v>
      </c>
      <c r="E288" s="516" t="s">
        <v>6634</v>
      </c>
      <c r="F288" s="516" t="s">
        <v>6635</v>
      </c>
      <c r="G288" s="523" t="s">
        <v>6636</v>
      </c>
      <c r="H288" s="523" t="s">
        <v>6637</v>
      </c>
      <c r="I288" s="2" t="s">
        <v>6638</v>
      </c>
      <c r="J288" s="522" t="s">
        <v>6639</v>
      </c>
      <c r="K288" s="522" t="s">
        <v>6640</v>
      </c>
      <c r="L288" s="522" t="s">
        <v>6641</v>
      </c>
      <c r="M288" s="522" t="s">
        <v>6642</v>
      </c>
    </row>
    <row r="289" spans="1:13" ht="57.6" x14ac:dyDescent="0.3">
      <c r="A289" s="2" t="s">
        <v>6643</v>
      </c>
      <c r="B289" s="521" t="str">
        <f t="shared" si="8"/>
        <v>Disclosure of how it has assessed the exposure and sensitivity of its assets activities and value chain to these hazards and transition events</v>
      </c>
      <c r="C289" s="2" t="s">
        <v>6644</v>
      </c>
      <c r="D289" s="516" t="s">
        <v>6645</v>
      </c>
      <c r="E289" s="516" t="s">
        <v>6646</v>
      </c>
      <c r="F289" s="516" t="s">
        <v>6647</v>
      </c>
      <c r="G289" s="523" t="s">
        <v>6648</v>
      </c>
      <c r="H289" s="523" t="s">
        <v>6649</v>
      </c>
      <c r="I289" s="2" t="s">
        <v>6650</v>
      </c>
      <c r="J289" s="522" t="s">
        <v>6651</v>
      </c>
      <c r="K289" s="522" t="s">
        <v>6652</v>
      </c>
      <c r="L289" s="522" t="s">
        <v>6653</v>
      </c>
      <c r="M289" s="522" t="s">
        <v>6654</v>
      </c>
    </row>
    <row r="290" spans="1:13" ht="57.6" x14ac:dyDescent="0.3">
      <c r="A290" s="2" t="s">
        <v>6655</v>
      </c>
      <c r="B290" s="521" t="str">
        <f t="shared" si="8"/>
        <v>Time horizons of any climate-related hazards and transition events identified</v>
      </c>
      <c r="C290" s="2" t="s">
        <v>6656</v>
      </c>
      <c r="D290" s="516" t="s">
        <v>6657</v>
      </c>
      <c r="E290" s="516" t="s">
        <v>6658</v>
      </c>
      <c r="F290" s="516" t="s">
        <v>6659</v>
      </c>
      <c r="G290" s="523" t="s">
        <v>6660</v>
      </c>
      <c r="H290" s="523" t="s">
        <v>6661</v>
      </c>
      <c r="I290" s="2" t="s">
        <v>6662</v>
      </c>
      <c r="J290" s="522" t="s">
        <v>6663</v>
      </c>
      <c r="K290" s="522" t="s">
        <v>6664</v>
      </c>
      <c r="L290" s="522" t="s">
        <v>6665</v>
      </c>
      <c r="M290" s="522" t="s">
        <v>6666</v>
      </c>
    </row>
    <row r="291" spans="1:13" ht="57.6" x14ac:dyDescent="0.3">
      <c r="A291" s="2" t="s">
        <v>6667</v>
      </c>
      <c r="B291" s="521" t="str">
        <f t="shared" si="8"/>
        <v>Disclosure of whether it has undertaken climate change adaptation actions for any climate-related hazards and transition events</v>
      </c>
      <c r="C291" s="2" t="s">
        <v>6668</v>
      </c>
      <c r="D291" s="516" t="s">
        <v>6669</v>
      </c>
      <c r="E291" s="516" t="s">
        <v>6670</v>
      </c>
      <c r="F291" s="531" t="s">
        <v>6671</v>
      </c>
      <c r="G291" s="523" t="s">
        <v>6672</v>
      </c>
      <c r="H291" s="523" t="s">
        <v>6673</v>
      </c>
      <c r="I291" s="2" t="s">
        <v>6674</v>
      </c>
      <c r="J291" s="522" t="s">
        <v>6675</v>
      </c>
      <c r="K291" s="522" t="s">
        <v>6676</v>
      </c>
      <c r="L291" s="522" t="s">
        <v>6677</v>
      </c>
      <c r="M291" s="522" t="s">
        <v>6678</v>
      </c>
    </row>
    <row r="292" spans="1:13" ht="86.4" x14ac:dyDescent="0.3">
      <c r="A292" s="2" t="s">
        <v>6679</v>
      </c>
      <c r="B292" s="521" t="str">
        <f t="shared" si="8"/>
        <v>Potential adverse effects of climate risks that may affect its financial performance or business operations in the short- medium- or long-term indicating whether it assesses the risks to be high medium or low</v>
      </c>
      <c r="C292" s="2" t="s">
        <v>6680</v>
      </c>
      <c r="D292" s="516" t="s">
        <v>6681</v>
      </c>
      <c r="E292" s="516" t="s">
        <v>6682</v>
      </c>
      <c r="F292" s="516" t="s">
        <v>6683</v>
      </c>
      <c r="G292" s="523" t="s">
        <v>6684</v>
      </c>
      <c r="H292" s="523" t="s">
        <v>6685</v>
      </c>
      <c r="I292" s="2" t="s">
        <v>6686</v>
      </c>
      <c r="J292" s="522" t="s">
        <v>6687</v>
      </c>
      <c r="K292" s="522" t="s">
        <v>6688</v>
      </c>
      <c r="L292" s="522" t="s">
        <v>6689</v>
      </c>
      <c r="M292" s="522" t="s">
        <v>6690</v>
      </c>
    </row>
    <row r="293" spans="1:13" ht="43.8" thickBot="1" x14ac:dyDescent="0.35">
      <c r="A293" s="528" t="s">
        <v>6691</v>
      </c>
      <c r="B293" s="525" t="str">
        <f t="shared" si="8"/>
        <v>Disclosure of any other environmental and/or entity specific environmental disclosures</v>
      </c>
      <c r="C293" s="2" t="s">
        <v>6692</v>
      </c>
      <c r="D293" s="2" t="s">
        <v>8787</v>
      </c>
      <c r="E293" s="2" t="s">
        <v>8788</v>
      </c>
      <c r="F293" s="2" t="s">
        <v>8789</v>
      </c>
      <c r="G293" s="2" t="s">
        <v>8790</v>
      </c>
      <c r="H293" s="2" t="s">
        <v>6693</v>
      </c>
      <c r="I293" s="2" t="s">
        <v>6694</v>
      </c>
      <c r="J293" s="2" t="s">
        <v>8791</v>
      </c>
      <c r="K293" s="2" t="s">
        <v>8792</v>
      </c>
      <c r="L293" s="2" t="s">
        <v>8793</v>
      </c>
      <c r="M293" s="2" t="s">
        <v>8794</v>
      </c>
    </row>
    <row r="294" spans="1:13" ht="43.2" x14ac:dyDescent="0.3">
      <c r="A294" s="2" t="s">
        <v>6695</v>
      </c>
      <c r="B294" s="521" t="str">
        <f t="shared" si="8"/>
        <v>Employee counting methodology for the disclosures below (Headcount or Full time Equivalent linked from B1</v>
      </c>
      <c r="C294" s="2" t="s">
        <v>6696</v>
      </c>
      <c r="D294" s="516" t="s">
        <v>6697</v>
      </c>
      <c r="E294" s="516" t="s">
        <v>6698</v>
      </c>
      <c r="F294" s="516" t="s">
        <v>6699</v>
      </c>
      <c r="G294" s="523" t="s">
        <v>6700</v>
      </c>
      <c r="H294" s="523" t="s">
        <v>6701</v>
      </c>
      <c r="I294" s="2" t="s">
        <v>6702</v>
      </c>
      <c r="J294" s="522" t="s">
        <v>6703</v>
      </c>
      <c r="K294" s="522" t="s">
        <v>6704</v>
      </c>
      <c r="L294" s="522" t="s">
        <v>6705</v>
      </c>
      <c r="M294" s="522" t="s">
        <v>6706</v>
      </c>
    </row>
    <row r="295" spans="1:13" ht="58.2" thickBot="1" x14ac:dyDescent="0.35">
      <c r="A295" s="528" t="s">
        <v>6707</v>
      </c>
      <c r="B295" s="525" t="str">
        <f t="shared" si="8"/>
        <v>Employee counting methodology for the disclosures below (At the end of the reporting period or as an average across the reporting period linked from B1)</v>
      </c>
      <c r="C295" s="528" t="s">
        <v>6708</v>
      </c>
      <c r="D295" s="524" t="s">
        <v>6709</v>
      </c>
      <c r="E295" s="524" t="s">
        <v>6710</v>
      </c>
      <c r="F295" s="524" t="s">
        <v>6711</v>
      </c>
      <c r="G295" s="527" t="s">
        <v>6712</v>
      </c>
      <c r="H295" s="527" t="s">
        <v>6713</v>
      </c>
      <c r="I295" s="528" t="s">
        <v>6714</v>
      </c>
      <c r="J295" s="526" t="s">
        <v>6715</v>
      </c>
      <c r="K295" s="526" t="s">
        <v>6716</v>
      </c>
      <c r="L295" s="526" t="s">
        <v>6717</v>
      </c>
      <c r="M295" s="526" t="s">
        <v>6718</v>
      </c>
    </row>
    <row r="296" spans="1:13" ht="28.8" x14ac:dyDescent="0.3">
      <c r="A296" s="2" t="s">
        <v>6719</v>
      </c>
      <c r="B296" s="521" t="str">
        <f t="shared" si="8"/>
        <v>B8 - Workforce - General characteristics - Type of contract</v>
      </c>
      <c r="C296" s="2" t="s">
        <v>6720</v>
      </c>
      <c r="D296" s="516" t="s">
        <v>6721</v>
      </c>
      <c r="E296" s="516" t="s">
        <v>6722</v>
      </c>
      <c r="F296" s="516" t="s">
        <v>6723</v>
      </c>
      <c r="G296" s="523" t="s">
        <v>6724</v>
      </c>
      <c r="H296" s="523" t="s">
        <v>6725</v>
      </c>
      <c r="I296" s="2" t="s">
        <v>6726</v>
      </c>
      <c r="J296" s="522" t="s">
        <v>6727</v>
      </c>
      <c r="K296" s="522" t="s">
        <v>6728</v>
      </c>
      <c r="L296" s="522" t="s">
        <v>6729</v>
      </c>
      <c r="M296" s="522" t="s">
        <v>6730</v>
      </c>
    </row>
    <row r="297" spans="1:13" x14ac:dyDescent="0.3">
      <c r="A297" s="2" t="s">
        <v>6731</v>
      </c>
      <c r="B297" s="521" t="str">
        <f t="shared" si="8"/>
        <v>Type of contract</v>
      </c>
      <c r="C297" s="2" t="s">
        <v>6732</v>
      </c>
      <c r="D297" s="516" t="s">
        <v>6733</v>
      </c>
      <c r="E297" s="516" t="s">
        <v>6734</v>
      </c>
      <c r="F297" s="516" t="s">
        <v>6735</v>
      </c>
      <c r="G297" s="523" t="s">
        <v>6736</v>
      </c>
      <c r="H297" s="523" t="s">
        <v>6737</v>
      </c>
      <c r="I297" s="2" t="s">
        <v>6738</v>
      </c>
      <c r="J297" s="522" t="s">
        <v>6739</v>
      </c>
      <c r="K297" s="522" t="s">
        <v>6740</v>
      </c>
      <c r="L297" s="522" t="s">
        <v>6741</v>
      </c>
      <c r="M297" s="522" t="s">
        <v>6741</v>
      </c>
    </row>
    <row r="298" spans="1:13" ht="28.8" x14ac:dyDescent="0.3">
      <c r="A298" s="2" t="s">
        <v>6742</v>
      </c>
      <c r="B298" s="521" t="str">
        <f t="shared" ref="B298:B361" si="9">INDEX(C298:M298,MATCH(template_selected_display_language,$C$3:$M$3,0))</f>
        <v>Permanent contract</v>
      </c>
      <c r="C298" s="2" t="s">
        <v>6743</v>
      </c>
      <c r="D298" s="516" t="s">
        <v>6744</v>
      </c>
      <c r="E298" s="516" t="s">
        <v>6745</v>
      </c>
      <c r="F298" s="516" t="s">
        <v>6746</v>
      </c>
      <c r="G298" s="523" t="s">
        <v>6747</v>
      </c>
      <c r="H298" s="523" t="s">
        <v>6748</v>
      </c>
      <c r="I298" s="2" t="s">
        <v>6749</v>
      </c>
      <c r="J298" s="522" t="s">
        <v>6750</v>
      </c>
      <c r="K298" s="522" t="s">
        <v>6751</v>
      </c>
      <c r="L298" s="522" t="s">
        <v>6752</v>
      </c>
      <c r="M298" s="522" t="s">
        <v>6753</v>
      </c>
    </row>
    <row r="299" spans="1:13" x14ac:dyDescent="0.3">
      <c r="A299" s="2" t="s">
        <v>6754</v>
      </c>
      <c r="B299" s="521" t="str">
        <f t="shared" si="9"/>
        <v>Temporary contract</v>
      </c>
      <c r="C299" s="2" t="s">
        <v>6755</v>
      </c>
      <c r="D299" s="516" t="s">
        <v>6756</v>
      </c>
      <c r="E299" s="516" t="s">
        <v>6757</v>
      </c>
      <c r="F299" s="516" t="s">
        <v>6758</v>
      </c>
      <c r="G299" s="523" t="s">
        <v>6759</v>
      </c>
      <c r="H299" s="523" t="s">
        <v>6760</v>
      </c>
      <c r="I299" s="2" t="s">
        <v>6761</v>
      </c>
      <c r="J299" s="522" t="s">
        <v>6762</v>
      </c>
      <c r="K299" s="522" t="s">
        <v>6763</v>
      </c>
      <c r="L299" s="522" t="s">
        <v>6764</v>
      </c>
      <c r="M299" s="522" t="s">
        <v>6765</v>
      </c>
    </row>
    <row r="300" spans="1:13" ht="15" thickBot="1" x14ac:dyDescent="0.35">
      <c r="A300" s="528" t="s">
        <v>6766</v>
      </c>
      <c r="B300" s="525" t="str">
        <f t="shared" si="9"/>
        <v>Total employees (linked to B1)</v>
      </c>
      <c r="C300" s="528" t="s">
        <v>6767</v>
      </c>
      <c r="D300" s="524" t="s">
        <v>6768</v>
      </c>
      <c r="E300" s="524" t="s">
        <v>6769</v>
      </c>
      <c r="F300" s="524" t="s">
        <v>6770</v>
      </c>
      <c r="G300" s="527" t="s">
        <v>6771</v>
      </c>
      <c r="H300" s="527" t="s">
        <v>6772</v>
      </c>
      <c r="I300" s="528" t="s">
        <v>6773</v>
      </c>
      <c r="J300" s="526" t="s">
        <v>6774</v>
      </c>
      <c r="K300" s="526" t="s">
        <v>6775</v>
      </c>
      <c r="L300" s="526" t="s">
        <v>6776</v>
      </c>
      <c r="M300" s="526" t="s">
        <v>6777</v>
      </c>
    </row>
    <row r="301" spans="1:13" ht="43.2" x14ac:dyDescent="0.3">
      <c r="A301" s="2" t="s">
        <v>6778</v>
      </c>
      <c r="B301" s="521" t="str">
        <f t="shared" si="9"/>
        <v>B8 - Workforce - General characteristics - Gender</v>
      </c>
      <c r="C301" s="2" t="s">
        <v>6779</v>
      </c>
      <c r="D301" s="516" t="s">
        <v>6780</v>
      </c>
      <c r="E301" s="516" t="s">
        <v>6781</v>
      </c>
      <c r="F301" s="516" t="s">
        <v>6782</v>
      </c>
      <c r="G301" s="523" t="s">
        <v>6783</v>
      </c>
      <c r="H301" s="523" t="s">
        <v>6784</v>
      </c>
      <c r="I301" s="2" t="s">
        <v>6785</v>
      </c>
      <c r="J301" s="522" t="s">
        <v>6786</v>
      </c>
      <c r="K301" s="522" t="s">
        <v>6787</v>
      </c>
      <c r="L301" s="522" t="s">
        <v>6788</v>
      </c>
      <c r="M301" s="522" t="s">
        <v>6789</v>
      </c>
    </row>
    <row r="302" spans="1:13" x14ac:dyDescent="0.3">
      <c r="A302" s="2" t="s">
        <v>6790</v>
      </c>
      <c r="B302" s="521" t="str">
        <f t="shared" si="9"/>
        <v>Gender</v>
      </c>
      <c r="C302" s="2" t="s">
        <v>6791</v>
      </c>
      <c r="D302" s="516" t="s">
        <v>6792</v>
      </c>
      <c r="E302" s="516" t="s">
        <v>6791</v>
      </c>
      <c r="F302" s="516" t="s">
        <v>6793</v>
      </c>
      <c r="G302" s="523" t="s">
        <v>6794</v>
      </c>
      <c r="H302" s="523" t="s">
        <v>6795</v>
      </c>
      <c r="I302" s="2" t="s">
        <v>6796</v>
      </c>
      <c r="J302" s="522" t="s">
        <v>6797</v>
      </c>
      <c r="K302" s="522" t="s">
        <v>6798</v>
      </c>
      <c r="L302" s="522" t="s">
        <v>6799</v>
      </c>
      <c r="M302" s="522" t="s">
        <v>6799</v>
      </c>
    </row>
    <row r="303" spans="1:13" x14ac:dyDescent="0.3">
      <c r="A303" s="2" t="s">
        <v>6800</v>
      </c>
      <c r="B303" s="521" t="str">
        <f t="shared" si="9"/>
        <v>Male</v>
      </c>
      <c r="C303" s="2" t="s">
        <v>6801</v>
      </c>
      <c r="D303" s="516" t="s">
        <v>6802</v>
      </c>
      <c r="E303" s="516" t="s">
        <v>6803</v>
      </c>
      <c r="F303" s="516" t="s">
        <v>6804</v>
      </c>
      <c r="G303" s="523" t="s">
        <v>6805</v>
      </c>
      <c r="H303" s="523" t="s">
        <v>6806</v>
      </c>
      <c r="I303" s="2" t="s">
        <v>6807</v>
      </c>
      <c r="J303" s="522" t="s">
        <v>6808</v>
      </c>
      <c r="K303" s="522" t="s">
        <v>6809</v>
      </c>
      <c r="L303" s="522" t="s">
        <v>6810</v>
      </c>
      <c r="M303" s="522" t="s">
        <v>6810</v>
      </c>
    </row>
    <row r="304" spans="1:13" x14ac:dyDescent="0.3">
      <c r="A304" s="2" t="s">
        <v>6811</v>
      </c>
      <c r="B304" s="521" t="str">
        <f t="shared" si="9"/>
        <v>Female</v>
      </c>
      <c r="C304" s="2" t="s">
        <v>6812</v>
      </c>
      <c r="D304" s="516" t="s">
        <v>6813</v>
      </c>
      <c r="E304" s="516" t="s">
        <v>6814</v>
      </c>
      <c r="F304" s="516" t="s">
        <v>6815</v>
      </c>
      <c r="G304" s="523" t="s">
        <v>6816</v>
      </c>
      <c r="H304" s="523" t="s">
        <v>6817</v>
      </c>
      <c r="I304" s="2" t="s">
        <v>6818</v>
      </c>
      <c r="J304" s="522" t="s">
        <v>6819</v>
      </c>
      <c r="K304" s="522" t="s">
        <v>6820</v>
      </c>
      <c r="L304" s="522" t="s">
        <v>6821</v>
      </c>
      <c r="M304" s="522" t="s">
        <v>6822</v>
      </c>
    </row>
    <row r="305" spans="1:13" x14ac:dyDescent="0.3">
      <c r="A305" s="2" t="s">
        <v>6823</v>
      </c>
      <c r="B305" s="521" t="str">
        <f t="shared" si="9"/>
        <v>Other</v>
      </c>
      <c r="C305" s="2" t="s">
        <v>500</v>
      </c>
      <c r="D305" s="516" t="s">
        <v>6824</v>
      </c>
      <c r="E305" s="516" t="s">
        <v>6825</v>
      </c>
      <c r="F305" s="516" t="s">
        <v>6826</v>
      </c>
      <c r="G305" s="523" t="s">
        <v>6827</v>
      </c>
      <c r="H305" s="523" t="s">
        <v>6828</v>
      </c>
      <c r="I305" s="2" t="s">
        <v>6829</v>
      </c>
      <c r="J305" s="522" t="s">
        <v>6830</v>
      </c>
      <c r="K305" s="522" t="s">
        <v>6831</v>
      </c>
      <c r="L305" s="522" t="s">
        <v>6832</v>
      </c>
      <c r="M305" s="522" t="s">
        <v>6833</v>
      </c>
    </row>
    <row r="306" spans="1:13" ht="15" thickBot="1" x14ac:dyDescent="0.35">
      <c r="A306" s="528" t="s">
        <v>6834</v>
      </c>
      <c r="B306" s="525" t="str">
        <f t="shared" si="9"/>
        <v>Not reported</v>
      </c>
      <c r="C306" s="528" t="s">
        <v>6835</v>
      </c>
      <c r="D306" s="524" t="s">
        <v>6836</v>
      </c>
      <c r="E306" s="524" t="s">
        <v>6837</v>
      </c>
      <c r="F306" s="524" t="s">
        <v>6838</v>
      </c>
      <c r="G306" s="527" t="s">
        <v>6839</v>
      </c>
      <c r="H306" s="527" t="s">
        <v>6840</v>
      </c>
      <c r="I306" s="528" t="s">
        <v>6841</v>
      </c>
      <c r="J306" s="526" t="s">
        <v>6842</v>
      </c>
      <c r="K306" s="526" t="s">
        <v>6843</v>
      </c>
      <c r="L306" s="526" t="s">
        <v>6844</v>
      </c>
      <c r="M306" s="526" t="s">
        <v>6845</v>
      </c>
    </row>
    <row r="307" spans="1:13" ht="57.6" x14ac:dyDescent="0.3">
      <c r="A307" s="2" t="s">
        <v>6846</v>
      </c>
      <c r="B307" s="521" t="str">
        <f t="shared" si="9"/>
        <v>B8 - Workforce - General characteristics - Country of employment</v>
      </c>
      <c r="C307" s="2" t="s">
        <v>6847</v>
      </c>
      <c r="D307" s="516" t="s">
        <v>6848</v>
      </c>
      <c r="E307" s="516" t="s">
        <v>6849</v>
      </c>
      <c r="F307" s="516" t="s">
        <v>6850</v>
      </c>
      <c r="G307" s="523" t="s">
        <v>6851</v>
      </c>
      <c r="H307" s="523" t="s">
        <v>6852</v>
      </c>
      <c r="I307" s="2" t="s">
        <v>6853</v>
      </c>
      <c r="J307" s="522" t="s">
        <v>6854</v>
      </c>
      <c r="K307" s="522" t="s">
        <v>6855</v>
      </c>
      <c r="L307" s="522" t="s">
        <v>6856</v>
      </c>
      <c r="M307" s="522" t="s">
        <v>6857</v>
      </c>
    </row>
    <row r="308" spans="1:13" ht="43.2" x14ac:dyDescent="0.3">
      <c r="A308" s="2" t="s">
        <v>6858</v>
      </c>
      <c r="B308" s="521" t="str">
        <f t="shared" si="9"/>
        <v>Country of employment contract</v>
      </c>
      <c r="C308" s="2" t="s">
        <v>6859</v>
      </c>
      <c r="D308" s="516" t="s">
        <v>6860</v>
      </c>
      <c r="E308" s="516" t="s">
        <v>6861</v>
      </c>
      <c r="F308" s="516" t="s">
        <v>6862</v>
      </c>
      <c r="G308" s="523" t="s">
        <v>6863</v>
      </c>
      <c r="H308" s="523" t="s">
        <v>6864</v>
      </c>
      <c r="I308" s="2" t="s">
        <v>6865</v>
      </c>
      <c r="J308" s="522" t="s">
        <v>6866</v>
      </c>
      <c r="K308" s="522" t="s">
        <v>6867</v>
      </c>
      <c r="L308" s="522" t="s">
        <v>6868</v>
      </c>
      <c r="M308" s="522" t="s">
        <v>6869</v>
      </c>
    </row>
    <row r="309" spans="1:13" ht="29.4" thickBot="1" x14ac:dyDescent="0.35">
      <c r="A309" s="528" t="s">
        <v>6870</v>
      </c>
      <c r="B309" s="525" t="str">
        <f t="shared" si="9"/>
        <v>Does the undertaking operate in more than one country?</v>
      </c>
      <c r="C309" s="528" t="s">
        <v>6871</v>
      </c>
      <c r="D309" s="524" t="s">
        <v>6872</v>
      </c>
      <c r="E309" s="524" t="s">
        <v>6873</v>
      </c>
      <c r="F309" s="524" t="s">
        <v>6874</v>
      </c>
      <c r="G309" s="527" t="s">
        <v>6875</v>
      </c>
      <c r="H309" s="527" t="s">
        <v>6876</v>
      </c>
      <c r="I309" s="528" t="s">
        <v>6877</v>
      </c>
      <c r="J309" s="526" t="s">
        <v>6878</v>
      </c>
      <c r="K309" s="526" t="s">
        <v>6879</v>
      </c>
      <c r="L309" s="526" t="s">
        <v>6880</v>
      </c>
      <c r="M309" s="526" t="s">
        <v>6881</v>
      </c>
    </row>
    <row r="310" spans="1:13" ht="43.2" x14ac:dyDescent="0.3">
      <c r="A310" s="2" t="s">
        <v>6882</v>
      </c>
      <c r="B310" s="521" t="str">
        <f t="shared" si="9"/>
        <v>B8 - Workforce - General characteristics - Turnover rate</v>
      </c>
      <c r="C310" s="2" t="s">
        <v>6883</v>
      </c>
      <c r="D310" s="516" t="s">
        <v>6884</v>
      </c>
      <c r="E310" s="516" t="s">
        <v>6885</v>
      </c>
      <c r="F310" s="516" t="s">
        <v>6886</v>
      </c>
      <c r="G310" s="523" t="s">
        <v>6887</v>
      </c>
      <c r="H310" s="523" t="s">
        <v>6888</v>
      </c>
      <c r="I310" s="2" t="s">
        <v>6889</v>
      </c>
      <c r="J310" s="522" t="s">
        <v>6890</v>
      </c>
      <c r="K310" s="522" t="s">
        <v>6891</v>
      </c>
      <c r="L310" s="522" t="s">
        <v>6892</v>
      </c>
      <c r="M310" s="522" t="s">
        <v>6893</v>
      </c>
    </row>
    <row r="311" spans="1:13" ht="57.6" x14ac:dyDescent="0.3">
      <c r="A311" s="2" t="s">
        <v>6894</v>
      </c>
      <c r="B311" s="521" t="str">
        <f t="shared" si="9"/>
        <v>Number of employees who left during the reporting period</v>
      </c>
      <c r="C311" s="2" t="s">
        <v>6895</v>
      </c>
      <c r="D311" s="516" t="s">
        <v>6896</v>
      </c>
      <c r="E311" s="516" t="s">
        <v>6897</v>
      </c>
      <c r="F311" s="516" t="s">
        <v>6898</v>
      </c>
      <c r="G311" s="523" t="s">
        <v>6899</v>
      </c>
      <c r="H311" s="523" t="s">
        <v>6900</v>
      </c>
      <c r="I311" s="2" t="s">
        <v>6901</v>
      </c>
      <c r="J311" s="522" t="s">
        <v>6902</v>
      </c>
      <c r="K311" s="522" t="s">
        <v>6903</v>
      </c>
      <c r="L311" s="522" t="s">
        <v>6904</v>
      </c>
      <c r="M311" s="522" t="s">
        <v>6905</v>
      </c>
    </row>
    <row r="312" spans="1:13" ht="28.8" x14ac:dyDescent="0.3">
      <c r="A312" s="2" t="s">
        <v>6906</v>
      </c>
      <c r="B312" s="521" t="str">
        <f t="shared" si="9"/>
        <v>Number of employees at the beginning of the reporting period</v>
      </c>
      <c r="C312" s="2" t="s">
        <v>6907</v>
      </c>
      <c r="D312" s="516" t="s">
        <v>6908</v>
      </c>
      <c r="E312" s="516" t="s">
        <v>6909</v>
      </c>
      <c r="F312" s="516" t="s">
        <v>6910</v>
      </c>
      <c r="G312" s="523" t="s">
        <v>6911</v>
      </c>
      <c r="H312" s="523" t="s">
        <v>6912</v>
      </c>
      <c r="I312" s="2" t="s">
        <v>6913</v>
      </c>
      <c r="J312" s="522" t="s">
        <v>6914</v>
      </c>
      <c r="K312" s="522" t="s">
        <v>6915</v>
      </c>
      <c r="L312" s="522" t="s">
        <v>6916</v>
      </c>
      <c r="M312" s="522" t="s">
        <v>6917</v>
      </c>
    </row>
    <row r="313" spans="1:13" ht="28.8" x14ac:dyDescent="0.3">
      <c r="A313" s="2" t="s">
        <v>6918</v>
      </c>
      <c r="B313" s="521" t="str">
        <f t="shared" si="9"/>
        <v>Number of employees at the end of the reporting period</v>
      </c>
      <c r="C313" s="2" t="s">
        <v>6919</v>
      </c>
      <c r="D313" s="516" t="s">
        <v>6920</v>
      </c>
      <c r="E313" s="516" t="s">
        <v>6921</v>
      </c>
      <c r="F313" s="516" t="s">
        <v>6922</v>
      </c>
      <c r="G313" s="523" t="s">
        <v>6923</v>
      </c>
      <c r="H313" s="523" t="s">
        <v>6924</v>
      </c>
      <c r="I313" s="2" t="s">
        <v>6925</v>
      </c>
      <c r="J313" s="522" t="s">
        <v>6926</v>
      </c>
      <c r="K313" s="522" t="s">
        <v>6927</v>
      </c>
      <c r="L313" s="522" t="s">
        <v>6928</v>
      </c>
      <c r="M313" s="522" t="s">
        <v>6929</v>
      </c>
    </row>
    <row r="314" spans="1:13" ht="58.2" thickBot="1" x14ac:dyDescent="0.35">
      <c r="A314" s="528" t="s">
        <v>6930</v>
      </c>
      <c r="B314" s="525" t="str">
        <f t="shared" si="9"/>
        <v>Employee turnover rate [%]  in the reporting period</v>
      </c>
      <c r="C314" s="528" t="s">
        <v>6931</v>
      </c>
      <c r="D314" s="524" t="s">
        <v>6932</v>
      </c>
      <c r="E314" s="524" t="s">
        <v>6933</v>
      </c>
      <c r="F314" s="524" t="s">
        <v>6934</v>
      </c>
      <c r="G314" s="527" t="s">
        <v>6935</v>
      </c>
      <c r="H314" s="527" t="s">
        <v>6936</v>
      </c>
      <c r="I314" s="528" t="s">
        <v>6937</v>
      </c>
      <c r="J314" s="526" t="s">
        <v>6938</v>
      </c>
      <c r="K314" s="526" t="s">
        <v>6939</v>
      </c>
      <c r="L314" s="526" t="s">
        <v>6940</v>
      </c>
      <c r="M314" s="526" t="s">
        <v>6941</v>
      </c>
    </row>
    <row r="315" spans="1:13" ht="43.2" x14ac:dyDescent="0.3">
      <c r="A315" s="2" t="s">
        <v>6942</v>
      </c>
      <c r="B315" s="521" t="str">
        <f t="shared" si="9"/>
        <v>B9 - Workforce - Health and safety</v>
      </c>
      <c r="C315" s="2" t="s">
        <v>4163</v>
      </c>
      <c r="D315" s="516" t="s">
        <v>4164</v>
      </c>
      <c r="E315" s="516" t="s">
        <v>6943</v>
      </c>
      <c r="F315" s="516" t="s">
        <v>4166</v>
      </c>
      <c r="G315" s="523" t="s">
        <v>6944</v>
      </c>
      <c r="H315" s="523" t="s">
        <v>6945</v>
      </c>
      <c r="I315" s="2" t="s">
        <v>4169</v>
      </c>
      <c r="J315" s="522" t="s">
        <v>6946</v>
      </c>
      <c r="K315" s="522" t="s">
        <v>6947</v>
      </c>
      <c r="L315" s="522" t="s">
        <v>4172</v>
      </c>
      <c r="M315" s="522" t="s">
        <v>6948</v>
      </c>
    </row>
    <row r="316" spans="1:13" ht="28.8" x14ac:dyDescent="0.3">
      <c r="A316" s="2" t="s">
        <v>6949</v>
      </c>
      <c r="B316" s="521" t="str">
        <f t="shared" si="9"/>
        <v>Number of recordable work-related accidents in the reporting period</v>
      </c>
      <c r="C316" s="2" t="s">
        <v>6950</v>
      </c>
      <c r="D316" s="516" t="s">
        <v>6951</v>
      </c>
      <c r="E316" s="516" t="s">
        <v>6952</v>
      </c>
      <c r="F316" s="516" t="s">
        <v>6953</v>
      </c>
      <c r="G316" s="523" t="s">
        <v>6954</v>
      </c>
      <c r="H316" s="523" t="s">
        <v>6955</v>
      </c>
      <c r="I316" s="2" t="s">
        <v>6956</v>
      </c>
      <c r="J316" s="522" t="s">
        <v>6957</v>
      </c>
      <c r="K316" s="522" t="s">
        <v>6958</v>
      </c>
      <c r="L316" s="522" t="s">
        <v>6959</v>
      </c>
      <c r="M316" s="522" t="s">
        <v>6960</v>
      </c>
    </row>
    <row r="317" spans="1:13" ht="28.8" x14ac:dyDescent="0.3">
      <c r="A317" s="2" t="s">
        <v>6961</v>
      </c>
      <c r="B317" s="521" t="str">
        <f t="shared" si="9"/>
        <v>Number of hours worked by  one full-time employee in the reporting period</v>
      </c>
      <c r="C317" s="2" t="s">
        <v>6962</v>
      </c>
      <c r="D317" s="516" t="s">
        <v>6963</v>
      </c>
      <c r="E317" s="516" t="s">
        <v>6964</v>
      </c>
      <c r="F317" s="516" t="s">
        <v>6965</v>
      </c>
      <c r="G317" s="523" t="s">
        <v>6966</v>
      </c>
      <c r="H317" s="523" t="s">
        <v>6967</v>
      </c>
      <c r="I317" s="2" t="s">
        <v>6968</v>
      </c>
      <c r="J317" s="522" t="s">
        <v>6969</v>
      </c>
      <c r="K317" s="522" t="s">
        <v>6970</v>
      </c>
      <c r="L317" s="522" t="s">
        <v>6971</v>
      </c>
      <c r="M317" s="522" t="s">
        <v>6972</v>
      </c>
    </row>
    <row r="318" spans="1:13" ht="28.8" x14ac:dyDescent="0.3">
      <c r="A318" s="2" t="s">
        <v>6973</v>
      </c>
      <c r="B318" s="521" t="str">
        <f t="shared" si="9"/>
        <v>Total number of hours worked in a year by all employees in the reporting period</v>
      </c>
      <c r="C318" s="2" t="s">
        <v>6974</v>
      </c>
      <c r="D318" s="516" t="s">
        <v>6975</v>
      </c>
      <c r="E318" s="516" t="s">
        <v>6976</v>
      </c>
      <c r="F318" s="516" t="s">
        <v>6977</v>
      </c>
      <c r="G318" s="523" t="s">
        <v>6978</v>
      </c>
      <c r="H318" s="523" t="s">
        <v>6979</v>
      </c>
      <c r="I318" s="2" t="s">
        <v>6980</v>
      </c>
      <c r="J318" s="522" t="s">
        <v>6981</v>
      </c>
      <c r="K318" s="522" t="s">
        <v>6982</v>
      </c>
      <c r="L318" s="522" t="s">
        <v>6983</v>
      </c>
      <c r="M318" s="522" t="s">
        <v>6984</v>
      </c>
    </row>
    <row r="319" spans="1:13" ht="57.6" x14ac:dyDescent="0.3">
      <c r="A319" s="2" t="s">
        <v>6985</v>
      </c>
      <c r="B319" s="521" t="str">
        <f t="shared" si="9"/>
        <v>Rate of recordable work-related accidents in the reporting period</v>
      </c>
      <c r="C319" s="2" t="s">
        <v>6986</v>
      </c>
      <c r="D319" s="516" t="s">
        <v>6987</v>
      </c>
      <c r="E319" s="516" t="s">
        <v>6988</v>
      </c>
      <c r="F319" s="516" t="s">
        <v>6989</v>
      </c>
      <c r="G319" s="523" t="s">
        <v>6990</v>
      </c>
      <c r="H319" s="523" t="s">
        <v>6991</v>
      </c>
      <c r="I319" s="2" t="s">
        <v>6992</v>
      </c>
      <c r="J319" s="522" t="s">
        <v>6993</v>
      </c>
      <c r="K319" s="522" t="s">
        <v>6994</v>
      </c>
      <c r="L319" s="522" t="s">
        <v>6995</v>
      </c>
      <c r="M319" s="522" t="s">
        <v>6996</v>
      </c>
    </row>
    <row r="320" spans="1:13" ht="43.8" thickBot="1" x14ac:dyDescent="0.35">
      <c r="A320" s="528" t="s">
        <v>6997</v>
      </c>
      <c r="B320" s="525" t="str">
        <f t="shared" si="9"/>
        <v>Number of fatalities as a result of work-related injuries and work-related ill health</v>
      </c>
      <c r="C320" s="528" t="s">
        <v>6998</v>
      </c>
      <c r="D320" s="524" t="s">
        <v>6999</v>
      </c>
      <c r="E320" s="524" t="s">
        <v>7000</v>
      </c>
      <c r="F320" s="524" t="s">
        <v>7001</v>
      </c>
      <c r="G320" s="527" t="s">
        <v>7002</v>
      </c>
      <c r="H320" s="527" t="s">
        <v>7003</v>
      </c>
      <c r="I320" s="528" t="s">
        <v>7004</v>
      </c>
      <c r="J320" s="526" t="s">
        <v>7005</v>
      </c>
      <c r="K320" s="526" t="s">
        <v>7006</v>
      </c>
      <c r="L320" s="526" t="s">
        <v>7007</v>
      </c>
      <c r="M320" s="526" t="s">
        <v>7008</v>
      </c>
    </row>
    <row r="321" spans="1:13" ht="43.2" x14ac:dyDescent="0.3">
      <c r="A321" s="2" t="s">
        <v>7009</v>
      </c>
      <c r="B321" s="521" t="str">
        <f t="shared" si="9"/>
        <v>B10 - Workforce - Remuneration and collective bargaining</v>
      </c>
      <c r="C321" s="2" t="s">
        <v>7010</v>
      </c>
      <c r="D321" s="516" t="s">
        <v>7011</v>
      </c>
      <c r="E321" s="516" t="s">
        <v>7012</v>
      </c>
      <c r="F321" s="516" t="s">
        <v>7013</v>
      </c>
      <c r="G321" s="523" t="s">
        <v>7014</v>
      </c>
      <c r="H321" s="523" t="s">
        <v>7015</v>
      </c>
      <c r="I321" s="2" t="s">
        <v>7016</v>
      </c>
      <c r="J321" s="522" t="s">
        <v>7017</v>
      </c>
      <c r="K321" s="522" t="s">
        <v>7018</v>
      </c>
      <c r="L321" s="522" t="s">
        <v>7019</v>
      </c>
      <c r="M321" s="522" t="s">
        <v>7020</v>
      </c>
    </row>
    <row r="322" spans="1:13" ht="100.8" x14ac:dyDescent="0.3">
      <c r="A322" s="2" t="s">
        <v>7021</v>
      </c>
      <c r="B322" s="521" t="str">
        <f t="shared" si="9"/>
        <v>Employees receive pay that is equal or above applicable minimum wage determined directly by the national minimum wage law or through a collective bargaining agreement</v>
      </c>
      <c r="C322" s="2" t="s">
        <v>7022</v>
      </c>
      <c r="D322" s="516" t="s">
        <v>7023</v>
      </c>
      <c r="E322" s="516" t="s">
        <v>7024</v>
      </c>
      <c r="F322" s="516" t="s">
        <v>7025</v>
      </c>
      <c r="G322" s="523" t="s">
        <v>7026</v>
      </c>
      <c r="H322" s="523" t="s">
        <v>7027</v>
      </c>
      <c r="I322" s="2" t="s">
        <v>7028</v>
      </c>
      <c r="J322" s="522" t="s">
        <v>7029</v>
      </c>
      <c r="K322" s="522" t="s">
        <v>7030</v>
      </c>
      <c r="L322" s="522" t="s">
        <v>7031</v>
      </c>
      <c r="M322" s="522" t="s">
        <v>7032</v>
      </c>
    </row>
    <row r="323" spans="1:13" ht="28.8" x14ac:dyDescent="0.3">
      <c r="A323" s="2" t="s">
        <v>7033</v>
      </c>
      <c r="B323" s="521" t="str">
        <f t="shared" si="9"/>
        <v>Average gross hourly pay level of male employees</v>
      </c>
      <c r="C323" s="2" t="s">
        <v>7034</v>
      </c>
      <c r="D323" s="516" t="s">
        <v>7035</v>
      </c>
      <c r="E323" s="516" t="s">
        <v>7036</v>
      </c>
      <c r="F323" s="516" t="s">
        <v>7037</v>
      </c>
      <c r="G323" s="523" t="s">
        <v>7038</v>
      </c>
      <c r="H323" s="523" t="s">
        <v>7039</v>
      </c>
      <c r="I323" s="2" t="s">
        <v>7040</v>
      </c>
      <c r="J323" s="522" t="s">
        <v>7041</v>
      </c>
      <c r="K323" s="522" t="s">
        <v>7042</v>
      </c>
      <c r="L323" s="522" t="s">
        <v>7043</v>
      </c>
      <c r="M323" s="522" t="s">
        <v>7044</v>
      </c>
    </row>
    <row r="324" spans="1:13" ht="28.8" x14ac:dyDescent="0.3">
      <c r="A324" s="2" t="s">
        <v>7045</v>
      </c>
      <c r="B324" s="521" t="str">
        <f t="shared" si="9"/>
        <v>Average gross hourly pay level of female employees</v>
      </c>
      <c r="C324" s="2" t="s">
        <v>7046</v>
      </c>
      <c r="D324" s="516" t="s">
        <v>7047</v>
      </c>
      <c r="E324" s="516" t="s">
        <v>7048</v>
      </c>
      <c r="F324" s="516" t="s">
        <v>7049</v>
      </c>
      <c r="G324" s="523" t="s">
        <v>7050</v>
      </c>
      <c r="H324" s="523" t="s">
        <v>7051</v>
      </c>
      <c r="I324" s="2" t="s">
        <v>7052</v>
      </c>
      <c r="J324" s="522" t="s">
        <v>7053</v>
      </c>
      <c r="K324" s="522" t="s">
        <v>7054</v>
      </c>
      <c r="L324" s="522" t="s">
        <v>7055</v>
      </c>
      <c r="M324" s="522" t="s">
        <v>7056</v>
      </c>
    </row>
    <row r="325" spans="1:13" ht="72" x14ac:dyDescent="0.3">
      <c r="A325" s="2" t="s">
        <v>7057</v>
      </c>
      <c r="B325" s="521" t="str">
        <f t="shared" si="9"/>
        <v>Percentage gap in pay between the  undertaking's female and male employees [%]</v>
      </c>
      <c r="C325" s="2" t="s">
        <v>7058</v>
      </c>
      <c r="D325" s="516" t="s">
        <v>7059</v>
      </c>
      <c r="E325" s="516" t="s">
        <v>7060</v>
      </c>
      <c r="F325" s="516" t="s">
        <v>7061</v>
      </c>
      <c r="G325" s="523" t="s">
        <v>7062</v>
      </c>
      <c r="H325" s="523" t="s">
        <v>7063</v>
      </c>
      <c r="I325" s="2" t="s">
        <v>7064</v>
      </c>
      <c r="J325" s="522" t="s">
        <v>7065</v>
      </c>
      <c r="K325" s="522" t="s">
        <v>7066</v>
      </c>
      <c r="L325" s="522" t="s">
        <v>7067</v>
      </c>
      <c r="M325" s="522" t="s">
        <v>7068</v>
      </c>
    </row>
    <row r="326" spans="1:13" ht="28.8" x14ac:dyDescent="0.3">
      <c r="A326" s="2" t="s">
        <v>7069</v>
      </c>
      <c r="B326" s="521" t="str">
        <f t="shared" si="9"/>
        <v>Number of employees covered by collective bargaining agreements</v>
      </c>
      <c r="C326" s="2" t="s">
        <v>7070</v>
      </c>
      <c r="D326" s="516" t="s">
        <v>7071</v>
      </c>
      <c r="E326" s="516" t="s">
        <v>7072</v>
      </c>
      <c r="F326" s="516" t="s">
        <v>7073</v>
      </c>
      <c r="G326" s="523" t="s">
        <v>7074</v>
      </c>
      <c r="H326" s="523" t="s">
        <v>7075</v>
      </c>
      <c r="I326" s="2" t="s">
        <v>7076</v>
      </c>
      <c r="J326" s="522" t="s">
        <v>7077</v>
      </c>
      <c r="K326" s="522" t="s">
        <v>7078</v>
      </c>
      <c r="L326" s="522" t="s">
        <v>7079</v>
      </c>
      <c r="M326" s="522" t="s">
        <v>7080</v>
      </c>
    </row>
    <row r="327" spans="1:13" ht="29.4" thickBot="1" x14ac:dyDescent="0.35">
      <c r="A327" s="528" t="s">
        <v>7081</v>
      </c>
      <c r="B327" s="525" t="str">
        <f t="shared" si="9"/>
        <v>Percentage of employees covered by collective bargaining agreements [%]</v>
      </c>
      <c r="C327" s="528" t="s">
        <v>7082</v>
      </c>
      <c r="D327" s="524" t="s">
        <v>7083</v>
      </c>
      <c r="E327" s="524" t="s">
        <v>7084</v>
      </c>
      <c r="F327" s="524" t="s">
        <v>7085</v>
      </c>
      <c r="G327" s="527" t="s">
        <v>7086</v>
      </c>
      <c r="H327" s="527" t="s">
        <v>7087</v>
      </c>
      <c r="I327" s="528" t="s">
        <v>7088</v>
      </c>
      <c r="J327" s="526" t="s">
        <v>7089</v>
      </c>
      <c r="K327" s="526" t="s">
        <v>7090</v>
      </c>
      <c r="L327" s="526" t="s">
        <v>7091</v>
      </c>
      <c r="M327" s="526" t="s">
        <v>7092</v>
      </c>
    </row>
    <row r="328" spans="1:13" ht="57.6" x14ac:dyDescent="0.3">
      <c r="A328" s="2" t="s">
        <v>7093</v>
      </c>
      <c r="B328" s="521" t="str">
        <f t="shared" si="9"/>
        <v>B10 - Workforce - Number of annual training hours per employee during the reporting period</v>
      </c>
      <c r="C328" s="2" t="s">
        <v>7094</v>
      </c>
      <c r="D328" s="516" t="s">
        <v>7095</v>
      </c>
      <c r="E328" s="516" t="s">
        <v>7096</v>
      </c>
      <c r="F328" s="516" t="s">
        <v>7097</v>
      </c>
      <c r="G328" s="523" t="s">
        <v>7098</v>
      </c>
      <c r="H328" s="523" t="s">
        <v>7099</v>
      </c>
      <c r="I328" s="2" t="s">
        <v>7100</v>
      </c>
      <c r="J328" s="522" t="s">
        <v>7101</v>
      </c>
      <c r="K328" s="522" t="s">
        <v>7102</v>
      </c>
      <c r="L328" s="522" t="s">
        <v>7103</v>
      </c>
      <c r="M328" s="522" t="s">
        <v>7104</v>
      </c>
    </row>
    <row r="329" spans="1:13" ht="29.4" thickBot="1" x14ac:dyDescent="0.35">
      <c r="A329" s="528" t="s">
        <v>7105</v>
      </c>
      <c r="B329" s="525" t="str">
        <f t="shared" si="9"/>
        <v>Average number of annual training hours per employee</v>
      </c>
      <c r="C329" s="528" t="s">
        <v>7106</v>
      </c>
      <c r="D329" s="524" t="s">
        <v>7107</v>
      </c>
      <c r="E329" s="524" t="s">
        <v>7108</v>
      </c>
      <c r="F329" s="524" t="s">
        <v>7109</v>
      </c>
      <c r="G329" s="527" t="s">
        <v>7110</v>
      </c>
      <c r="H329" s="527" t="s">
        <v>7111</v>
      </c>
      <c r="I329" s="528" t="s">
        <v>7112</v>
      </c>
      <c r="J329" s="526" t="s">
        <v>7113</v>
      </c>
      <c r="K329" s="526" t="s">
        <v>7114</v>
      </c>
      <c r="L329" s="526" t="s">
        <v>7115</v>
      </c>
      <c r="M329" s="526" t="s">
        <v>7116</v>
      </c>
    </row>
    <row r="330" spans="1:13" ht="28.8" x14ac:dyDescent="0.3">
      <c r="A330" s="2" t="s">
        <v>7117</v>
      </c>
      <c r="B330" s="521" t="str">
        <f t="shared" si="9"/>
        <v>C5 - Additional (general) workforce characteristics</v>
      </c>
      <c r="C330" s="2" t="s">
        <v>4264</v>
      </c>
      <c r="D330" s="516" t="s">
        <v>7118</v>
      </c>
      <c r="E330" s="516" t="s">
        <v>7119</v>
      </c>
      <c r="F330" s="516" t="s">
        <v>4267</v>
      </c>
      <c r="G330" s="523" t="s">
        <v>7120</v>
      </c>
      <c r="H330" s="523" t="s">
        <v>7121</v>
      </c>
      <c r="I330" s="2" t="s">
        <v>4270</v>
      </c>
      <c r="J330" s="522" t="s">
        <v>7122</v>
      </c>
      <c r="K330" s="522" t="s">
        <v>4272</v>
      </c>
      <c r="L330" s="522" t="s">
        <v>7123</v>
      </c>
      <c r="M330" s="522" t="s">
        <v>4274</v>
      </c>
    </row>
    <row r="331" spans="1:13" ht="28.8" x14ac:dyDescent="0.3">
      <c r="A331" s="2" t="s">
        <v>7124</v>
      </c>
      <c r="B331" s="521" t="str">
        <f t="shared" si="9"/>
        <v>Number of male employees at management level</v>
      </c>
      <c r="C331" s="2" t="s">
        <v>7125</v>
      </c>
      <c r="D331" s="516" t="s">
        <v>7126</v>
      </c>
      <c r="E331" s="516" t="s">
        <v>7127</v>
      </c>
      <c r="F331" s="516" t="s">
        <v>7128</v>
      </c>
      <c r="G331" s="523" t="s">
        <v>7129</v>
      </c>
      <c r="H331" s="523" t="s">
        <v>7130</v>
      </c>
      <c r="I331" s="2" t="s">
        <v>7131</v>
      </c>
      <c r="J331" s="522" t="s">
        <v>7132</v>
      </c>
      <c r="K331" s="522" t="s">
        <v>7133</v>
      </c>
      <c r="L331" s="522" t="s">
        <v>7134</v>
      </c>
      <c r="M331" s="522" t="s">
        <v>7135</v>
      </c>
    </row>
    <row r="332" spans="1:13" ht="28.8" x14ac:dyDescent="0.3">
      <c r="A332" s="2" t="s">
        <v>7136</v>
      </c>
      <c r="B332" s="521" t="str">
        <f t="shared" si="9"/>
        <v>Number of female employees at management level</v>
      </c>
      <c r="C332" s="2" t="s">
        <v>7137</v>
      </c>
      <c r="D332" s="516" t="s">
        <v>7138</v>
      </c>
      <c r="E332" s="516" t="s">
        <v>7139</v>
      </c>
      <c r="F332" s="516" t="s">
        <v>7140</v>
      </c>
      <c r="G332" s="523" t="s">
        <v>7141</v>
      </c>
      <c r="H332" s="523" t="s">
        <v>7142</v>
      </c>
      <c r="I332" s="2" t="s">
        <v>7143</v>
      </c>
      <c r="J332" s="522" t="s">
        <v>7144</v>
      </c>
      <c r="K332" s="522" t="s">
        <v>7145</v>
      </c>
      <c r="L332" s="522" t="s">
        <v>7146</v>
      </c>
      <c r="M332" s="522" t="s">
        <v>7147</v>
      </c>
    </row>
    <row r="333" spans="1:13" ht="28.8" x14ac:dyDescent="0.3">
      <c r="A333" s="2" t="s">
        <v>7148</v>
      </c>
      <c r="B333" s="521" t="str">
        <f t="shared" si="9"/>
        <v>Female-to-male ratio at management level for the reporting period</v>
      </c>
      <c r="C333" s="2" t="s">
        <v>7149</v>
      </c>
      <c r="D333" s="516" t="s">
        <v>7150</v>
      </c>
      <c r="E333" s="516" t="s">
        <v>7151</v>
      </c>
      <c r="F333" s="516" t="s">
        <v>7152</v>
      </c>
      <c r="G333" s="523" t="s">
        <v>7153</v>
      </c>
      <c r="H333" s="523" t="s">
        <v>7154</v>
      </c>
      <c r="I333" s="2" t="s">
        <v>7155</v>
      </c>
      <c r="J333" s="522" t="s">
        <v>7156</v>
      </c>
      <c r="K333" s="522" t="s">
        <v>7157</v>
      </c>
      <c r="L333" s="522" t="s">
        <v>7158</v>
      </c>
      <c r="M333" s="522" t="s">
        <v>7159</v>
      </c>
    </row>
    <row r="334" spans="1:13" ht="28.8" x14ac:dyDescent="0.3">
      <c r="A334" s="2" t="s">
        <v>7160</v>
      </c>
      <c r="B334" s="521" t="str">
        <f t="shared" si="9"/>
        <v>Total self-employed workers without personnel that are working exclusively for the undertaking</v>
      </c>
      <c r="C334" s="2" t="s">
        <v>7161</v>
      </c>
      <c r="D334" s="516" t="s">
        <v>7162</v>
      </c>
      <c r="E334" s="516" t="s">
        <v>7163</v>
      </c>
      <c r="F334" s="516" t="s">
        <v>7164</v>
      </c>
      <c r="G334" s="523" t="s">
        <v>7165</v>
      </c>
      <c r="H334" s="523" t="s">
        <v>7166</v>
      </c>
      <c r="I334" s="2" t="s">
        <v>7167</v>
      </c>
      <c r="J334" s="522" t="s">
        <v>7168</v>
      </c>
      <c r="K334" s="522" t="s">
        <v>7169</v>
      </c>
      <c r="L334" s="522" t="s">
        <v>7170</v>
      </c>
      <c r="M334" s="522" t="s">
        <v>7171</v>
      </c>
    </row>
    <row r="335" spans="1:13" ht="43.8" thickBot="1" x14ac:dyDescent="0.35">
      <c r="A335" s="528" t="s">
        <v>7172</v>
      </c>
      <c r="B335" s="525" t="str">
        <f t="shared" si="9"/>
        <v>Total temporary workers provided by undertakings primarily engaged in employment activities</v>
      </c>
      <c r="C335" s="528" t="s">
        <v>7173</v>
      </c>
      <c r="D335" s="524" t="s">
        <v>7174</v>
      </c>
      <c r="E335" s="524" t="s">
        <v>7175</v>
      </c>
      <c r="F335" s="524" t="s">
        <v>7176</v>
      </c>
      <c r="G335" s="527" t="s">
        <v>7177</v>
      </c>
      <c r="H335" s="527" t="s">
        <v>7178</v>
      </c>
      <c r="I335" s="528" t="s">
        <v>7179</v>
      </c>
      <c r="J335" s="526" t="s">
        <v>7180</v>
      </c>
      <c r="K335" s="526" t="s">
        <v>7181</v>
      </c>
      <c r="L335" s="526" t="s">
        <v>7182</v>
      </c>
      <c r="M335" s="526" t="s">
        <v>7183</v>
      </c>
    </row>
    <row r="336" spans="1:13" ht="43.2" x14ac:dyDescent="0.3">
      <c r="A336" s="2" t="s">
        <v>7184</v>
      </c>
      <c r="B336" s="521" t="str">
        <f t="shared" si="9"/>
        <v>C6 - Additional own workforce information - Human rights policies and processes</v>
      </c>
      <c r="C336" s="2" t="s">
        <v>4276</v>
      </c>
      <c r="D336" s="516" t="s">
        <v>7185</v>
      </c>
      <c r="E336" s="516" t="s">
        <v>7186</v>
      </c>
      <c r="F336" s="516" t="s">
        <v>7187</v>
      </c>
      <c r="G336" s="523" t="s">
        <v>7188</v>
      </c>
      <c r="H336" s="523" t="s">
        <v>7189</v>
      </c>
      <c r="I336" s="2" t="s">
        <v>7190</v>
      </c>
      <c r="J336" s="522" t="s">
        <v>7191</v>
      </c>
      <c r="K336" s="522" t="s">
        <v>4284</v>
      </c>
      <c r="L336" s="522" t="s">
        <v>7192</v>
      </c>
      <c r="M336" s="522" t="s">
        <v>4286</v>
      </c>
    </row>
    <row r="337" spans="1:13" ht="43.2" x14ac:dyDescent="0.3">
      <c r="A337" s="2" t="s">
        <v>7193</v>
      </c>
      <c r="B337" s="521" t="str">
        <f t="shared" si="9"/>
        <v>Does the undertaking have a code of conduct or human rights policy for its own workforce?</v>
      </c>
      <c r="C337" s="2" t="s">
        <v>7194</v>
      </c>
      <c r="D337" s="516" t="s">
        <v>7195</v>
      </c>
      <c r="E337" s="516" t="s">
        <v>7196</v>
      </c>
      <c r="F337" s="516" t="s">
        <v>7197</v>
      </c>
      <c r="G337" s="523" t="s">
        <v>7198</v>
      </c>
      <c r="H337" s="523" t="s">
        <v>7199</v>
      </c>
      <c r="I337" s="2" t="s">
        <v>7200</v>
      </c>
      <c r="J337" s="522" t="s">
        <v>7201</v>
      </c>
      <c r="K337" s="522" t="s">
        <v>7202</v>
      </c>
      <c r="L337" s="522" t="s">
        <v>7203</v>
      </c>
      <c r="M337" s="522" t="s">
        <v>7204</v>
      </c>
    </row>
    <row r="338" spans="1:13" x14ac:dyDescent="0.3">
      <c r="A338" s="2" t="s">
        <v>7205</v>
      </c>
      <c r="B338" s="521" t="str">
        <f t="shared" si="9"/>
        <v>If yes does this cover:</v>
      </c>
      <c r="C338" s="2" t="s">
        <v>7206</v>
      </c>
      <c r="D338" s="516" t="s">
        <v>7207</v>
      </c>
      <c r="E338" s="516" t="s">
        <v>7208</v>
      </c>
      <c r="F338" s="516" t="s">
        <v>7209</v>
      </c>
      <c r="G338" s="523" t="s">
        <v>7210</v>
      </c>
      <c r="H338" s="523" t="s">
        <v>6184</v>
      </c>
      <c r="I338" s="2" t="s">
        <v>7211</v>
      </c>
      <c r="J338" s="522" t="s">
        <v>7212</v>
      </c>
      <c r="K338" s="522" t="s">
        <v>7213</v>
      </c>
      <c r="L338" s="522" t="s">
        <v>7214</v>
      </c>
      <c r="M338" s="522" t="s">
        <v>7215</v>
      </c>
    </row>
    <row r="339" spans="1:13" x14ac:dyDescent="0.3">
      <c r="A339" s="2" t="s">
        <v>7216</v>
      </c>
      <c r="B339" s="521" t="str">
        <f t="shared" si="9"/>
        <v>child labour</v>
      </c>
      <c r="C339" s="2" t="s">
        <v>7217</v>
      </c>
      <c r="D339" s="516" t="s">
        <v>7218</v>
      </c>
      <c r="E339" s="516" t="s">
        <v>7219</v>
      </c>
      <c r="F339" s="516" t="s">
        <v>7220</v>
      </c>
      <c r="G339" s="523" t="s">
        <v>7221</v>
      </c>
      <c r="H339" s="523" t="s">
        <v>7222</v>
      </c>
      <c r="I339" s="2" t="s">
        <v>7223</v>
      </c>
      <c r="J339" s="522" t="s">
        <v>7224</v>
      </c>
      <c r="K339" s="522" t="s">
        <v>7225</v>
      </c>
      <c r="L339" s="522" t="s">
        <v>7226</v>
      </c>
      <c r="M339" s="522" t="s">
        <v>7227</v>
      </c>
    </row>
    <row r="340" spans="1:13" x14ac:dyDescent="0.3">
      <c r="A340" s="2" t="s">
        <v>7228</v>
      </c>
      <c r="B340" s="521" t="str">
        <f t="shared" si="9"/>
        <v>forced labour</v>
      </c>
      <c r="C340" s="2" t="s">
        <v>7229</v>
      </c>
      <c r="D340" s="516" t="s">
        <v>7230</v>
      </c>
      <c r="E340" s="516" t="s">
        <v>7231</v>
      </c>
      <c r="F340" s="516" t="s">
        <v>7232</v>
      </c>
      <c r="G340" s="523" t="s">
        <v>7233</v>
      </c>
      <c r="H340" s="523" t="s">
        <v>7234</v>
      </c>
      <c r="I340" s="2" t="s">
        <v>7235</v>
      </c>
      <c r="J340" s="522" t="s">
        <v>7236</v>
      </c>
      <c r="K340" s="522" t="s">
        <v>7237</v>
      </c>
      <c r="L340" s="522" t="s">
        <v>7238</v>
      </c>
      <c r="M340" s="522" t="s">
        <v>7239</v>
      </c>
    </row>
    <row r="341" spans="1:13" x14ac:dyDescent="0.3">
      <c r="A341" s="2" t="s">
        <v>7240</v>
      </c>
      <c r="B341" s="521" t="str">
        <f t="shared" si="9"/>
        <v>human trafficking</v>
      </c>
      <c r="C341" s="2" t="s">
        <v>7241</v>
      </c>
      <c r="D341" s="516" t="s">
        <v>7242</v>
      </c>
      <c r="E341" s="516" t="s">
        <v>7243</v>
      </c>
      <c r="F341" s="516" t="s">
        <v>7244</v>
      </c>
      <c r="G341" s="523" t="s">
        <v>7245</v>
      </c>
      <c r="H341" s="523" t="s">
        <v>7246</v>
      </c>
      <c r="I341" s="2" t="s">
        <v>7247</v>
      </c>
      <c r="J341" s="522" t="s">
        <v>7248</v>
      </c>
      <c r="K341" s="522" t="s">
        <v>7249</v>
      </c>
      <c r="L341" s="522" t="s">
        <v>7250</v>
      </c>
      <c r="M341" s="522" t="s">
        <v>7251</v>
      </c>
    </row>
    <row r="342" spans="1:13" x14ac:dyDescent="0.3">
      <c r="A342" s="2" t="s">
        <v>7252</v>
      </c>
      <c r="B342" s="521" t="str">
        <f t="shared" si="9"/>
        <v>discrimination</v>
      </c>
      <c r="C342" s="2" t="s">
        <v>7253</v>
      </c>
      <c r="D342" s="516" t="s">
        <v>7254</v>
      </c>
      <c r="E342" s="516" t="s">
        <v>7255</v>
      </c>
      <c r="F342" s="516" t="s">
        <v>7253</v>
      </c>
      <c r="G342" s="523" t="s">
        <v>7256</v>
      </c>
      <c r="H342" s="523" t="s">
        <v>7257</v>
      </c>
      <c r="I342" s="2" t="s">
        <v>7258</v>
      </c>
      <c r="J342" s="522" t="s">
        <v>7259</v>
      </c>
      <c r="K342" s="522" t="s">
        <v>7260</v>
      </c>
      <c r="L342" s="522" t="s">
        <v>7261</v>
      </c>
      <c r="M342" s="522" t="s">
        <v>7262</v>
      </c>
    </row>
    <row r="343" spans="1:13" x14ac:dyDescent="0.3">
      <c r="A343" s="2" t="s">
        <v>7263</v>
      </c>
      <c r="B343" s="521" t="str">
        <f t="shared" si="9"/>
        <v>accident prevention</v>
      </c>
      <c r="C343" s="2" t="s">
        <v>7264</v>
      </c>
      <c r="D343" s="516" t="s">
        <v>7265</v>
      </c>
      <c r="E343" s="516" t="s">
        <v>7266</v>
      </c>
      <c r="F343" s="516" t="s">
        <v>7267</v>
      </c>
      <c r="G343" s="523" t="s">
        <v>7268</v>
      </c>
      <c r="H343" s="523" t="s">
        <v>7269</v>
      </c>
      <c r="I343" s="2" t="s">
        <v>7270</v>
      </c>
      <c r="J343" s="522" t="s">
        <v>7271</v>
      </c>
      <c r="K343" s="522" t="s">
        <v>7272</v>
      </c>
      <c r="L343" s="522" t="s">
        <v>7273</v>
      </c>
      <c r="M343" s="522" t="s">
        <v>7274</v>
      </c>
    </row>
    <row r="344" spans="1:13" x14ac:dyDescent="0.3">
      <c r="A344" s="2" t="s">
        <v>7275</v>
      </c>
      <c r="B344" s="521" t="str">
        <f t="shared" si="9"/>
        <v>other? ( if yes specify)</v>
      </c>
      <c r="C344" s="2" t="s">
        <v>7276</v>
      </c>
      <c r="D344" s="516" t="s">
        <v>7277</v>
      </c>
      <c r="E344" s="516" t="s">
        <v>7278</v>
      </c>
      <c r="F344" s="516" t="s">
        <v>7279</v>
      </c>
      <c r="G344" s="523" t="s">
        <v>7280</v>
      </c>
      <c r="H344" s="523" t="s">
        <v>7281</v>
      </c>
      <c r="I344" s="2" t="s">
        <v>7282</v>
      </c>
      <c r="J344" s="522" t="s">
        <v>7283</v>
      </c>
      <c r="K344" s="522" t="s">
        <v>7284</v>
      </c>
      <c r="L344" s="522" t="s">
        <v>7285</v>
      </c>
      <c r="M344" s="522" t="s">
        <v>7286</v>
      </c>
    </row>
    <row r="345" spans="1:13" ht="43.2" x14ac:dyDescent="0.3">
      <c r="A345" s="2" t="s">
        <v>7287</v>
      </c>
      <c r="B345" s="521" t="str">
        <f t="shared" si="9"/>
        <v>Specify other types of content covered by the code of conduct or human rights policy</v>
      </c>
      <c r="C345" s="2" t="s">
        <v>7288</v>
      </c>
      <c r="D345" s="516" t="s">
        <v>7289</v>
      </c>
      <c r="E345" s="516" t="s">
        <v>7290</v>
      </c>
      <c r="F345" s="516" t="s">
        <v>7291</v>
      </c>
      <c r="G345" s="523" t="s">
        <v>7292</v>
      </c>
      <c r="H345" s="523" t="s">
        <v>7293</v>
      </c>
      <c r="I345" s="2" t="s">
        <v>7294</v>
      </c>
      <c r="J345" s="522" t="s">
        <v>7295</v>
      </c>
      <c r="K345" s="522" t="s">
        <v>7296</v>
      </c>
      <c r="L345" s="522" t="s">
        <v>7297</v>
      </c>
      <c r="M345" s="522" t="s">
        <v>7298</v>
      </c>
    </row>
    <row r="346" spans="1:13" ht="43.8" thickBot="1" x14ac:dyDescent="0.35">
      <c r="A346" s="528" t="s">
        <v>7299</v>
      </c>
      <c r="B346" s="525" t="str">
        <f t="shared" si="9"/>
        <v>Does the undertaking have a complaint-handling mechanism for its own workforce?</v>
      </c>
      <c r="C346" s="528" t="s">
        <v>7300</v>
      </c>
      <c r="D346" s="524" t="s">
        <v>7301</v>
      </c>
      <c r="E346" s="524" t="s">
        <v>7302</v>
      </c>
      <c r="F346" s="532" t="s">
        <v>7303</v>
      </c>
      <c r="G346" s="527" t="s">
        <v>7304</v>
      </c>
      <c r="H346" s="527" t="s">
        <v>7305</v>
      </c>
      <c r="I346" s="528" t="s">
        <v>7306</v>
      </c>
      <c r="J346" s="526" t="s">
        <v>7307</v>
      </c>
      <c r="K346" s="526" t="s">
        <v>7308</v>
      </c>
      <c r="L346" s="526" t="s">
        <v>7309</v>
      </c>
      <c r="M346" s="526" t="s">
        <v>7310</v>
      </c>
    </row>
    <row r="347" spans="1:13" ht="28.8" x14ac:dyDescent="0.3">
      <c r="A347" s="2" t="s">
        <v>7311</v>
      </c>
      <c r="B347" s="521" t="str">
        <f t="shared" si="9"/>
        <v>C7 - Severe negative human rights incidents</v>
      </c>
      <c r="C347" s="2" t="s">
        <v>4288</v>
      </c>
      <c r="D347" s="516" t="s">
        <v>4289</v>
      </c>
      <c r="E347" s="516" t="s">
        <v>7312</v>
      </c>
      <c r="F347" s="516" t="s">
        <v>4291</v>
      </c>
      <c r="G347" s="523" t="s">
        <v>7313</v>
      </c>
      <c r="H347" s="523" t="s">
        <v>7314</v>
      </c>
      <c r="I347" s="2" t="s">
        <v>7315</v>
      </c>
      <c r="J347" s="522" t="s">
        <v>7316</v>
      </c>
      <c r="K347" s="522" t="s">
        <v>4296</v>
      </c>
      <c r="L347" s="522" t="s">
        <v>7317</v>
      </c>
      <c r="M347" s="522" t="s">
        <v>7318</v>
      </c>
    </row>
    <row r="348" spans="1:13" ht="43.2" x14ac:dyDescent="0.3">
      <c r="A348" s="2" t="s">
        <v>7319</v>
      </c>
      <c r="B348" s="521" t="str">
        <f t="shared" si="9"/>
        <v>Does the undertaking have confirmed incidents in its own workforce?</v>
      </c>
      <c r="C348" s="2" t="s">
        <v>7320</v>
      </c>
      <c r="D348" s="516" t="s">
        <v>7321</v>
      </c>
      <c r="E348" s="516" t="s">
        <v>7322</v>
      </c>
      <c r="F348" s="516" t="s">
        <v>7323</v>
      </c>
      <c r="G348" s="523" t="s">
        <v>7324</v>
      </c>
      <c r="H348" s="523" t="s">
        <v>7325</v>
      </c>
      <c r="I348" s="2" t="s">
        <v>7326</v>
      </c>
      <c r="J348" s="522" t="s">
        <v>7327</v>
      </c>
      <c r="K348" s="522" t="s">
        <v>7328</v>
      </c>
      <c r="L348" s="522" t="s">
        <v>7329</v>
      </c>
      <c r="M348" s="522" t="s">
        <v>7330</v>
      </c>
    </row>
    <row r="349" spans="1:13" x14ac:dyDescent="0.3">
      <c r="A349" s="2" t="s">
        <v>7331</v>
      </c>
      <c r="B349" s="521" t="str">
        <f t="shared" si="9"/>
        <v>If yes are incidents related to:</v>
      </c>
      <c r="C349" s="2" t="s">
        <v>7332</v>
      </c>
      <c r="D349" s="516" t="s">
        <v>7333</v>
      </c>
      <c r="E349" s="516" t="s">
        <v>7334</v>
      </c>
      <c r="F349" s="516" t="s">
        <v>7335</v>
      </c>
      <c r="G349" s="523" t="s">
        <v>7336</v>
      </c>
      <c r="H349" s="523" t="s">
        <v>7337</v>
      </c>
      <c r="I349" s="2" t="s">
        <v>7338</v>
      </c>
      <c r="J349" s="522" t="s">
        <v>7339</v>
      </c>
      <c r="K349" s="522" t="s">
        <v>7340</v>
      </c>
      <c r="L349" s="522" t="s">
        <v>7341</v>
      </c>
      <c r="M349" s="522" t="s">
        <v>7342</v>
      </c>
    </row>
    <row r="350" spans="1:13" ht="57.6" x14ac:dyDescent="0.3">
      <c r="A350" s="2" t="s">
        <v>7343</v>
      </c>
      <c r="B350" s="521" t="str">
        <f t="shared" si="9"/>
        <v>Specify other human rights related to the confirmed incidents</v>
      </c>
      <c r="C350" s="2" t="s">
        <v>7344</v>
      </c>
      <c r="D350" s="516" t="s">
        <v>7345</v>
      </c>
      <c r="E350" s="516" t="s">
        <v>7346</v>
      </c>
      <c r="F350" s="516" t="s">
        <v>7347</v>
      </c>
      <c r="G350" s="523" t="s">
        <v>7348</v>
      </c>
      <c r="H350" s="523" t="s">
        <v>7349</v>
      </c>
      <c r="I350" s="2" t="s">
        <v>7350</v>
      </c>
      <c r="J350" s="522" t="s">
        <v>7351</v>
      </c>
      <c r="K350" s="522" t="s">
        <v>7352</v>
      </c>
      <c r="L350" s="522" t="s">
        <v>7353</v>
      </c>
      <c r="M350" s="522" t="s">
        <v>7354</v>
      </c>
    </row>
    <row r="351" spans="1:13" ht="57.6" x14ac:dyDescent="0.3">
      <c r="A351" s="2" t="s">
        <v>7355</v>
      </c>
      <c r="B351" s="521" t="str">
        <f t="shared" si="9"/>
        <v>Description of actions taken to address the confirmed incidents</v>
      </c>
      <c r="C351" s="2" t="s">
        <v>7356</v>
      </c>
      <c r="D351" s="516" t="s">
        <v>7357</v>
      </c>
      <c r="E351" s="516" t="s">
        <v>7358</v>
      </c>
      <c r="F351" s="516" t="s">
        <v>7359</v>
      </c>
      <c r="G351" s="523" t="s">
        <v>7360</v>
      </c>
      <c r="H351" s="523" t="s">
        <v>7361</v>
      </c>
      <c r="I351" s="2" t="s">
        <v>7362</v>
      </c>
      <c r="J351" s="522" t="s">
        <v>7363</v>
      </c>
      <c r="K351" s="522" t="s">
        <v>7364</v>
      </c>
      <c r="L351" s="522" t="s">
        <v>7365</v>
      </c>
      <c r="M351" s="522" t="s">
        <v>7366</v>
      </c>
    </row>
    <row r="352" spans="1:13" ht="72" x14ac:dyDescent="0.3">
      <c r="A352" s="2" t="s">
        <v>7367</v>
      </c>
      <c r="B352" s="521" t="str">
        <f t="shared" si="9"/>
        <v>Is the undertaking aware of any confirmed incidents involving workers in the value chain affected communities consumers and end-users?</v>
      </c>
      <c r="C352" s="2" t="s">
        <v>7368</v>
      </c>
      <c r="D352" s="516" t="s">
        <v>7369</v>
      </c>
      <c r="E352" s="516" t="s">
        <v>7370</v>
      </c>
      <c r="F352" s="516" t="s">
        <v>7371</v>
      </c>
      <c r="G352" s="523" t="s">
        <v>7372</v>
      </c>
      <c r="H352" s="523" t="s">
        <v>7373</v>
      </c>
      <c r="I352" s="2" t="s">
        <v>7374</v>
      </c>
      <c r="J352" s="522" t="s">
        <v>7375</v>
      </c>
      <c r="K352" s="522" t="s">
        <v>7376</v>
      </c>
      <c r="L352" s="522" t="s">
        <v>7377</v>
      </c>
      <c r="M352" s="522" t="s">
        <v>7378</v>
      </c>
    </row>
    <row r="353" spans="1:13" ht="72.599999999999994" thickBot="1" x14ac:dyDescent="0.35">
      <c r="A353" s="528" t="s">
        <v>7379</v>
      </c>
      <c r="B353" s="525" t="str">
        <f t="shared" si="9"/>
        <v>Specification of any confirmed incident involving workers in the value chain affected communities consumers and end-users</v>
      </c>
      <c r="C353" s="528" t="s">
        <v>7380</v>
      </c>
      <c r="D353" s="524" t="s">
        <v>7381</v>
      </c>
      <c r="E353" s="524" t="s">
        <v>7382</v>
      </c>
      <c r="F353" s="524" t="s">
        <v>7383</v>
      </c>
      <c r="G353" s="527" t="s">
        <v>7384</v>
      </c>
      <c r="H353" s="527" t="s">
        <v>7385</v>
      </c>
      <c r="I353" s="528" t="s">
        <v>7386</v>
      </c>
      <c r="J353" s="526" t="s">
        <v>7387</v>
      </c>
      <c r="K353" s="526" t="s">
        <v>7388</v>
      </c>
      <c r="L353" s="526" t="s">
        <v>7389</v>
      </c>
      <c r="M353" s="526" t="s">
        <v>7390</v>
      </c>
    </row>
    <row r="354" spans="1:13" ht="58.2" thickBot="1" x14ac:dyDescent="0.35">
      <c r="A354" s="533" t="s">
        <v>7391</v>
      </c>
      <c r="B354" s="534" t="str">
        <f t="shared" si="9"/>
        <v>Disclosure of any other social and/or entity specific social disclosures</v>
      </c>
      <c r="C354" s="2" t="s">
        <v>7392</v>
      </c>
      <c r="D354" s="2" t="s">
        <v>8813</v>
      </c>
      <c r="E354" s="2" t="s">
        <v>8814</v>
      </c>
      <c r="F354" s="2" t="s">
        <v>8815</v>
      </c>
      <c r="G354" s="2" t="s">
        <v>8816</v>
      </c>
      <c r="H354" s="2" t="s">
        <v>8817</v>
      </c>
      <c r="I354" s="2" t="s">
        <v>7393</v>
      </c>
      <c r="J354" s="2" t="s">
        <v>8818</v>
      </c>
      <c r="K354" s="2" t="s">
        <v>8819</v>
      </c>
      <c r="L354" s="2" t="s">
        <v>8820</v>
      </c>
      <c r="M354" s="2" t="s">
        <v>8821</v>
      </c>
    </row>
    <row r="355" spans="1:13" ht="43.2" x14ac:dyDescent="0.3">
      <c r="A355" s="2" t="s">
        <v>7394</v>
      </c>
      <c r="B355" s="2" t="str">
        <f t="shared" si="9"/>
        <v>B11 - Convictions and fines for corruption and bribery</v>
      </c>
      <c r="C355" s="2" t="s">
        <v>4199</v>
      </c>
      <c r="D355" s="516" t="s">
        <v>4200</v>
      </c>
      <c r="E355" s="516" t="s">
        <v>7395</v>
      </c>
      <c r="F355" s="516" t="s">
        <v>4202</v>
      </c>
      <c r="G355" s="523" t="s">
        <v>7396</v>
      </c>
      <c r="H355" s="523" t="s">
        <v>7397</v>
      </c>
      <c r="I355" s="2" t="s">
        <v>7398</v>
      </c>
      <c r="J355" s="522" t="s">
        <v>7399</v>
      </c>
      <c r="K355" s="522" t="s">
        <v>4207</v>
      </c>
      <c r="L355" s="522" t="s">
        <v>7400</v>
      </c>
      <c r="M355" s="522" t="s">
        <v>7401</v>
      </c>
    </row>
    <row r="356" spans="1:13" ht="28.8" x14ac:dyDescent="0.3">
      <c r="A356" s="2" t="s">
        <v>7402</v>
      </c>
      <c r="B356" s="2" t="str">
        <f t="shared" si="9"/>
        <v>Has the undertaking incurred in convictions and fines in the reporting period?</v>
      </c>
      <c r="C356" s="2" t="s">
        <v>7403</v>
      </c>
      <c r="D356" s="516" t="s">
        <v>7404</v>
      </c>
      <c r="E356" s="516" t="s">
        <v>7405</v>
      </c>
      <c r="F356" s="516" t="s">
        <v>7406</v>
      </c>
      <c r="G356" s="523" t="s">
        <v>7407</v>
      </c>
      <c r="H356" s="523" t="s">
        <v>7408</v>
      </c>
      <c r="I356" s="2" t="s">
        <v>7409</v>
      </c>
      <c r="J356" s="522" t="s">
        <v>7410</v>
      </c>
      <c r="K356" s="522" t="s">
        <v>7411</v>
      </c>
      <c r="L356" s="522" t="s">
        <v>7412</v>
      </c>
      <c r="M356" s="522" t="s">
        <v>7413</v>
      </c>
    </row>
    <row r="357" spans="1:13" ht="57.6" x14ac:dyDescent="0.3">
      <c r="A357" s="2" t="s">
        <v>7414</v>
      </c>
      <c r="B357" s="2" t="str">
        <f t="shared" si="9"/>
        <v>Total number of convictions  for the violation of anti-corruption and anti-bribery laws</v>
      </c>
      <c r="C357" s="2" t="s">
        <v>7415</v>
      </c>
      <c r="D357" s="516" t="s">
        <v>7416</v>
      </c>
      <c r="E357" s="516" t="s">
        <v>7417</v>
      </c>
      <c r="F357" s="516" t="s">
        <v>7418</v>
      </c>
      <c r="G357" s="523" t="s">
        <v>7419</v>
      </c>
      <c r="H357" s="523" t="s">
        <v>7420</v>
      </c>
      <c r="I357" s="2" t="s">
        <v>7421</v>
      </c>
      <c r="J357" s="522" t="s">
        <v>7422</v>
      </c>
      <c r="K357" s="522" t="s">
        <v>7423</v>
      </c>
      <c r="L357" s="522" t="s">
        <v>7424</v>
      </c>
      <c r="M357" s="522" t="s">
        <v>7425</v>
      </c>
    </row>
    <row r="358" spans="1:13" ht="58.2" thickBot="1" x14ac:dyDescent="0.35">
      <c r="A358" s="528" t="s">
        <v>7426</v>
      </c>
      <c r="B358" s="528" t="str">
        <f t="shared" si="9"/>
        <v>Total amount of fines for the violation of anti-corruption and anti-bribery laws</v>
      </c>
      <c r="C358" s="528" t="s">
        <v>7427</v>
      </c>
      <c r="D358" s="524" t="s">
        <v>7428</v>
      </c>
      <c r="E358" s="524" t="s">
        <v>7429</v>
      </c>
      <c r="F358" s="524" t="s">
        <v>7430</v>
      </c>
      <c r="G358" s="527" t="s">
        <v>7431</v>
      </c>
      <c r="H358" s="527" t="s">
        <v>7432</v>
      </c>
      <c r="I358" s="528" t="s">
        <v>7433</v>
      </c>
      <c r="J358" s="526" t="s">
        <v>7434</v>
      </c>
      <c r="K358" s="526" t="s">
        <v>7435</v>
      </c>
      <c r="L358" s="526" t="s">
        <v>7436</v>
      </c>
      <c r="M358" s="526" t="s">
        <v>7437</v>
      </c>
    </row>
    <row r="359" spans="1:13" x14ac:dyDescent="0.3">
      <c r="A359" s="2" t="s">
        <v>7438</v>
      </c>
      <c r="B359" s="2" t="str">
        <f t="shared" si="9"/>
        <v>C8 - Revenues from certain activities</v>
      </c>
      <c r="C359" s="2" t="s">
        <v>7439</v>
      </c>
      <c r="D359" s="516" t="s">
        <v>7440</v>
      </c>
      <c r="E359" s="516" t="s">
        <v>7441</v>
      </c>
      <c r="F359" s="516" t="s">
        <v>7442</v>
      </c>
      <c r="G359" s="523" t="s">
        <v>7443</v>
      </c>
      <c r="H359" s="523" t="s">
        <v>7444</v>
      </c>
      <c r="I359" s="2" t="s">
        <v>7445</v>
      </c>
      <c r="J359" s="522" t="s">
        <v>7446</v>
      </c>
      <c r="K359" s="522" t="s">
        <v>7447</v>
      </c>
      <c r="L359" s="522" t="s">
        <v>7448</v>
      </c>
      <c r="M359" s="522" t="s">
        <v>7449</v>
      </c>
    </row>
    <row r="360" spans="1:13" ht="28.8" x14ac:dyDescent="0.3">
      <c r="A360" s="2" t="s">
        <v>7450</v>
      </c>
      <c r="B360" s="2" t="str">
        <f t="shared" si="9"/>
        <v>Is the undertaking deriving revenues from one of the activities listed below?</v>
      </c>
      <c r="C360" s="2" t="s">
        <v>7451</v>
      </c>
      <c r="D360" s="516" t="s">
        <v>7452</v>
      </c>
      <c r="E360" s="516" t="s">
        <v>7453</v>
      </c>
      <c r="F360" s="516" t="s">
        <v>7454</v>
      </c>
      <c r="G360" s="523" t="s">
        <v>7455</v>
      </c>
      <c r="H360" s="523" t="s">
        <v>7456</v>
      </c>
      <c r="I360" s="2" t="s">
        <v>7457</v>
      </c>
      <c r="J360" s="522" t="s">
        <v>7458</v>
      </c>
      <c r="K360" s="522" t="s">
        <v>7459</v>
      </c>
      <c r="L360" s="522" t="s">
        <v>7460</v>
      </c>
      <c r="M360" s="522" t="s">
        <v>7461</v>
      </c>
    </row>
    <row r="361" spans="1:13" x14ac:dyDescent="0.3">
      <c r="A361" s="2" t="s">
        <v>7462</v>
      </c>
      <c r="B361" s="2" t="str">
        <f t="shared" si="9"/>
        <v>Monetary amount in</v>
      </c>
      <c r="C361" s="2" t="s">
        <v>7463</v>
      </c>
      <c r="D361" s="516" t="s">
        <v>7464</v>
      </c>
      <c r="E361" s="516" t="s">
        <v>7465</v>
      </c>
      <c r="F361" s="516" t="s">
        <v>7466</v>
      </c>
      <c r="G361" s="523" t="s">
        <v>4463</v>
      </c>
      <c r="H361" s="523" t="s">
        <v>7467</v>
      </c>
      <c r="I361" s="2" t="s">
        <v>7468</v>
      </c>
      <c r="J361" s="522" t="s">
        <v>7469</v>
      </c>
      <c r="K361" s="522" t="s">
        <v>7470</v>
      </c>
      <c r="L361" s="522" t="s">
        <v>7471</v>
      </c>
      <c r="M361" s="522" t="s">
        <v>7472</v>
      </c>
    </row>
    <row r="362" spans="1:13" ht="43.2" x14ac:dyDescent="0.3">
      <c r="A362" s="2" t="s">
        <v>7473</v>
      </c>
      <c r="B362" s="2" t="str">
        <f t="shared" ref="B362:B425" si="10">INDEX(C362:M362,MATCH(template_selected_display_language,$C$3:$M$3,0))</f>
        <v>Revenue derived from controversial weapons (anti-personnel mines cluster munitions chemical weapons and biological weapons)</v>
      </c>
      <c r="C362" s="2" t="s">
        <v>7474</v>
      </c>
      <c r="D362" s="516" t="s">
        <v>7475</v>
      </c>
      <c r="E362" s="516" t="s">
        <v>7476</v>
      </c>
      <c r="F362" s="516" t="s">
        <v>7477</v>
      </c>
      <c r="G362" s="523" t="s">
        <v>7478</v>
      </c>
      <c r="H362" s="523" t="s">
        <v>7479</v>
      </c>
      <c r="I362" s="2" t="s">
        <v>7480</v>
      </c>
      <c r="J362" s="522" t="s">
        <v>7481</v>
      </c>
      <c r="K362" s="522" t="s">
        <v>7482</v>
      </c>
      <c r="L362" s="522" t="s">
        <v>7483</v>
      </c>
      <c r="M362" s="522" t="s">
        <v>7484</v>
      </c>
    </row>
    <row r="363" spans="1:13" ht="43.2" x14ac:dyDescent="0.3">
      <c r="A363" s="2" t="s">
        <v>7485</v>
      </c>
      <c r="B363" s="2" t="str">
        <f t="shared" si="10"/>
        <v>Revenue derived from cultivation and production of tobacco</v>
      </c>
      <c r="C363" s="2" t="s">
        <v>7486</v>
      </c>
      <c r="D363" s="516" t="s">
        <v>7487</v>
      </c>
      <c r="E363" s="516" t="s">
        <v>7488</v>
      </c>
      <c r="F363" s="516" t="s">
        <v>7489</v>
      </c>
      <c r="G363" s="523" t="s">
        <v>7490</v>
      </c>
      <c r="H363" s="523" t="s">
        <v>7491</v>
      </c>
      <c r="I363" s="2" t="s">
        <v>7492</v>
      </c>
      <c r="J363" s="522" t="s">
        <v>7493</v>
      </c>
      <c r="K363" s="522" t="s">
        <v>7494</v>
      </c>
      <c r="L363" s="522" t="s">
        <v>7495</v>
      </c>
      <c r="M363" s="522" t="s">
        <v>7496</v>
      </c>
    </row>
    <row r="364" spans="1:13" x14ac:dyDescent="0.3">
      <c r="A364" s="2" t="s">
        <v>7497</v>
      </c>
      <c r="B364" s="2" t="str">
        <f t="shared" si="10"/>
        <v>Revenue derived from coal</v>
      </c>
      <c r="C364" s="2" t="s">
        <v>7498</v>
      </c>
      <c r="D364" s="516" t="s">
        <v>7499</v>
      </c>
      <c r="E364" s="516" t="s">
        <v>7500</v>
      </c>
      <c r="F364" s="516" t="s">
        <v>7501</v>
      </c>
      <c r="G364" s="523" t="s">
        <v>7502</v>
      </c>
      <c r="H364" s="523" t="s">
        <v>7503</v>
      </c>
      <c r="I364" s="2" t="s">
        <v>7504</v>
      </c>
      <c r="J364" s="522" t="s">
        <v>7505</v>
      </c>
      <c r="K364" s="522" t="s">
        <v>7506</v>
      </c>
      <c r="L364" s="522" t="s">
        <v>7507</v>
      </c>
      <c r="M364" s="522" t="s">
        <v>7508</v>
      </c>
    </row>
    <row r="365" spans="1:13" x14ac:dyDescent="0.3">
      <c r="A365" s="2" t="s">
        <v>7509</v>
      </c>
      <c r="B365" s="2" t="str">
        <f t="shared" si="10"/>
        <v>Revenue derived from oil</v>
      </c>
      <c r="C365" s="2" t="s">
        <v>7510</v>
      </c>
      <c r="D365" s="516" t="s">
        <v>7511</v>
      </c>
      <c r="E365" s="516" t="s">
        <v>7512</v>
      </c>
      <c r="F365" s="516" t="s">
        <v>7513</v>
      </c>
      <c r="G365" s="523" t="s">
        <v>7514</v>
      </c>
      <c r="H365" s="523" t="s">
        <v>7515</v>
      </c>
      <c r="I365" s="2" t="s">
        <v>7516</v>
      </c>
      <c r="J365" s="522" t="s">
        <v>7517</v>
      </c>
      <c r="K365" s="522" t="s">
        <v>7518</v>
      </c>
      <c r="L365" s="522" t="s">
        <v>7519</v>
      </c>
      <c r="M365" s="522" t="s">
        <v>7520</v>
      </c>
    </row>
    <row r="366" spans="1:13" ht="28.8" x14ac:dyDescent="0.3">
      <c r="A366" s="2" t="s">
        <v>7521</v>
      </c>
      <c r="B366" s="2" t="str">
        <f t="shared" si="10"/>
        <v>Revenue derived from gas</v>
      </c>
      <c r="C366" s="2" t="s">
        <v>7522</v>
      </c>
      <c r="D366" s="516" t="s">
        <v>7523</v>
      </c>
      <c r="E366" s="516" t="s">
        <v>7524</v>
      </c>
      <c r="F366" s="516" t="s">
        <v>7525</v>
      </c>
      <c r="G366" s="523" t="s">
        <v>7526</v>
      </c>
      <c r="H366" s="523" t="s">
        <v>7527</v>
      </c>
      <c r="I366" s="2" t="s">
        <v>7528</v>
      </c>
      <c r="J366" s="522" t="s">
        <v>7529</v>
      </c>
      <c r="K366" s="522" t="s">
        <v>7530</v>
      </c>
      <c r="L366" s="522" t="s">
        <v>7531</v>
      </c>
      <c r="M366" s="522" t="s">
        <v>7532</v>
      </c>
    </row>
    <row r="367" spans="1:13" ht="144" x14ac:dyDescent="0.3">
      <c r="A367" s="2" t="s">
        <v>7533</v>
      </c>
      <c r="B367" s="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67" s="2" t="s">
        <v>7534</v>
      </c>
      <c r="D367" s="516" t="s">
        <v>7535</v>
      </c>
      <c r="E367" s="516" t="s">
        <v>7536</v>
      </c>
      <c r="F367" s="516" t="s">
        <v>7537</v>
      </c>
      <c r="G367" s="523" t="s">
        <v>7538</v>
      </c>
      <c r="H367" s="523" t="s">
        <v>7539</v>
      </c>
      <c r="I367" s="2" t="s">
        <v>7540</v>
      </c>
      <c r="J367" s="522" t="s">
        <v>7541</v>
      </c>
      <c r="K367" s="522" t="s">
        <v>7542</v>
      </c>
      <c r="L367" s="522" t="s">
        <v>7543</v>
      </c>
      <c r="M367" s="522" t="s">
        <v>7544</v>
      </c>
    </row>
    <row r="368" spans="1:13" ht="29.4" thickBot="1" x14ac:dyDescent="0.35">
      <c r="A368" s="528" t="s">
        <v>7545</v>
      </c>
      <c r="B368" s="528" t="str">
        <f t="shared" si="10"/>
        <v>Revenue derived from chemicals production</v>
      </c>
      <c r="C368" s="528" t="s">
        <v>7546</v>
      </c>
      <c r="D368" s="524" t="s">
        <v>7547</v>
      </c>
      <c r="E368" s="524" t="s">
        <v>7548</v>
      </c>
      <c r="F368" s="524" t="s">
        <v>7549</v>
      </c>
      <c r="G368" s="527" t="s">
        <v>7550</v>
      </c>
      <c r="H368" s="527" t="s">
        <v>7551</v>
      </c>
      <c r="I368" s="528" t="s">
        <v>7552</v>
      </c>
      <c r="J368" s="526" t="s">
        <v>7553</v>
      </c>
      <c r="K368" s="526" t="s">
        <v>7554</v>
      </c>
      <c r="L368" s="526" t="s">
        <v>7555</v>
      </c>
      <c r="M368" s="526" t="s">
        <v>7556</v>
      </c>
    </row>
    <row r="369" spans="1:13" ht="28.8" x14ac:dyDescent="0.3">
      <c r="A369" s="2" t="s">
        <v>7557</v>
      </c>
      <c r="B369" s="2" t="str">
        <f t="shared" si="10"/>
        <v>C8 - Exclusion from EU reference benchmarks</v>
      </c>
      <c r="C369" s="2" t="s">
        <v>7558</v>
      </c>
      <c r="D369" s="516" t="s">
        <v>7559</v>
      </c>
      <c r="E369" s="516" t="s">
        <v>7560</v>
      </c>
      <c r="F369" s="516" t="s">
        <v>7561</v>
      </c>
      <c r="G369" s="523" t="s">
        <v>7562</v>
      </c>
      <c r="H369" s="523" t="s">
        <v>7563</v>
      </c>
      <c r="I369" s="2" t="s">
        <v>7564</v>
      </c>
      <c r="J369" s="522" t="s">
        <v>7565</v>
      </c>
      <c r="K369" s="522" t="s">
        <v>7566</v>
      </c>
      <c r="L369" s="522" t="s">
        <v>7567</v>
      </c>
      <c r="M369" s="522" t="s">
        <v>7568</v>
      </c>
    </row>
    <row r="370" spans="1:13" ht="43.2" x14ac:dyDescent="0.3">
      <c r="A370" s="2" t="s">
        <v>7569</v>
      </c>
      <c r="B370" s="2" t="str">
        <f t="shared" si="10"/>
        <v>Undertakings are excluded from the EU Paris-aligned Benchmarks if they  derive:</v>
      </c>
      <c r="C370" s="2" t="s">
        <v>7570</v>
      </c>
      <c r="D370" s="516" t="s">
        <v>7571</v>
      </c>
      <c r="E370" s="516" t="s">
        <v>7572</v>
      </c>
      <c r="F370" s="516" t="s">
        <v>7573</v>
      </c>
      <c r="G370" s="523" t="s">
        <v>7574</v>
      </c>
      <c r="H370" s="523" t="s">
        <v>7575</v>
      </c>
      <c r="I370" s="2" t="s">
        <v>7576</v>
      </c>
      <c r="J370" s="522" t="s">
        <v>7577</v>
      </c>
      <c r="K370" s="522" t="s">
        <v>7578</v>
      </c>
      <c r="L370" s="522" t="s">
        <v>7579</v>
      </c>
      <c r="M370" s="522" t="s">
        <v>7580</v>
      </c>
    </row>
    <row r="371" spans="1:13" ht="43.2" x14ac:dyDescent="0.3">
      <c r="A371" s="2" t="s">
        <v>7581</v>
      </c>
      <c r="B371" s="2" t="str">
        <f t="shared" si="10"/>
        <v>1% or more of their revenues from exploration mining extraction distribution or refining of hard coal and lignite</v>
      </c>
      <c r="C371" s="2" t="s">
        <v>7582</v>
      </c>
      <c r="D371" s="516" t="s">
        <v>7583</v>
      </c>
      <c r="E371" s="516" t="s">
        <v>7584</v>
      </c>
      <c r="F371" s="516" t="s">
        <v>7585</v>
      </c>
      <c r="G371" s="523" t="s">
        <v>7586</v>
      </c>
      <c r="H371" s="523" t="s">
        <v>7587</v>
      </c>
      <c r="I371" s="2" t="s">
        <v>7588</v>
      </c>
      <c r="J371" s="522" t="s">
        <v>7589</v>
      </c>
      <c r="K371" s="522" t="s">
        <v>7590</v>
      </c>
      <c r="L371" s="522" t="s">
        <v>7591</v>
      </c>
      <c r="M371" s="522" t="s">
        <v>7592</v>
      </c>
    </row>
    <row r="372" spans="1:13" ht="72" x14ac:dyDescent="0.3">
      <c r="A372" s="2" t="s">
        <v>7593</v>
      </c>
      <c r="B372" s="2" t="str">
        <f t="shared" si="10"/>
        <v>10% or more of their revenues from the exploration extraction distribution or refining of oil fuels</v>
      </c>
      <c r="C372" s="2" t="s">
        <v>7594</v>
      </c>
      <c r="D372" s="516" t="s">
        <v>7595</v>
      </c>
      <c r="E372" s="516" t="s">
        <v>7596</v>
      </c>
      <c r="F372" s="516" t="s">
        <v>7597</v>
      </c>
      <c r="G372" s="523" t="s">
        <v>7598</v>
      </c>
      <c r="H372" s="523" t="s">
        <v>7599</v>
      </c>
      <c r="I372" s="2" t="s">
        <v>7600</v>
      </c>
      <c r="J372" s="522" t="s">
        <v>7601</v>
      </c>
      <c r="K372" s="522" t="s">
        <v>7602</v>
      </c>
      <c r="L372" s="522" t="s">
        <v>7603</v>
      </c>
      <c r="M372" s="522" t="s">
        <v>7604</v>
      </c>
    </row>
    <row r="373" spans="1:13" ht="72" x14ac:dyDescent="0.3">
      <c r="A373" s="2" t="s">
        <v>7605</v>
      </c>
      <c r="B373" s="2" t="str">
        <f t="shared" si="10"/>
        <v>50% or more of their revenues from the exploration extraction manufacturing or distribution of gaseous fuels</v>
      </c>
      <c r="C373" s="2" t="s">
        <v>7606</v>
      </c>
      <c r="D373" s="516" t="s">
        <v>7607</v>
      </c>
      <c r="E373" s="516" t="s">
        <v>7608</v>
      </c>
      <c r="F373" s="516" t="s">
        <v>7609</v>
      </c>
      <c r="G373" s="523" t="s">
        <v>7610</v>
      </c>
      <c r="H373" s="523" t="s">
        <v>7611</v>
      </c>
      <c r="I373" s="2" t="s">
        <v>7612</v>
      </c>
      <c r="J373" s="522" t="s">
        <v>7613</v>
      </c>
      <c r="K373" s="522" t="s">
        <v>7614</v>
      </c>
      <c r="L373" s="522" t="s">
        <v>7615</v>
      </c>
      <c r="M373" s="522" t="s">
        <v>7616</v>
      </c>
    </row>
    <row r="374" spans="1:13" ht="72" x14ac:dyDescent="0.3">
      <c r="A374" s="2" t="s">
        <v>7617</v>
      </c>
      <c r="B374" s="2" t="str">
        <f t="shared" si="10"/>
        <v>50% or more of their revenues from electricity generation with a GHG intensity of more than 100g CO2 e kWh</v>
      </c>
      <c r="C374" s="2" t="s">
        <v>7618</v>
      </c>
      <c r="D374" s="516" t="s">
        <v>7619</v>
      </c>
      <c r="E374" s="516" t="s">
        <v>7620</v>
      </c>
      <c r="F374" s="516" t="s">
        <v>7621</v>
      </c>
      <c r="G374" s="523" t="s">
        <v>7622</v>
      </c>
      <c r="H374" s="523" t="s">
        <v>7623</v>
      </c>
      <c r="I374" s="2" t="s">
        <v>7624</v>
      </c>
      <c r="J374" s="522" t="s">
        <v>7625</v>
      </c>
      <c r="K374" s="522" t="s">
        <v>7626</v>
      </c>
      <c r="L374" s="522" t="s">
        <v>7627</v>
      </c>
      <c r="M374" s="522" t="s">
        <v>7628</v>
      </c>
    </row>
    <row r="375" spans="1:13" ht="28.8" x14ac:dyDescent="0.3">
      <c r="A375" s="2" t="s">
        <v>7629</v>
      </c>
      <c r="B375" s="2" t="str">
        <f t="shared" si="10"/>
        <v>None of the above</v>
      </c>
      <c r="C375" s="2" t="s">
        <v>7630</v>
      </c>
      <c r="D375" s="516" t="s">
        <v>7631</v>
      </c>
      <c r="E375" s="516" t="s">
        <v>7632</v>
      </c>
      <c r="F375" s="516" t="s">
        <v>7633</v>
      </c>
      <c r="G375" s="523" t="s">
        <v>7634</v>
      </c>
      <c r="H375" s="523" t="s">
        <v>7635</v>
      </c>
      <c r="I375" s="2" t="s">
        <v>7636</v>
      </c>
      <c r="J375" s="522" t="s">
        <v>7637</v>
      </c>
      <c r="K375" s="522" t="s">
        <v>7638</v>
      </c>
      <c r="L375" s="522" t="s">
        <v>7639</v>
      </c>
      <c r="M375" s="522" t="s">
        <v>7640</v>
      </c>
    </row>
    <row r="376" spans="1:13" ht="58.2" thickBot="1" x14ac:dyDescent="0.35">
      <c r="A376" s="528" t="s">
        <v>7641</v>
      </c>
      <c r="B376" s="528" t="str">
        <f t="shared" si="10"/>
        <v>Undertakings are excluded from any EU reference benchmarks that are aligned with the Paris Agreement</v>
      </c>
      <c r="C376" s="528" t="s">
        <v>7642</v>
      </c>
      <c r="D376" s="524" t="s">
        <v>7643</v>
      </c>
      <c r="E376" s="524" t="s">
        <v>7644</v>
      </c>
      <c r="F376" s="524" t="s">
        <v>7645</v>
      </c>
      <c r="G376" s="527" t="s">
        <v>7646</v>
      </c>
      <c r="H376" s="527" t="s">
        <v>7647</v>
      </c>
      <c r="I376" s="528" t="s">
        <v>7648</v>
      </c>
      <c r="J376" s="526" t="s">
        <v>7649</v>
      </c>
      <c r="K376" s="526" t="s">
        <v>7650</v>
      </c>
      <c r="L376" s="526" t="s">
        <v>7651</v>
      </c>
      <c r="M376" s="526" t="s">
        <v>7652</v>
      </c>
    </row>
    <row r="377" spans="1:13" ht="72" x14ac:dyDescent="0.3">
      <c r="A377" s="2" t="s">
        <v>7653</v>
      </c>
      <c r="B377" s="2" t="str">
        <f t="shared" si="10"/>
        <v>C9 - Gender diversity ratio in the governance body</v>
      </c>
      <c r="C377" s="2" t="s">
        <v>4312</v>
      </c>
      <c r="D377" s="516" t="s">
        <v>4313</v>
      </c>
      <c r="E377" s="516" t="s">
        <v>7654</v>
      </c>
      <c r="F377" s="516" t="s">
        <v>4315</v>
      </c>
      <c r="G377" s="523" t="s">
        <v>7655</v>
      </c>
      <c r="H377" s="523" t="s">
        <v>7656</v>
      </c>
      <c r="I377" s="2" t="s">
        <v>7657</v>
      </c>
      <c r="J377" s="522" t="s">
        <v>7658</v>
      </c>
      <c r="K377" s="522" t="s">
        <v>7659</v>
      </c>
      <c r="L377" s="522" t="s">
        <v>7660</v>
      </c>
      <c r="M377" s="522" t="s">
        <v>4322</v>
      </c>
    </row>
    <row r="378" spans="1:13" ht="43.2" x14ac:dyDescent="0.3">
      <c r="A378" s="2" t="s">
        <v>7661</v>
      </c>
      <c r="B378" s="2" t="str">
        <f t="shared" si="10"/>
        <v>Does the undertaking have a governance body in place?</v>
      </c>
      <c r="C378" s="2" t="s">
        <v>7662</v>
      </c>
      <c r="D378" s="516" t="s">
        <v>7663</v>
      </c>
      <c r="E378" s="516" t="s">
        <v>7664</v>
      </c>
      <c r="F378" s="516" t="s">
        <v>7665</v>
      </c>
      <c r="G378" s="523" t="s">
        <v>7666</v>
      </c>
      <c r="H378" s="523" t="s">
        <v>7667</v>
      </c>
      <c r="I378" s="2" t="s">
        <v>7668</v>
      </c>
      <c r="J378" s="522" t="s">
        <v>7669</v>
      </c>
      <c r="K378" s="522" t="s">
        <v>7670</v>
      </c>
      <c r="L378" s="522" t="s">
        <v>7671</v>
      </c>
      <c r="M378" s="522" t="s">
        <v>7672</v>
      </c>
    </row>
    <row r="379" spans="1:13" ht="57.6" x14ac:dyDescent="0.3">
      <c r="A379" s="2" t="s">
        <v>7673</v>
      </c>
      <c r="B379" s="2" t="str">
        <f t="shared" si="10"/>
        <v>Number of female board members at the end of the reporting period</v>
      </c>
      <c r="C379" s="2" t="s">
        <v>7674</v>
      </c>
      <c r="D379" s="516" t="s">
        <v>7675</v>
      </c>
      <c r="E379" s="516" t="s">
        <v>7676</v>
      </c>
      <c r="F379" s="516" t="s">
        <v>7677</v>
      </c>
      <c r="G379" s="523" t="s">
        <v>7678</v>
      </c>
      <c r="H379" s="523" t="s">
        <v>7679</v>
      </c>
      <c r="I379" s="2" t="s">
        <v>7680</v>
      </c>
      <c r="J379" s="522" t="s">
        <v>7681</v>
      </c>
      <c r="K379" s="522" t="s">
        <v>7682</v>
      </c>
      <c r="L379" s="522" t="s">
        <v>7683</v>
      </c>
      <c r="M379" s="522" t="s">
        <v>7684</v>
      </c>
    </row>
    <row r="380" spans="1:13" ht="28.8" x14ac:dyDescent="0.3">
      <c r="A380" s="2" t="s">
        <v>7685</v>
      </c>
      <c r="B380" s="2" t="str">
        <f t="shared" si="10"/>
        <v>Number of male board members at the end of the reporting period</v>
      </c>
      <c r="C380" s="2" t="s">
        <v>7686</v>
      </c>
      <c r="D380" s="516" t="s">
        <v>7687</v>
      </c>
      <c r="E380" s="516" t="s">
        <v>7688</v>
      </c>
      <c r="F380" s="516" t="s">
        <v>7689</v>
      </c>
      <c r="G380" s="523" t="s">
        <v>7690</v>
      </c>
      <c r="H380" s="523" t="s">
        <v>7691</v>
      </c>
      <c r="I380" s="2" t="s">
        <v>7692</v>
      </c>
      <c r="J380" s="522" t="s">
        <v>7693</v>
      </c>
      <c r="K380" s="522" t="s">
        <v>7694</v>
      </c>
      <c r="L380" s="522" t="s">
        <v>7695</v>
      </c>
      <c r="M380" s="522" t="s">
        <v>7696</v>
      </c>
    </row>
    <row r="381" spans="1:13" ht="29.4" thickBot="1" x14ac:dyDescent="0.35">
      <c r="A381" s="528" t="s">
        <v>7697</v>
      </c>
      <c r="B381" s="528" t="str">
        <f t="shared" si="10"/>
        <v>Gender diversity ratio in governance body</v>
      </c>
      <c r="C381" s="528" t="s">
        <v>7698</v>
      </c>
      <c r="D381" s="524" t="s">
        <v>7699</v>
      </c>
      <c r="E381" s="524" t="s">
        <v>7700</v>
      </c>
      <c r="F381" s="524" t="s">
        <v>7701</v>
      </c>
      <c r="G381" s="527" t="s">
        <v>7702</v>
      </c>
      <c r="H381" s="527" t="s">
        <v>7703</v>
      </c>
      <c r="I381" s="528" t="s">
        <v>7657</v>
      </c>
      <c r="J381" s="526" t="s">
        <v>7704</v>
      </c>
      <c r="K381" s="526" t="s">
        <v>7705</v>
      </c>
      <c r="L381" s="526" t="s">
        <v>7706</v>
      </c>
      <c r="M381" s="526" t="s">
        <v>7707</v>
      </c>
    </row>
    <row r="382" spans="1:13" ht="43.8" thickBot="1" x14ac:dyDescent="0.35">
      <c r="A382" s="533" t="s">
        <v>7708</v>
      </c>
      <c r="B382" s="533" t="str">
        <f t="shared" si="10"/>
        <v>Disclosure of any other governance and/or entity specific governance disclosures</v>
      </c>
      <c r="C382" s="2" t="s">
        <v>7709</v>
      </c>
      <c r="D382" s="2" t="s">
        <v>7710</v>
      </c>
      <c r="E382" s="2" t="s">
        <v>8805</v>
      </c>
      <c r="F382" s="2" t="s">
        <v>8806</v>
      </c>
      <c r="G382" s="2" t="s">
        <v>7711</v>
      </c>
      <c r="H382" s="2" t="s">
        <v>8807</v>
      </c>
      <c r="I382" s="2" t="s">
        <v>8808</v>
      </c>
      <c r="J382" s="2" t="s">
        <v>8809</v>
      </c>
      <c r="K382" s="2" t="s">
        <v>8810</v>
      </c>
      <c r="L382" s="2" t="s">
        <v>8811</v>
      </c>
      <c r="M382" s="2" t="s">
        <v>8812</v>
      </c>
    </row>
    <row r="383" spans="1:13" x14ac:dyDescent="0.3">
      <c r="A383" s="2" t="s">
        <v>7712</v>
      </c>
      <c r="B383" s="2" t="str">
        <f t="shared" si="10"/>
        <v>FUEL CONVERTER</v>
      </c>
      <c r="C383" s="2" t="s">
        <v>7713</v>
      </c>
      <c r="D383" s="516" t="s">
        <v>7714</v>
      </c>
      <c r="E383" s="516" t="s">
        <v>7715</v>
      </c>
      <c r="F383" s="516" t="s">
        <v>7716</v>
      </c>
      <c r="G383" s="523" t="s">
        <v>7717</v>
      </c>
      <c r="H383" s="523" t="s">
        <v>7718</v>
      </c>
      <c r="I383" s="2" t="s">
        <v>7719</v>
      </c>
      <c r="J383" s="522" t="s">
        <v>7720</v>
      </c>
      <c r="K383" s="522" t="s">
        <v>7721</v>
      </c>
      <c r="L383" s="522" t="s">
        <v>7722</v>
      </c>
      <c r="M383" s="522" t="s">
        <v>7723</v>
      </c>
    </row>
    <row r="384" spans="1:13" ht="43.2" x14ac:dyDescent="0.3">
      <c r="A384" s="2" t="s">
        <v>7724</v>
      </c>
      <c r="B384" s="2" t="str">
        <f t="shared" si="10"/>
        <v>DISCLAIMER:</v>
      </c>
      <c r="C384" s="2" t="s">
        <v>7725</v>
      </c>
      <c r="D384" s="516" t="s">
        <v>7726</v>
      </c>
      <c r="E384" s="516" t="s">
        <v>7727</v>
      </c>
      <c r="F384" s="516" t="s">
        <v>7728</v>
      </c>
      <c r="G384" s="523" t="s">
        <v>7729</v>
      </c>
      <c r="H384" s="523" t="s">
        <v>7730</v>
      </c>
      <c r="I384" s="2" t="s">
        <v>7731</v>
      </c>
      <c r="J384" s="522" t="s">
        <v>7732</v>
      </c>
      <c r="K384" s="522" t="s">
        <v>7733</v>
      </c>
      <c r="L384" s="522" t="s">
        <v>7734</v>
      </c>
      <c r="M384" s="522" t="s">
        <v>7735</v>
      </c>
    </row>
    <row r="385" spans="1:13" ht="115.2" x14ac:dyDescent="0.3">
      <c r="A385" s="2" t="s">
        <v>7736</v>
      </c>
      <c r="B385" s="2"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85" s="2" t="s">
        <v>7737</v>
      </c>
      <c r="D385" s="516" t="s">
        <v>7738</v>
      </c>
      <c r="E385" s="516" t="s">
        <v>7739</v>
      </c>
      <c r="F385" s="516" t="s">
        <v>7740</v>
      </c>
      <c r="G385" s="523" t="s">
        <v>7741</v>
      </c>
      <c r="H385" s="523" t="s">
        <v>7742</v>
      </c>
      <c r="I385" s="2" t="s">
        <v>7743</v>
      </c>
      <c r="J385" s="522" t="s">
        <v>7744</v>
      </c>
      <c r="K385" s="522" t="s">
        <v>7745</v>
      </c>
      <c r="L385" s="522" t="s">
        <v>7746</v>
      </c>
      <c r="M385" s="522" t="s">
        <v>7747</v>
      </c>
    </row>
    <row r="386" spans="1:13" ht="144" x14ac:dyDescent="0.3">
      <c r="A386" s="2" t="s">
        <v>7748</v>
      </c>
      <c r="B386" s="2"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86" s="2" t="s">
        <v>7749</v>
      </c>
      <c r="D386" s="516" t="s">
        <v>7750</v>
      </c>
      <c r="E386" s="516" t="s">
        <v>7751</v>
      </c>
      <c r="F386" s="516" t="s">
        <v>7752</v>
      </c>
      <c r="G386" s="523" t="s">
        <v>7753</v>
      </c>
      <c r="H386" s="523" t="s">
        <v>7754</v>
      </c>
      <c r="I386" s="2" t="s">
        <v>7755</v>
      </c>
      <c r="J386" s="522" t="s">
        <v>7756</v>
      </c>
      <c r="K386" s="522" t="s">
        <v>7757</v>
      </c>
      <c r="L386" s="522" t="s">
        <v>7758</v>
      </c>
      <c r="M386" s="522" t="s">
        <v>7759</v>
      </c>
    </row>
    <row r="387" spans="1:13" ht="129.6" x14ac:dyDescent="0.3">
      <c r="A387" s="2" t="s">
        <v>7760</v>
      </c>
      <c r="B387" s="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87" s="2" t="s">
        <v>7761</v>
      </c>
      <c r="D387" s="516" t="s">
        <v>7762</v>
      </c>
      <c r="E387" s="516" t="s">
        <v>7763</v>
      </c>
      <c r="F387" s="516" t="s">
        <v>7764</v>
      </c>
      <c r="G387" s="523" t="s">
        <v>7765</v>
      </c>
      <c r="H387" s="523" t="s">
        <v>7766</v>
      </c>
      <c r="I387" s="2" t="s">
        <v>7767</v>
      </c>
      <c r="J387" s="522" t="s">
        <v>7768</v>
      </c>
      <c r="K387" s="522" t="s">
        <v>7769</v>
      </c>
      <c r="L387" s="522" t="s">
        <v>7770</v>
      </c>
      <c r="M387" s="522" t="s">
        <v>7771</v>
      </c>
    </row>
    <row r="388" spans="1:13" ht="57.6" x14ac:dyDescent="0.3">
      <c r="A388" s="2" t="s">
        <v>7772</v>
      </c>
      <c r="B388" s="2" t="str">
        <f t="shared" si="10"/>
        <v>Indicates that the cell should be filled either by selecting a value from the dropdown (e.g. Type of fuel or Unit of Measurement) or by entering an amount.</v>
      </c>
      <c r="C388" s="2" t="s">
        <v>7773</v>
      </c>
      <c r="D388" s="516" t="s">
        <v>7774</v>
      </c>
      <c r="E388" s="516" t="s">
        <v>7775</v>
      </c>
      <c r="F388" s="516" t="s">
        <v>7776</v>
      </c>
      <c r="G388" s="523" t="s">
        <v>7777</v>
      </c>
      <c r="H388" s="523" t="s">
        <v>7778</v>
      </c>
      <c r="I388" s="2" t="s">
        <v>7779</v>
      </c>
      <c r="J388" s="522" t="s">
        <v>7780</v>
      </c>
      <c r="K388" s="522" t="s">
        <v>7781</v>
      </c>
      <c r="L388" s="522" t="s">
        <v>7782</v>
      </c>
      <c r="M388" s="522" t="s">
        <v>7783</v>
      </c>
    </row>
    <row r="389" spans="1:13" x14ac:dyDescent="0.3">
      <c r="A389" s="2" t="s">
        <v>7784</v>
      </c>
      <c r="B389" s="2" t="str">
        <f t="shared" si="10"/>
        <v>Fuel type</v>
      </c>
      <c r="C389" s="2" t="s">
        <v>7785</v>
      </c>
      <c r="D389" s="516" t="s">
        <v>7786</v>
      </c>
      <c r="E389" s="516" t="s">
        <v>7787</v>
      </c>
      <c r="F389" s="516" t="s">
        <v>7788</v>
      </c>
      <c r="G389" s="523" t="s">
        <v>7789</v>
      </c>
      <c r="H389" s="523" t="s">
        <v>7790</v>
      </c>
      <c r="I389" s="2" t="s">
        <v>7791</v>
      </c>
      <c r="J389" s="522" t="s">
        <v>7792</v>
      </c>
      <c r="K389" s="522" t="s">
        <v>7793</v>
      </c>
      <c r="L389" s="522" t="s">
        <v>7794</v>
      </c>
      <c r="M389" s="522" t="s">
        <v>7795</v>
      </c>
    </row>
    <row r="390" spans="1:13" x14ac:dyDescent="0.3">
      <c r="A390" s="2" t="s">
        <v>7796</v>
      </c>
      <c r="B390" s="2" t="str">
        <f t="shared" si="10"/>
        <v>Amount</v>
      </c>
      <c r="C390" s="2" t="s">
        <v>133</v>
      </c>
      <c r="D390" s="516" t="s">
        <v>7797</v>
      </c>
      <c r="E390" s="516" t="s">
        <v>7798</v>
      </c>
      <c r="F390" s="516" t="s">
        <v>7799</v>
      </c>
      <c r="G390" s="523" t="s">
        <v>7800</v>
      </c>
      <c r="H390" s="523" t="s">
        <v>7801</v>
      </c>
      <c r="I390" s="2" t="s">
        <v>7802</v>
      </c>
      <c r="J390" s="522" t="s">
        <v>7803</v>
      </c>
      <c r="K390" s="522" t="s">
        <v>7804</v>
      </c>
      <c r="L390" s="522" t="s">
        <v>7805</v>
      </c>
      <c r="M390" s="522" t="s">
        <v>7806</v>
      </c>
    </row>
    <row r="391" spans="1:13" x14ac:dyDescent="0.3">
      <c r="A391" s="2" t="s">
        <v>7807</v>
      </c>
      <c r="B391" s="2" t="str">
        <f t="shared" si="10"/>
        <v>State of matter</v>
      </c>
      <c r="C391" s="2" t="s">
        <v>130</v>
      </c>
      <c r="D391" s="516" t="s">
        <v>7808</v>
      </c>
      <c r="E391" s="516" t="s">
        <v>7809</v>
      </c>
      <c r="F391" s="516" t="s">
        <v>7810</v>
      </c>
      <c r="G391" s="523" t="s">
        <v>7811</v>
      </c>
      <c r="H391" s="523" t="s">
        <v>7812</v>
      </c>
      <c r="I391" s="2" t="s">
        <v>7813</v>
      </c>
      <c r="J391" s="522" t="s">
        <v>7814</v>
      </c>
      <c r="K391" s="522" t="s">
        <v>7815</v>
      </c>
      <c r="L391" s="522" t="s">
        <v>7816</v>
      </c>
      <c r="M391" s="522" t="s">
        <v>7817</v>
      </c>
    </row>
    <row r="392" spans="1:13" x14ac:dyDescent="0.3">
      <c r="A392" s="2" t="s">
        <v>7818</v>
      </c>
      <c r="B392" s="2" t="str">
        <f t="shared" si="10"/>
        <v>Typical renewable state</v>
      </c>
      <c r="C392" s="2" t="s">
        <v>7819</v>
      </c>
      <c r="D392" s="516" t="s">
        <v>7820</v>
      </c>
      <c r="E392" s="516" t="s">
        <v>7821</v>
      </c>
      <c r="F392" s="516" t="s">
        <v>7822</v>
      </c>
      <c r="G392" s="523" t="s">
        <v>7823</v>
      </c>
      <c r="H392" s="523" t="s">
        <v>7824</v>
      </c>
      <c r="I392" s="2" t="s">
        <v>7825</v>
      </c>
      <c r="J392" s="522" t="s">
        <v>7826</v>
      </c>
      <c r="K392" s="522" t="s">
        <v>7827</v>
      </c>
      <c r="L392" s="522" t="s">
        <v>7828</v>
      </c>
      <c r="M392" s="522" t="s">
        <v>7829</v>
      </c>
    </row>
    <row r="393" spans="1:13" x14ac:dyDescent="0.3">
      <c r="A393" s="2" t="s">
        <v>7830</v>
      </c>
      <c r="B393" s="2" t="str">
        <f t="shared" si="10"/>
        <v>Calculated Energy in MWh</v>
      </c>
      <c r="C393" s="2" t="s">
        <v>7831</v>
      </c>
      <c r="D393" s="516" t="s">
        <v>7832</v>
      </c>
      <c r="E393" s="516" t="s">
        <v>7833</v>
      </c>
      <c r="F393" s="516" t="s">
        <v>7834</v>
      </c>
      <c r="G393" s="523" t="s">
        <v>7835</v>
      </c>
      <c r="H393" s="523" t="s">
        <v>7836</v>
      </c>
      <c r="I393" s="2" t="s">
        <v>7837</v>
      </c>
      <c r="J393" s="522" t="s">
        <v>7838</v>
      </c>
      <c r="K393" s="522" t="s">
        <v>7839</v>
      </c>
      <c r="L393" s="522" t="s">
        <v>7840</v>
      </c>
      <c r="M393" s="522" t="s">
        <v>7841</v>
      </c>
    </row>
    <row r="394" spans="1:13" x14ac:dyDescent="0.3">
      <c r="A394" s="2" t="s">
        <v>7842</v>
      </c>
      <c r="B394" s="2" t="str">
        <f t="shared" si="10"/>
        <v>Usage of Fuel Converter:</v>
      </c>
      <c r="C394" s="2" t="s">
        <v>7843</v>
      </c>
      <c r="D394" s="516" t="s">
        <v>7844</v>
      </c>
      <c r="E394" s="516" t="s">
        <v>7845</v>
      </c>
      <c r="F394" s="516" t="s">
        <v>7846</v>
      </c>
      <c r="G394" s="523" t="s">
        <v>7847</v>
      </c>
      <c r="H394" s="523" t="s">
        <v>7848</v>
      </c>
      <c r="I394" s="2" t="s">
        <v>7849</v>
      </c>
      <c r="J394" s="522" t="s">
        <v>7850</v>
      </c>
      <c r="K394" s="522" t="s">
        <v>7851</v>
      </c>
      <c r="L394" s="522" t="s">
        <v>7852</v>
      </c>
      <c r="M394" s="522" t="s">
        <v>7853</v>
      </c>
    </row>
    <row r="395" spans="1:13" ht="72" x14ac:dyDescent="0.3">
      <c r="A395" s="2" t="s">
        <v>7854</v>
      </c>
      <c r="B395" s="2" t="str">
        <f t="shared" si="10"/>
        <v>1. In cell A10 select the Fuel used, searching for it or scrolling down the list displayed clicking the cell</v>
      </c>
      <c r="C395" s="2" t="s">
        <v>7855</v>
      </c>
      <c r="D395" s="516" t="s">
        <v>7856</v>
      </c>
      <c r="E395" s="516" t="s">
        <v>7857</v>
      </c>
      <c r="F395" s="516" t="s">
        <v>7858</v>
      </c>
      <c r="G395" s="523" t="s">
        <v>7859</v>
      </c>
      <c r="H395" s="523" t="s">
        <v>7860</v>
      </c>
      <c r="I395" s="2" t="s">
        <v>7861</v>
      </c>
      <c r="J395" s="522" t="s">
        <v>7862</v>
      </c>
      <c r="K395" s="522" t="s">
        <v>7863</v>
      </c>
      <c r="L395" s="522" t="s">
        <v>7864</v>
      </c>
      <c r="M395" s="522" t="s">
        <v>7865</v>
      </c>
    </row>
    <row r="396" spans="1:13" ht="28.8" x14ac:dyDescent="0.3">
      <c r="A396" s="2" t="s">
        <v>7866</v>
      </c>
      <c r="B396" s="2" t="str">
        <f t="shared" si="10"/>
        <v>2. In cell B10 select the Unit of measurement used</v>
      </c>
      <c r="C396" s="2" t="s">
        <v>7867</v>
      </c>
      <c r="D396" s="516" t="s">
        <v>7868</v>
      </c>
      <c r="E396" s="516" t="s">
        <v>7869</v>
      </c>
      <c r="F396" s="516" t="s">
        <v>7870</v>
      </c>
      <c r="G396" s="523" t="s">
        <v>7871</v>
      </c>
      <c r="H396" s="523" t="s">
        <v>7872</v>
      </c>
      <c r="I396" s="2" t="s">
        <v>7873</v>
      </c>
      <c r="J396" s="522" t="s">
        <v>7874</v>
      </c>
      <c r="K396" s="522" t="s">
        <v>7875</v>
      </c>
      <c r="L396" s="522" t="s">
        <v>7876</v>
      </c>
      <c r="M396" s="522" t="s">
        <v>7877</v>
      </c>
    </row>
    <row r="397" spans="1:13" ht="28.8" x14ac:dyDescent="0.3">
      <c r="A397" s="2" t="s">
        <v>7878</v>
      </c>
      <c r="B397" s="2" t="str">
        <f t="shared" si="10"/>
        <v>3. In cell C10 select the Amount of fuel used</v>
      </c>
      <c r="C397" s="2" t="s">
        <v>7879</v>
      </c>
      <c r="D397" s="516" t="s">
        <v>7880</v>
      </c>
      <c r="E397" s="516" t="s">
        <v>7881</v>
      </c>
      <c r="F397" s="516" t="s">
        <v>7882</v>
      </c>
      <c r="G397" s="523" t="s">
        <v>7883</v>
      </c>
      <c r="H397" s="523" t="s">
        <v>7884</v>
      </c>
      <c r="I397" s="2" t="s">
        <v>7885</v>
      </c>
      <c r="J397" s="522" t="s">
        <v>7886</v>
      </c>
      <c r="K397" s="522" t="s">
        <v>7887</v>
      </c>
      <c r="L397" s="522" t="s">
        <v>7888</v>
      </c>
      <c r="M397" s="522" t="s">
        <v>7889</v>
      </c>
    </row>
    <row r="398" spans="1:13" ht="57.6" x14ac:dyDescent="0.3">
      <c r="A398" s="2" t="s">
        <v>7890</v>
      </c>
      <c r="B398" s="2" t="str">
        <f t="shared" si="10"/>
        <v>4. In cell D10 it is displayed the State of matter for the Fuel selected</v>
      </c>
      <c r="C398" s="2" t="s">
        <v>7891</v>
      </c>
      <c r="D398" s="516" t="s">
        <v>7892</v>
      </c>
      <c r="E398" s="516" t="s">
        <v>7893</v>
      </c>
      <c r="F398" s="516" t="s">
        <v>7894</v>
      </c>
      <c r="G398" s="523" t="s">
        <v>7895</v>
      </c>
      <c r="H398" s="523" t="s">
        <v>7896</v>
      </c>
      <c r="I398" s="2" t="s">
        <v>7897</v>
      </c>
      <c r="J398" s="522" t="s">
        <v>7898</v>
      </c>
      <c r="K398" s="522" t="s">
        <v>7899</v>
      </c>
      <c r="L398" s="522" t="s">
        <v>7900</v>
      </c>
      <c r="M398" s="522" t="s">
        <v>7901</v>
      </c>
    </row>
    <row r="399" spans="1:13" ht="57.6" x14ac:dyDescent="0.3">
      <c r="A399" s="2" t="s">
        <v>7902</v>
      </c>
      <c r="B399" s="2" t="str">
        <f t="shared" si="10"/>
        <v>5. In cell E10 it is displayed the Typical renewability state for the Fuel selected</v>
      </c>
      <c r="C399" s="2" t="s">
        <v>7903</v>
      </c>
      <c r="D399" s="516" t="s">
        <v>7904</v>
      </c>
      <c r="E399" s="516" t="s">
        <v>7905</v>
      </c>
      <c r="F399" s="516" t="s">
        <v>7906</v>
      </c>
      <c r="G399" s="523" t="s">
        <v>7907</v>
      </c>
      <c r="H399" s="523" t="s">
        <v>7908</v>
      </c>
      <c r="I399" s="2" t="s">
        <v>7909</v>
      </c>
      <c r="J399" s="522" t="s">
        <v>7910</v>
      </c>
      <c r="K399" s="522" t="s">
        <v>7911</v>
      </c>
      <c r="L399" s="522" t="s">
        <v>7912</v>
      </c>
      <c r="M399" s="522" t="s">
        <v>7913</v>
      </c>
    </row>
    <row r="400" spans="1:13" ht="57.6" x14ac:dyDescent="0.3">
      <c r="A400" s="2" t="s">
        <v>7914</v>
      </c>
      <c r="B400" s="2" t="str">
        <f t="shared" si="10"/>
        <v>6. In cell F10 is displayed the Energy produced in Mega Watt hours by the Amount of Fuel specified</v>
      </c>
      <c r="C400" s="2" t="s">
        <v>7915</v>
      </c>
      <c r="D400" s="516" t="s">
        <v>7916</v>
      </c>
      <c r="E400" s="516" t="s">
        <v>7917</v>
      </c>
      <c r="F400" s="516" t="s">
        <v>7918</v>
      </c>
      <c r="G400" s="523" t="s">
        <v>7919</v>
      </c>
      <c r="H400" s="523" t="s">
        <v>7920</v>
      </c>
      <c r="I400" s="2" t="s">
        <v>7921</v>
      </c>
      <c r="J400" s="522" t="s">
        <v>7922</v>
      </c>
      <c r="K400" s="522" t="s">
        <v>7923</v>
      </c>
      <c r="L400" s="522" t="s">
        <v>7924</v>
      </c>
      <c r="M400" s="522" t="s">
        <v>7925</v>
      </c>
    </row>
    <row r="401" spans="1:13" ht="28.8" x14ac:dyDescent="0.3">
      <c r="A401" s="2" t="s">
        <v>7926</v>
      </c>
      <c r="B401" s="2" t="str">
        <f t="shared" si="10"/>
        <v>7. In cell A29 is displayed the Total Energy in Mega Watt hours</v>
      </c>
      <c r="C401" s="2" t="s">
        <v>7927</v>
      </c>
      <c r="D401" s="516" t="s">
        <v>7928</v>
      </c>
      <c r="E401" s="516" t="s">
        <v>7929</v>
      </c>
      <c r="F401" s="516" t="s">
        <v>7930</v>
      </c>
      <c r="G401" s="523" t="s">
        <v>7931</v>
      </c>
      <c r="H401" s="523" t="s">
        <v>7932</v>
      </c>
      <c r="I401" s="2" t="s">
        <v>7933</v>
      </c>
      <c r="J401" s="522" t="s">
        <v>7934</v>
      </c>
      <c r="K401" s="522" t="s">
        <v>7935</v>
      </c>
      <c r="L401" s="522" t="s">
        <v>7936</v>
      </c>
      <c r="M401" s="522" t="s">
        <v>7937</v>
      </c>
    </row>
    <row r="402" spans="1:13" ht="57.6" x14ac:dyDescent="0.3">
      <c r="A402" s="2" t="s">
        <v>7938</v>
      </c>
      <c r="B402" s="2" t="str">
        <f t="shared" si="10"/>
        <v>8. In cell A32 is displayed the Total Renewable Energy in Mega Watt hours</v>
      </c>
      <c r="C402" s="2" t="s">
        <v>7939</v>
      </c>
      <c r="D402" s="516" t="s">
        <v>7940</v>
      </c>
      <c r="E402" s="516" t="s">
        <v>7941</v>
      </c>
      <c r="F402" s="516" t="s">
        <v>7942</v>
      </c>
      <c r="G402" s="523" t="s">
        <v>7943</v>
      </c>
      <c r="H402" s="523" t="s">
        <v>7944</v>
      </c>
      <c r="I402" s="2" t="s">
        <v>7945</v>
      </c>
      <c r="J402" s="522" t="s">
        <v>7946</v>
      </c>
      <c r="K402" s="522" t="s">
        <v>7947</v>
      </c>
      <c r="L402" s="522" t="s">
        <v>7948</v>
      </c>
      <c r="M402" s="522" t="s">
        <v>7949</v>
      </c>
    </row>
    <row r="403" spans="1:13" ht="28.8" x14ac:dyDescent="0.3">
      <c r="A403" s="2" t="s">
        <v>7950</v>
      </c>
      <c r="B403" s="2" t="str">
        <f t="shared" si="10"/>
        <v>9. In cell B32 is displayed the Total Non-renewable Energy in Mega Watt hours</v>
      </c>
      <c r="C403" s="2" t="s">
        <v>7951</v>
      </c>
      <c r="D403" s="516" t="s">
        <v>7952</v>
      </c>
      <c r="E403" s="516" t="s">
        <v>7953</v>
      </c>
      <c r="F403" s="516" t="s">
        <v>7954</v>
      </c>
      <c r="G403" s="523" t="s">
        <v>7955</v>
      </c>
      <c r="H403" s="523" t="s">
        <v>7956</v>
      </c>
      <c r="I403" s="2" t="s">
        <v>7957</v>
      </c>
      <c r="J403" s="522" t="s">
        <v>7958</v>
      </c>
      <c r="K403" s="522" t="s">
        <v>7959</v>
      </c>
      <c r="L403" s="522" t="s">
        <v>7960</v>
      </c>
      <c r="M403" s="522" t="s">
        <v>7961</v>
      </c>
    </row>
    <row r="404" spans="1:13" ht="172.8" x14ac:dyDescent="0.3">
      <c r="A404" s="2" t="s">
        <v>7962</v>
      </c>
      <c r="B404" s="2" t="str">
        <f t="shared" si="10"/>
        <v>10. Further notes can be found below</v>
      </c>
      <c r="C404" s="2" t="s">
        <v>7963</v>
      </c>
      <c r="D404" s="516" t="s">
        <v>7964</v>
      </c>
      <c r="E404" s="516" t="s">
        <v>7965</v>
      </c>
      <c r="F404" s="516" t="s">
        <v>7966</v>
      </c>
      <c r="G404" s="523" t="s">
        <v>7967</v>
      </c>
      <c r="H404" s="523" t="s">
        <v>7968</v>
      </c>
      <c r="I404" s="2" t="s">
        <v>7969</v>
      </c>
      <c r="J404" s="522" t="s">
        <v>7970</v>
      </c>
      <c r="K404" s="522" t="s">
        <v>7971</v>
      </c>
      <c r="L404" s="522" t="s">
        <v>7972</v>
      </c>
      <c r="M404" s="522" t="s">
        <v>7973</v>
      </c>
    </row>
    <row r="405" spans="1:13" ht="28.8" x14ac:dyDescent="0.3">
      <c r="A405" s="2" t="s">
        <v>7974</v>
      </c>
      <c r="B405" s="2" t="str">
        <f t="shared" si="10"/>
        <v>Transfer the total calculated results to the B3 "Fuel Energy Consumption" reporting cell</v>
      </c>
      <c r="C405" s="2" t="s">
        <v>7975</v>
      </c>
      <c r="D405" s="516" t="s">
        <v>7976</v>
      </c>
      <c r="E405" s="516" t="s">
        <v>7977</v>
      </c>
      <c r="F405" s="516" t="s">
        <v>7978</v>
      </c>
      <c r="G405" s="523" t="s">
        <v>7979</v>
      </c>
      <c r="H405" s="523" t="s">
        <v>7980</v>
      </c>
      <c r="I405" s="2" t="s">
        <v>7981</v>
      </c>
      <c r="J405" s="522" t="s">
        <v>7982</v>
      </c>
      <c r="K405" s="522" t="s">
        <v>7983</v>
      </c>
      <c r="L405" s="522" t="s">
        <v>7984</v>
      </c>
      <c r="M405" s="522" t="s">
        <v>7985</v>
      </c>
    </row>
    <row r="406" spans="1:13" x14ac:dyDescent="0.3">
      <c r="A406" s="2" t="s">
        <v>7986</v>
      </c>
      <c r="B406" s="2" t="str">
        <f t="shared" si="10"/>
        <v>Total Energy [MWh]</v>
      </c>
      <c r="C406" s="2" t="s">
        <v>7987</v>
      </c>
      <c r="D406" s="516" t="s">
        <v>7988</v>
      </c>
      <c r="E406" s="516" t="s">
        <v>7989</v>
      </c>
      <c r="F406" s="516" t="s">
        <v>7990</v>
      </c>
      <c r="G406" s="523" t="s">
        <v>7991</v>
      </c>
      <c r="H406" s="523" t="s">
        <v>7992</v>
      </c>
      <c r="I406" s="2" t="s">
        <v>7993</v>
      </c>
      <c r="J406" s="522" t="s">
        <v>7994</v>
      </c>
      <c r="K406" s="522" t="s">
        <v>7995</v>
      </c>
      <c r="L406" s="522" t="s">
        <v>7996</v>
      </c>
      <c r="M406" s="522" t="s">
        <v>7997</v>
      </c>
    </row>
    <row r="407" spans="1:13" ht="57.6" x14ac:dyDescent="0.3">
      <c r="A407" s="2" t="s">
        <v>7998</v>
      </c>
      <c r="B407" s="2" t="str">
        <f t="shared" si="10"/>
        <v>Total Renewable Energy [MWh]</v>
      </c>
      <c r="C407" s="2" t="s">
        <v>7999</v>
      </c>
      <c r="D407" s="516" t="s">
        <v>8000</v>
      </c>
      <c r="E407" s="516" t="s">
        <v>8001</v>
      </c>
      <c r="F407" s="516" t="s">
        <v>8002</v>
      </c>
      <c r="G407" s="523" t="s">
        <v>8003</v>
      </c>
      <c r="H407" s="523" t="s">
        <v>8004</v>
      </c>
      <c r="I407" s="2" t="s">
        <v>8005</v>
      </c>
      <c r="J407" s="522" t="s">
        <v>8006</v>
      </c>
      <c r="K407" s="522" t="s">
        <v>8007</v>
      </c>
      <c r="L407" s="522" t="s">
        <v>8008</v>
      </c>
      <c r="M407" s="522" t="s">
        <v>8009</v>
      </c>
    </row>
    <row r="408" spans="1:13" x14ac:dyDescent="0.3">
      <c r="A408" s="2" t="s">
        <v>8010</v>
      </c>
      <c r="B408" s="2" t="str">
        <f t="shared" si="10"/>
        <v>Total Non-renewable Energy [MWh]</v>
      </c>
      <c r="C408" s="2" t="s">
        <v>8011</v>
      </c>
      <c r="D408" s="516" t="s">
        <v>8012</v>
      </c>
      <c r="E408" s="516" t="s">
        <v>8013</v>
      </c>
      <c r="F408" s="516" t="s">
        <v>8014</v>
      </c>
      <c r="G408" s="523" t="s">
        <v>8015</v>
      </c>
      <c r="H408" s="523" t="s">
        <v>8016</v>
      </c>
      <c r="I408" s="2" t="s">
        <v>8017</v>
      </c>
      <c r="J408" s="522" t="s">
        <v>8018</v>
      </c>
      <c r="K408" s="522" t="s">
        <v>8019</v>
      </c>
      <c r="L408" s="522" t="s">
        <v>8020</v>
      </c>
      <c r="M408" s="522" t="s">
        <v>8021</v>
      </c>
    </row>
    <row r="409" spans="1:13" x14ac:dyDescent="0.3">
      <c r="A409" s="2" t="s">
        <v>8022</v>
      </c>
      <c r="B409" s="2" t="str">
        <f t="shared" si="10"/>
        <v>Further notes:</v>
      </c>
      <c r="C409" s="2" t="s">
        <v>8023</v>
      </c>
      <c r="D409" s="516" t="s">
        <v>8024</v>
      </c>
      <c r="E409" s="516" t="s">
        <v>8025</v>
      </c>
      <c r="F409" s="516" t="s">
        <v>8026</v>
      </c>
      <c r="G409" s="523" t="s">
        <v>8027</v>
      </c>
      <c r="H409" s="523" t="s">
        <v>8028</v>
      </c>
      <c r="I409" s="2" t="s">
        <v>8029</v>
      </c>
      <c r="J409" s="522" t="s">
        <v>8030</v>
      </c>
      <c r="K409" s="522" t="s">
        <v>8031</v>
      </c>
      <c r="L409" s="522" t="s">
        <v>8032</v>
      </c>
      <c r="M409" s="522" t="s">
        <v>8033</v>
      </c>
    </row>
    <row r="410" spans="1:13" ht="15" customHeight="1" thickBot="1" x14ac:dyDescent="0.35">
      <c r="A410" s="528" t="s">
        <v>8034</v>
      </c>
      <c r="B410" s="528"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10" s="528" t="s">
        <v>8035</v>
      </c>
      <c r="D410" s="524" t="s">
        <v>8036</v>
      </c>
      <c r="E410" s="524" t="s">
        <v>8037</v>
      </c>
      <c r="F410" s="524" t="s">
        <v>8038</v>
      </c>
      <c r="G410" s="527" t="s">
        <v>8039</v>
      </c>
      <c r="H410" s="527" t="s">
        <v>8040</v>
      </c>
      <c r="I410" s="528" t="s">
        <v>8041</v>
      </c>
      <c r="J410" s="526" t="s">
        <v>8042</v>
      </c>
      <c r="K410" s="526" t="s">
        <v>8043</v>
      </c>
      <c r="L410" s="526" t="s">
        <v>8044</v>
      </c>
      <c r="M410" s="526" t="s">
        <v>8045</v>
      </c>
    </row>
    <row r="411" spans="1:13" ht="28.8" x14ac:dyDescent="0.3">
      <c r="A411" s="2" t="s">
        <v>8046</v>
      </c>
      <c r="B411" s="2" t="str">
        <f t="shared" si="10"/>
        <v>Energy Consumption per Hour in MWh for Solid Fuels:</v>
      </c>
      <c r="C411" s="2" t="s">
        <v>8047</v>
      </c>
      <c r="D411" s="516" t="s">
        <v>8048</v>
      </c>
      <c r="E411" s="516" t="s">
        <v>8049</v>
      </c>
      <c r="F411" s="516" t="s">
        <v>8050</v>
      </c>
      <c r="G411" s="523" t="s">
        <v>8051</v>
      </c>
      <c r="H411" s="523" t="s">
        <v>8052</v>
      </c>
      <c r="I411" s="2" t="s">
        <v>8053</v>
      </c>
      <c r="J411" s="522" t="s">
        <v>8054</v>
      </c>
      <c r="K411" s="522" t="s">
        <v>8055</v>
      </c>
      <c r="L411" s="522" t="s">
        <v>8056</v>
      </c>
      <c r="M411" s="522" t="s">
        <v>8057</v>
      </c>
    </row>
    <row r="412" spans="1:13" ht="43.2" x14ac:dyDescent="0.3">
      <c r="A412" s="2" t="s">
        <v>8058</v>
      </c>
      <c r="B412" s="2" t="str">
        <f t="shared" si="10"/>
        <v>Energy [MWh] = Mass [t] * NCV [MWh/t]</v>
      </c>
      <c r="C412" s="2" t="s">
        <v>8059</v>
      </c>
      <c r="D412" s="516" t="s">
        <v>8060</v>
      </c>
      <c r="E412" s="516" t="s">
        <v>8061</v>
      </c>
      <c r="F412" s="516" t="s">
        <v>8062</v>
      </c>
      <c r="G412" s="523" t="s">
        <v>8063</v>
      </c>
      <c r="H412" s="523" t="s">
        <v>8064</v>
      </c>
      <c r="I412" s="2" t="s">
        <v>8065</v>
      </c>
      <c r="J412" s="522" t="s">
        <v>8066</v>
      </c>
      <c r="K412" s="522" t="s">
        <v>8067</v>
      </c>
      <c r="L412" s="522" t="s">
        <v>8068</v>
      </c>
      <c r="M412" s="522" t="s">
        <v>8069</v>
      </c>
    </row>
    <row r="413" spans="1:13" ht="28.8" x14ac:dyDescent="0.3">
      <c r="A413" s="2" t="s">
        <v>8070</v>
      </c>
      <c r="B413" s="2" t="str">
        <f t="shared" si="10"/>
        <v>Energy Consumption per Hour in MWh for Liquid Fuels:</v>
      </c>
      <c r="C413" s="2" t="s">
        <v>8071</v>
      </c>
      <c r="D413" s="516" t="s">
        <v>8072</v>
      </c>
      <c r="E413" s="516" t="s">
        <v>8073</v>
      </c>
      <c r="F413" s="516" t="s">
        <v>8074</v>
      </c>
      <c r="G413" s="523" t="s">
        <v>8075</v>
      </c>
      <c r="H413" s="523" t="s">
        <v>8076</v>
      </c>
      <c r="I413" s="2" t="s">
        <v>8077</v>
      </c>
      <c r="J413" s="522" t="s">
        <v>8078</v>
      </c>
      <c r="K413" s="522" t="s">
        <v>8079</v>
      </c>
      <c r="L413" s="522" t="s">
        <v>8080</v>
      </c>
      <c r="M413" s="522" t="s">
        <v>8081</v>
      </c>
    </row>
    <row r="414" spans="1:13" x14ac:dyDescent="0.3">
      <c r="A414" s="2" t="s">
        <v>8082</v>
      </c>
      <c r="B414" s="2" t="str">
        <f t="shared" si="10"/>
        <v>Mass [t] = Volume [L] * Density [t/L]</v>
      </c>
      <c r="C414" s="2" t="s">
        <v>8083</v>
      </c>
      <c r="D414" s="516" t="s">
        <v>8084</v>
      </c>
      <c r="E414" s="516" t="s">
        <v>8085</v>
      </c>
      <c r="F414" s="516" t="s">
        <v>8086</v>
      </c>
      <c r="G414" s="523" t="s">
        <v>8087</v>
      </c>
      <c r="H414" s="523" t="s">
        <v>8088</v>
      </c>
      <c r="I414" s="2" t="s">
        <v>8089</v>
      </c>
      <c r="J414" s="522" t="s">
        <v>8090</v>
      </c>
      <c r="K414" s="522" t="s">
        <v>8091</v>
      </c>
      <c r="L414" s="522" t="s">
        <v>8092</v>
      </c>
      <c r="M414" s="522" t="s">
        <v>8093</v>
      </c>
    </row>
    <row r="415" spans="1:13" x14ac:dyDescent="0.3">
      <c r="A415" s="2" t="s">
        <v>8094</v>
      </c>
      <c r="B415" s="2" t="str">
        <f t="shared" si="10"/>
        <v>Energy [MWh] = Mass [t] * [MWh/t]</v>
      </c>
      <c r="C415" s="2" t="s">
        <v>8095</v>
      </c>
      <c r="D415" s="516" t="s">
        <v>8096</v>
      </c>
      <c r="E415" s="516" t="s">
        <v>8097</v>
      </c>
      <c r="F415" s="516" t="s">
        <v>8098</v>
      </c>
      <c r="G415" s="523" t="s">
        <v>8099</v>
      </c>
      <c r="H415" s="523" t="s">
        <v>8100</v>
      </c>
      <c r="I415" s="2" t="s">
        <v>8101</v>
      </c>
      <c r="J415" s="522" t="s">
        <v>8102</v>
      </c>
      <c r="K415" s="522" t="s">
        <v>8103</v>
      </c>
      <c r="L415" s="522" t="s">
        <v>8101</v>
      </c>
      <c r="M415" s="522" t="s">
        <v>8104</v>
      </c>
    </row>
    <row r="416" spans="1:13" ht="28.8" x14ac:dyDescent="0.3">
      <c r="A416" s="2" t="s">
        <v>8105</v>
      </c>
      <c r="B416" s="2" t="str">
        <f t="shared" si="10"/>
        <v>Energy Consumption per Hour in MWh for Gaseous Fuels:</v>
      </c>
      <c r="C416" s="2" t="s">
        <v>8106</v>
      </c>
      <c r="D416" s="516" t="s">
        <v>8107</v>
      </c>
      <c r="E416" s="516" t="s">
        <v>8108</v>
      </c>
      <c r="F416" s="516" t="s">
        <v>8109</v>
      </c>
      <c r="G416" s="523" t="s">
        <v>8110</v>
      </c>
      <c r="H416" s="523" t="s">
        <v>8111</v>
      </c>
      <c r="I416" s="2" t="s">
        <v>8112</v>
      </c>
      <c r="J416" s="522" t="s">
        <v>8113</v>
      </c>
      <c r="K416" s="522" t="s">
        <v>8114</v>
      </c>
      <c r="L416" s="522" t="s">
        <v>8115</v>
      </c>
      <c r="M416" s="522" t="s">
        <v>8116</v>
      </c>
    </row>
    <row r="417" spans="1:13" x14ac:dyDescent="0.3">
      <c r="A417" s="2" t="s">
        <v>8117</v>
      </c>
      <c r="B417" s="2" t="str">
        <f t="shared" si="10"/>
        <v>Mass [t] = Volume [m³] * Density [t/m³]</v>
      </c>
      <c r="C417" s="2" t="s">
        <v>8118</v>
      </c>
      <c r="D417" s="516" t="s">
        <v>8119</v>
      </c>
      <c r="E417" s="516" t="s">
        <v>8120</v>
      </c>
      <c r="F417" s="516" t="s">
        <v>8121</v>
      </c>
      <c r="G417" s="523" t="s">
        <v>8122</v>
      </c>
      <c r="H417" s="523" t="s">
        <v>8123</v>
      </c>
      <c r="I417" s="2" t="s">
        <v>8124</v>
      </c>
      <c r="J417" s="522" t="s">
        <v>8125</v>
      </c>
      <c r="K417" s="522" t="s">
        <v>8126</v>
      </c>
      <c r="L417" s="522" t="s">
        <v>8127</v>
      </c>
      <c r="M417" s="522" t="s">
        <v>8128</v>
      </c>
    </row>
    <row r="418" spans="1:13" ht="15" thickBot="1" x14ac:dyDescent="0.35">
      <c r="A418" s="528" t="s">
        <v>8129</v>
      </c>
      <c r="B418" s="528" t="str">
        <f t="shared" si="10"/>
        <v>Energy [MWh] = Mass [t] * NCV [MWh/t]</v>
      </c>
      <c r="C418" s="528" t="s">
        <v>8059</v>
      </c>
      <c r="D418" s="524" t="s">
        <v>8060</v>
      </c>
      <c r="E418" s="524" t="s">
        <v>8061</v>
      </c>
      <c r="F418" s="524" t="s">
        <v>8130</v>
      </c>
      <c r="G418" s="527" t="s">
        <v>8063</v>
      </c>
      <c r="H418" s="527" t="s">
        <v>8064</v>
      </c>
      <c r="I418" s="528" t="s">
        <v>8065</v>
      </c>
      <c r="J418" s="526" t="s">
        <v>8066</v>
      </c>
      <c r="K418" s="526" t="s">
        <v>8067</v>
      </c>
      <c r="L418" s="526" t="s">
        <v>8068</v>
      </c>
      <c r="M418" s="526" t="s">
        <v>8131</v>
      </c>
    </row>
    <row r="419" spans="1:13" x14ac:dyDescent="0.3">
      <c r="A419" s="2" t="s">
        <v>8132</v>
      </c>
      <c r="B419" s="2" t="str">
        <f t="shared" si="10"/>
        <v>UNIT OF MEASUREMENT CONVERTER</v>
      </c>
      <c r="C419" s="2" t="s">
        <v>8133</v>
      </c>
      <c r="D419" s="516" t="s">
        <v>8134</v>
      </c>
      <c r="E419" s="516" t="s">
        <v>8135</v>
      </c>
      <c r="F419" s="516" t="s">
        <v>8136</v>
      </c>
      <c r="G419" s="523" t="s">
        <v>8137</v>
      </c>
      <c r="H419" s="523" t="s">
        <v>8138</v>
      </c>
      <c r="I419" s="2" t="s">
        <v>8139</v>
      </c>
      <c r="J419" s="522" t="s">
        <v>8140</v>
      </c>
      <c r="K419" s="522" t="s">
        <v>8141</v>
      </c>
      <c r="L419" s="522" t="s">
        <v>8142</v>
      </c>
      <c r="M419" s="522" t="s">
        <v>8143</v>
      </c>
    </row>
    <row r="420" spans="1:13" ht="86.4" x14ac:dyDescent="0.3">
      <c r="A420" s="2" t="s">
        <v>8144</v>
      </c>
      <c r="B420" s="2" t="str">
        <f t="shared" si="10"/>
        <v xml:space="preserve">From </v>
      </c>
      <c r="C420" s="2" t="s">
        <v>8145</v>
      </c>
      <c r="D420" s="516" t="s">
        <v>8146</v>
      </c>
      <c r="E420" s="516" t="s">
        <v>8147</v>
      </c>
      <c r="F420" s="516" t="s">
        <v>8148</v>
      </c>
      <c r="G420" s="523" t="s">
        <v>8149</v>
      </c>
      <c r="H420" s="523" t="s">
        <v>8150</v>
      </c>
      <c r="I420" s="2" t="s">
        <v>8151</v>
      </c>
      <c r="J420" s="522" t="s">
        <v>8152</v>
      </c>
      <c r="K420" s="522" t="s">
        <v>8153</v>
      </c>
      <c r="L420" s="522" t="s">
        <v>8148</v>
      </c>
      <c r="M420" s="522" t="s">
        <v>8154</v>
      </c>
    </row>
    <row r="421" spans="1:13" x14ac:dyDescent="0.3">
      <c r="A421" s="2" t="s">
        <v>8155</v>
      </c>
      <c r="B421" s="2" t="str">
        <f t="shared" si="10"/>
        <v>Unit of measurement of Mass Converter</v>
      </c>
      <c r="C421" s="2" t="s">
        <v>8156</v>
      </c>
      <c r="D421" s="516" t="s">
        <v>8157</v>
      </c>
      <c r="E421" s="516" t="s">
        <v>8158</v>
      </c>
      <c r="F421" s="516" t="s">
        <v>8159</v>
      </c>
      <c r="G421" s="523" t="s">
        <v>8160</v>
      </c>
      <c r="H421" s="523" t="s">
        <v>8161</v>
      </c>
      <c r="I421" s="2" t="s">
        <v>8162</v>
      </c>
      <c r="J421" s="522" t="s">
        <v>8163</v>
      </c>
      <c r="K421" s="522" t="s">
        <v>8164</v>
      </c>
      <c r="L421" s="522" t="s">
        <v>8165</v>
      </c>
      <c r="M421" s="522" t="s">
        <v>8166</v>
      </c>
    </row>
    <row r="422" spans="1:13" x14ac:dyDescent="0.3">
      <c r="A422" s="2" t="s">
        <v>8167</v>
      </c>
      <c r="B422" s="2" t="str">
        <f t="shared" si="10"/>
        <v>Unit of measurement of Volume Converter</v>
      </c>
      <c r="C422" s="2" t="s">
        <v>8168</v>
      </c>
      <c r="D422" s="516" t="s">
        <v>8169</v>
      </c>
      <c r="E422" s="516" t="s">
        <v>8170</v>
      </c>
      <c r="F422" s="516" t="s">
        <v>8171</v>
      </c>
      <c r="G422" s="523" t="s">
        <v>8172</v>
      </c>
      <c r="H422" s="523" t="s">
        <v>8173</v>
      </c>
      <c r="I422" s="2" t="s">
        <v>8174</v>
      </c>
      <c r="J422" s="522" t="s">
        <v>8175</v>
      </c>
      <c r="K422" s="522" t="s">
        <v>8176</v>
      </c>
      <c r="L422" s="522" t="s">
        <v>8177</v>
      </c>
      <c r="M422" s="522" t="s">
        <v>8178</v>
      </c>
    </row>
    <row r="423" spans="1:13" ht="28.8" x14ac:dyDescent="0.3">
      <c r="A423" s="2" t="s">
        <v>8179</v>
      </c>
      <c r="B423" s="2" t="str">
        <f t="shared" si="10"/>
        <v>Unit of measurement of Energy Consumption per Hour</v>
      </c>
      <c r="C423" s="2" t="s">
        <v>8180</v>
      </c>
      <c r="D423" s="516" t="s">
        <v>8181</v>
      </c>
      <c r="E423" s="516" t="s">
        <v>8182</v>
      </c>
      <c r="F423" s="516" t="s">
        <v>8183</v>
      </c>
      <c r="G423" s="523" t="s">
        <v>8184</v>
      </c>
      <c r="H423" s="523" t="s">
        <v>8185</v>
      </c>
      <c r="I423" s="2" t="s">
        <v>8186</v>
      </c>
      <c r="J423" s="522" t="s">
        <v>8187</v>
      </c>
      <c r="K423" s="522" t="s">
        <v>8188</v>
      </c>
      <c r="L423" s="522" t="s">
        <v>8189</v>
      </c>
      <c r="M423" s="522" t="s">
        <v>8190</v>
      </c>
    </row>
    <row r="424" spans="1:13" ht="28.8" x14ac:dyDescent="0.3">
      <c r="A424" s="2" t="s">
        <v>8191</v>
      </c>
      <c r="B424" s="2" t="str">
        <f t="shared" si="10"/>
        <v>Unit of measurement of NCV Converter</v>
      </c>
      <c r="C424" s="2" t="s">
        <v>8192</v>
      </c>
      <c r="D424" s="516" t="s">
        <v>8193</v>
      </c>
      <c r="E424" s="516" t="s">
        <v>8194</v>
      </c>
      <c r="F424" s="516" t="s">
        <v>8195</v>
      </c>
      <c r="G424" s="523" t="s">
        <v>8196</v>
      </c>
      <c r="H424" s="523" t="s">
        <v>8197</v>
      </c>
      <c r="I424" s="2" t="s">
        <v>8198</v>
      </c>
      <c r="J424" s="522" t="s">
        <v>8199</v>
      </c>
      <c r="K424" s="522" t="s">
        <v>8200</v>
      </c>
      <c r="L424" s="522" t="s">
        <v>8201</v>
      </c>
      <c r="M424" s="522" t="s">
        <v>8202</v>
      </c>
    </row>
    <row r="425" spans="1:13" ht="43.2" x14ac:dyDescent="0.3">
      <c r="A425" s="2" t="s">
        <v>8203</v>
      </c>
      <c r="B425" s="2" t="str">
        <f t="shared" si="10"/>
        <v>Unit of measurement of Density Converter</v>
      </c>
      <c r="C425" s="2" t="s">
        <v>8204</v>
      </c>
      <c r="D425" s="516" t="s">
        <v>8205</v>
      </c>
      <c r="E425" s="516" t="s">
        <v>8206</v>
      </c>
      <c r="F425" s="516" t="s">
        <v>8207</v>
      </c>
      <c r="G425" s="523" t="s">
        <v>8208</v>
      </c>
      <c r="H425" s="523" t="s">
        <v>8209</v>
      </c>
      <c r="I425" s="2" t="s">
        <v>8210</v>
      </c>
      <c r="J425" s="522" t="s">
        <v>8211</v>
      </c>
      <c r="K425" s="522" t="s">
        <v>8212</v>
      </c>
      <c r="L425" s="522" t="s">
        <v>8213</v>
      </c>
      <c r="M425" s="522" t="s">
        <v>8214</v>
      </c>
    </row>
    <row r="426" spans="1:13" x14ac:dyDescent="0.3">
      <c r="A426" s="2" t="s">
        <v>8215</v>
      </c>
      <c r="B426" s="2" t="str">
        <f t="shared" ref="B426:B470" si="11">INDEX(C426:M426,MATCH(template_selected_display_language,$C$3:$M$3,0))</f>
        <v>Usage of Unit of Measurement Converter</v>
      </c>
      <c r="C426" s="2" t="s">
        <v>8216</v>
      </c>
      <c r="D426" s="516" t="s">
        <v>8217</v>
      </c>
      <c r="E426" s="516" t="s">
        <v>8218</v>
      </c>
      <c r="F426" s="516" t="s">
        <v>8219</v>
      </c>
      <c r="G426" s="523" t="s">
        <v>8220</v>
      </c>
      <c r="H426" s="523" t="s">
        <v>8221</v>
      </c>
      <c r="I426" s="2" t="s">
        <v>8222</v>
      </c>
      <c r="J426" s="522" t="s">
        <v>8223</v>
      </c>
      <c r="K426" s="522" t="s">
        <v>8224</v>
      </c>
      <c r="L426" s="522" t="s">
        <v>8225</v>
      </c>
      <c r="M426" s="522" t="s">
        <v>8226</v>
      </c>
    </row>
    <row r="427" spans="1:13" ht="43.2" x14ac:dyDescent="0.3">
      <c r="A427" s="2" t="s">
        <v>8227</v>
      </c>
      <c r="B427" s="2" t="str">
        <f t="shared" si="11"/>
        <v>Steps to follow for the Mass table:</v>
      </c>
      <c r="C427" s="2" t="s">
        <v>8228</v>
      </c>
      <c r="D427" s="516" t="s">
        <v>8229</v>
      </c>
      <c r="E427" s="516" t="s">
        <v>8230</v>
      </c>
      <c r="F427" s="516" t="s">
        <v>8231</v>
      </c>
      <c r="G427" s="523" t="s">
        <v>8232</v>
      </c>
      <c r="H427" s="523" t="s">
        <v>8233</v>
      </c>
      <c r="I427" s="2" t="s">
        <v>8234</v>
      </c>
      <c r="J427" s="522" t="s">
        <v>8235</v>
      </c>
      <c r="K427" s="522" t="s">
        <v>8236</v>
      </c>
      <c r="L427" s="522" t="s">
        <v>8237</v>
      </c>
      <c r="M427" s="522" t="s">
        <v>8238</v>
      </c>
    </row>
    <row r="428" spans="1:13" ht="57.6" x14ac:dyDescent="0.3">
      <c r="A428" s="2" t="s">
        <v>8239</v>
      </c>
      <c r="B428" s="2" t="str">
        <f t="shared" si="11"/>
        <v>1. In the cell B5 of the table related to the Unit of measurement of Mass Converter should be inserted the Unit of measurement to convert.</v>
      </c>
      <c r="C428" s="2" t="s">
        <v>8240</v>
      </c>
      <c r="D428" s="516" t="s">
        <v>8241</v>
      </c>
      <c r="E428" s="516" t="s">
        <v>8242</v>
      </c>
      <c r="F428" s="516" t="s">
        <v>8243</v>
      </c>
      <c r="G428" s="523" t="s">
        <v>8244</v>
      </c>
      <c r="H428" s="523" t="s">
        <v>8245</v>
      </c>
      <c r="I428" s="2" t="s">
        <v>8246</v>
      </c>
      <c r="J428" s="522" t="s">
        <v>8247</v>
      </c>
      <c r="K428" s="522" t="s">
        <v>8248</v>
      </c>
      <c r="L428" s="522" t="s">
        <v>8249</v>
      </c>
      <c r="M428" s="522" t="s">
        <v>8250</v>
      </c>
    </row>
    <row r="429" spans="1:13" ht="28.8" x14ac:dyDescent="0.3">
      <c r="A429" s="2" t="s">
        <v>8251</v>
      </c>
      <c r="B429" s="2" t="str">
        <f t="shared" si="11"/>
        <v>2. Then in the cell B6 the amount of mass can be inserted.</v>
      </c>
      <c r="C429" s="2" t="s">
        <v>8252</v>
      </c>
      <c r="D429" s="516" t="s">
        <v>8253</v>
      </c>
      <c r="E429" s="516" t="s">
        <v>8254</v>
      </c>
      <c r="F429" s="516" t="s">
        <v>8255</v>
      </c>
      <c r="G429" s="523" t="s">
        <v>8256</v>
      </c>
      <c r="H429" s="523" t="s">
        <v>8257</v>
      </c>
      <c r="I429" s="2" t="s">
        <v>8258</v>
      </c>
      <c r="J429" s="522" t="s">
        <v>8259</v>
      </c>
      <c r="K429" s="522" t="s">
        <v>8260</v>
      </c>
      <c r="L429" s="522" t="s">
        <v>8261</v>
      </c>
      <c r="M429" s="522" t="s">
        <v>8262</v>
      </c>
    </row>
    <row r="430" spans="1:13" ht="57.6" x14ac:dyDescent="0.3">
      <c r="A430" s="2" t="s">
        <v>8263</v>
      </c>
      <c r="B430" s="2" t="str">
        <f t="shared" si="11"/>
        <v>3. Finally in the cell D5 there should be the unit of measurement of interest.</v>
      </c>
      <c r="C430" s="2" t="s">
        <v>8264</v>
      </c>
      <c r="D430" s="516" t="s">
        <v>8265</v>
      </c>
      <c r="E430" s="516" t="s">
        <v>8266</v>
      </c>
      <c r="F430" s="516" t="s">
        <v>8267</v>
      </c>
      <c r="G430" s="523" t="s">
        <v>8268</v>
      </c>
      <c r="H430" s="523" t="s">
        <v>8269</v>
      </c>
      <c r="I430" s="2" t="s">
        <v>8270</v>
      </c>
      <c r="J430" s="522" t="s">
        <v>8271</v>
      </c>
      <c r="K430" s="522" t="s">
        <v>8272</v>
      </c>
      <c r="L430" s="522" t="s">
        <v>8273</v>
      </c>
      <c r="M430" s="522" t="s">
        <v>8274</v>
      </c>
    </row>
    <row r="431" spans="1:13" ht="28.8" x14ac:dyDescent="0.3">
      <c r="A431" s="2" t="s">
        <v>8275</v>
      </c>
      <c r="B431" s="2" t="str">
        <f t="shared" si="11"/>
        <v>4. The outcome of the conversion will be displayed in the cell D6.</v>
      </c>
      <c r="C431" s="2" t="s">
        <v>8276</v>
      </c>
      <c r="D431" s="516" t="s">
        <v>8277</v>
      </c>
      <c r="E431" s="516" t="s">
        <v>8278</v>
      </c>
      <c r="F431" s="516" t="s">
        <v>8279</v>
      </c>
      <c r="G431" s="523" t="s">
        <v>8280</v>
      </c>
      <c r="H431" s="523" t="s">
        <v>8281</v>
      </c>
      <c r="I431" s="2" t="s">
        <v>8282</v>
      </c>
      <c r="J431" s="522" t="s">
        <v>8283</v>
      </c>
      <c r="K431" s="522" t="s">
        <v>8284</v>
      </c>
      <c r="L431" s="522" t="s">
        <v>8285</v>
      </c>
      <c r="M431" s="522" t="s">
        <v>8286</v>
      </c>
    </row>
    <row r="432" spans="1:13" ht="72" x14ac:dyDescent="0.3">
      <c r="A432" s="2" t="s">
        <v>8287</v>
      </c>
      <c r="B432" s="2" t="str">
        <f t="shared" si="11"/>
        <v>The steps to follow for the other tables (Volume, Energy Consumption, Density and NCV) are the same of the Mass table.</v>
      </c>
      <c r="C432" s="2" t="s">
        <v>8288</v>
      </c>
      <c r="D432" s="516" t="s">
        <v>8289</v>
      </c>
      <c r="E432" s="516" t="s">
        <v>8290</v>
      </c>
      <c r="F432" s="516" t="s">
        <v>8291</v>
      </c>
      <c r="G432" s="523" t="s">
        <v>8292</v>
      </c>
      <c r="H432" s="523" t="s">
        <v>8293</v>
      </c>
      <c r="I432" s="2" t="s">
        <v>8294</v>
      </c>
      <c r="J432" s="522" t="s">
        <v>8295</v>
      </c>
      <c r="K432" s="522" t="s">
        <v>8296</v>
      </c>
      <c r="L432" s="522" t="s">
        <v>8297</v>
      </c>
      <c r="M432" s="522" t="s">
        <v>8298</v>
      </c>
    </row>
    <row r="433" spans="1:13" ht="28.8" x14ac:dyDescent="0.3">
      <c r="A433" s="2" t="s">
        <v>8299</v>
      </c>
      <c r="B433" s="2" t="str">
        <f t="shared" si="11"/>
        <v>Below are specified all the Units of measurement conversions of each table.</v>
      </c>
      <c r="C433" s="2" t="s">
        <v>8300</v>
      </c>
      <c r="D433" s="516" t="s">
        <v>8301</v>
      </c>
      <c r="E433" s="516" t="s">
        <v>8302</v>
      </c>
      <c r="F433" s="516" t="s">
        <v>8303</v>
      </c>
      <c r="G433" s="523" t="s">
        <v>8304</v>
      </c>
      <c r="H433" s="523" t="s">
        <v>8305</v>
      </c>
      <c r="I433" s="2" t="s">
        <v>8306</v>
      </c>
      <c r="J433" s="522" t="s">
        <v>8307</v>
      </c>
      <c r="K433" s="522" t="s">
        <v>8308</v>
      </c>
      <c r="L433" s="522" t="s">
        <v>8309</v>
      </c>
      <c r="M433" s="522" t="s">
        <v>8310</v>
      </c>
    </row>
    <row r="434" spans="1:13" x14ac:dyDescent="0.3">
      <c r="A434" s="2" t="s">
        <v>8311</v>
      </c>
      <c r="B434" s="2" t="str">
        <f t="shared" si="11"/>
        <v>▪ Unit of measurement of Mass Converter:</v>
      </c>
      <c r="C434" s="2" t="s">
        <v>8312</v>
      </c>
      <c r="D434" s="516" t="s">
        <v>8313</v>
      </c>
      <c r="E434" s="516" t="s">
        <v>8314</v>
      </c>
      <c r="F434" s="516" t="s">
        <v>8315</v>
      </c>
      <c r="G434" s="523" t="s">
        <v>8316</v>
      </c>
      <c r="H434" s="523" t="s">
        <v>8317</v>
      </c>
      <c r="I434" s="2" t="s">
        <v>8318</v>
      </c>
      <c r="J434" s="522" t="s">
        <v>8163</v>
      </c>
      <c r="K434" s="522" t="s">
        <v>8319</v>
      </c>
      <c r="L434" s="522" t="s">
        <v>8320</v>
      </c>
      <c r="M434" s="522" t="s">
        <v>8321</v>
      </c>
    </row>
    <row r="435" spans="1:13" ht="28.8" x14ac:dyDescent="0.3">
      <c r="A435" s="2" t="s">
        <v>8322</v>
      </c>
      <c r="B435" s="2" t="str">
        <f t="shared" si="11"/>
        <v>▪ Unit of measurement of Volume Converter:</v>
      </c>
      <c r="C435" s="2" t="s">
        <v>8323</v>
      </c>
      <c r="D435" s="516" t="s">
        <v>8324</v>
      </c>
      <c r="E435" s="516" t="s">
        <v>8325</v>
      </c>
      <c r="F435" s="516" t="s">
        <v>8326</v>
      </c>
      <c r="G435" s="523" t="s">
        <v>8327</v>
      </c>
      <c r="H435" s="523" t="s">
        <v>8328</v>
      </c>
      <c r="I435" s="2" t="s">
        <v>8329</v>
      </c>
      <c r="J435" s="522" t="s">
        <v>8175</v>
      </c>
      <c r="K435" s="522" t="s">
        <v>8330</v>
      </c>
      <c r="L435" s="522" t="s">
        <v>8331</v>
      </c>
      <c r="M435" s="522" t="s">
        <v>8332</v>
      </c>
    </row>
    <row r="436" spans="1:13" x14ac:dyDescent="0.3">
      <c r="A436" s="2" t="s">
        <v>8333</v>
      </c>
      <c r="B436" s="2" t="str">
        <f t="shared" si="11"/>
        <v>▪ Unit of measurement of Energy Converter:</v>
      </c>
      <c r="C436" s="2" t="s">
        <v>8334</v>
      </c>
      <c r="D436" s="516" t="s">
        <v>8335</v>
      </c>
      <c r="E436" s="516" t="s">
        <v>8336</v>
      </c>
      <c r="F436" s="516" t="s">
        <v>8337</v>
      </c>
      <c r="G436" s="523" t="s">
        <v>8338</v>
      </c>
      <c r="H436" s="523" t="s">
        <v>8339</v>
      </c>
      <c r="I436" s="2" t="s">
        <v>8340</v>
      </c>
      <c r="J436" s="522" t="s">
        <v>8341</v>
      </c>
      <c r="K436" s="522" t="s">
        <v>8342</v>
      </c>
      <c r="L436" s="522" t="s">
        <v>8343</v>
      </c>
      <c r="M436" s="522" t="s">
        <v>8344</v>
      </c>
    </row>
    <row r="437" spans="1:13" x14ac:dyDescent="0.3">
      <c r="A437" s="2" t="s">
        <v>8345</v>
      </c>
      <c r="B437" s="2" t="str">
        <f t="shared" si="11"/>
        <v>▪ Unit of measurement of Density Converter:</v>
      </c>
      <c r="C437" s="2" t="s">
        <v>8346</v>
      </c>
      <c r="D437" s="516" t="s">
        <v>8347</v>
      </c>
      <c r="E437" s="516" t="s">
        <v>8348</v>
      </c>
      <c r="F437" s="516" t="s">
        <v>8349</v>
      </c>
      <c r="G437" s="523" t="s">
        <v>8350</v>
      </c>
      <c r="H437" s="523" t="s">
        <v>8351</v>
      </c>
      <c r="I437" s="2" t="s">
        <v>8352</v>
      </c>
      <c r="J437" s="522" t="s">
        <v>8211</v>
      </c>
      <c r="K437" s="522" t="s">
        <v>8353</v>
      </c>
      <c r="L437" s="522" t="s">
        <v>8354</v>
      </c>
      <c r="M437" s="522" t="s">
        <v>8355</v>
      </c>
    </row>
    <row r="438" spans="1:13" ht="15" thickBot="1" x14ac:dyDescent="0.35">
      <c r="A438" s="528" t="s">
        <v>8356</v>
      </c>
      <c r="B438" s="528" t="str">
        <f t="shared" si="11"/>
        <v>▪ Unit of measurement of NCV Converter:</v>
      </c>
      <c r="C438" s="528" t="s">
        <v>8357</v>
      </c>
      <c r="D438" s="524" t="s">
        <v>8358</v>
      </c>
      <c r="E438" s="524" t="s">
        <v>8359</v>
      </c>
      <c r="F438" s="524" t="s">
        <v>8360</v>
      </c>
      <c r="G438" s="527" t="s">
        <v>8361</v>
      </c>
      <c r="H438" s="527" t="s">
        <v>8362</v>
      </c>
      <c r="I438" s="528" t="s">
        <v>8363</v>
      </c>
      <c r="J438" s="526" t="s">
        <v>8199</v>
      </c>
      <c r="K438" s="526" t="s">
        <v>8364</v>
      </c>
      <c r="L438" s="526" t="s">
        <v>8365</v>
      </c>
      <c r="M438" s="526" t="s">
        <v>8366</v>
      </c>
    </row>
    <row r="439" spans="1:13" x14ac:dyDescent="0.3">
      <c r="A439" s="2" t="s">
        <v>8367</v>
      </c>
      <c r="B439" s="2" t="str">
        <f t="shared" si="11"/>
        <v>INCOMPLETE</v>
      </c>
      <c r="C439" s="2" t="s">
        <v>8368</v>
      </c>
      <c r="D439" s="516" t="s">
        <v>8369</v>
      </c>
      <c r="E439" s="516" t="s">
        <v>8370</v>
      </c>
      <c r="F439" s="516" t="s">
        <v>8371</v>
      </c>
      <c r="G439" s="523" t="s">
        <v>8372</v>
      </c>
      <c r="H439" s="523" t="s">
        <v>8373</v>
      </c>
      <c r="I439" s="2" t="s">
        <v>8374</v>
      </c>
      <c r="J439" s="522" t="s">
        <v>8375</v>
      </c>
      <c r="K439" s="522" t="s">
        <v>8376</v>
      </c>
      <c r="L439" s="522" t="s">
        <v>8374</v>
      </c>
      <c r="M439" s="522" t="s">
        <v>8374</v>
      </c>
    </row>
    <row r="440" spans="1:13" ht="28.8" x14ac:dyDescent="0.3">
      <c r="A440" s="2" t="s">
        <v>8377</v>
      </c>
      <c r="B440" s="2" t="str">
        <f t="shared" si="11"/>
        <v>COMPLETE</v>
      </c>
      <c r="C440" s="2" t="s">
        <v>8378</v>
      </c>
      <c r="D440" s="516" t="s">
        <v>8379</v>
      </c>
      <c r="E440" s="516" t="s">
        <v>8380</v>
      </c>
      <c r="F440" s="516" t="s">
        <v>8381</v>
      </c>
      <c r="G440" s="523" t="s">
        <v>8382</v>
      </c>
      <c r="H440" s="523" t="s">
        <v>8383</v>
      </c>
      <c r="I440" s="2" t="s">
        <v>8384</v>
      </c>
      <c r="J440" s="522" t="s">
        <v>8385</v>
      </c>
      <c r="K440" s="522" t="s">
        <v>8386</v>
      </c>
      <c r="L440" s="522" t="s">
        <v>8384</v>
      </c>
      <c r="M440" s="522" t="s">
        <v>8384</v>
      </c>
    </row>
    <row r="441" spans="1:13" ht="43.2" x14ac:dyDescent="0.3">
      <c r="A441" s="2" t="s">
        <v>8387</v>
      </c>
      <c r="B441" s="2" t="str">
        <f t="shared" si="11"/>
        <v>MISSING VALUE</v>
      </c>
      <c r="C441" s="2" t="s">
        <v>8388</v>
      </c>
      <c r="D441" s="516" t="s">
        <v>8389</v>
      </c>
      <c r="E441" s="516" t="s">
        <v>8390</v>
      </c>
      <c r="F441" s="516" t="s">
        <v>8391</v>
      </c>
      <c r="G441" s="523" t="s">
        <v>8392</v>
      </c>
      <c r="H441" s="523" t="s">
        <v>8393</v>
      </c>
      <c r="I441" s="2" t="s">
        <v>8394</v>
      </c>
      <c r="J441" s="522" t="s">
        <v>8395</v>
      </c>
      <c r="K441" s="522" t="s">
        <v>8396</v>
      </c>
      <c r="L441" s="522" t="s">
        <v>8397</v>
      </c>
      <c r="M441" s="522" t="s">
        <v>8398</v>
      </c>
    </row>
    <row r="442" spans="1:13" x14ac:dyDescent="0.3">
      <c r="A442" s="2" t="s">
        <v>8399</v>
      </c>
      <c r="B442" s="2" t="str">
        <f t="shared" si="11"/>
        <v>ERROR</v>
      </c>
      <c r="C442" s="2" t="s">
        <v>8400</v>
      </c>
      <c r="D442" s="516" t="s">
        <v>8401</v>
      </c>
      <c r="E442" s="516" t="s">
        <v>8402</v>
      </c>
      <c r="F442" s="516" t="s">
        <v>8403</v>
      </c>
      <c r="G442" s="523" t="s">
        <v>8404</v>
      </c>
      <c r="H442" s="523" t="s">
        <v>8405</v>
      </c>
      <c r="I442" s="2" t="s">
        <v>8406</v>
      </c>
      <c r="J442" s="522" t="s">
        <v>8407</v>
      </c>
      <c r="K442" s="522" t="s">
        <v>8408</v>
      </c>
      <c r="L442" s="522" t="s">
        <v>8409</v>
      </c>
      <c r="M442" s="522" t="s">
        <v>8400</v>
      </c>
    </row>
    <row r="443" spans="1:13" ht="43.2" x14ac:dyDescent="0.3">
      <c r="A443" s="2" t="s">
        <v>8410</v>
      </c>
      <c r="B443" s="2" t="str">
        <f t="shared" si="11"/>
        <v>VALUE INCONSISTENCY</v>
      </c>
      <c r="C443" s="2" t="s">
        <v>8411</v>
      </c>
      <c r="D443" s="516" t="s">
        <v>8412</v>
      </c>
      <c r="E443" s="516" t="s">
        <v>8413</v>
      </c>
      <c r="F443" s="516" t="s">
        <v>8414</v>
      </c>
      <c r="G443" s="523" t="s">
        <v>8415</v>
      </c>
      <c r="H443" s="523" t="s">
        <v>8416</v>
      </c>
      <c r="I443" s="2" t="s">
        <v>8417</v>
      </c>
      <c r="J443" s="522" t="s">
        <v>8418</v>
      </c>
      <c r="K443" s="522" t="s">
        <v>8419</v>
      </c>
      <c r="L443" s="522" t="s">
        <v>8420</v>
      </c>
      <c r="M443" s="522" t="s">
        <v>8421</v>
      </c>
    </row>
    <row r="444" spans="1:13" x14ac:dyDescent="0.3">
      <c r="A444" s="2" t="s">
        <v>8422</v>
      </c>
      <c r="B444" s="2" t="str">
        <f t="shared" si="11"/>
        <v>ERROR + VALUE INCONSISTENCY</v>
      </c>
      <c r="C444" s="2" t="s">
        <v>8423</v>
      </c>
      <c r="D444" s="516" t="s">
        <v>8424</v>
      </c>
      <c r="E444" s="516" t="s">
        <v>8425</v>
      </c>
      <c r="F444" s="516" t="s">
        <v>8426</v>
      </c>
      <c r="G444" s="523" t="s">
        <v>8427</v>
      </c>
      <c r="H444" s="523" t="s">
        <v>8428</v>
      </c>
      <c r="I444" s="2" t="s">
        <v>8429</v>
      </c>
      <c r="J444" s="522" t="s">
        <v>8430</v>
      </c>
      <c r="K444" s="522" t="s">
        <v>8431</v>
      </c>
      <c r="L444" s="522" t="s">
        <v>8432</v>
      </c>
      <c r="M444" s="522" t="s">
        <v>8433</v>
      </c>
    </row>
    <row r="445" spans="1:13" ht="28.8" x14ac:dyDescent="0.3">
      <c r="A445" s="2" t="s">
        <v>8434</v>
      </c>
      <c r="B445" s="2" t="str">
        <f t="shared" si="11"/>
        <v>ERROR + MISSING VALUE + VALUE INCONSISTENCY</v>
      </c>
      <c r="C445" s="2" t="s">
        <v>8435</v>
      </c>
      <c r="D445" s="516" t="s">
        <v>8436</v>
      </c>
      <c r="E445" s="516" t="s">
        <v>8437</v>
      </c>
      <c r="F445" s="516" t="s">
        <v>8438</v>
      </c>
      <c r="G445" s="523" t="s">
        <v>8439</v>
      </c>
      <c r="H445" s="523" t="s">
        <v>8440</v>
      </c>
      <c r="I445" s="2" t="s">
        <v>8441</v>
      </c>
      <c r="J445" s="522" t="s">
        <v>8442</v>
      </c>
      <c r="K445" s="522" t="s">
        <v>8443</v>
      </c>
      <c r="L445" s="522" t="s">
        <v>8444</v>
      </c>
      <c r="M445" s="522" t="s">
        <v>8445</v>
      </c>
    </row>
    <row r="446" spans="1:13" x14ac:dyDescent="0.3">
      <c r="A446" s="2" t="s">
        <v>8446</v>
      </c>
      <c r="B446" s="2" t="str">
        <f t="shared" si="11"/>
        <v>ERROR + MISSING VALUE</v>
      </c>
      <c r="C446" s="2" t="s">
        <v>8447</v>
      </c>
      <c r="D446" s="516" t="s">
        <v>8448</v>
      </c>
      <c r="E446" s="516" t="s">
        <v>8449</v>
      </c>
      <c r="F446" s="516" t="s">
        <v>8450</v>
      </c>
      <c r="G446" s="523" t="s">
        <v>8451</v>
      </c>
      <c r="H446" s="523" t="s">
        <v>8452</v>
      </c>
      <c r="I446" s="2" t="s">
        <v>8453</v>
      </c>
      <c r="J446" s="522" t="s">
        <v>8454</v>
      </c>
      <c r="K446" s="522" t="s">
        <v>8455</v>
      </c>
      <c r="L446" s="522" t="s">
        <v>8456</v>
      </c>
      <c r="M446" s="522" t="s">
        <v>8457</v>
      </c>
    </row>
    <row r="447" spans="1:13" x14ac:dyDescent="0.3">
      <c r="A447" s="2" t="s">
        <v>8458</v>
      </c>
      <c r="B447" s="2" t="str">
        <f t="shared" si="11"/>
        <v>MISSING VALUE + VALUE INCONSISTENCY</v>
      </c>
      <c r="C447" s="2" t="s">
        <v>8459</v>
      </c>
      <c r="D447" s="516" t="s">
        <v>8460</v>
      </c>
      <c r="E447" s="516" t="s">
        <v>8461</v>
      </c>
      <c r="F447" s="516" t="s">
        <v>8462</v>
      </c>
      <c r="G447" s="523" t="s">
        <v>8463</v>
      </c>
      <c r="H447" s="523" t="s">
        <v>8464</v>
      </c>
      <c r="I447" s="2" t="s">
        <v>8465</v>
      </c>
      <c r="J447" s="522" t="s">
        <v>8466</v>
      </c>
      <c r="K447" s="522" t="s">
        <v>8467</v>
      </c>
      <c r="L447" s="522" t="s">
        <v>8468</v>
      </c>
      <c r="M447" s="522" t="s">
        <v>8469</v>
      </c>
    </row>
    <row r="448" spans="1:13" x14ac:dyDescent="0.3">
      <c r="A448" s="2" t="s">
        <v>8470</v>
      </c>
      <c r="B448" s="2" t="str">
        <f t="shared" si="11"/>
        <v>INVALID URL</v>
      </c>
      <c r="C448" s="2" t="s">
        <v>8471</v>
      </c>
      <c r="D448" s="516" t="s">
        <v>8472</v>
      </c>
      <c r="E448" s="516" t="s">
        <v>8473</v>
      </c>
      <c r="F448" s="516" t="s">
        <v>8474</v>
      </c>
      <c r="G448" s="523" t="s">
        <v>8475</v>
      </c>
      <c r="H448" s="523" t="s">
        <v>8476</v>
      </c>
      <c r="I448" s="2" t="s">
        <v>8477</v>
      </c>
      <c r="J448" s="522" t="s">
        <v>8478</v>
      </c>
      <c r="K448" s="522" t="s">
        <v>8479</v>
      </c>
      <c r="L448" s="522" t="s">
        <v>8480</v>
      </c>
      <c r="M448" s="522" t="s">
        <v>8481</v>
      </c>
    </row>
    <row r="449" spans="1:13" x14ac:dyDescent="0.3">
      <c r="A449" s="2" t="s">
        <v>8482</v>
      </c>
      <c r="B449" s="2" t="str">
        <f t="shared" si="11"/>
        <v>OK</v>
      </c>
      <c r="C449" s="2" t="s">
        <v>8483</v>
      </c>
      <c r="D449" s="516" t="s">
        <v>8483</v>
      </c>
      <c r="E449" s="516" t="s">
        <v>8483</v>
      </c>
      <c r="F449" s="516" t="s">
        <v>8483</v>
      </c>
      <c r="G449" s="523" t="s">
        <v>8483</v>
      </c>
      <c r="H449" s="523" t="s">
        <v>8484</v>
      </c>
      <c r="I449" s="2" t="s">
        <v>8483</v>
      </c>
      <c r="J449" s="522" t="s">
        <v>8485</v>
      </c>
      <c r="K449" s="522" t="s">
        <v>8483</v>
      </c>
      <c r="L449" s="522" t="s">
        <v>8483</v>
      </c>
      <c r="M449" s="522" t="s">
        <v>8486</v>
      </c>
    </row>
    <row r="450" spans="1:13" x14ac:dyDescent="0.3">
      <c r="A450" s="2" t="s">
        <v>8487</v>
      </c>
      <c r="B450" s="2" t="str">
        <f t="shared" si="11"/>
        <v>CLASSIFIED OR SENSITIVE INFORMATION</v>
      </c>
      <c r="C450" s="2" t="s">
        <v>8488</v>
      </c>
      <c r="D450" s="516" t="s">
        <v>8489</v>
      </c>
      <c r="E450" s="516" t="s">
        <v>8490</v>
      </c>
      <c r="F450" s="516" t="s">
        <v>8491</v>
      </c>
      <c r="G450" s="516" t="s">
        <v>8492</v>
      </c>
      <c r="H450" s="516" t="s">
        <v>8493</v>
      </c>
      <c r="I450" s="516" t="s">
        <v>8494</v>
      </c>
      <c r="J450" s="516" t="s">
        <v>8495</v>
      </c>
      <c r="K450" s="516" t="s">
        <v>8496</v>
      </c>
      <c r="L450" s="516" t="s">
        <v>8497</v>
      </c>
      <c r="M450" s="516" t="s">
        <v>8498</v>
      </c>
    </row>
    <row r="451" spans="1:13" ht="28.8" x14ac:dyDescent="0.3">
      <c r="A451" s="2" t="s">
        <v>8499</v>
      </c>
      <c r="B451" s="2" t="str">
        <f t="shared" si="11"/>
        <v>ℹ️ Liquid fuel: please select one unit of measurement among m³ and L</v>
      </c>
      <c r="C451" s="2" t="s">
        <v>8500</v>
      </c>
      <c r="D451" s="516" t="s">
        <v>8501</v>
      </c>
      <c r="E451" s="516" t="s">
        <v>8502</v>
      </c>
      <c r="F451" s="516" t="s">
        <v>8503</v>
      </c>
      <c r="G451" s="523" t="s">
        <v>8504</v>
      </c>
      <c r="H451" s="523" t="s">
        <v>8505</v>
      </c>
      <c r="I451" s="2" t="s">
        <v>8506</v>
      </c>
      <c r="J451" s="522" t="s">
        <v>8507</v>
      </c>
      <c r="K451" s="522" t="s">
        <v>8508</v>
      </c>
      <c r="L451" s="522" t="s">
        <v>8509</v>
      </c>
      <c r="M451" s="522" t="s">
        <v>8510</v>
      </c>
    </row>
    <row r="452" spans="1:13" ht="28.8" x14ac:dyDescent="0.3">
      <c r="A452" s="2" t="s">
        <v>8511</v>
      </c>
      <c r="B452" s="2" t="str">
        <f t="shared" si="11"/>
        <v>ℹ️ Solid fuel: please select one unit of measurement among Gg, t, Kg and g</v>
      </c>
      <c r="C452" s="2" t="s">
        <v>8512</v>
      </c>
      <c r="D452" s="516" t="s">
        <v>8513</v>
      </c>
      <c r="E452" s="516" t="s">
        <v>8514</v>
      </c>
      <c r="F452" s="516" t="s">
        <v>8515</v>
      </c>
      <c r="G452" s="523" t="s">
        <v>8516</v>
      </c>
      <c r="H452" s="523" t="s">
        <v>8517</v>
      </c>
      <c r="I452" s="2" t="s">
        <v>8518</v>
      </c>
      <c r="J452" s="522" t="s">
        <v>8519</v>
      </c>
      <c r="K452" s="522" t="s">
        <v>8520</v>
      </c>
      <c r="L452" s="522" t="s">
        <v>8521</v>
      </c>
      <c r="M452" s="522" t="s">
        <v>8522</v>
      </c>
    </row>
    <row r="453" spans="1:13" ht="28.8" x14ac:dyDescent="0.3">
      <c r="A453" s="2" t="s">
        <v>8523</v>
      </c>
      <c r="B453" s="2" t="str">
        <f t="shared" si="11"/>
        <v>ℹ️ Gaseous fuel: please select one unit of measurement among m³ and L</v>
      </c>
      <c r="C453" s="2" t="s">
        <v>8524</v>
      </c>
      <c r="D453" s="516" t="s">
        <v>8525</v>
      </c>
      <c r="E453" s="516" t="s">
        <v>8526</v>
      </c>
      <c r="F453" s="516" t="s">
        <v>8527</v>
      </c>
      <c r="G453" s="523" t="s">
        <v>8528</v>
      </c>
      <c r="H453" s="523" t="s">
        <v>8529</v>
      </c>
      <c r="I453" s="2" t="s">
        <v>8530</v>
      </c>
      <c r="J453" s="522" t="s">
        <v>8531</v>
      </c>
      <c r="K453" s="522" t="s">
        <v>8532</v>
      </c>
      <c r="L453" s="522" t="s">
        <v>8533</v>
      </c>
      <c r="M453" s="522" t="s">
        <v>8534</v>
      </c>
    </row>
    <row r="454" spans="1:13" ht="100.8" x14ac:dyDescent="0.3">
      <c r="A454" s="2" t="s">
        <v>8535</v>
      </c>
      <c r="B454" s="2"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54" s="2" t="s">
        <v>8536</v>
      </c>
      <c r="D454" s="516" t="s">
        <v>8537</v>
      </c>
      <c r="E454" s="516" t="s">
        <v>8538</v>
      </c>
      <c r="F454" s="516" t="s">
        <v>8539</v>
      </c>
      <c r="G454" s="523" t="s">
        <v>8540</v>
      </c>
      <c r="H454" s="523" t="s">
        <v>8541</v>
      </c>
      <c r="I454" s="2" t="s">
        <v>8542</v>
      </c>
      <c r="J454" s="522" t="s">
        <v>8543</v>
      </c>
      <c r="K454" s="522" t="s">
        <v>8544</v>
      </c>
      <c r="L454" s="522" t="s">
        <v>8545</v>
      </c>
      <c r="M454" s="522" t="s">
        <v>8546</v>
      </c>
    </row>
    <row r="455" spans="1:13" ht="72" x14ac:dyDescent="0.3">
      <c r="A455" s="2" t="s">
        <v>8547</v>
      </c>
      <c r="B455" s="2" t="str">
        <f t="shared" si="11"/>
        <v>ℹ️ If VALUE INCONSISTENCY message appears on the right, please ensure that the reporting period end date is greater than the reporting period start date.</v>
      </c>
      <c r="C455" s="2" t="s">
        <v>8548</v>
      </c>
      <c r="D455" s="516" t="s">
        <v>8549</v>
      </c>
      <c r="E455" s="516" t="s">
        <v>8550</v>
      </c>
      <c r="F455" s="516" t="s">
        <v>8551</v>
      </c>
      <c r="G455" s="523" t="s">
        <v>8552</v>
      </c>
      <c r="H455" s="523" t="s">
        <v>8553</v>
      </c>
      <c r="I455" s="2" t="s">
        <v>8554</v>
      </c>
      <c r="J455" s="522" t="s">
        <v>8555</v>
      </c>
      <c r="K455" s="522" t="s">
        <v>8556</v>
      </c>
      <c r="L455" s="522" t="s">
        <v>8557</v>
      </c>
      <c r="M455" s="522" t="s">
        <v>8558</v>
      </c>
    </row>
    <row r="456" spans="1:13" ht="72" x14ac:dyDescent="0.3">
      <c r="A456" s="2" t="s">
        <v>8559</v>
      </c>
      <c r="B456" s="2" t="str">
        <f t="shared" si="11"/>
        <v>ℹ️  Lists can be expanded using the little [+] button on the left.  If the number of rows is not sufficient, those can be added by right clicking the second row and selecting "Insert row".</v>
      </c>
      <c r="C456" s="2" t="s">
        <v>8560</v>
      </c>
      <c r="D456" s="516" t="s">
        <v>8561</v>
      </c>
      <c r="E456" s="516" t="s">
        <v>8562</v>
      </c>
      <c r="F456" s="516" t="s">
        <v>8563</v>
      </c>
      <c r="G456" s="523" t="s">
        <v>8564</v>
      </c>
      <c r="H456" s="523" t="s">
        <v>8565</v>
      </c>
      <c r="I456" s="2" t="s">
        <v>8566</v>
      </c>
      <c r="J456" s="522" t="s">
        <v>8567</v>
      </c>
      <c r="K456" s="522" t="s">
        <v>8568</v>
      </c>
      <c r="L456" s="522" t="s">
        <v>8569</v>
      </c>
      <c r="M456" s="522" t="s">
        <v>8570</v>
      </c>
    </row>
    <row r="457" spans="1:13" ht="57.6" x14ac:dyDescent="0.3">
      <c r="A457" s="2" t="s">
        <v>8571</v>
      </c>
      <c r="B457" s="2" t="str">
        <f t="shared" si="11"/>
        <v>ℹ️ When "other" is chosen as undertaking legal form please fill the row below</v>
      </c>
      <c r="C457" s="2" t="s">
        <v>8572</v>
      </c>
      <c r="D457" s="516" t="s">
        <v>8573</v>
      </c>
      <c r="E457" s="516" t="s">
        <v>8574</v>
      </c>
      <c r="F457" s="516" t="s">
        <v>8575</v>
      </c>
      <c r="G457" s="523" t="s">
        <v>8576</v>
      </c>
      <c r="H457" s="523" t="s">
        <v>8577</v>
      </c>
      <c r="I457" s="2" t="s">
        <v>8578</v>
      </c>
      <c r="J457" s="522" t="s">
        <v>8579</v>
      </c>
      <c r="K457" s="522" t="s">
        <v>8580</v>
      </c>
      <c r="L457" s="522" t="s">
        <v>8581</v>
      </c>
      <c r="M457" s="522" t="s">
        <v>8582</v>
      </c>
    </row>
    <row r="458" spans="1:13" ht="57.6" x14ac:dyDescent="0.3">
      <c r="A458" s="2" t="s">
        <v>8583</v>
      </c>
      <c r="B458" s="2" t="str">
        <f t="shared" si="11"/>
        <v>ℹ️  Please select a NACE code rather than a category else an ERROR message will appear.</v>
      </c>
      <c r="C458" s="2" t="s">
        <v>8584</v>
      </c>
      <c r="D458" s="516" t="s">
        <v>8585</v>
      </c>
      <c r="E458" s="516" t="s">
        <v>8586</v>
      </c>
      <c r="F458" s="516" t="s">
        <v>8587</v>
      </c>
      <c r="G458" s="523" t="s">
        <v>8588</v>
      </c>
      <c r="H458" s="523" t="s">
        <v>8589</v>
      </c>
      <c r="I458" s="2" t="s">
        <v>8590</v>
      </c>
      <c r="J458" s="522" t="s">
        <v>8591</v>
      </c>
      <c r="K458" s="522" t="s">
        <v>8592</v>
      </c>
      <c r="L458" s="522" t="s">
        <v>8593</v>
      </c>
      <c r="M458" s="522" t="s">
        <v>8594</v>
      </c>
    </row>
    <row r="459" spans="1:13" ht="43.2" x14ac:dyDescent="0.3">
      <c r="A459" s="2" t="s">
        <v>8595</v>
      </c>
      <c r="B459" s="2" t="str">
        <f t="shared" si="11"/>
        <v>ℹ️  Please be careful to separate each street number and house number using the slash symbol "/" and not the comma ","</v>
      </c>
      <c r="C459" s="2" t="s">
        <v>8596</v>
      </c>
      <c r="D459" s="516" t="s">
        <v>8597</v>
      </c>
      <c r="E459" s="516" t="s">
        <v>8598</v>
      </c>
      <c r="F459" s="516" t="s">
        <v>8599</v>
      </c>
      <c r="G459" s="523" t="s">
        <v>8600</v>
      </c>
      <c r="H459" s="523" t="s">
        <v>8601</v>
      </c>
      <c r="I459" s="2" t="s">
        <v>8602</v>
      </c>
      <c r="J459" s="522" t="s">
        <v>8603</v>
      </c>
      <c r="K459" s="522" t="s">
        <v>8604</v>
      </c>
      <c r="L459" s="522" t="s">
        <v>8605</v>
      </c>
      <c r="M459" s="522" t="s">
        <v>8606</v>
      </c>
    </row>
    <row r="460" spans="1:13" ht="43.2" x14ac:dyDescent="0.3">
      <c r="A460" s="2" t="s">
        <v>8607</v>
      </c>
      <c r="B460" s="2" t="str">
        <f t="shared" si="11"/>
        <v xml:space="preserve">ℹ️  Please note that the formula present in this cell may be overwritten in case the undertaking wants to directly provide the value. </v>
      </c>
      <c r="C460" s="2" t="s">
        <v>8608</v>
      </c>
      <c r="D460" s="516" t="s">
        <v>8609</v>
      </c>
      <c r="E460" s="516" t="s">
        <v>8610</v>
      </c>
      <c r="F460" s="516" t="s">
        <v>8611</v>
      </c>
      <c r="G460" s="523" t="s">
        <v>8612</v>
      </c>
      <c r="H460" s="523" t="s">
        <v>8613</v>
      </c>
      <c r="I460" s="2" t="s">
        <v>8614</v>
      </c>
      <c r="J460" s="522" t="s">
        <v>8615</v>
      </c>
      <c r="K460" s="522" t="s">
        <v>8616</v>
      </c>
      <c r="L460" s="522" t="s">
        <v>8617</v>
      </c>
      <c r="M460" s="522" t="s">
        <v>8618</v>
      </c>
    </row>
    <row r="461" spans="1:13" ht="100.8" x14ac:dyDescent="0.3">
      <c r="A461" s="2" t="s">
        <v>8619</v>
      </c>
      <c r="B461" s="2" t="str">
        <f t="shared" si="11"/>
        <v>ℹ️  Scope 3 categories according to the GHG protocol might help to calculate the total Scope 3 GHG emissions. In case the undertaking wants to, it can directly provide the Total Scope 3 GHG emissions in the respective cell.</v>
      </c>
      <c r="C461" s="2" t="s">
        <v>8620</v>
      </c>
      <c r="D461" s="516" t="s">
        <v>8621</v>
      </c>
      <c r="E461" s="516" t="s">
        <v>8622</v>
      </c>
      <c r="F461" s="516" t="s">
        <v>8623</v>
      </c>
      <c r="G461" s="523" t="s">
        <v>8624</v>
      </c>
      <c r="H461" s="523" t="s">
        <v>8625</v>
      </c>
      <c r="I461" s="2" t="s">
        <v>8626</v>
      </c>
      <c r="J461" s="522" t="s">
        <v>8627</v>
      </c>
      <c r="K461" s="522" t="s">
        <v>8628</v>
      </c>
      <c r="L461" s="522" t="s">
        <v>8629</v>
      </c>
      <c r="M461" s="522" t="s">
        <v>8630</v>
      </c>
    </row>
    <row r="462" spans="1:13" ht="57.6" x14ac:dyDescent="0.3">
      <c r="A462" s="2" t="s">
        <v>8631</v>
      </c>
      <c r="B462" s="2" t="str">
        <f t="shared" si="11"/>
        <v>ℹ️  If a validation related to value inconsistency is displayed, please select a site ID that is different from one of those previously selected.</v>
      </c>
      <c r="C462" s="2" t="s">
        <v>8632</v>
      </c>
      <c r="D462" s="516" t="s">
        <v>8633</v>
      </c>
      <c r="E462" s="516" t="s">
        <v>8634</v>
      </c>
      <c r="F462" s="516" t="s">
        <v>8635</v>
      </c>
      <c r="G462" s="523" t="s">
        <v>8636</v>
      </c>
      <c r="H462" s="523" t="s">
        <v>8637</v>
      </c>
      <c r="I462" s="2" t="s">
        <v>8638</v>
      </c>
      <c r="J462" s="522" t="s">
        <v>8639</v>
      </c>
      <c r="K462" s="522" t="s">
        <v>8640</v>
      </c>
      <c r="L462" s="522" t="s">
        <v>8641</v>
      </c>
      <c r="M462" s="522" t="s">
        <v>8642</v>
      </c>
    </row>
    <row r="463" spans="1:13" ht="57.6" x14ac:dyDescent="0.3">
      <c r="A463" s="2" t="s">
        <v>8643</v>
      </c>
      <c r="B463" s="2" t="str">
        <f t="shared" si="11"/>
        <v>ℹ️  Please select a Type of waste (Hazardous or Non-Hazardous) rather than a category else an ERROR message will appear.</v>
      </c>
      <c r="C463" s="2" t="s">
        <v>8644</v>
      </c>
      <c r="D463" s="516" t="s">
        <v>8645</v>
      </c>
      <c r="E463" s="516" t="s">
        <v>8646</v>
      </c>
      <c r="F463" s="516" t="s">
        <v>8647</v>
      </c>
      <c r="G463" s="523" t="s">
        <v>8648</v>
      </c>
      <c r="H463" s="523" t="s">
        <v>8649</v>
      </c>
      <c r="I463" s="2" t="s">
        <v>8650</v>
      </c>
      <c r="J463" s="522" t="s">
        <v>8651</v>
      </c>
      <c r="K463" s="522" t="s">
        <v>8652</v>
      </c>
      <c r="L463" s="522" t="s">
        <v>8653</v>
      </c>
      <c r="M463" s="522" t="s">
        <v>8654</v>
      </c>
    </row>
    <row r="464" spans="1:13" ht="72" x14ac:dyDescent="0.3">
      <c r="A464" s="2" t="s">
        <v>8655</v>
      </c>
      <c r="B464" s="2" t="str">
        <f t="shared" si="11"/>
        <v xml:space="preserve">ℹ️  Please make sure that the total number of employees is the same as the one provided in the "General Information" sheet cell E55
</v>
      </c>
      <c r="C464" s="2" t="s">
        <v>8656</v>
      </c>
      <c r="D464" s="516" t="s">
        <v>8657</v>
      </c>
      <c r="E464" s="516" t="s">
        <v>8658</v>
      </c>
      <c r="F464" s="516" t="s">
        <v>8659</v>
      </c>
      <c r="G464" s="523" t="s">
        <v>8660</v>
      </c>
      <c r="H464" s="523" t="s">
        <v>8661</v>
      </c>
      <c r="I464" s="2" t="s">
        <v>8662</v>
      </c>
      <c r="J464" s="522" t="s">
        <v>8663</v>
      </c>
      <c r="K464" s="522" t="s">
        <v>8664</v>
      </c>
      <c r="L464" s="522" t="s">
        <v>8665</v>
      </c>
      <c r="M464" s="522" t="s">
        <v>8666</v>
      </c>
    </row>
    <row r="465" spans="1:13" ht="100.8" x14ac:dyDescent="0.3">
      <c r="A465" s="2" t="s">
        <v>8667</v>
      </c>
      <c r="B465" s="2"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65" s="2" t="s">
        <v>8668</v>
      </c>
      <c r="D465" s="516" t="s">
        <v>8669</v>
      </c>
      <c r="E465" s="516" t="s">
        <v>8670</v>
      </c>
      <c r="F465" s="516" t="s">
        <v>8671</v>
      </c>
      <c r="G465" s="523" t="s">
        <v>8672</v>
      </c>
      <c r="H465" s="523" t="s">
        <v>8673</v>
      </c>
      <c r="I465" s="2" t="s">
        <v>8674</v>
      </c>
      <c r="J465" s="522" t="s">
        <v>8675</v>
      </c>
      <c r="K465" s="522" t="s">
        <v>8676</v>
      </c>
      <c r="L465" s="522" t="s">
        <v>8677</v>
      </c>
      <c r="M465" s="522" t="s">
        <v>8678</v>
      </c>
    </row>
    <row r="466" spans="1:13" ht="43.2" x14ac:dyDescent="0.3">
      <c r="A466" s="2" t="s">
        <v>8679</v>
      </c>
      <c r="B466" s="2" t="str">
        <f t="shared" si="11"/>
        <v>ℹ️  Whenever a disclosure is fully omitted because sensitive or classfied, it will be highligted in bold</v>
      </c>
      <c r="C466" s="2" t="s">
        <v>8680</v>
      </c>
      <c r="D466" s="516" t="s">
        <v>8681</v>
      </c>
      <c r="E466" s="516" t="s">
        <v>8682</v>
      </c>
      <c r="F466" s="516" t="s">
        <v>8683</v>
      </c>
      <c r="G466" s="516" t="s">
        <v>8684</v>
      </c>
      <c r="H466" s="516" t="s">
        <v>8685</v>
      </c>
      <c r="I466" s="516" t="s">
        <v>8686</v>
      </c>
      <c r="J466" s="516" t="s">
        <v>8687</v>
      </c>
      <c r="K466" s="516" t="s">
        <v>8688</v>
      </c>
      <c r="L466" s="516" t="s">
        <v>8689</v>
      </c>
      <c r="M466" s="516" t="s">
        <v>8690</v>
      </c>
    </row>
    <row r="467" spans="1:13" ht="43.8" thickBot="1" x14ac:dyDescent="0.35">
      <c r="A467" s="528" t="s">
        <v>8691</v>
      </c>
      <c r="B467" s="528" t="str">
        <f t="shared" si="11"/>
        <v>ℹ️ Check EFRAG website for a non-exhaustive list of GHG calculators.</v>
      </c>
      <c r="C467" s="528" t="s">
        <v>8692</v>
      </c>
      <c r="D467" s="524" t="s">
        <v>8693</v>
      </c>
      <c r="E467" s="524" t="s">
        <v>8694</v>
      </c>
      <c r="F467" s="528" t="s">
        <v>8695</v>
      </c>
      <c r="G467" s="528" t="s">
        <v>8696</v>
      </c>
      <c r="H467" s="528" t="s">
        <v>8697</v>
      </c>
      <c r="I467" s="528" t="s">
        <v>8698</v>
      </c>
      <c r="J467" s="528" t="s">
        <v>8699</v>
      </c>
      <c r="K467" s="528" t="s">
        <v>8700</v>
      </c>
      <c r="L467" s="528" t="s">
        <v>8701</v>
      </c>
      <c r="M467" s="528" t="s">
        <v>8702</v>
      </c>
    </row>
    <row r="468" spans="1:13" ht="43.2" x14ac:dyDescent="0.3">
      <c r="A468" s="2" t="s">
        <v>8703</v>
      </c>
      <c r="B468" s="355" t="str">
        <f t="shared" si="11"/>
        <v>ℹ️ VSME Supporting Guidance on Disclosure C2 - Comprehensive Module (Practices, Policies, and Future Initiatives)</v>
      </c>
      <c r="C468" s="2" t="s">
        <v>8704</v>
      </c>
      <c r="D468" s="516" t="s">
        <v>8705</v>
      </c>
      <c r="E468" s="516" t="s">
        <v>8706</v>
      </c>
      <c r="F468" s="516" t="s">
        <v>8707</v>
      </c>
      <c r="G468" s="516" t="s">
        <v>8708</v>
      </c>
      <c r="H468" s="516" t="s">
        <v>8709</v>
      </c>
      <c r="I468" s="516" t="s">
        <v>8710</v>
      </c>
      <c r="J468" s="516" t="s">
        <v>8711</v>
      </c>
      <c r="K468" s="516" t="s">
        <v>8712</v>
      </c>
      <c r="L468" s="516" t="s">
        <v>8713</v>
      </c>
      <c r="M468" s="516" t="s">
        <v>8714</v>
      </c>
    </row>
    <row r="469" spans="1:13" ht="43.2" x14ac:dyDescent="0.3">
      <c r="A469" s="2" t="s">
        <v>8715</v>
      </c>
      <c r="B469" s="355" t="str">
        <f t="shared" si="11"/>
        <v>ℹ️ VSME Supporting guide on Disclosure C3 - Comprehensive Module (GHG reduction targets and climate transition)</v>
      </c>
      <c r="C469" s="2" t="s">
        <v>8716</v>
      </c>
      <c r="D469" s="516" t="s">
        <v>8717</v>
      </c>
      <c r="E469" s="516" t="s">
        <v>8718</v>
      </c>
      <c r="F469" s="516" t="s">
        <v>8719</v>
      </c>
      <c r="G469" s="516" t="s">
        <v>8720</v>
      </c>
      <c r="H469" s="516" t="s">
        <v>8721</v>
      </c>
      <c r="I469" s="516" t="s">
        <v>8722</v>
      </c>
      <c r="J469" s="516" t="s">
        <v>8723</v>
      </c>
      <c r="K469" s="516" t="s">
        <v>8724</v>
      </c>
      <c r="L469" s="516" t="s">
        <v>8725</v>
      </c>
      <c r="M469" s="516" t="s">
        <v>8726</v>
      </c>
    </row>
    <row r="470" spans="1:13" ht="43.2" x14ac:dyDescent="0.3">
      <c r="A470" s="2" t="s">
        <v>8727</v>
      </c>
      <c r="B470" s="355" t="str">
        <f t="shared" si="11"/>
        <v>ℹ️ VSME Supporting Guide to Disclosure C7 - Comprehensive Module (Severe negative human rights incidents (paragraph 62(c))</v>
      </c>
      <c r="C470" s="2" t="s">
        <v>8728</v>
      </c>
      <c r="D470" s="516" t="s">
        <v>8729</v>
      </c>
      <c r="E470" s="516" t="s">
        <v>8730</v>
      </c>
      <c r="F470" s="516" t="s">
        <v>8731</v>
      </c>
      <c r="G470" s="516" t="s">
        <v>8732</v>
      </c>
      <c r="H470" s="516" t="s">
        <v>8733</v>
      </c>
      <c r="I470" s="516" t="s">
        <v>8734</v>
      </c>
      <c r="J470" s="516" t="s">
        <v>8735</v>
      </c>
      <c r="K470" s="516" t="s">
        <v>8736</v>
      </c>
      <c r="L470" s="516" t="s">
        <v>8737</v>
      </c>
      <c r="M470" s="516" t="s">
        <v>8738</v>
      </c>
    </row>
    <row r="471" spans="1:13" ht="72" x14ac:dyDescent="0.3">
      <c r="A471" s="2" t="s">
        <v>8739</v>
      </c>
      <c r="B471" s="355" t="str">
        <f>INDEX(C471:M471,MATCH(template_selected_display_language,$C$3:$M$3,0))</f>
        <v>ℹ️ WARNING: Information inserted in VSME Digital Template but marked as classified or sensitive information. Please make sure to remove such information from the VSME Digital Template, else it will converted in the Inline XBRL report.</v>
      </c>
      <c r="C471" s="2" t="s">
        <v>8740</v>
      </c>
      <c r="D471" s="516" t="s">
        <v>8741</v>
      </c>
      <c r="E471" s="516" t="s">
        <v>8742</v>
      </c>
      <c r="F471" s="516" t="s">
        <v>8743</v>
      </c>
      <c r="G471" s="516" t="s">
        <v>8744</v>
      </c>
      <c r="H471" s="516" t="s">
        <v>8745</v>
      </c>
      <c r="I471" s="516" t="s">
        <v>8746</v>
      </c>
      <c r="J471" s="516" t="s">
        <v>8747</v>
      </c>
      <c r="K471" s="516" t="s">
        <v>8748</v>
      </c>
      <c r="L471" s="516" t="s">
        <v>8749</v>
      </c>
      <c r="M471" s="516" t="s">
        <v>8750</v>
      </c>
    </row>
    <row r="472" spans="1:13" ht="72.599999999999994" thickBot="1" x14ac:dyDescent="0.35">
      <c r="A472" s="528" t="s">
        <v>8751</v>
      </c>
      <c r="B472" s="536" t="str">
        <f>INDEX(C472:M472,MATCH(template_selected_display_language,$C$3:$M$3,0))</f>
        <v>ℹ️ WARNING: The Digital Template was developed and tested using Microsoft Excel 365. Functionality may be limited or incorrect when using other spreadsheet applications or older versions of Excel.</v>
      </c>
      <c r="C472" s="528" t="s">
        <v>8752</v>
      </c>
      <c r="D472" s="524" t="s">
        <v>8753</v>
      </c>
      <c r="E472" s="524" t="s">
        <v>8754</v>
      </c>
      <c r="F472" s="524" t="s">
        <v>8755</v>
      </c>
      <c r="G472" s="524" t="s">
        <v>8756</v>
      </c>
      <c r="H472" s="524" t="s">
        <v>8757</v>
      </c>
      <c r="I472" s="524" t="s">
        <v>8758</v>
      </c>
      <c r="J472" s="524" t="s">
        <v>8759</v>
      </c>
      <c r="K472" s="524" t="s">
        <v>8760</v>
      </c>
      <c r="L472" s="524" t="s">
        <v>8761</v>
      </c>
      <c r="M472" s="524" t="s">
        <v>8762</v>
      </c>
    </row>
    <row r="473" spans="1:13" x14ac:dyDescent="0.3">
      <c r="A473" s="2" t="s">
        <v>8837</v>
      </c>
      <c r="B473" s="355" t="str">
        <f>INDEX(C473:M473,MATCH(template_selected_display_language,$C$3:$M$3,0))</f>
        <v>VSME Digital Template Sample</v>
      </c>
      <c r="C473" s="2" t="s">
        <v>8835</v>
      </c>
      <c r="D473" s="516" t="s">
        <v>8839</v>
      </c>
      <c r="E473" s="516" t="s">
        <v>8840</v>
      </c>
      <c r="F473" s="516" t="s">
        <v>8841</v>
      </c>
      <c r="G473" s="516" t="s">
        <v>8842</v>
      </c>
      <c r="H473" s="516" t="s">
        <v>8843</v>
      </c>
      <c r="I473" s="516" t="s">
        <v>8844</v>
      </c>
      <c r="J473" s="516" t="s">
        <v>8845</v>
      </c>
      <c r="K473" s="516" t="s">
        <v>8846</v>
      </c>
      <c r="L473" s="516" t="s">
        <v>8847</v>
      </c>
      <c r="M473" s="516" t="s">
        <v>8848</v>
      </c>
    </row>
    <row r="474" spans="1:13" ht="100.8" customHeight="1" x14ac:dyDescent="0.3">
      <c r="A474" s="2" t="s">
        <v>8838</v>
      </c>
      <c r="B474" s="355" t="str">
        <f>INDEX(C474:M474,MATCH(template_selected_display_language,$C$3:$M$3,0))</f>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474" s="2" t="s">
        <v>8836</v>
      </c>
      <c r="D474" s="516" t="s">
        <v>8849</v>
      </c>
      <c r="E474" s="516" t="s">
        <v>8850</v>
      </c>
      <c r="F474" s="516" t="s">
        <v>8851</v>
      </c>
      <c r="G474" s="516" t="s">
        <v>8852</v>
      </c>
      <c r="H474" s="516" t="s">
        <v>8853</v>
      </c>
      <c r="I474" s="516" t="s">
        <v>8854</v>
      </c>
      <c r="J474" s="516" t="s">
        <v>8855</v>
      </c>
      <c r="K474" s="516" t="s">
        <v>8856</v>
      </c>
      <c r="L474" s="516" t="s">
        <v>8857</v>
      </c>
      <c r="M474" s="516" t="s">
        <v>8858</v>
      </c>
    </row>
    <row r="475" spans="1:13" x14ac:dyDescent="0.3">
      <c r="D475" s="516"/>
      <c r="E475" s="516"/>
    </row>
    <row r="476" spans="1:13" x14ac:dyDescent="0.3">
      <c r="D476" s="516"/>
      <c r="E476" s="516"/>
    </row>
    <row r="477" spans="1:13" x14ac:dyDescent="0.3">
      <c r="D477" s="516"/>
      <c r="E477" s="516"/>
    </row>
    <row r="478" spans="1:13" x14ac:dyDescent="0.3">
      <c r="D478" s="516"/>
      <c r="E478" s="516"/>
    </row>
    <row r="479" spans="1:13" x14ac:dyDescent="0.3">
      <c r="D479" s="516"/>
      <c r="E479" s="516"/>
    </row>
    <row r="480" spans="1:13" x14ac:dyDescent="0.3">
      <c r="D480" s="516"/>
      <c r="E480" s="516"/>
    </row>
    <row r="481" spans="4:5" x14ac:dyDescent="0.3">
      <c r="D481" s="516"/>
      <c r="E481" s="516"/>
    </row>
    <row r="482" spans="4:5" x14ac:dyDescent="0.3">
      <c r="D482" s="516"/>
      <c r="E482" s="516"/>
    </row>
    <row r="483" spans="4:5" x14ac:dyDescent="0.3">
      <c r="D483" s="516"/>
      <c r="E483" s="516"/>
    </row>
    <row r="484" spans="4:5" x14ac:dyDescent="0.3">
      <c r="D484" s="516"/>
      <c r="E484" s="516"/>
    </row>
    <row r="485" spans="4:5" x14ac:dyDescent="0.3">
      <c r="D485" s="516"/>
      <c r="E485" s="516"/>
    </row>
    <row r="486" spans="4:5" x14ac:dyDescent="0.3">
      <c r="D486" s="516"/>
      <c r="E486" s="516"/>
    </row>
    <row r="487" spans="4:5" x14ac:dyDescent="0.3">
      <c r="D487" s="516"/>
      <c r="E487" s="516"/>
    </row>
    <row r="488" spans="4:5" x14ac:dyDescent="0.3">
      <c r="D488" s="516"/>
      <c r="E488" s="516"/>
    </row>
    <row r="489" spans="4:5" x14ac:dyDescent="0.3">
      <c r="D489" s="516"/>
      <c r="E489" s="516"/>
    </row>
    <row r="490" spans="4:5" x14ac:dyDescent="0.3">
      <c r="D490" s="516"/>
      <c r="E490" s="516"/>
    </row>
    <row r="491" spans="4:5" x14ac:dyDescent="0.3">
      <c r="D491" s="516"/>
      <c r="E491" s="516"/>
    </row>
    <row r="492" spans="4:5" x14ac:dyDescent="0.3">
      <c r="D492" s="516"/>
      <c r="E492" s="516"/>
    </row>
    <row r="493" spans="4:5" x14ac:dyDescent="0.3">
      <c r="D493" s="516"/>
      <c r="E493" s="516"/>
    </row>
    <row r="494" spans="4:5" x14ac:dyDescent="0.3">
      <c r="D494" s="516"/>
      <c r="E494" s="516"/>
    </row>
    <row r="495" spans="4:5" x14ac:dyDescent="0.3">
      <c r="D495" s="516"/>
      <c r="E495" s="516"/>
    </row>
    <row r="496" spans="4:5" x14ac:dyDescent="0.3">
      <c r="D496" s="516"/>
      <c r="E496" s="516"/>
    </row>
    <row r="497" spans="4:5" x14ac:dyDescent="0.3">
      <c r="D497" s="516"/>
      <c r="E497" s="516"/>
    </row>
    <row r="498" spans="4:5" x14ac:dyDescent="0.3">
      <c r="D498" s="516"/>
      <c r="E498" s="516"/>
    </row>
    <row r="499" spans="4:5" x14ac:dyDescent="0.3">
      <c r="D499" s="516"/>
      <c r="E499" s="516"/>
    </row>
    <row r="500" spans="4:5" x14ac:dyDescent="0.3">
      <c r="D500" s="516"/>
      <c r="E500" s="516"/>
    </row>
    <row r="501" spans="4:5" x14ac:dyDescent="0.3">
      <c r="D501" s="516"/>
      <c r="E501" s="516"/>
    </row>
    <row r="502" spans="4:5" x14ac:dyDescent="0.3">
      <c r="D502" s="516"/>
      <c r="E502" s="516"/>
    </row>
    <row r="503" spans="4:5" x14ac:dyDescent="0.3">
      <c r="D503" s="516"/>
      <c r="E503" s="516"/>
    </row>
    <row r="504" spans="4:5" x14ac:dyDescent="0.3">
      <c r="D504" s="516"/>
      <c r="E504" s="516"/>
    </row>
    <row r="505" spans="4:5" x14ac:dyDescent="0.3">
      <c r="D505" s="516"/>
      <c r="E505" s="516"/>
    </row>
    <row r="506" spans="4:5" x14ac:dyDescent="0.3">
      <c r="D506" s="516"/>
      <c r="E506" s="516"/>
    </row>
    <row r="507" spans="4:5" x14ac:dyDescent="0.3">
      <c r="D507" s="516"/>
      <c r="E507" s="516"/>
    </row>
    <row r="508" spans="4:5" x14ac:dyDescent="0.3">
      <c r="D508" s="516"/>
      <c r="E508" s="516"/>
    </row>
    <row r="509" spans="4:5" x14ac:dyDescent="0.3">
      <c r="D509" s="516"/>
      <c r="E509" s="516"/>
    </row>
    <row r="510" spans="4:5" x14ac:dyDescent="0.3">
      <c r="D510" s="516"/>
      <c r="E510" s="516"/>
    </row>
    <row r="511" spans="4:5" x14ac:dyDescent="0.3">
      <c r="D511" s="516"/>
      <c r="E511" s="516"/>
    </row>
    <row r="512" spans="4:5" x14ac:dyDescent="0.3">
      <c r="D512" s="516"/>
      <c r="E512" s="516"/>
    </row>
    <row r="513" spans="4:5" x14ac:dyDescent="0.3">
      <c r="D513" s="516"/>
      <c r="E513" s="516"/>
    </row>
    <row r="514" spans="4:5" x14ac:dyDescent="0.3">
      <c r="D514" s="516"/>
      <c r="E514" s="516"/>
    </row>
    <row r="515" spans="4:5" x14ac:dyDescent="0.3">
      <c r="D515" s="516"/>
      <c r="E515" s="516"/>
    </row>
    <row r="516" spans="4:5" x14ac:dyDescent="0.3">
      <c r="D516" s="516"/>
      <c r="E516" s="516"/>
    </row>
    <row r="517" spans="4:5" x14ac:dyDescent="0.3">
      <c r="D517" s="516"/>
      <c r="E517" s="516"/>
    </row>
    <row r="518" spans="4:5" x14ac:dyDescent="0.3">
      <c r="D518" s="516"/>
      <c r="E518" s="516"/>
    </row>
    <row r="519" spans="4:5" x14ac:dyDescent="0.3">
      <c r="D519" s="516"/>
      <c r="E519" s="516"/>
    </row>
    <row r="520" spans="4:5" x14ac:dyDescent="0.3">
      <c r="D520" s="516"/>
      <c r="E520" s="516"/>
    </row>
    <row r="521" spans="4:5" x14ac:dyDescent="0.3">
      <c r="D521" s="516"/>
      <c r="E521" s="516"/>
    </row>
    <row r="522" spans="4:5" x14ac:dyDescent="0.3">
      <c r="D522" s="516"/>
      <c r="E522" s="516"/>
    </row>
    <row r="523" spans="4:5" x14ac:dyDescent="0.3">
      <c r="D523" s="516"/>
      <c r="E523" s="516"/>
    </row>
    <row r="524" spans="4:5" x14ac:dyDescent="0.3">
      <c r="D524" s="516"/>
      <c r="E524" s="516"/>
    </row>
    <row r="525" spans="4:5" x14ac:dyDescent="0.3">
      <c r="D525" s="516"/>
      <c r="E525" s="516"/>
    </row>
    <row r="526" spans="4:5" x14ac:dyDescent="0.3">
      <c r="D526" s="516"/>
      <c r="E526" s="516"/>
    </row>
    <row r="527" spans="4:5" x14ac:dyDescent="0.3">
      <c r="D527" s="516"/>
      <c r="E527" s="516"/>
    </row>
    <row r="528" spans="4:5" x14ac:dyDescent="0.3">
      <c r="D528" s="516"/>
      <c r="E528" s="516"/>
    </row>
    <row r="529" spans="4:5" x14ac:dyDescent="0.3">
      <c r="D529" s="516"/>
      <c r="E529" s="516"/>
    </row>
    <row r="530" spans="4:5" x14ac:dyDescent="0.3">
      <c r="D530" s="516"/>
      <c r="E530" s="516"/>
    </row>
    <row r="531" spans="4:5" x14ac:dyDescent="0.3">
      <c r="D531" s="516"/>
      <c r="E531" s="516"/>
    </row>
    <row r="532" spans="4:5" x14ac:dyDescent="0.3">
      <c r="D532" s="516"/>
      <c r="E532" s="516"/>
    </row>
    <row r="533" spans="4:5" x14ac:dyDescent="0.3">
      <c r="D533" s="516"/>
      <c r="E533" s="516"/>
    </row>
    <row r="534" spans="4:5" x14ac:dyDescent="0.3">
      <c r="D534" s="516"/>
      <c r="E534" s="516"/>
    </row>
    <row r="535" spans="4:5" x14ac:dyDescent="0.3">
      <c r="D535" s="516"/>
      <c r="E535" s="516"/>
    </row>
    <row r="536" spans="4:5" x14ac:dyDescent="0.3">
      <c r="D536" s="516"/>
      <c r="E536" s="516"/>
    </row>
    <row r="537" spans="4:5" x14ac:dyDescent="0.3">
      <c r="D537" s="516"/>
      <c r="E537" s="516"/>
    </row>
    <row r="538" spans="4:5" x14ac:dyDescent="0.3">
      <c r="D538" s="516"/>
      <c r="E538" s="516"/>
    </row>
    <row r="539" spans="4:5" x14ac:dyDescent="0.3">
      <c r="D539" s="516"/>
      <c r="E539" s="516"/>
    </row>
    <row r="540" spans="4:5" x14ac:dyDescent="0.3">
      <c r="D540" s="516"/>
      <c r="E540" s="516"/>
    </row>
    <row r="541" spans="4:5" x14ac:dyDescent="0.3">
      <c r="D541" s="516"/>
      <c r="E541" s="516"/>
    </row>
    <row r="542" spans="4:5" x14ac:dyDescent="0.3">
      <c r="D542" s="516"/>
      <c r="E542" s="516"/>
    </row>
    <row r="543" spans="4:5" x14ac:dyDescent="0.3">
      <c r="D543" s="516"/>
      <c r="E543" s="516"/>
    </row>
    <row r="544" spans="4:5" x14ac:dyDescent="0.3">
      <c r="D544" s="516"/>
      <c r="E544" s="516"/>
    </row>
    <row r="545" spans="4:5" x14ac:dyDescent="0.3">
      <c r="D545" s="516"/>
      <c r="E545" s="516"/>
    </row>
    <row r="546" spans="4:5" x14ac:dyDescent="0.3">
      <c r="D546" s="516"/>
      <c r="E546" s="516"/>
    </row>
    <row r="547" spans="4:5" x14ac:dyDescent="0.3">
      <c r="D547" s="516"/>
      <c r="E547" s="516"/>
    </row>
    <row r="548" spans="4:5" x14ac:dyDescent="0.3">
      <c r="D548" s="516"/>
      <c r="E548" s="516"/>
    </row>
    <row r="549" spans="4:5" x14ac:dyDescent="0.3">
      <c r="D549" s="516"/>
      <c r="E549" s="516"/>
    </row>
    <row r="550" spans="4:5" x14ac:dyDescent="0.3">
      <c r="D550" s="516"/>
      <c r="E550" s="516"/>
    </row>
    <row r="551" spans="4:5" x14ac:dyDescent="0.3">
      <c r="D551" s="516"/>
      <c r="E551" s="516"/>
    </row>
    <row r="552" spans="4:5" x14ac:dyDescent="0.3">
      <c r="D552" s="516"/>
      <c r="E552" s="516"/>
    </row>
    <row r="553" spans="4:5" x14ac:dyDescent="0.3">
      <c r="D553" s="516"/>
      <c r="E553" s="516"/>
    </row>
    <row r="554" spans="4:5" x14ac:dyDescent="0.3">
      <c r="D554" s="516"/>
      <c r="E554" s="516"/>
    </row>
    <row r="555" spans="4:5" x14ac:dyDescent="0.3">
      <c r="D555" s="516"/>
      <c r="E555" s="516"/>
    </row>
    <row r="556" spans="4:5" x14ac:dyDescent="0.3">
      <c r="D556" s="516"/>
      <c r="E556" s="516"/>
    </row>
    <row r="557" spans="4:5" x14ac:dyDescent="0.3">
      <c r="D557" s="516"/>
      <c r="E557" s="516"/>
    </row>
    <row r="558" spans="4:5" x14ac:dyDescent="0.3">
      <c r="D558" s="516"/>
      <c r="E558" s="516"/>
    </row>
    <row r="559" spans="4:5" x14ac:dyDescent="0.3">
      <c r="D559" s="516"/>
      <c r="E559" s="516"/>
    </row>
    <row r="560" spans="4:5" x14ac:dyDescent="0.3">
      <c r="D560" s="516"/>
      <c r="E560" s="516"/>
    </row>
    <row r="561" spans="4:5" x14ac:dyDescent="0.3">
      <c r="D561" s="516"/>
      <c r="E561" s="516"/>
    </row>
    <row r="562" spans="4:5" x14ac:dyDescent="0.3">
      <c r="D562" s="516"/>
      <c r="E562" s="516"/>
    </row>
    <row r="563" spans="4:5" x14ac:dyDescent="0.3">
      <c r="D563" s="516"/>
      <c r="E563" s="516"/>
    </row>
    <row r="564" spans="4:5" x14ac:dyDescent="0.3">
      <c r="D564" s="516"/>
      <c r="E564" s="516"/>
    </row>
    <row r="565" spans="4:5" x14ac:dyDescent="0.3">
      <c r="D565" s="516"/>
      <c r="E565" s="516"/>
    </row>
    <row r="566" spans="4:5" x14ac:dyDescent="0.3">
      <c r="D566" s="516"/>
      <c r="E566" s="516"/>
    </row>
    <row r="567" spans="4:5" x14ac:dyDescent="0.3">
      <c r="D567" s="516"/>
      <c r="E567" s="516"/>
    </row>
    <row r="568" spans="4:5" x14ac:dyDescent="0.3">
      <c r="D568" s="516"/>
      <c r="E568" s="516"/>
    </row>
    <row r="569" spans="4:5" x14ac:dyDescent="0.3">
      <c r="D569" s="516"/>
      <c r="E569" s="516"/>
    </row>
    <row r="570" spans="4:5" x14ac:dyDescent="0.3">
      <c r="D570" s="516"/>
      <c r="E570" s="516"/>
    </row>
    <row r="571" spans="4:5" x14ac:dyDescent="0.3">
      <c r="D571" s="516"/>
      <c r="E571" s="516"/>
    </row>
    <row r="572" spans="4:5" x14ac:dyDescent="0.3">
      <c r="D572" s="516"/>
      <c r="E572" s="516"/>
    </row>
    <row r="573" spans="4:5" x14ac:dyDescent="0.3">
      <c r="D573" s="516"/>
      <c r="E573" s="516"/>
    </row>
    <row r="574" spans="4:5" x14ac:dyDescent="0.3">
      <c r="D574" s="516"/>
      <c r="E574" s="516"/>
    </row>
    <row r="575" spans="4:5" x14ac:dyDescent="0.3">
      <c r="D575" s="516"/>
      <c r="E575" s="516"/>
    </row>
    <row r="576" spans="4:5" x14ac:dyDescent="0.3">
      <c r="D576" s="516"/>
      <c r="E576" s="516"/>
    </row>
    <row r="577" spans="4:5" x14ac:dyDescent="0.3">
      <c r="D577" s="516"/>
      <c r="E577" s="516"/>
    </row>
    <row r="578" spans="4:5" x14ac:dyDescent="0.3">
      <c r="D578" s="516"/>
      <c r="E578" s="516"/>
    </row>
    <row r="579" spans="4:5" x14ac:dyDescent="0.3">
      <c r="D579" s="516"/>
      <c r="E579" s="516"/>
    </row>
    <row r="580" spans="4:5" x14ac:dyDescent="0.3">
      <c r="D580" s="516"/>
      <c r="E580" s="516"/>
    </row>
    <row r="581" spans="4:5" x14ac:dyDescent="0.3">
      <c r="D581" s="516"/>
      <c r="E581" s="516"/>
    </row>
    <row r="582" spans="4:5" x14ac:dyDescent="0.3">
      <c r="D582" s="516"/>
      <c r="E582" s="516"/>
    </row>
    <row r="583" spans="4:5" x14ac:dyDescent="0.3">
      <c r="D583" s="516"/>
      <c r="E583" s="516"/>
    </row>
    <row r="584" spans="4:5" x14ac:dyDescent="0.3">
      <c r="D584" s="516"/>
      <c r="E584" s="516"/>
    </row>
    <row r="585" spans="4:5" x14ac:dyDescent="0.3">
      <c r="D585" s="516"/>
      <c r="E585" s="516"/>
    </row>
    <row r="586" spans="4:5" x14ac:dyDescent="0.3">
      <c r="D586" s="516"/>
      <c r="E586" s="516"/>
    </row>
    <row r="587" spans="4:5" x14ac:dyDescent="0.3">
      <c r="D587" s="516"/>
      <c r="E587" s="516"/>
    </row>
    <row r="588" spans="4:5" x14ac:dyDescent="0.3">
      <c r="D588" s="516"/>
      <c r="E588" s="516"/>
    </row>
    <row r="589" spans="4:5" x14ac:dyDescent="0.3">
      <c r="D589" s="516"/>
      <c r="E589" s="516"/>
    </row>
    <row r="590" spans="4:5" x14ac:dyDescent="0.3">
      <c r="D590" s="516"/>
      <c r="E590" s="516"/>
    </row>
    <row r="591" spans="4:5" x14ac:dyDescent="0.3">
      <c r="D591" s="516"/>
      <c r="E591" s="516"/>
    </row>
    <row r="592" spans="4:5" x14ac:dyDescent="0.3">
      <c r="D592" s="516"/>
      <c r="E592" s="516"/>
    </row>
    <row r="593" spans="4:5" x14ac:dyDescent="0.3">
      <c r="D593" s="516"/>
      <c r="E593" s="516"/>
    </row>
    <row r="594" spans="4:5" x14ac:dyDescent="0.3">
      <c r="D594" s="516"/>
      <c r="E594" s="516"/>
    </row>
    <row r="595" spans="4:5" x14ac:dyDescent="0.3">
      <c r="D595" s="516"/>
      <c r="E595" s="516"/>
    </row>
    <row r="596" spans="4:5" x14ac:dyDescent="0.3">
      <c r="D596" s="516"/>
      <c r="E596" s="516"/>
    </row>
    <row r="597" spans="4:5" x14ac:dyDescent="0.3">
      <c r="D597" s="516"/>
      <c r="E597" s="516"/>
    </row>
    <row r="598" spans="4:5" x14ac:dyDescent="0.3">
      <c r="D598" s="516"/>
      <c r="E598" s="516"/>
    </row>
    <row r="599" spans="4:5" x14ac:dyDescent="0.3">
      <c r="D599" s="516"/>
      <c r="E599" s="516"/>
    </row>
    <row r="600" spans="4:5" x14ac:dyDescent="0.3">
      <c r="D600" s="516"/>
      <c r="E600" s="516"/>
    </row>
    <row r="601" spans="4:5" x14ac:dyDescent="0.3">
      <c r="D601" s="516"/>
      <c r="E601" s="516"/>
    </row>
    <row r="602" spans="4:5" x14ac:dyDescent="0.3">
      <c r="D602" s="516"/>
      <c r="E602" s="516"/>
    </row>
    <row r="603" spans="4:5" x14ac:dyDescent="0.3">
      <c r="D603" s="516"/>
      <c r="E603" s="516"/>
    </row>
    <row r="604" spans="4:5" x14ac:dyDescent="0.3">
      <c r="D604" s="516"/>
      <c r="E604" s="516"/>
    </row>
    <row r="605" spans="4:5" x14ac:dyDescent="0.3">
      <c r="D605" s="516"/>
      <c r="E605" s="516"/>
    </row>
    <row r="606" spans="4:5" x14ac:dyDescent="0.3">
      <c r="D606" s="516"/>
      <c r="E606" s="516"/>
    </row>
    <row r="607" spans="4:5" x14ac:dyDescent="0.3">
      <c r="D607" s="516"/>
      <c r="E607" s="516"/>
    </row>
    <row r="608" spans="4:5" x14ac:dyDescent="0.3">
      <c r="D608" s="516"/>
      <c r="E608" s="516"/>
    </row>
    <row r="609" spans="4:5" x14ac:dyDescent="0.3">
      <c r="D609" s="516"/>
      <c r="E609" s="516"/>
    </row>
    <row r="610" spans="4:5" x14ac:dyDescent="0.3">
      <c r="D610" s="516"/>
      <c r="E610" s="516"/>
    </row>
    <row r="611" spans="4:5" x14ac:dyDescent="0.3">
      <c r="D611" s="516"/>
      <c r="E611" s="516"/>
    </row>
    <row r="612" spans="4:5" x14ac:dyDescent="0.3">
      <c r="D612" s="516"/>
      <c r="E612" s="516"/>
    </row>
    <row r="613" spans="4:5" x14ac:dyDescent="0.3">
      <c r="D613" s="516"/>
      <c r="E613" s="516"/>
    </row>
    <row r="614" spans="4:5" x14ac:dyDescent="0.3">
      <c r="D614" s="516"/>
      <c r="E614" s="516"/>
    </row>
    <row r="615" spans="4:5" x14ac:dyDescent="0.3">
      <c r="D615" s="516"/>
      <c r="E615" s="516"/>
    </row>
    <row r="616" spans="4:5" x14ac:dyDescent="0.3">
      <c r="D616" s="516"/>
      <c r="E616" s="516"/>
    </row>
    <row r="617" spans="4:5" x14ac:dyDescent="0.3">
      <c r="D617" s="516"/>
      <c r="E617" s="516"/>
    </row>
    <row r="618" spans="4:5" x14ac:dyDescent="0.3">
      <c r="D618" s="516"/>
      <c r="E618" s="516"/>
    </row>
    <row r="619" spans="4:5" x14ac:dyDescent="0.3">
      <c r="D619" s="516"/>
      <c r="E619" s="516"/>
    </row>
    <row r="620" spans="4:5" x14ac:dyDescent="0.3">
      <c r="D620" s="516"/>
      <c r="E620" s="516"/>
    </row>
    <row r="621" spans="4:5" x14ac:dyDescent="0.3">
      <c r="D621" s="516"/>
      <c r="E621" s="516"/>
    </row>
    <row r="622" spans="4:5" x14ac:dyDescent="0.3">
      <c r="D622" s="516"/>
      <c r="E622" s="516"/>
    </row>
    <row r="623" spans="4:5" x14ac:dyDescent="0.3">
      <c r="D623" s="516"/>
      <c r="E623" s="516"/>
    </row>
    <row r="624" spans="4:5" x14ac:dyDescent="0.3">
      <c r="D624" s="516"/>
      <c r="E624" s="516"/>
    </row>
    <row r="625" spans="4:5" x14ac:dyDescent="0.3">
      <c r="D625" s="516"/>
      <c r="E625" s="516"/>
    </row>
    <row r="626" spans="4:5" x14ac:dyDescent="0.3">
      <c r="D626" s="516"/>
      <c r="E626" s="516"/>
    </row>
    <row r="627" spans="4:5" x14ac:dyDescent="0.3">
      <c r="D627" s="516"/>
      <c r="E627" s="516"/>
    </row>
    <row r="628" spans="4:5" x14ac:dyDescent="0.3">
      <c r="D628" s="516"/>
      <c r="E628" s="516"/>
    </row>
    <row r="629" spans="4:5" x14ac:dyDescent="0.3">
      <c r="D629" s="516"/>
      <c r="E629" s="516"/>
    </row>
    <row r="630" spans="4:5" x14ac:dyDescent="0.3">
      <c r="D630" s="516"/>
      <c r="E630" s="516"/>
    </row>
    <row r="631" spans="4:5" x14ac:dyDescent="0.3">
      <c r="D631" s="516"/>
      <c r="E631" s="516"/>
    </row>
    <row r="632" spans="4:5" x14ac:dyDescent="0.3">
      <c r="D632" s="516"/>
      <c r="E632" s="516"/>
    </row>
    <row r="633" spans="4:5" x14ac:dyDescent="0.3">
      <c r="D633" s="516"/>
      <c r="E633" s="516"/>
    </row>
    <row r="634" spans="4:5" x14ac:dyDescent="0.3">
      <c r="D634" s="516"/>
      <c r="E634" s="516"/>
    </row>
    <row r="635" spans="4:5" x14ac:dyDescent="0.3">
      <c r="D635" s="516"/>
      <c r="E635" s="516"/>
    </row>
    <row r="636" spans="4:5" x14ac:dyDescent="0.3">
      <c r="D636" s="516"/>
      <c r="E636" s="516"/>
    </row>
    <row r="637" spans="4:5" x14ac:dyDescent="0.3">
      <c r="D637" s="516"/>
      <c r="E637" s="516"/>
    </row>
    <row r="638" spans="4:5" x14ac:dyDescent="0.3">
      <c r="D638" s="516"/>
      <c r="E638" s="516"/>
    </row>
    <row r="639" spans="4:5" x14ac:dyDescent="0.3">
      <c r="D639" s="516"/>
      <c r="E639" s="516"/>
    </row>
    <row r="640" spans="4:5" x14ac:dyDescent="0.3">
      <c r="D640" s="516"/>
      <c r="E640" s="516"/>
    </row>
    <row r="641" spans="4:5" x14ac:dyDescent="0.3">
      <c r="D641" s="516"/>
      <c r="E641" s="516"/>
    </row>
    <row r="642" spans="4:5" x14ac:dyDescent="0.3">
      <c r="D642" s="516"/>
      <c r="E642" s="516"/>
    </row>
    <row r="643" spans="4:5" x14ac:dyDescent="0.3">
      <c r="D643" s="516"/>
      <c r="E643" s="516"/>
    </row>
    <row r="644" spans="4:5" x14ac:dyDescent="0.3">
      <c r="D644" s="516"/>
      <c r="E644" s="516"/>
    </row>
    <row r="645" spans="4:5" x14ac:dyDescent="0.3">
      <c r="D645" s="516"/>
      <c r="E645" s="516"/>
    </row>
    <row r="646" spans="4:5" x14ac:dyDescent="0.3">
      <c r="D646" s="516"/>
      <c r="E646" s="516"/>
    </row>
    <row r="647" spans="4:5" x14ac:dyDescent="0.3">
      <c r="D647" s="516"/>
      <c r="E647" s="516"/>
    </row>
    <row r="648" spans="4:5" x14ac:dyDescent="0.3">
      <c r="D648" s="516"/>
      <c r="E648" s="516"/>
    </row>
    <row r="649" spans="4:5" x14ac:dyDescent="0.3">
      <c r="D649" s="516"/>
      <c r="E649" s="516"/>
    </row>
    <row r="650" spans="4:5" x14ac:dyDescent="0.3">
      <c r="D650" s="516"/>
      <c r="E650" s="516"/>
    </row>
    <row r="651" spans="4:5" x14ac:dyDescent="0.3">
      <c r="D651" s="516"/>
      <c r="E651" s="516"/>
    </row>
    <row r="652" spans="4:5" x14ac:dyDescent="0.3">
      <c r="D652" s="516"/>
      <c r="E652" s="516"/>
    </row>
    <row r="653" spans="4:5" x14ac:dyDescent="0.3">
      <c r="D653" s="516"/>
      <c r="E653" s="516"/>
    </row>
    <row r="654" spans="4:5" x14ac:dyDescent="0.3">
      <c r="D654" s="516"/>
      <c r="E654" s="516"/>
    </row>
    <row r="655" spans="4:5" x14ac:dyDescent="0.3">
      <c r="D655" s="516"/>
      <c r="E655" s="516"/>
    </row>
    <row r="656" spans="4:5" x14ac:dyDescent="0.3">
      <c r="D656" s="516"/>
      <c r="E656" s="516"/>
    </row>
    <row r="657" spans="4:5" x14ac:dyDescent="0.3">
      <c r="D657" s="516"/>
      <c r="E657" s="516"/>
    </row>
    <row r="658" spans="4:5" x14ac:dyDescent="0.3">
      <c r="D658" s="516"/>
      <c r="E658" s="516"/>
    </row>
    <row r="659" spans="4:5" x14ac:dyDescent="0.3">
      <c r="D659" s="516"/>
      <c r="E659" s="516"/>
    </row>
    <row r="660" spans="4:5" x14ac:dyDescent="0.3">
      <c r="D660" s="516"/>
      <c r="E660" s="516"/>
    </row>
    <row r="661" spans="4:5" x14ac:dyDescent="0.3">
      <c r="D661" s="516"/>
      <c r="E661" s="516"/>
    </row>
    <row r="662" spans="4:5" x14ac:dyDescent="0.3">
      <c r="D662" s="516"/>
      <c r="E662" s="516"/>
    </row>
    <row r="663" spans="4:5" x14ac:dyDescent="0.3">
      <c r="D663" s="516"/>
      <c r="E663" s="516"/>
    </row>
    <row r="664" spans="4:5" x14ac:dyDescent="0.3">
      <c r="D664" s="516"/>
      <c r="E664" s="516"/>
    </row>
    <row r="665" spans="4:5" x14ac:dyDescent="0.3">
      <c r="D665" s="516"/>
      <c r="E665" s="516"/>
    </row>
    <row r="666" spans="4:5" x14ac:dyDescent="0.3">
      <c r="D666" s="516"/>
      <c r="E666" s="516"/>
    </row>
    <row r="667" spans="4:5" x14ac:dyDescent="0.3">
      <c r="D667" s="516"/>
      <c r="E667" s="516"/>
    </row>
    <row r="668" spans="4:5" x14ac:dyDescent="0.3">
      <c r="D668" s="516"/>
      <c r="E668" s="516"/>
    </row>
    <row r="669" spans="4:5" x14ac:dyDescent="0.3">
      <c r="D669" s="516"/>
      <c r="E669" s="516"/>
    </row>
    <row r="670" spans="4:5" x14ac:dyDescent="0.3">
      <c r="D670" s="516"/>
      <c r="E670" s="516"/>
    </row>
    <row r="671" spans="4:5" x14ac:dyDescent="0.3">
      <c r="D671" s="516"/>
      <c r="E671" s="516"/>
    </row>
    <row r="672" spans="4:5" x14ac:dyDescent="0.3">
      <c r="D672" s="516"/>
      <c r="E672" s="516"/>
    </row>
    <row r="673" spans="4:5" x14ac:dyDescent="0.3">
      <c r="D673" s="516"/>
      <c r="E673" s="516"/>
    </row>
    <row r="674" spans="4:5" x14ac:dyDescent="0.3">
      <c r="D674" s="516"/>
      <c r="E674" s="516"/>
    </row>
    <row r="675" spans="4:5" x14ac:dyDescent="0.3">
      <c r="D675" s="516"/>
      <c r="E675" s="516"/>
    </row>
    <row r="676" spans="4:5" x14ac:dyDescent="0.3">
      <c r="D676" s="516"/>
      <c r="E676" s="516"/>
    </row>
    <row r="677" spans="4:5" x14ac:dyDescent="0.3">
      <c r="D677" s="516"/>
      <c r="E677" s="516"/>
    </row>
    <row r="678" spans="4:5" x14ac:dyDescent="0.3">
      <c r="D678" s="516"/>
      <c r="E678" s="516"/>
    </row>
    <row r="679" spans="4:5" x14ac:dyDescent="0.3">
      <c r="D679" s="516"/>
      <c r="E679" s="516"/>
    </row>
    <row r="680" spans="4:5" x14ac:dyDescent="0.3">
      <c r="D680" s="516"/>
      <c r="E680" s="516"/>
    </row>
    <row r="681" spans="4:5" x14ac:dyDescent="0.3">
      <c r="D681" s="516"/>
      <c r="E681" s="516"/>
    </row>
    <row r="682" spans="4:5" x14ac:dyDescent="0.3">
      <c r="D682" s="516"/>
      <c r="E682" s="516"/>
    </row>
    <row r="683" spans="4:5" x14ac:dyDescent="0.3">
      <c r="D683" s="516"/>
      <c r="E683" s="516"/>
    </row>
    <row r="684" spans="4:5" x14ac:dyDescent="0.3">
      <c r="D684" s="516"/>
      <c r="E684" s="516"/>
    </row>
    <row r="685" spans="4:5" x14ac:dyDescent="0.3">
      <c r="D685" s="516"/>
      <c r="E685" s="516"/>
    </row>
    <row r="686" spans="4:5" x14ac:dyDescent="0.3">
      <c r="D686" s="516"/>
      <c r="E686" s="516"/>
    </row>
    <row r="687" spans="4:5" x14ac:dyDescent="0.3">
      <c r="D687" s="516"/>
      <c r="E687" s="516"/>
    </row>
    <row r="688" spans="4:5" x14ac:dyDescent="0.3">
      <c r="D688" s="516"/>
      <c r="E688" s="516"/>
    </row>
    <row r="689" spans="4:5" x14ac:dyDescent="0.3">
      <c r="D689" s="516"/>
      <c r="E689" s="516"/>
    </row>
    <row r="690" spans="4:5" x14ac:dyDescent="0.3">
      <c r="D690" s="516"/>
      <c r="E690" s="516"/>
    </row>
    <row r="691" spans="4:5" x14ac:dyDescent="0.3">
      <c r="D691" s="516"/>
      <c r="E691" s="516"/>
    </row>
    <row r="692" spans="4:5" x14ac:dyDescent="0.3">
      <c r="D692" s="516"/>
      <c r="E692" s="516"/>
    </row>
    <row r="693" spans="4:5" x14ac:dyDescent="0.3">
      <c r="D693" s="516"/>
      <c r="E693" s="516"/>
    </row>
    <row r="694" spans="4:5" x14ac:dyDescent="0.3">
      <c r="D694" s="516"/>
      <c r="E694" s="516"/>
    </row>
    <row r="695" spans="4:5" x14ac:dyDescent="0.3">
      <c r="D695" s="516"/>
      <c r="E695" s="516"/>
    </row>
    <row r="696" spans="4:5" x14ac:dyDescent="0.3">
      <c r="D696" s="516"/>
      <c r="E696" s="516"/>
    </row>
    <row r="697" spans="4:5" x14ac:dyDescent="0.3">
      <c r="D697" s="516"/>
      <c r="E697" s="516"/>
    </row>
    <row r="698" spans="4:5" x14ac:dyDescent="0.3">
      <c r="D698" s="516"/>
      <c r="E698" s="516"/>
    </row>
    <row r="699" spans="4:5" x14ac:dyDescent="0.3">
      <c r="D699" s="516"/>
      <c r="E699" s="516"/>
    </row>
    <row r="700" spans="4:5" x14ac:dyDescent="0.3">
      <c r="D700" s="516"/>
      <c r="E700" s="516"/>
    </row>
    <row r="701" spans="4:5" x14ac:dyDescent="0.3">
      <c r="D701" s="516"/>
      <c r="E701" s="516"/>
    </row>
    <row r="702" spans="4:5" x14ac:dyDescent="0.3">
      <c r="D702" s="516"/>
      <c r="E702" s="516"/>
    </row>
    <row r="703" spans="4:5" x14ac:dyDescent="0.3">
      <c r="D703" s="516"/>
      <c r="E703" s="516"/>
    </row>
    <row r="704" spans="4:5" x14ac:dyDescent="0.3">
      <c r="D704" s="516"/>
      <c r="E704" s="516"/>
    </row>
    <row r="705" spans="4:5" x14ac:dyDescent="0.3">
      <c r="D705" s="516"/>
      <c r="E705" s="516"/>
    </row>
    <row r="706" spans="4:5" x14ac:dyDescent="0.3">
      <c r="D706" s="516"/>
      <c r="E706" s="516"/>
    </row>
    <row r="707" spans="4:5" x14ac:dyDescent="0.3">
      <c r="D707" s="516"/>
      <c r="E707" s="516"/>
    </row>
    <row r="708" spans="4:5" x14ac:dyDescent="0.3">
      <c r="D708" s="516"/>
      <c r="E708" s="516"/>
    </row>
    <row r="709" spans="4:5" x14ac:dyDescent="0.3">
      <c r="D709" s="516"/>
      <c r="E709" s="516"/>
    </row>
    <row r="710" spans="4:5" x14ac:dyDescent="0.3">
      <c r="D710" s="516"/>
      <c r="E710" s="516"/>
    </row>
    <row r="711" spans="4:5" x14ac:dyDescent="0.3">
      <c r="D711" s="516"/>
      <c r="E711" s="516"/>
    </row>
    <row r="712" spans="4:5" x14ac:dyDescent="0.3">
      <c r="D712" s="516"/>
      <c r="E712" s="516"/>
    </row>
    <row r="713" spans="4:5" x14ac:dyDescent="0.3">
      <c r="D713" s="516"/>
      <c r="E713" s="516"/>
    </row>
    <row r="714" spans="4:5" x14ac:dyDescent="0.3">
      <c r="D714" s="516"/>
      <c r="E714" s="516"/>
    </row>
    <row r="715" spans="4:5" x14ac:dyDescent="0.3">
      <c r="D715" s="516"/>
      <c r="E715" s="516"/>
    </row>
    <row r="716" spans="4:5" x14ac:dyDescent="0.3">
      <c r="D716" s="516"/>
      <c r="E716" s="516"/>
    </row>
    <row r="717" spans="4:5" x14ac:dyDescent="0.3">
      <c r="D717" s="516"/>
      <c r="E717" s="516"/>
    </row>
    <row r="718" spans="4:5" x14ac:dyDescent="0.3">
      <c r="D718" s="516"/>
      <c r="E718" s="516"/>
    </row>
    <row r="719" spans="4:5" x14ac:dyDescent="0.3">
      <c r="D719" s="516"/>
      <c r="E719" s="516"/>
    </row>
    <row r="720" spans="4:5" x14ac:dyDescent="0.3">
      <c r="D720" s="516"/>
      <c r="E720" s="516"/>
    </row>
    <row r="721" spans="4:5" x14ac:dyDescent="0.3">
      <c r="D721" s="516"/>
      <c r="E721" s="516"/>
    </row>
    <row r="722" spans="4:5" x14ac:dyDescent="0.3">
      <c r="D722" s="516"/>
      <c r="E722" s="516"/>
    </row>
    <row r="723" spans="4:5" x14ac:dyDescent="0.3">
      <c r="D723" s="516"/>
      <c r="E723" s="516"/>
    </row>
    <row r="724" spans="4:5" x14ac:dyDescent="0.3">
      <c r="D724" s="516"/>
      <c r="E724" s="516"/>
    </row>
    <row r="725" spans="4:5" x14ac:dyDescent="0.3">
      <c r="D725" s="516"/>
      <c r="E725" s="516"/>
    </row>
    <row r="726" spans="4:5" x14ac:dyDescent="0.3">
      <c r="D726" s="516"/>
      <c r="E726" s="516"/>
    </row>
    <row r="727" spans="4:5" x14ac:dyDescent="0.3">
      <c r="D727" s="516"/>
      <c r="E727" s="516"/>
    </row>
    <row r="728" spans="4:5" x14ac:dyDescent="0.3">
      <c r="D728" s="516"/>
      <c r="E728" s="516"/>
    </row>
    <row r="729" spans="4:5" x14ac:dyDescent="0.3">
      <c r="D729" s="516"/>
      <c r="E729" s="516"/>
    </row>
    <row r="730" spans="4:5" x14ac:dyDescent="0.3">
      <c r="D730" s="516"/>
      <c r="E730" s="516"/>
    </row>
    <row r="731" spans="4:5" x14ac:dyDescent="0.3">
      <c r="D731" s="516"/>
      <c r="E731" s="516"/>
    </row>
    <row r="732" spans="4:5" x14ac:dyDescent="0.3">
      <c r="D732" s="516"/>
      <c r="E732" s="516"/>
    </row>
    <row r="733" spans="4:5" x14ac:dyDescent="0.3">
      <c r="D733" s="516"/>
      <c r="E733" s="516"/>
    </row>
    <row r="734" spans="4:5" x14ac:dyDescent="0.3">
      <c r="D734" s="516"/>
      <c r="E734" s="516"/>
    </row>
    <row r="735" spans="4:5" x14ac:dyDescent="0.3">
      <c r="D735" s="516"/>
      <c r="E735" s="516"/>
    </row>
    <row r="736" spans="4:5" x14ac:dyDescent="0.3">
      <c r="D736" s="516"/>
      <c r="E736" s="516"/>
    </row>
    <row r="737" spans="4:5" x14ac:dyDescent="0.3">
      <c r="D737" s="516"/>
      <c r="E737" s="516"/>
    </row>
    <row r="738" spans="4:5" x14ac:dyDescent="0.3">
      <c r="D738" s="516"/>
      <c r="E738" s="516"/>
    </row>
    <row r="739" spans="4:5" x14ac:dyDescent="0.3">
      <c r="D739" s="516"/>
      <c r="E739" s="516"/>
    </row>
    <row r="740" spans="4:5" x14ac:dyDescent="0.3">
      <c r="D740" s="516"/>
      <c r="E740" s="516"/>
    </row>
    <row r="741" spans="4:5" x14ac:dyDescent="0.3">
      <c r="D741" s="516"/>
      <c r="E741" s="516"/>
    </row>
    <row r="742" spans="4:5" x14ac:dyDescent="0.3">
      <c r="D742" s="516"/>
      <c r="E742" s="516"/>
    </row>
    <row r="743" spans="4:5" x14ac:dyDescent="0.3">
      <c r="D743" s="516"/>
      <c r="E743" s="516"/>
    </row>
    <row r="744" spans="4:5" x14ac:dyDescent="0.3">
      <c r="D744" s="516"/>
      <c r="E744" s="516"/>
    </row>
    <row r="745" spans="4:5" x14ac:dyDescent="0.3">
      <c r="D745" s="516"/>
      <c r="E745" s="516"/>
    </row>
    <row r="746" spans="4:5" x14ac:dyDescent="0.3">
      <c r="D746" s="516"/>
      <c r="E746" s="516"/>
    </row>
    <row r="747" spans="4:5" x14ac:dyDescent="0.3">
      <c r="D747" s="516"/>
      <c r="E747" s="516"/>
    </row>
    <row r="748" spans="4:5" x14ac:dyDescent="0.3">
      <c r="D748" s="516"/>
      <c r="E748" s="516"/>
    </row>
    <row r="749" spans="4:5" x14ac:dyDescent="0.3">
      <c r="D749" s="516"/>
      <c r="E749" s="516"/>
    </row>
    <row r="750" spans="4:5" x14ac:dyDescent="0.3">
      <c r="D750" s="516"/>
      <c r="E750" s="516"/>
    </row>
    <row r="751" spans="4:5" x14ac:dyDescent="0.3">
      <c r="D751" s="516"/>
      <c r="E751" s="516"/>
    </row>
    <row r="752" spans="4:5" x14ac:dyDescent="0.3">
      <c r="D752" s="516"/>
      <c r="E752" s="516"/>
    </row>
    <row r="753" spans="4:5" x14ac:dyDescent="0.3">
      <c r="D753" s="516"/>
      <c r="E753" s="516"/>
    </row>
    <row r="754" spans="4:5" x14ac:dyDescent="0.3">
      <c r="D754" s="516"/>
      <c r="E754" s="516"/>
    </row>
    <row r="755" spans="4:5" x14ac:dyDescent="0.3">
      <c r="D755" s="516"/>
      <c r="E755" s="516"/>
    </row>
    <row r="756" spans="4:5" x14ac:dyDescent="0.3">
      <c r="D756" s="516"/>
      <c r="E756" s="516"/>
    </row>
    <row r="757" spans="4:5" x14ac:dyDescent="0.3">
      <c r="D757" s="516"/>
      <c r="E757" s="516"/>
    </row>
    <row r="758" spans="4:5" x14ac:dyDescent="0.3">
      <c r="D758" s="516"/>
      <c r="E758" s="516"/>
    </row>
    <row r="759" spans="4:5" x14ac:dyDescent="0.3">
      <c r="D759" s="516"/>
      <c r="E759" s="516"/>
    </row>
    <row r="760" spans="4:5" x14ac:dyDescent="0.3">
      <c r="D760" s="516"/>
      <c r="E760" s="516"/>
    </row>
    <row r="761" spans="4:5" x14ac:dyDescent="0.3">
      <c r="D761" s="516"/>
      <c r="E761" s="516"/>
    </row>
    <row r="762" spans="4:5" x14ac:dyDescent="0.3">
      <c r="D762" s="516"/>
      <c r="E762" s="516"/>
    </row>
    <row r="763" spans="4:5" x14ac:dyDescent="0.3">
      <c r="D763" s="516"/>
      <c r="E763" s="516"/>
    </row>
    <row r="764" spans="4:5" x14ac:dyDescent="0.3">
      <c r="D764" s="516"/>
      <c r="E764" s="516"/>
    </row>
    <row r="765" spans="4:5" x14ac:dyDescent="0.3">
      <c r="D765" s="516"/>
      <c r="E765" s="516"/>
    </row>
    <row r="766" spans="4:5" x14ac:dyDescent="0.3">
      <c r="D766" s="516"/>
      <c r="E766" s="516"/>
    </row>
    <row r="767" spans="4:5" x14ac:dyDescent="0.3">
      <c r="D767" s="516"/>
      <c r="E767" s="516"/>
    </row>
    <row r="768" spans="4:5" x14ac:dyDescent="0.3">
      <c r="D768" s="516"/>
      <c r="E768" s="516"/>
    </row>
    <row r="769" spans="4:5" x14ac:dyDescent="0.3">
      <c r="D769" s="516"/>
      <c r="E769" s="516"/>
    </row>
    <row r="770" spans="4:5" x14ac:dyDescent="0.3">
      <c r="D770" s="516"/>
      <c r="E770" s="516"/>
    </row>
    <row r="771" spans="4:5" x14ac:dyDescent="0.3">
      <c r="D771" s="516"/>
      <c r="E771" s="516"/>
    </row>
    <row r="772" spans="4:5" x14ac:dyDescent="0.3">
      <c r="D772" s="516"/>
      <c r="E772" s="516"/>
    </row>
    <row r="773" spans="4:5" x14ac:dyDescent="0.3">
      <c r="D773" s="516"/>
      <c r="E773" s="516"/>
    </row>
    <row r="774" spans="4:5" x14ac:dyDescent="0.3">
      <c r="D774" s="516"/>
      <c r="E774" s="516"/>
    </row>
    <row r="775" spans="4:5" x14ac:dyDescent="0.3">
      <c r="D775" s="516"/>
      <c r="E775" s="516"/>
    </row>
    <row r="776" spans="4:5" x14ac:dyDescent="0.3">
      <c r="D776" s="516"/>
      <c r="E776" s="516"/>
    </row>
    <row r="777" spans="4:5" x14ac:dyDescent="0.3">
      <c r="D777" s="516"/>
      <c r="E777" s="516"/>
    </row>
    <row r="778" spans="4:5" x14ac:dyDescent="0.3">
      <c r="D778" s="516"/>
      <c r="E778" s="516"/>
    </row>
    <row r="779" spans="4:5" x14ac:dyDescent="0.3">
      <c r="D779" s="516"/>
      <c r="E779" s="516"/>
    </row>
    <row r="780" spans="4:5" x14ac:dyDescent="0.3">
      <c r="D780" s="516"/>
      <c r="E780" s="516"/>
    </row>
    <row r="781" spans="4:5" x14ac:dyDescent="0.3">
      <c r="D781" s="516"/>
      <c r="E781" s="516"/>
    </row>
    <row r="782" spans="4:5" x14ac:dyDescent="0.3">
      <c r="D782" s="516"/>
      <c r="E782" s="516"/>
    </row>
    <row r="783" spans="4:5" x14ac:dyDescent="0.3">
      <c r="D783" s="516"/>
      <c r="E783" s="516"/>
    </row>
    <row r="784" spans="4:5" x14ac:dyDescent="0.3">
      <c r="D784" s="516"/>
      <c r="E784" s="516"/>
    </row>
    <row r="785" spans="4:5" x14ac:dyDescent="0.3">
      <c r="D785" s="516"/>
      <c r="E785" s="516"/>
    </row>
    <row r="786" spans="4:5" x14ac:dyDescent="0.3">
      <c r="D786" s="516"/>
      <c r="E786" s="516"/>
    </row>
    <row r="787" spans="4:5" x14ac:dyDescent="0.3">
      <c r="D787" s="516"/>
      <c r="E787" s="516"/>
    </row>
    <row r="788" spans="4:5" x14ac:dyDescent="0.3">
      <c r="D788" s="516"/>
      <c r="E788" s="516"/>
    </row>
    <row r="789" spans="4:5" x14ac:dyDescent="0.3">
      <c r="D789" s="516"/>
      <c r="E789" s="516"/>
    </row>
    <row r="790" spans="4:5" x14ac:dyDescent="0.3">
      <c r="D790" s="516"/>
      <c r="E790" s="516"/>
    </row>
    <row r="791" spans="4:5" x14ac:dyDescent="0.3">
      <c r="D791" s="516"/>
      <c r="E791" s="516"/>
    </row>
    <row r="792" spans="4:5" x14ac:dyDescent="0.3">
      <c r="D792" s="516"/>
      <c r="E792" s="516"/>
    </row>
    <row r="793" spans="4:5" x14ac:dyDescent="0.3">
      <c r="D793" s="516"/>
      <c r="E793" s="516"/>
    </row>
    <row r="794" spans="4:5" x14ac:dyDescent="0.3">
      <c r="D794" s="516"/>
      <c r="E794" s="516"/>
    </row>
    <row r="795" spans="4:5" x14ac:dyDescent="0.3">
      <c r="D795" s="516"/>
      <c r="E795" s="516"/>
    </row>
    <row r="796" spans="4:5" x14ac:dyDescent="0.3">
      <c r="D796" s="516"/>
      <c r="E796" s="516"/>
    </row>
    <row r="797" spans="4:5" x14ac:dyDescent="0.3">
      <c r="D797" s="516"/>
      <c r="E797" s="516"/>
    </row>
    <row r="798" spans="4:5" x14ac:dyDescent="0.3">
      <c r="D798" s="516"/>
      <c r="E798" s="516"/>
    </row>
    <row r="799" spans="4:5" x14ac:dyDescent="0.3">
      <c r="D799" s="516"/>
      <c r="E799" s="516"/>
    </row>
    <row r="800" spans="4:5" x14ac:dyDescent="0.3">
      <c r="D800" s="516"/>
      <c r="E800" s="516"/>
    </row>
    <row r="801" spans="4:5" x14ac:dyDescent="0.3">
      <c r="D801" s="516"/>
      <c r="E801" s="516"/>
    </row>
  </sheetData>
  <sheetProtection algorithmName="SHA-512" hashValue="MBcT4sVx2aZVj/GeUxiWMUO8DSJ8YwQPiKLQfdNWsdixRrkesaq5gGTlbWT7c/1j/1RHyLkb0cGz6Meve4J1Uw==" saltValue="9MVndIDGLSNOwbJK/KCDdA==" spinCount="100000" sheet="1" objects="1" scenarios="1"/>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166"/>
  <sheetViews>
    <sheetView workbookViewId="0"/>
  </sheetViews>
  <sheetFormatPr defaultColWidth="8.88671875" defaultRowHeight="14.4" x14ac:dyDescent="0.3"/>
  <cols>
    <col min="1" max="1" width="21.33203125" bestFit="1" customWidth="1"/>
    <col min="2" max="2" width="59.6640625" bestFit="1" customWidth="1"/>
    <col min="3" max="3" width="46.6640625" bestFit="1" customWidth="1"/>
    <col min="4" max="4" width="89" customWidth="1"/>
    <col min="5" max="5" width="35.88671875" customWidth="1"/>
    <col min="6" max="6" width="34.6640625" bestFit="1" customWidth="1"/>
    <col min="7" max="7" width="44.33203125" bestFit="1" customWidth="1"/>
  </cols>
  <sheetData>
    <row r="1" spans="1:7" x14ac:dyDescent="0.3">
      <c r="A1" t="s">
        <v>8763</v>
      </c>
      <c r="B1" t="str">
        <f>template_reporting_period_startdate &amp; " - " &amp; template_reporting_period_enddate</f>
        <v>2025-01-01 - 2025-12-31</v>
      </c>
      <c r="C1" t="s">
        <v>8764</v>
      </c>
      <c r="D1" t="s">
        <v>8765</v>
      </c>
      <c r="E1" t="s">
        <v>8766</v>
      </c>
      <c r="F1" t="s">
        <v>8767</v>
      </c>
      <c r="G1" t="s">
        <v>8768</v>
      </c>
    </row>
    <row r="2" spans="1:7" ht="13.95" customHeight="1" x14ac:dyDescent="0.3">
      <c r="A2" t="s">
        <v>8769</v>
      </c>
      <c r="B2" t="str">
        <f>template_reporting_period_startdate</f>
        <v>2025-01-01</v>
      </c>
      <c r="C2" t="s">
        <v>8770</v>
      </c>
      <c r="D2" s="277" t="str">
        <f>IF(AND('General Information'!$H$403=TRUE, 'General Information'!D404&lt;&gt;"", 'General Information'!E404&lt;&gt;"", 'General Information'!F404&lt;&gt;"", 'General Information'!G404&lt;&gt;""), _xlfn.WEBSERVICE("https://nominatim.openstreetmap.org/search?q=" &amp; 'General Information'!K404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278" t="str">
        <f t="shared" ref="E2:E26" si="0">MID(D2,SEARCH("""lat"":""",D2)+7,SEARCH("""lon"":""",D2)-SEARCH("""lat"":""",D2)-9)</f>
        <v>45.4634273</v>
      </c>
      <c r="F2" s="278" t="str">
        <f t="shared" ref="F2:F26" si="1">MID(D2, SEARCH("""lon"":""", D2) + 7, SEARCH("""class""", D2) - SEARCH("""lon"":""", D2) - 9)</f>
        <v>9.1919874</v>
      </c>
      <c r="G2" t="str">
        <f t="shared" ref="G2:G26" si="2">E2 &amp; "," &amp; F2</f>
        <v>45.4634273,9.1919874</v>
      </c>
    </row>
    <row r="3" spans="1:7" ht="15.6" customHeight="1" x14ac:dyDescent="0.3">
      <c r="A3" t="s">
        <v>8771</v>
      </c>
      <c r="B3" t="str">
        <f>template_reporting_period_enddate</f>
        <v>2025-12-31</v>
      </c>
      <c r="C3" t="s">
        <v>8772</v>
      </c>
      <c r="D3" s="277" t="str">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8" t="e">
        <f t="shared" si="0"/>
        <v>#VALUE!</v>
      </c>
      <c r="F3" s="278" t="e">
        <f t="shared" si="1"/>
        <v>#VALUE!</v>
      </c>
      <c r="G3" t="e">
        <f t="shared" si="2"/>
        <v>#VALUE!</v>
      </c>
    </row>
    <row r="4" spans="1:7" x14ac:dyDescent="0.3">
      <c r="D4" s="277" t="str">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8" t="e">
        <f t="shared" si="0"/>
        <v>#VALUE!</v>
      </c>
      <c r="F4" s="278" t="e">
        <f t="shared" si="1"/>
        <v>#VALUE!</v>
      </c>
      <c r="G4" t="e">
        <f t="shared" si="2"/>
        <v>#VALUE!</v>
      </c>
    </row>
    <row r="5" spans="1:7" x14ac:dyDescent="0.3">
      <c r="D5" s="277" t="str">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8" t="e">
        <f t="shared" si="0"/>
        <v>#VALUE!</v>
      </c>
      <c r="F5" s="278" t="e">
        <f t="shared" si="1"/>
        <v>#VALUE!</v>
      </c>
      <c r="G5" t="e">
        <f t="shared" si="2"/>
        <v>#VALUE!</v>
      </c>
    </row>
    <row r="6" spans="1:7" x14ac:dyDescent="0.3">
      <c r="D6" s="277" t="str">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8" t="e">
        <f t="shared" si="0"/>
        <v>#VALUE!</v>
      </c>
      <c r="F6" s="278" t="e">
        <f t="shared" si="1"/>
        <v>#VALUE!</v>
      </c>
      <c r="G6" t="e">
        <f t="shared" si="2"/>
        <v>#VALUE!</v>
      </c>
    </row>
    <row r="7" spans="1:7" x14ac:dyDescent="0.3">
      <c r="D7" s="277" t="str">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8" t="e">
        <f t="shared" si="0"/>
        <v>#VALUE!</v>
      </c>
      <c r="F7" s="278" t="e">
        <f t="shared" si="1"/>
        <v>#VALUE!</v>
      </c>
      <c r="G7" t="e">
        <f t="shared" si="2"/>
        <v>#VALUE!</v>
      </c>
    </row>
    <row r="8" spans="1:7" x14ac:dyDescent="0.3">
      <c r="D8" s="277" t="str">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8" t="e">
        <f t="shared" si="0"/>
        <v>#VALUE!</v>
      </c>
      <c r="F8" s="278" t="e">
        <f t="shared" si="1"/>
        <v>#VALUE!</v>
      </c>
      <c r="G8" t="e">
        <f t="shared" si="2"/>
        <v>#VALUE!</v>
      </c>
    </row>
    <row r="9" spans="1:7" x14ac:dyDescent="0.3">
      <c r="D9" s="277" t="str">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8" t="e">
        <f t="shared" si="0"/>
        <v>#VALUE!</v>
      </c>
      <c r="F9" s="278" t="e">
        <f t="shared" si="1"/>
        <v>#VALUE!</v>
      </c>
      <c r="G9" t="e">
        <f t="shared" si="2"/>
        <v>#VALUE!</v>
      </c>
    </row>
    <row r="10" spans="1:7" x14ac:dyDescent="0.3">
      <c r="D10" s="277" t="str">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8" t="e">
        <f t="shared" si="0"/>
        <v>#VALUE!</v>
      </c>
      <c r="F10" s="278" t="e">
        <f t="shared" si="1"/>
        <v>#VALUE!</v>
      </c>
      <c r="G10" t="e">
        <f t="shared" si="2"/>
        <v>#VALUE!</v>
      </c>
    </row>
    <row r="11" spans="1:7" x14ac:dyDescent="0.3">
      <c r="D11" s="277" t="str">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8" t="e">
        <f t="shared" si="0"/>
        <v>#VALUE!</v>
      </c>
      <c r="F11" s="278" t="e">
        <f t="shared" si="1"/>
        <v>#VALUE!</v>
      </c>
      <c r="G11" t="e">
        <f t="shared" si="2"/>
        <v>#VALUE!</v>
      </c>
    </row>
    <row r="12" spans="1:7" x14ac:dyDescent="0.3">
      <c r="D12" s="277" t="str">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8" t="e">
        <f t="shared" si="0"/>
        <v>#VALUE!</v>
      </c>
      <c r="F12" s="278" t="e">
        <f t="shared" si="1"/>
        <v>#VALUE!</v>
      </c>
      <c r="G12" t="e">
        <f t="shared" si="2"/>
        <v>#VALUE!</v>
      </c>
    </row>
    <row r="13" spans="1:7" x14ac:dyDescent="0.3">
      <c r="D13" s="277" t="str">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8" t="e">
        <f t="shared" si="0"/>
        <v>#VALUE!</v>
      </c>
      <c r="F13" s="278" t="e">
        <f t="shared" si="1"/>
        <v>#VALUE!</v>
      </c>
      <c r="G13" t="e">
        <f t="shared" si="2"/>
        <v>#VALUE!</v>
      </c>
    </row>
    <row r="14" spans="1:7" x14ac:dyDescent="0.3">
      <c r="D14" s="277" t="str">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8" t="e">
        <f t="shared" si="0"/>
        <v>#VALUE!</v>
      </c>
      <c r="F14" s="278" t="e">
        <f t="shared" si="1"/>
        <v>#VALUE!</v>
      </c>
      <c r="G14" t="e">
        <f t="shared" si="2"/>
        <v>#VALUE!</v>
      </c>
    </row>
    <row r="15" spans="1:7" x14ac:dyDescent="0.3">
      <c r="D15" s="277" t="str">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8" t="e">
        <f t="shared" si="0"/>
        <v>#VALUE!</v>
      </c>
      <c r="F15" s="278" t="e">
        <f t="shared" si="1"/>
        <v>#VALUE!</v>
      </c>
      <c r="G15" t="e">
        <f t="shared" si="2"/>
        <v>#VALUE!</v>
      </c>
    </row>
    <row r="16" spans="1:7" x14ac:dyDescent="0.3">
      <c r="D16" s="277" t="str">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8" t="e">
        <f t="shared" si="0"/>
        <v>#VALUE!</v>
      </c>
      <c r="F16" s="278" t="e">
        <f t="shared" si="1"/>
        <v>#VALUE!</v>
      </c>
      <c r="G16" t="e">
        <f t="shared" si="2"/>
        <v>#VALUE!</v>
      </c>
    </row>
    <row r="17" spans="1:7" x14ac:dyDescent="0.3">
      <c r="A17" s="714" t="s">
        <v>8773</v>
      </c>
      <c r="B17" s="714"/>
      <c r="D17" s="277" t="str">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8" t="e">
        <f t="shared" si="0"/>
        <v>#VALUE!</v>
      </c>
      <c r="F17" s="278" t="e">
        <f t="shared" si="1"/>
        <v>#VALUE!</v>
      </c>
      <c r="G17" t="e">
        <f t="shared" si="2"/>
        <v>#VALUE!</v>
      </c>
    </row>
    <row r="18" spans="1:7" x14ac:dyDescent="0.3">
      <c r="A18" s="714"/>
      <c r="B18" s="714"/>
      <c r="D18" s="277" t="str">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8" t="e">
        <f t="shared" si="0"/>
        <v>#VALUE!</v>
      </c>
      <c r="F18" s="278" t="e">
        <f t="shared" si="1"/>
        <v>#VALUE!</v>
      </c>
      <c r="G18" t="e">
        <f t="shared" si="2"/>
        <v>#VALUE!</v>
      </c>
    </row>
    <row r="19" spans="1:7" x14ac:dyDescent="0.3">
      <c r="A19" s="714"/>
      <c r="B19" s="714"/>
      <c r="D19" s="277" t="str">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8" t="e">
        <f t="shared" si="0"/>
        <v>#VALUE!</v>
      </c>
      <c r="F19" s="278" t="e">
        <f t="shared" si="1"/>
        <v>#VALUE!</v>
      </c>
      <c r="G19" t="e">
        <f t="shared" si="2"/>
        <v>#VALUE!</v>
      </c>
    </row>
    <row r="20" spans="1:7" x14ac:dyDescent="0.3">
      <c r="D20" s="277" t="str">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8" t="e">
        <f t="shared" si="0"/>
        <v>#VALUE!</v>
      </c>
      <c r="F20" s="278" t="e">
        <f t="shared" si="1"/>
        <v>#VALUE!</v>
      </c>
      <c r="G20" t="e">
        <f t="shared" si="2"/>
        <v>#VALUE!</v>
      </c>
    </row>
    <row r="21" spans="1:7" x14ac:dyDescent="0.3">
      <c r="D21" s="277" t="str">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8" t="e">
        <f t="shared" si="0"/>
        <v>#VALUE!</v>
      </c>
      <c r="F21" s="278" t="e">
        <f t="shared" si="1"/>
        <v>#VALUE!</v>
      </c>
      <c r="G21" t="e">
        <f t="shared" si="2"/>
        <v>#VALUE!</v>
      </c>
    </row>
    <row r="22" spans="1:7" x14ac:dyDescent="0.3">
      <c r="D22" s="277" t="str">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8" t="e">
        <f t="shared" si="0"/>
        <v>#VALUE!</v>
      </c>
      <c r="F22" s="278" t="e">
        <f t="shared" si="1"/>
        <v>#VALUE!</v>
      </c>
      <c r="G22" t="e">
        <f t="shared" si="2"/>
        <v>#VALUE!</v>
      </c>
    </row>
    <row r="23" spans="1:7" x14ac:dyDescent="0.3">
      <c r="D23" s="277" t="str">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8" t="e">
        <f t="shared" si="0"/>
        <v>#VALUE!</v>
      </c>
      <c r="F23" s="278" t="e">
        <f t="shared" si="1"/>
        <v>#VALUE!</v>
      </c>
      <c r="G23" t="e">
        <f t="shared" si="2"/>
        <v>#VALUE!</v>
      </c>
    </row>
    <row r="24" spans="1:7" x14ac:dyDescent="0.3">
      <c r="D24" s="277" t="str">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8" t="e">
        <f t="shared" si="0"/>
        <v>#VALUE!</v>
      </c>
      <c r="F24" s="278" t="e">
        <f t="shared" si="1"/>
        <v>#VALUE!</v>
      </c>
      <c r="G24" t="e">
        <f t="shared" si="2"/>
        <v>#VALUE!</v>
      </c>
    </row>
    <row r="25" spans="1:7" x14ac:dyDescent="0.3">
      <c r="D25" s="277" t="str">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8" t="e">
        <f t="shared" si="0"/>
        <v>#VALUE!</v>
      </c>
      <c r="F25" s="278" t="e">
        <f t="shared" si="1"/>
        <v>#VALUE!</v>
      </c>
      <c r="G25" t="e">
        <f t="shared" si="2"/>
        <v>#VALUE!</v>
      </c>
    </row>
    <row r="26" spans="1:7" s="12" customFormat="1" ht="15" thickBot="1" x14ac:dyDescent="0.35">
      <c r="D26" s="433" t="str">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34" t="e">
        <f t="shared" si="0"/>
        <v>#VALUE!</v>
      </c>
      <c r="F26" s="434" t="e">
        <f t="shared" si="1"/>
        <v>#VALUE!</v>
      </c>
      <c r="G26" s="12" t="e">
        <f t="shared" si="2"/>
        <v>#VALUE!</v>
      </c>
    </row>
    <row r="27" spans="1:7" ht="57.6" x14ac:dyDescent="0.3">
      <c r="A27" s="432" t="s">
        <v>8774</v>
      </c>
    </row>
    <row r="28" spans="1:7" x14ac:dyDescent="0.3">
      <c r="A28" s="431">
        <v>1</v>
      </c>
    </row>
    <row r="29" spans="1:7" x14ac:dyDescent="0.3">
      <c r="A29" s="431">
        <v>2</v>
      </c>
    </row>
    <row r="30" spans="1:7" x14ac:dyDescent="0.3">
      <c r="A30" s="431">
        <v>3</v>
      </c>
    </row>
    <row r="31" spans="1:7" x14ac:dyDescent="0.3">
      <c r="A31" s="431">
        <v>4</v>
      </c>
    </row>
    <row r="32" spans="1:7" x14ac:dyDescent="0.3">
      <c r="A32" s="431">
        <v>5</v>
      </c>
    </row>
    <row r="33" spans="1:1" x14ac:dyDescent="0.3">
      <c r="A33" s="431">
        <v>6</v>
      </c>
    </row>
    <row r="34" spans="1:1" x14ac:dyDescent="0.3">
      <c r="A34" s="431">
        <v>7</v>
      </c>
    </row>
    <row r="35" spans="1:1" x14ac:dyDescent="0.3">
      <c r="A35" s="431">
        <v>8</v>
      </c>
    </row>
    <row r="36" spans="1:1" x14ac:dyDescent="0.3">
      <c r="A36" s="431">
        <v>9</v>
      </c>
    </row>
    <row r="37" spans="1:1" x14ac:dyDescent="0.3">
      <c r="A37" s="431">
        <v>10</v>
      </c>
    </row>
    <row r="38" spans="1:1" x14ac:dyDescent="0.3">
      <c r="A38" s="431">
        <v>11</v>
      </c>
    </row>
    <row r="39" spans="1:1" x14ac:dyDescent="0.3">
      <c r="A39" s="431">
        <v>12</v>
      </c>
    </row>
    <row r="40" spans="1:1" x14ac:dyDescent="0.3">
      <c r="A40" s="431">
        <v>13</v>
      </c>
    </row>
    <row r="41" spans="1:1" x14ac:dyDescent="0.3">
      <c r="A41" s="431">
        <v>14</v>
      </c>
    </row>
    <row r="42" spans="1:1" x14ac:dyDescent="0.3">
      <c r="A42" s="431">
        <v>15</v>
      </c>
    </row>
    <row r="43" spans="1:1" x14ac:dyDescent="0.3">
      <c r="A43" s="431">
        <v>16</v>
      </c>
    </row>
    <row r="44" spans="1:1" x14ac:dyDescent="0.3">
      <c r="A44" s="431">
        <v>17</v>
      </c>
    </row>
    <row r="45" spans="1:1" x14ac:dyDescent="0.3">
      <c r="A45" s="431">
        <v>18</v>
      </c>
    </row>
    <row r="46" spans="1:1" x14ac:dyDescent="0.3">
      <c r="A46" s="431">
        <v>19</v>
      </c>
    </row>
    <row r="47" spans="1:1" x14ac:dyDescent="0.3">
      <c r="A47" s="431">
        <v>20</v>
      </c>
    </row>
    <row r="48" spans="1:1" x14ac:dyDescent="0.3">
      <c r="A48" s="431">
        <v>21</v>
      </c>
    </row>
    <row r="49" spans="1:1" x14ac:dyDescent="0.3">
      <c r="A49" s="431">
        <v>22</v>
      </c>
    </row>
    <row r="50" spans="1:1" x14ac:dyDescent="0.3">
      <c r="A50" s="431">
        <v>23</v>
      </c>
    </row>
    <row r="51" spans="1:1" x14ac:dyDescent="0.3">
      <c r="A51" s="431">
        <v>24</v>
      </c>
    </row>
    <row r="52" spans="1:1" x14ac:dyDescent="0.3">
      <c r="A52" s="431">
        <v>25</v>
      </c>
    </row>
    <row r="53" spans="1:1" x14ac:dyDescent="0.3">
      <c r="A53" s="431">
        <v>26</v>
      </c>
    </row>
    <row r="54" spans="1:1" x14ac:dyDescent="0.3">
      <c r="A54" s="431">
        <v>27</v>
      </c>
    </row>
    <row r="55" spans="1:1" x14ac:dyDescent="0.3">
      <c r="A55" s="431">
        <v>28</v>
      </c>
    </row>
    <row r="56" spans="1:1" x14ac:dyDescent="0.3">
      <c r="A56" s="431">
        <v>29</v>
      </c>
    </row>
    <row r="57" spans="1:1" x14ac:dyDescent="0.3">
      <c r="A57" s="431">
        <v>30</v>
      </c>
    </row>
    <row r="58" spans="1:1" x14ac:dyDescent="0.3">
      <c r="A58" s="431">
        <v>31</v>
      </c>
    </row>
    <row r="59" spans="1:1" x14ac:dyDescent="0.3">
      <c r="A59" s="431">
        <v>32</v>
      </c>
    </row>
    <row r="60" spans="1:1" x14ac:dyDescent="0.3">
      <c r="A60" s="431">
        <v>33</v>
      </c>
    </row>
    <row r="61" spans="1:1" x14ac:dyDescent="0.3">
      <c r="A61" s="431">
        <v>34</v>
      </c>
    </row>
    <row r="62" spans="1:1" x14ac:dyDescent="0.3">
      <c r="A62" s="431">
        <v>35</v>
      </c>
    </row>
    <row r="63" spans="1:1" x14ac:dyDescent="0.3">
      <c r="A63" s="431">
        <v>36</v>
      </c>
    </row>
    <row r="64" spans="1:1" x14ac:dyDescent="0.3">
      <c r="A64" s="431">
        <v>37</v>
      </c>
    </row>
    <row r="65" spans="1:1" x14ac:dyDescent="0.3">
      <c r="A65" s="431">
        <v>38</v>
      </c>
    </row>
    <row r="66" spans="1:1" x14ac:dyDescent="0.3">
      <c r="A66" s="431">
        <v>39</v>
      </c>
    </row>
    <row r="67" spans="1:1" x14ac:dyDescent="0.3">
      <c r="A67" s="431">
        <v>40</v>
      </c>
    </row>
    <row r="68" spans="1:1" x14ac:dyDescent="0.3">
      <c r="A68" s="431">
        <v>41</v>
      </c>
    </row>
    <row r="69" spans="1:1" x14ac:dyDescent="0.3">
      <c r="A69" s="431">
        <v>42</v>
      </c>
    </row>
    <row r="70" spans="1:1" x14ac:dyDescent="0.3">
      <c r="A70" s="431">
        <v>43</v>
      </c>
    </row>
    <row r="71" spans="1:1" x14ac:dyDescent="0.3">
      <c r="A71" s="431">
        <v>44</v>
      </c>
    </row>
    <row r="72" spans="1:1" x14ac:dyDescent="0.3">
      <c r="A72" s="431">
        <v>45</v>
      </c>
    </row>
    <row r="73" spans="1:1" x14ac:dyDescent="0.3">
      <c r="A73" s="431">
        <v>46</v>
      </c>
    </row>
    <row r="74" spans="1:1" x14ac:dyDescent="0.3">
      <c r="A74" s="431">
        <v>47</v>
      </c>
    </row>
    <row r="75" spans="1:1" x14ac:dyDescent="0.3">
      <c r="A75" s="431">
        <v>48</v>
      </c>
    </row>
    <row r="76" spans="1:1" x14ac:dyDescent="0.3">
      <c r="A76" s="431">
        <v>49</v>
      </c>
    </row>
    <row r="77" spans="1:1" x14ac:dyDescent="0.3">
      <c r="A77" s="431">
        <v>50</v>
      </c>
    </row>
    <row r="78" spans="1:1" x14ac:dyDescent="0.3">
      <c r="A78" s="431">
        <v>51</v>
      </c>
    </row>
    <row r="79" spans="1:1" x14ac:dyDescent="0.3">
      <c r="A79" s="431">
        <v>52</v>
      </c>
    </row>
    <row r="80" spans="1:1" x14ac:dyDescent="0.3">
      <c r="A80" s="431">
        <v>53</v>
      </c>
    </row>
    <row r="81" spans="1:1" x14ac:dyDescent="0.3">
      <c r="A81" s="431">
        <v>54</v>
      </c>
    </row>
    <row r="82" spans="1:1" x14ac:dyDescent="0.3">
      <c r="A82" s="431">
        <v>55</v>
      </c>
    </row>
    <row r="83" spans="1:1" x14ac:dyDescent="0.3">
      <c r="A83" s="431">
        <v>56</v>
      </c>
    </row>
    <row r="84" spans="1:1" x14ac:dyDescent="0.3">
      <c r="A84" s="431">
        <v>57</v>
      </c>
    </row>
    <row r="85" spans="1:1" x14ac:dyDescent="0.3">
      <c r="A85" s="431">
        <v>58</v>
      </c>
    </row>
    <row r="86" spans="1:1" x14ac:dyDescent="0.3">
      <c r="A86" s="431">
        <v>59</v>
      </c>
    </row>
    <row r="87" spans="1:1" x14ac:dyDescent="0.3">
      <c r="A87" s="431">
        <v>60</v>
      </c>
    </row>
    <row r="88" spans="1:1" x14ac:dyDescent="0.3">
      <c r="A88" s="431">
        <v>61</v>
      </c>
    </row>
    <row r="89" spans="1:1" x14ac:dyDescent="0.3">
      <c r="A89" s="431">
        <v>62</v>
      </c>
    </row>
    <row r="90" spans="1:1" x14ac:dyDescent="0.3">
      <c r="A90" s="431">
        <v>63</v>
      </c>
    </row>
    <row r="91" spans="1:1" x14ac:dyDescent="0.3">
      <c r="A91" s="431">
        <v>64</v>
      </c>
    </row>
    <row r="92" spans="1:1" x14ac:dyDescent="0.3">
      <c r="A92" s="431">
        <v>65</v>
      </c>
    </row>
    <row r="93" spans="1:1" x14ac:dyDescent="0.3">
      <c r="A93" s="431">
        <v>66</v>
      </c>
    </row>
    <row r="94" spans="1:1" x14ac:dyDescent="0.3">
      <c r="A94" s="431">
        <v>67</v>
      </c>
    </row>
    <row r="95" spans="1:1" x14ac:dyDescent="0.3">
      <c r="A95" s="431">
        <v>68</v>
      </c>
    </row>
    <row r="96" spans="1:1" x14ac:dyDescent="0.3">
      <c r="A96" s="431">
        <v>69</v>
      </c>
    </row>
    <row r="97" spans="1:6" s="12" customFormat="1" ht="15" thickBot="1" x14ac:dyDescent="0.35">
      <c r="A97" s="489">
        <v>70</v>
      </c>
    </row>
    <row r="98" spans="1:6" ht="31.2" x14ac:dyDescent="0.6">
      <c r="A98" s="10"/>
      <c r="B98" s="486" t="s">
        <v>3463</v>
      </c>
      <c r="C98" s="487" t="s">
        <v>3958</v>
      </c>
      <c r="D98" s="488" t="s">
        <v>3974</v>
      </c>
    </row>
    <row r="99" spans="1:6" ht="14.7" customHeight="1" x14ac:dyDescent="0.3">
      <c r="A99" s="10"/>
      <c r="B99" s="588" t="s">
        <v>3986</v>
      </c>
      <c r="C99" s="447" t="s">
        <v>8368</v>
      </c>
      <c r="D99" s="1150" t="s">
        <v>8775</v>
      </c>
    </row>
    <row r="100" spans="1:6" ht="18" x14ac:dyDescent="0.3">
      <c r="A100" s="10"/>
      <c r="B100" s="589"/>
      <c r="C100" s="443" t="s">
        <v>3998</v>
      </c>
      <c r="D100" s="1151"/>
    </row>
    <row r="101" spans="1:6" ht="18" x14ac:dyDescent="0.35">
      <c r="A101" s="10"/>
      <c r="B101" s="457" t="s">
        <v>4010</v>
      </c>
      <c r="C101" s="466"/>
      <c r="D101" s="425"/>
    </row>
    <row r="102" spans="1:6" ht="18" x14ac:dyDescent="0.35">
      <c r="A102" s="10"/>
      <c r="B102" s="461" t="s">
        <v>4022</v>
      </c>
      <c r="C102" s="467"/>
      <c r="D102" s="426"/>
    </row>
    <row r="103" spans="1:6" ht="18.600000000000001" thickBot="1" x14ac:dyDescent="0.4">
      <c r="A103" s="10"/>
      <c r="B103" s="461" t="s">
        <v>4034</v>
      </c>
      <c r="C103" s="467"/>
      <c r="D103" s="426"/>
    </row>
    <row r="104" spans="1:6" ht="18" x14ac:dyDescent="0.35">
      <c r="A104" s="10"/>
      <c r="B104" s="387" t="s">
        <v>3747</v>
      </c>
      <c r="C104" s="468"/>
      <c r="D104" s="427"/>
      <c r="E104" s="364" t="s">
        <v>8776</v>
      </c>
      <c r="F104" s="454" t="s">
        <v>8777</v>
      </c>
    </row>
    <row r="105" spans="1:6" x14ac:dyDescent="0.3">
      <c r="A105" s="10"/>
      <c r="B105" s="457" t="s">
        <v>4010</v>
      </c>
      <c r="C105" s="466"/>
      <c r="D105" s="428"/>
      <c r="E105" s="366"/>
      <c r="F105" s="455">
        <f>IF('Table of Contents &amp; Validation'!D9=TRUE,1,0)</f>
        <v>0</v>
      </c>
    </row>
    <row r="106" spans="1:6" x14ac:dyDescent="0.3">
      <c r="A106" s="10"/>
      <c r="B106" s="458" t="s">
        <v>4048</v>
      </c>
      <c r="C106" s="467"/>
      <c r="D106" s="472" t="b">
        <v>0</v>
      </c>
      <c r="E106" s="366" t="str">
        <f>IF('Table of Contents &amp; Validation'!D10=TRUE,COUNTIF('Table of Contents &amp; Validation'!$D$10:D10,TRUE),"")</f>
        <v/>
      </c>
      <c r="F106" s="455">
        <f>IF('Table of Contents &amp; Validation'!D10=TRUE,1,0)</f>
        <v>0</v>
      </c>
    </row>
    <row r="107" spans="1:6" x14ac:dyDescent="0.3">
      <c r="A107" s="10"/>
      <c r="B107" s="462" t="s">
        <v>4646</v>
      </c>
      <c r="C107" s="467"/>
      <c r="D107" s="224"/>
      <c r="E107" s="366" t="str">
        <f>IF('Table of Contents &amp; Validation'!D11=TRUE,COUNTIF('Table of Contents &amp; Validation'!$D$10:D11,TRUE),"")</f>
        <v/>
      </c>
      <c r="F107" s="455">
        <f>IF('Table of Contents &amp; Validation'!D11=TRUE,1,0)</f>
        <v>0</v>
      </c>
    </row>
    <row r="108" spans="1:6" x14ac:dyDescent="0.3">
      <c r="A108" s="10"/>
      <c r="B108" s="462" t="s">
        <v>4658</v>
      </c>
      <c r="C108" s="467"/>
      <c r="D108" s="450" t="b">
        <v>0</v>
      </c>
      <c r="E108" s="366" t="str">
        <f>IF('Table of Contents &amp; Validation'!D12=TRUE,COUNTIF('Table of Contents &amp; Validation'!$D$10:D12,TRUE),"")</f>
        <v/>
      </c>
      <c r="F108" s="455">
        <f>IF('Table of Contents &amp; Validation'!D12=TRUE,1,0)</f>
        <v>0</v>
      </c>
    </row>
    <row r="109" spans="1:6" x14ac:dyDescent="0.3">
      <c r="A109" s="10"/>
      <c r="B109" s="462" t="s">
        <v>4813</v>
      </c>
      <c r="C109" s="467"/>
      <c r="D109" s="450" t="b">
        <v>0</v>
      </c>
      <c r="E109" s="366" t="str">
        <f>IF('Table of Contents &amp; Validation'!D13=TRUE,COUNTIF('Table of Contents &amp; Validation'!$D$10:D13,TRUE),"")</f>
        <v/>
      </c>
      <c r="F109" s="455">
        <f>IF('Table of Contents &amp; Validation'!D13=TRUE,1,0)</f>
        <v>0</v>
      </c>
    </row>
    <row r="110" spans="1:6" x14ac:dyDescent="0.3">
      <c r="A110" s="10"/>
      <c r="B110" s="462" t="s">
        <v>4851</v>
      </c>
      <c r="C110" s="467"/>
      <c r="D110" s="450" t="b">
        <v>0</v>
      </c>
      <c r="E110" s="366" t="str">
        <f>IF('Table of Contents &amp; Validation'!D14=TRUE,COUNTIF('Table of Contents &amp; Validation'!$D$10:D14,TRUE),"")</f>
        <v/>
      </c>
      <c r="F110" s="455">
        <f>IF('Table of Contents &amp; Validation'!D14=TRUE,1,0)</f>
        <v>0</v>
      </c>
    </row>
    <row r="111" spans="1:6" x14ac:dyDescent="0.3">
      <c r="A111" s="10"/>
      <c r="B111" s="462" t="s">
        <v>4887</v>
      </c>
      <c r="C111" s="467"/>
      <c r="D111" s="450" t="b">
        <v>0</v>
      </c>
      <c r="E111" s="366" t="str">
        <f>IF('Table of Contents &amp; Validation'!D15=TRUE,COUNTIF('Table of Contents &amp; Validation'!$D$10:D15,TRUE),"")</f>
        <v/>
      </c>
      <c r="F111" s="455">
        <f>IF('Table of Contents &amp; Validation'!D15=TRUE,1,0)</f>
        <v>0</v>
      </c>
    </row>
    <row r="112" spans="1:6" ht="28.8" x14ac:dyDescent="0.3">
      <c r="A112" s="10"/>
      <c r="B112" s="515" t="s">
        <v>4964</v>
      </c>
      <c r="C112" s="467"/>
      <c r="D112" s="450" t="b">
        <v>0</v>
      </c>
      <c r="E112" s="366" t="str">
        <f>IF('Table of Contents &amp; Validation'!D16=TRUE,COUNTIF('Table of Contents &amp; Validation'!$D$10:D16,TRUE),"")</f>
        <v/>
      </c>
      <c r="F112" s="455">
        <f>IF('Table of Contents &amp; Validation'!D16=TRUE,1,0)</f>
        <v>0</v>
      </c>
    </row>
    <row r="113" spans="1:6" x14ac:dyDescent="0.3">
      <c r="A113" s="10"/>
      <c r="B113" s="513" t="s">
        <v>5127</v>
      </c>
      <c r="C113" s="467"/>
      <c r="D113" s="450" t="b">
        <v>0</v>
      </c>
      <c r="E113" s="366" t="str">
        <f>IF('Table of Contents &amp; Validation'!D17=TRUE,COUNTIF('Table of Contents &amp; Validation'!$D$10:D17,TRUE),"")</f>
        <v/>
      </c>
      <c r="F113" s="455">
        <f>IF('Table of Contents &amp; Validation'!D17=TRUE,1,0)</f>
        <v>0</v>
      </c>
    </row>
    <row r="114" spans="1:6" x14ac:dyDescent="0.3">
      <c r="A114" s="10"/>
      <c r="B114" s="459" t="s">
        <v>4067</v>
      </c>
      <c r="C114" s="466"/>
      <c r="D114" s="474"/>
      <c r="E114" s="424" t="str">
        <f>IF('Table of Contents &amp; Validation'!D18=TRUE,COUNTIF('Table of Contents &amp; Validation'!$D$10:D18,TRUE),"")</f>
        <v/>
      </c>
      <c r="F114" s="455">
        <f>IF('Table of Contents &amp; Validation'!D18=TRUE,1,0)</f>
        <v>0</v>
      </c>
    </row>
    <row r="115" spans="1:6" x14ac:dyDescent="0.3">
      <c r="A115" s="10"/>
      <c r="B115" s="458" t="s">
        <v>4079</v>
      </c>
      <c r="C115" s="467"/>
      <c r="D115" s="473" t="b">
        <v>0</v>
      </c>
      <c r="E115" s="366" t="str">
        <f>IF('Table of Contents &amp; Validation'!D19=TRUE,COUNTIF('Table of Contents &amp; Validation'!$D$10:D19,TRUE),"")</f>
        <v/>
      </c>
      <c r="F115" s="455">
        <f>IF('Table of Contents &amp; Validation'!D19=TRUE,1,0)</f>
        <v>0</v>
      </c>
    </row>
    <row r="116" spans="1:6" x14ac:dyDescent="0.3">
      <c r="A116" s="10"/>
      <c r="B116" s="462" t="s">
        <v>5290</v>
      </c>
      <c r="C116" s="467"/>
      <c r="D116" s="450" t="b">
        <v>0</v>
      </c>
      <c r="E116" s="366" t="str">
        <f>IF('Table of Contents &amp; Validation'!D20=TRUE,COUNTIF('Table of Contents &amp; Validation'!$D$10:D20,TRUE),"")</f>
        <v/>
      </c>
      <c r="F116" s="455">
        <f>IF('Table of Contents &amp; Validation'!D20=TRUE,1,0)</f>
        <v>0</v>
      </c>
    </row>
    <row r="117" spans="1:6" x14ac:dyDescent="0.3">
      <c r="A117" s="10"/>
      <c r="B117" s="462" t="s">
        <v>5314</v>
      </c>
      <c r="C117" s="467"/>
      <c r="D117" s="450" t="b">
        <v>0</v>
      </c>
      <c r="E117" s="366" t="str">
        <f>IF('Table of Contents &amp; Validation'!D21=TRUE,COUNTIF('Table of Contents &amp; Validation'!$D$10:D21,TRUE),"")</f>
        <v/>
      </c>
      <c r="F117" s="455">
        <f>IF('Table of Contents &amp; Validation'!D21=TRUE,1,0)</f>
        <v>0</v>
      </c>
    </row>
    <row r="118" spans="1:6" ht="28.8" x14ac:dyDescent="0.3">
      <c r="A118" s="10"/>
      <c r="B118" s="462" t="s">
        <v>5408</v>
      </c>
      <c r="C118" s="467"/>
      <c r="D118" s="450" t="b">
        <v>0</v>
      </c>
      <c r="E118" s="366" t="str">
        <f>IF('Table of Contents &amp; Validation'!D22=TRUE,COUNTIF('Table of Contents &amp; Validation'!$D$10:D22,TRUE),"")</f>
        <v/>
      </c>
      <c r="F118" s="455">
        <f>IF('Table of Contents &amp; Validation'!D22=TRUE,1,0)</f>
        <v>0</v>
      </c>
    </row>
    <row r="119" spans="1:6" x14ac:dyDescent="0.3">
      <c r="A119" s="10"/>
      <c r="B119" s="462" t="s">
        <v>5893</v>
      </c>
      <c r="C119" s="467"/>
      <c r="D119" s="450" t="b">
        <v>0</v>
      </c>
      <c r="E119" s="366" t="str">
        <f>IF('Table of Contents &amp; Validation'!D23=TRUE,COUNTIF('Table of Contents &amp; Validation'!$D$10:D23,TRUE),"")</f>
        <v/>
      </c>
      <c r="F119" s="455">
        <f>IF('Table of Contents &amp; Validation'!D23=TRUE,1,0)</f>
        <v>0</v>
      </c>
    </row>
    <row r="120" spans="1:6" x14ac:dyDescent="0.3">
      <c r="A120" s="10"/>
      <c r="B120" s="461" t="s">
        <v>4091</v>
      </c>
      <c r="C120" s="467"/>
      <c r="D120" s="450" t="b">
        <v>0</v>
      </c>
      <c r="E120" s="366" t="str">
        <f>IF('Table of Contents &amp; Validation'!D24=TRUE,COUNTIF('Table of Contents &amp; Validation'!$D$10:D24,TRUE),"")</f>
        <v/>
      </c>
      <c r="F120" s="455">
        <f>IF('Table of Contents &amp; Validation'!D24=TRUE,1,0)</f>
        <v>0</v>
      </c>
    </row>
    <row r="121" spans="1:6" x14ac:dyDescent="0.3">
      <c r="A121" s="10"/>
      <c r="B121" s="461" t="s">
        <v>4103</v>
      </c>
      <c r="C121" s="467"/>
      <c r="D121" s="473" t="b">
        <v>0</v>
      </c>
      <c r="E121" s="366" t="str">
        <f>IF('Table of Contents &amp; Validation'!D25=TRUE,COUNTIF('Table of Contents &amp; Validation'!$D$10:D25,TRUE),"")</f>
        <v/>
      </c>
      <c r="F121" s="455">
        <f>IF('Table of Contents &amp; Validation'!D25=TRUE,1,0)</f>
        <v>0</v>
      </c>
    </row>
    <row r="122" spans="1:6" x14ac:dyDescent="0.3">
      <c r="A122" s="10"/>
      <c r="B122" s="462" t="s">
        <v>6068</v>
      </c>
      <c r="C122" s="467"/>
      <c r="D122" s="450" t="b">
        <v>0</v>
      </c>
      <c r="E122" s="366" t="str">
        <f>IF('Table of Contents &amp; Validation'!D26=TRUE,COUNTIF('Table of Contents &amp; Validation'!$D$10:D26,TRUE),"")</f>
        <v/>
      </c>
      <c r="F122" s="455">
        <f>IF('Table of Contents &amp; Validation'!D26=TRUE,1,0)</f>
        <v>0</v>
      </c>
    </row>
    <row r="123" spans="1:6" x14ac:dyDescent="0.3">
      <c r="A123" s="10"/>
      <c r="B123" s="462" t="s">
        <v>6164</v>
      </c>
      <c r="C123" s="467"/>
      <c r="D123" s="450" t="b">
        <v>0</v>
      </c>
      <c r="E123" s="366" t="str">
        <f>IF('Table of Contents &amp; Validation'!D27=TRUE,COUNTIF('Table of Contents &amp; Validation'!$D$10:D27,TRUE),"")</f>
        <v/>
      </c>
      <c r="F123" s="455">
        <f>IF('Table of Contents &amp; Validation'!D27=TRUE,1,0)</f>
        <v>0</v>
      </c>
    </row>
    <row r="124" spans="1:6" x14ac:dyDescent="0.3">
      <c r="A124" s="10"/>
      <c r="B124" s="461" t="s">
        <v>4115</v>
      </c>
      <c r="C124" s="467"/>
      <c r="D124" s="473" t="b">
        <v>0</v>
      </c>
      <c r="E124" s="366">
        <f>IF('Table of Contents &amp; Validation'!D28=TRUE,COUNTIF('Table of Contents &amp; Validation'!$D$10:D28,TRUE),"")</f>
        <v>1</v>
      </c>
      <c r="F124" s="455">
        <f>IF('Table of Contents &amp; Validation'!D28=TRUE,1,0)</f>
        <v>1</v>
      </c>
    </row>
    <row r="125" spans="1:6" x14ac:dyDescent="0.3">
      <c r="A125" s="10"/>
      <c r="B125" s="462" t="s">
        <v>6247</v>
      </c>
      <c r="C125" s="467"/>
      <c r="D125" s="450" t="b">
        <v>0</v>
      </c>
      <c r="E125" s="366">
        <f>IF('Table of Contents &amp; Validation'!D29=TRUE,COUNTIF('Table of Contents &amp; Validation'!$D$10:D29,TRUE),"")</f>
        <v>2</v>
      </c>
      <c r="F125" s="455">
        <f>IF('Table of Contents &amp; Validation'!D29=TRUE,1,0)</f>
        <v>1</v>
      </c>
    </row>
    <row r="126" spans="1:6" x14ac:dyDescent="0.3">
      <c r="A126" s="10"/>
      <c r="B126" s="462" t="s">
        <v>6281</v>
      </c>
      <c r="C126" s="467"/>
      <c r="D126" s="450" t="b">
        <v>0</v>
      </c>
      <c r="E126" s="366">
        <f>IF('Table of Contents &amp; Validation'!D30=TRUE,COUNTIF('Table of Contents &amp; Validation'!$D$10:D30,TRUE),"")</f>
        <v>3</v>
      </c>
      <c r="F126" s="455">
        <f>IF('Table of Contents &amp; Validation'!D30=TRUE,1,0)</f>
        <v>1</v>
      </c>
    </row>
    <row r="127" spans="1:6" x14ac:dyDescent="0.3">
      <c r="A127" s="10"/>
      <c r="B127" s="461" t="s">
        <v>4127</v>
      </c>
      <c r="C127" s="467"/>
      <c r="D127" s="473" t="b">
        <v>0</v>
      </c>
      <c r="E127" s="366" t="str">
        <f>IF('Table of Contents &amp; Validation'!D31=TRUE,COUNTIF('Table of Contents &amp; Validation'!$D$10:D31,TRUE),"")</f>
        <v/>
      </c>
      <c r="F127" s="455">
        <f>IF('Table of Contents &amp; Validation'!D31=TRUE,1,0)</f>
        <v>0</v>
      </c>
    </row>
    <row r="128" spans="1:6" x14ac:dyDescent="0.3">
      <c r="A128" s="10"/>
      <c r="B128" s="462" t="s">
        <v>6328</v>
      </c>
      <c r="C128" s="467"/>
      <c r="D128" s="450" t="b">
        <v>0</v>
      </c>
      <c r="E128" s="366" t="str">
        <f>IF('Table of Contents &amp; Validation'!D32=TRUE,COUNTIF('Table of Contents &amp; Validation'!$D$10:D32,TRUE),"")</f>
        <v/>
      </c>
      <c r="F128" s="455">
        <f>IF('Table of Contents &amp; Validation'!D32=TRUE,1,0)</f>
        <v>0</v>
      </c>
    </row>
    <row r="129" spans="1:6" x14ac:dyDescent="0.3">
      <c r="A129" s="10"/>
      <c r="B129" s="462" t="s">
        <v>6364</v>
      </c>
      <c r="C129" s="467"/>
      <c r="D129" s="450" t="b">
        <v>0</v>
      </c>
      <c r="E129" s="366" t="str">
        <f>IF('Table of Contents &amp; Validation'!D33=TRUE,COUNTIF('Table of Contents &amp; Validation'!$D$10:D33,TRUE),"")</f>
        <v/>
      </c>
      <c r="F129" s="455">
        <f>IF('Table of Contents &amp; Validation'!D33=TRUE,1,0)</f>
        <v>0</v>
      </c>
    </row>
    <row r="130" spans="1:6" x14ac:dyDescent="0.3">
      <c r="A130" s="10"/>
      <c r="B130" s="462" t="s">
        <v>6529</v>
      </c>
      <c r="C130" s="467"/>
      <c r="D130" s="450" t="b">
        <v>0</v>
      </c>
      <c r="E130" s="366" t="str">
        <f>IF('Table of Contents &amp; Validation'!D34=TRUE,COUNTIF('Table of Contents &amp; Validation'!$D$10:D34,TRUE),"")</f>
        <v/>
      </c>
      <c r="F130" s="455">
        <f>IF('Table of Contents &amp; Validation'!D34=TRUE,1,0)</f>
        <v>0</v>
      </c>
    </row>
    <row r="131" spans="1:6" x14ac:dyDescent="0.3">
      <c r="A131" s="10"/>
      <c r="B131" s="459" t="s">
        <v>4139</v>
      </c>
      <c r="C131" s="466"/>
      <c r="D131" s="475"/>
      <c r="E131" s="366" t="str">
        <f>IF('Table of Contents &amp; Validation'!D35=TRUE,COUNTIF('Table of Contents &amp; Validation'!$D$10:D35,TRUE),"")</f>
        <v/>
      </c>
      <c r="F131" s="455">
        <f>IF('Table of Contents &amp; Validation'!D35=TRUE,1,0)</f>
        <v>0</v>
      </c>
    </row>
    <row r="132" spans="1:6" x14ac:dyDescent="0.3">
      <c r="A132" s="10"/>
      <c r="B132" s="458" t="s">
        <v>4151</v>
      </c>
      <c r="C132" s="467"/>
      <c r="D132" s="473" t="b">
        <v>0</v>
      </c>
      <c r="E132" s="366" t="str">
        <f>IF('Table of Contents &amp; Validation'!D36=TRUE,COUNTIF('Table of Contents &amp; Validation'!$D$10:D36,TRUE),"")</f>
        <v/>
      </c>
      <c r="F132" s="455">
        <f>IF('Table of Contents &amp; Validation'!D36=TRUE,1,0)</f>
        <v>0</v>
      </c>
    </row>
    <row r="133" spans="1:6" x14ac:dyDescent="0.3">
      <c r="A133" s="10"/>
      <c r="B133" s="462" t="s">
        <v>6720</v>
      </c>
      <c r="C133" s="467"/>
      <c r="D133" s="450" t="b">
        <v>0</v>
      </c>
      <c r="E133" s="366" t="str">
        <f>IF('Table of Contents &amp; Validation'!D37=TRUE,COUNTIF('Table of Contents &amp; Validation'!$D$10:D37,TRUE),"")</f>
        <v/>
      </c>
      <c r="F133" s="455">
        <f>IF('Table of Contents &amp; Validation'!D37=TRUE,1,0)</f>
        <v>0</v>
      </c>
    </row>
    <row r="134" spans="1:6" x14ac:dyDescent="0.3">
      <c r="A134" s="10"/>
      <c r="B134" s="462" t="s">
        <v>6779</v>
      </c>
      <c r="C134" s="467"/>
      <c r="D134" s="450" t="b">
        <v>0</v>
      </c>
      <c r="E134" s="366" t="str">
        <f>IF('Table of Contents &amp; Validation'!D38=TRUE,COUNTIF('Table of Contents &amp; Validation'!$D$10:D38,TRUE),"")</f>
        <v/>
      </c>
      <c r="F134" s="455">
        <f>IF('Table of Contents &amp; Validation'!D38=TRUE,1,0)</f>
        <v>0</v>
      </c>
    </row>
    <row r="135" spans="1:6" x14ac:dyDescent="0.3">
      <c r="A135" s="10"/>
      <c r="B135" s="462" t="s">
        <v>6847</v>
      </c>
      <c r="C135" s="467"/>
      <c r="D135" s="450" t="b">
        <v>0</v>
      </c>
      <c r="E135" s="366" t="str">
        <f>IF('Table of Contents &amp; Validation'!D39=TRUE,COUNTIF('Table of Contents &amp; Validation'!$D$10:D39,TRUE),"")</f>
        <v/>
      </c>
      <c r="F135" s="455">
        <f>IF('Table of Contents &amp; Validation'!D39=TRUE,1,0)</f>
        <v>0</v>
      </c>
    </row>
    <row r="136" spans="1:6" x14ac:dyDescent="0.3">
      <c r="A136" s="10"/>
      <c r="B136" s="462" t="s">
        <v>6883</v>
      </c>
      <c r="C136" s="467"/>
      <c r="D136" s="450" t="b">
        <v>0</v>
      </c>
      <c r="E136" s="366" t="str">
        <f>IF('Table of Contents &amp; Validation'!D40=TRUE,COUNTIF('Table of Contents &amp; Validation'!$D$10:D40,TRUE),"")</f>
        <v/>
      </c>
      <c r="F136" s="455">
        <f>IF('Table of Contents &amp; Validation'!D40=TRUE,1,0)</f>
        <v>0</v>
      </c>
    </row>
    <row r="137" spans="1:6" x14ac:dyDescent="0.3">
      <c r="A137" s="10"/>
      <c r="B137" s="461" t="s">
        <v>4163</v>
      </c>
      <c r="C137" s="467"/>
      <c r="D137" s="450" t="b">
        <v>0</v>
      </c>
      <c r="E137" s="366" t="str">
        <f>IF('Table of Contents &amp; Validation'!D41=TRUE,COUNTIF('Table of Contents &amp; Validation'!$D$10:D41,TRUE),"")</f>
        <v/>
      </c>
      <c r="F137" s="455">
        <f>IF('Table of Contents &amp; Validation'!D41=TRUE,1,0)</f>
        <v>0</v>
      </c>
    </row>
    <row r="138" spans="1:6" x14ac:dyDescent="0.3">
      <c r="A138" s="10"/>
      <c r="B138" s="461" t="s">
        <v>4175</v>
      </c>
      <c r="C138" s="467"/>
      <c r="D138" s="473" t="b">
        <v>0</v>
      </c>
      <c r="E138" s="366" t="str">
        <f>IF('Table of Contents &amp; Validation'!D42=TRUE,COUNTIF('Table of Contents &amp; Validation'!$D$10:D42,TRUE),"")</f>
        <v/>
      </c>
      <c r="F138" s="455">
        <f>IF('Table of Contents &amp; Validation'!D42=TRUE,1,0)</f>
        <v>0</v>
      </c>
    </row>
    <row r="139" spans="1:6" x14ac:dyDescent="0.3">
      <c r="A139" s="10"/>
      <c r="B139" s="462" t="s">
        <v>4175</v>
      </c>
      <c r="C139" s="467"/>
      <c r="D139" s="450" t="b">
        <v>0</v>
      </c>
      <c r="E139" s="366" t="str">
        <f>IF('Table of Contents &amp; Validation'!D43=TRUE,COUNTIF('Table of Contents &amp; Validation'!$D$10:D43,TRUE),"")</f>
        <v/>
      </c>
      <c r="F139" s="455">
        <f>IF('Table of Contents &amp; Validation'!D43=TRUE,1,0)</f>
        <v>0</v>
      </c>
    </row>
    <row r="140" spans="1:6" ht="28.8" x14ac:dyDescent="0.3">
      <c r="A140" s="10"/>
      <c r="B140" s="462" t="s">
        <v>7094</v>
      </c>
      <c r="C140" s="467"/>
      <c r="D140" s="450" t="b">
        <v>0</v>
      </c>
      <c r="E140" s="366" t="str">
        <f>IF('Table of Contents &amp; Validation'!D44=TRUE,COUNTIF('Table of Contents &amp; Validation'!$D$10:D44,TRUE),"")</f>
        <v/>
      </c>
      <c r="F140" s="455">
        <f>IF('Table of Contents &amp; Validation'!D44=TRUE,1,0)</f>
        <v>0</v>
      </c>
    </row>
    <row r="141" spans="1:6" x14ac:dyDescent="0.3">
      <c r="A141" s="10"/>
      <c r="B141" s="459" t="s">
        <v>4187</v>
      </c>
      <c r="C141" s="466"/>
      <c r="D141" s="475"/>
      <c r="E141" s="366" t="str">
        <f>IF('Table of Contents &amp; Validation'!D45=TRUE,COUNTIF('Table of Contents &amp; Validation'!$D$10:D45,TRUE),"")</f>
        <v/>
      </c>
      <c r="F141" s="455">
        <f>IF('Table of Contents &amp; Validation'!D45=TRUE,1,0)</f>
        <v>0</v>
      </c>
    </row>
    <row r="142" spans="1:6" ht="15" thickBot="1" x14ac:dyDescent="0.35">
      <c r="A142" s="10"/>
      <c r="B142" s="463" t="s">
        <v>4199</v>
      </c>
      <c r="C142" s="469"/>
      <c r="D142" s="452" t="b">
        <v>0</v>
      </c>
      <c r="E142" s="366" t="str">
        <f>IF('Table of Contents &amp; Validation'!D46=TRUE,COUNTIF('Table of Contents &amp; Validation'!$D$10:D46,TRUE),"")</f>
        <v/>
      </c>
      <c r="F142" s="455">
        <f>IF('Table of Contents &amp; Validation'!D46=TRUE,1,0)</f>
        <v>0</v>
      </c>
    </row>
    <row r="143" spans="1:6" ht="18" x14ac:dyDescent="0.35">
      <c r="A143" s="10"/>
      <c r="B143" s="387" t="s">
        <v>3771</v>
      </c>
      <c r="C143" s="468"/>
      <c r="D143" s="476"/>
      <c r="E143" s="366" t="str">
        <f>IF('Table of Contents &amp; Validation'!D47=TRUE,COUNTIF('Table of Contents &amp; Validation'!$D$10:D47,TRUE),"")</f>
        <v/>
      </c>
      <c r="F143" s="455">
        <f>IF('Table of Contents &amp; Validation'!D47=TRUE,1,0)</f>
        <v>0</v>
      </c>
    </row>
    <row r="144" spans="1:6" x14ac:dyDescent="0.3">
      <c r="A144" s="10"/>
      <c r="B144" s="457" t="s">
        <v>4010</v>
      </c>
      <c r="C144" s="466"/>
      <c r="D144" s="475"/>
      <c r="E144" s="366" t="str">
        <f>IF('Table of Contents &amp; Validation'!D48=TRUE,COUNTIF('Table of Contents &amp; Validation'!$D$10:D48,TRUE),"")</f>
        <v/>
      </c>
      <c r="F144" s="455">
        <f>IF('Table of Contents &amp; Validation'!D48=TRUE,1,0)</f>
        <v>0</v>
      </c>
    </row>
    <row r="145" spans="1:6" x14ac:dyDescent="0.3">
      <c r="A145" s="10"/>
      <c r="B145" s="461" t="s">
        <v>4216</v>
      </c>
      <c r="C145" s="467"/>
      <c r="D145" s="450" t="b">
        <v>0</v>
      </c>
      <c r="E145" s="366" t="str">
        <f>IF('Table of Contents &amp; Validation'!D49=TRUE,COUNTIF('Table of Contents &amp; Validation'!$D$10:D49,TRUE),"")</f>
        <v/>
      </c>
      <c r="F145" s="455">
        <f>IF('Table of Contents &amp; Validation'!D49=TRUE,1,0)</f>
        <v>0</v>
      </c>
    </row>
    <row r="146" spans="1:6" ht="28.8" x14ac:dyDescent="0.3">
      <c r="A146" s="10"/>
      <c r="B146" s="461" t="s">
        <v>4228</v>
      </c>
      <c r="C146" s="467"/>
      <c r="D146" s="450" t="b">
        <v>0</v>
      </c>
      <c r="E146" s="366" t="str">
        <f>IF('Table of Contents &amp; Validation'!D50=TRUE,COUNTIF('Table of Contents &amp; Validation'!$D$10:D50,TRUE),"")</f>
        <v/>
      </c>
      <c r="F146" s="455">
        <f>IF('Table of Contents &amp; Validation'!D50=TRUE,1,0)</f>
        <v>0</v>
      </c>
    </row>
    <row r="147" spans="1:6" x14ac:dyDescent="0.3">
      <c r="A147" s="10"/>
      <c r="B147" s="459" t="s">
        <v>4067</v>
      </c>
      <c r="C147" s="466"/>
      <c r="D147" s="475"/>
      <c r="E147" s="366" t="str">
        <f>IF('Table of Contents &amp; Validation'!D51=TRUE,COUNTIF('Table of Contents &amp; Validation'!$D$10:D51,TRUE),"")</f>
        <v/>
      </c>
      <c r="F147" s="455">
        <f>IF('Table of Contents &amp; Validation'!D51=TRUE,1,0)</f>
        <v>0</v>
      </c>
    </row>
    <row r="148" spans="1:6" x14ac:dyDescent="0.3">
      <c r="A148" s="10"/>
      <c r="B148" s="458" t="s">
        <v>4240</v>
      </c>
      <c r="C148" s="467"/>
      <c r="D148" s="473" t="b">
        <v>0</v>
      </c>
      <c r="E148" s="366" t="str">
        <f>IF('Table of Contents &amp; Validation'!D52=TRUE,COUNTIF('Table of Contents &amp; Validation'!$D$10:D52,TRUE),"")</f>
        <v/>
      </c>
      <c r="F148" s="455">
        <f>IF('Table of Contents &amp; Validation'!D52=TRUE,1,0)</f>
        <v>0</v>
      </c>
    </row>
    <row r="149" spans="1:6" x14ac:dyDescent="0.3">
      <c r="A149" s="10"/>
      <c r="B149" s="462" t="s">
        <v>5420</v>
      </c>
      <c r="C149" s="467"/>
      <c r="D149" s="450" t="b">
        <v>0</v>
      </c>
      <c r="E149" s="366" t="str">
        <f>IF('Table of Contents &amp; Validation'!D53=TRUE,COUNTIF('Table of Contents &amp; Validation'!$D$10:D53,TRUE),"")</f>
        <v/>
      </c>
      <c r="F149" s="455">
        <f>IF('Table of Contents &amp; Validation'!D53=TRUE,1,0)</f>
        <v>0</v>
      </c>
    </row>
    <row r="150" spans="1:6" ht="28.8" x14ac:dyDescent="0.3">
      <c r="A150" s="10"/>
      <c r="B150" s="462" t="s">
        <v>5788</v>
      </c>
      <c r="C150" s="467"/>
      <c r="D150" s="450" t="b">
        <v>0</v>
      </c>
      <c r="E150" s="366" t="str">
        <f>IF('Table of Contents &amp; Validation'!D54=TRUE,COUNTIF('Table of Contents &amp; Validation'!$D$10:D54,TRUE),"")</f>
        <v/>
      </c>
      <c r="F150" s="455">
        <f>IF('Table of Contents &amp; Validation'!D54=TRUE,1,0)</f>
        <v>0</v>
      </c>
    </row>
    <row r="151" spans="1:6" ht="28.8" x14ac:dyDescent="0.3">
      <c r="A151" s="10"/>
      <c r="B151" s="462" t="s">
        <v>5800</v>
      </c>
      <c r="C151" s="467"/>
      <c r="D151" s="450" t="b">
        <v>0</v>
      </c>
      <c r="E151" s="366" t="str">
        <f>IF('Table of Contents &amp; Validation'!D55=TRUE,COUNTIF('Table of Contents &amp; Validation'!$D$10:D55,TRUE),"")</f>
        <v/>
      </c>
      <c r="F151" s="455">
        <f>IF('Table of Contents &amp; Validation'!D55=TRUE,1,0)</f>
        <v>0</v>
      </c>
    </row>
    <row r="152" spans="1:6" x14ac:dyDescent="0.3">
      <c r="A152" s="10"/>
      <c r="B152" s="461" t="s">
        <v>4252</v>
      </c>
      <c r="C152" s="467"/>
      <c r="D152" s="450" t="b">
        <v>0</v>
      </c>
      <c r="E152" s="366" t="str">
        <f>IF('Table of Contents &amp; Validation'!D56=TRUE,COUNTIF('Table of Contents &amp; Validation'!$D$10:D56,TRUE),"")</f>
        <v/>
      </c>
      <c r="F152" s="455">
        <f>IF('Table of Contents &amp; Validation'!D56=TRUE,1,0)</f>
        <v>0</v>
      </c>
    </row>
    <row r="153" spans="1:6" x14ac:dyDescent="0.3">
      <c r="A153" s="10"/>
      <c r="B153" s="459" t="s">
        <v>4139</v>
      </c>
      <c r="C153" s="466"/>
      <c r="D153" s="475"/>
      <c r="E153" s="366" t="str">
        <f>IF('Table of Contents &amp; Validation'!D57=TRUE,COUNTIF('Table of Contents &amp; Validation'!$D$10:D57,TRUE),"")</f>
        <v/>
      </c>
      <c r="F153" s="455">
        <f>IF('Table of Contents &amp; Validation'!D57=TRUE,1,0)</f>
        <v>0</v>
      </c>
    </row>
    <row r="154" spans="1:6" x14ac:dyDescent="0.3">
      <c r="A154" s="10"/>
      <c r="B154" s="461" t="s">
        <v>4264</v>
      </c>
      <c r="C154" s="467"/>
      <c r="D154" s="450" t="b">
        <v>0</v>
      </c>
      <c r="E154" s="366" t="str">
        <f>IF('Table of Contents &amp; Validation'!D58=TRUE,COUNTIF('Table of Contents &amp; Validation'!$D$10:D58,TRUE),"")</f>
        <v/>
      </c>
      <c r="F154" s="455">
        <f>IF('Table of Contents &amp; Validation'!D58=TRUE,1,0)</f>
        <v>0</v>
      </c>
    </row>
    <row r="155" spans="1:6" ht="28.8" x14ac:dyDescent="0.3">
      <c r="A155" s="10"/>
      <c r="B155" s="461" t="s">
        <v>4276</v>
      </c>
      <c r="C155" s="467"/>
      <c r="D155" s="450" t="b">
        <v>0</v>
      </c>
      <c r="E155" s="366" t="str">
        <f>IF('Table of Contents &amp; Validation'!D59=TRUE,COUNTIF('Table of Contents &amp; Validation'!$D$10:D59,TRUE),"")</f>
        <v/>
      </c>
      <c r="F155" s="455">
        <f>IF('Table of Contents &amp; Validation'!D59=TRUE,1,0)</f>
        <v>0</v>
      </c>
    </row>
    <row r="156" spans="1:6" x14ac:dyDescent="0.3">
      <c r="A156" s="10"/>
      <c r="B156" s="464" t="s">
        <v>4288</v>
      </c>
      <c r="C156" s="470"/>
      <c r="D156" s="450" t="b">
        <v>0</v>
      </c>
      <c r="E156" s="366" t="str">
        <f>IF('Table of Contents &amp; Validation'!D60=TRUE,COUNTIF('Table of Contents &amp; Validation'!$D$10:D60,TRUE),"")</f>
        <v/>
      </c>
      <c r="F156" s="455">
        <f>IF('Table of Contents &amp; Validation'!D60=TRUE,1,0)</f>
        <v>0</v>
      </c>
    </row>
    <row r="157" spans="1:6" x14ac:dyDescent="0.3">
      <c r="A157" s="10"/>
      <c r="B157" s="460" t="s">
        <v>4187</v>
      </c>
      <c r="C157" s="467"/>
      <c r="D157" s="475"/>
      <c r="E157" s="366" t="str">
        <f>IF('Table of Contents &amp; Validation'!D61=TRUE,COUNTIF('Table of Contents &amp; Validation'!$D$10:D61,TRUE),"")</f>
        <v/>
      </c>
      <c r="F157" s="455">
        <f>IF('Table of Contents &amp; Validation'!D61=TRUE,1,0)</f>
        <v>0</v>
      </c>
    </row>
    <row r="158" spans="1:6" ht="28.8" x14ac:dyDescent="0.3">
      <c r="A158" s="10"/>
      <c r="B158" s="458" t="s">
        <v>4300</v>
      </c>
      <c r="C158" s="467"/>
      <c r="D158" s="473" t="b">
        <v>0</v>
      </c>
      <c r="E158" s="366" t="str">
        <f>IF('Table of Contents &amp; Validation'!D62=TRUE,COUNTIF('Table of Contents &amp; Validation'!$D$10:D62,TRUE),"")</f>
        <v/>
      </c>
      <c r="F158" s="455">
        <f>IF('Table of Contents &amp; Validation'!D62=TRUE,1,0)</f>
        <v>0</v>
      </c>
    </row>
    <row r="159" spans="1:6" x14ac:dyDescent="0.3">
      <c r="A159" s="10"/>
      <c r="B159" s="462" t="s">
        <v>7439</v>
      </c>
      <c r="C159" s="467"/>
      <c r="D159" s="450" t="b">
        <v>0</v>
      </c>
      <c r="E159" s="366" t="str">
        <f>IF('Table of Contents &amp; Validation'!D63=TRUE,COUNTIF('Table of Contents &amp; Validation'!$D$10:D63,TRUE),"")</f>
        <v/>
      </c>
      <c r="F159" s="455">
        <f>IF('Table of Contents &amp; Validation'!D63=TRUE,1,0)</f>
        <v>0</v>
      </c>
    </row>
    <row r="160" spans="1:6" x14ac:dyDescent="0.3">
      <c r="A160" s="10"/>
      <c r="B160" s="462" t="s">
        <v>7558</v>
      </c>
      <c r="C160" s="467"/>
      <c r="D160" s="450" t="b">
        <v>0</v>
      </c>
      <c r="E160" s="366" t="str">
        <f>IF('Table of Contents &amp; Validation'!D64=TRUE,COUNTIF('Table of Contents &amp; Validation'!$D$10:D64,TRUE),"")</f>
        <v/>
      </c>
      <c r="F160" s="455">
        <f>IF('Table of Contents &amp; Validation'!D64=TRUE,1,0)</f>
        <v>0</v>
      </c>
    </row>
    <row r="161" spans="1:6" ht="15" thickBot="1" x14ac:dyDescent="0.35">
      <c r="A161" s="10"/>
      <c r="B161" s="461" t="s">
        <v>4312</v>
      </c>
      <c r="C161" s="467"/>
      <c r="D161" s="450" t="b">
        <v>0</v>
      </c>
      <c r="E161" s="366" t="str">
        <f>IF('Table of Contents &amp; Validation'!D65=TRUE,COUNTIF('Table of Contents &amp; Validation'!$D$10:D65,TRUE),"")</f>
        <v/>
      </c>
      <c r="F161" s="455">
        <f>IF('Table of Contents &amp; Validation'!D65=TRUE,1,0)</f>
        <v>0</v>
      </c>
    </row>
    <row r="162" spans="1:6" x14ac:dyDescent="0.3">
      <c r="A162" s="10"/>
      <c r="B162" s="465" t="s">
        <v>4324</v>
      </c>
      <c r="C162" s="471"/>
      <c r="D162" s="477"/>
      <c r="E162" s="366" t="str">
        <f>IF('Table of Contents &amp; Validation'!D66=TRUE,COUNTIF('Table of Contents &amp; Validation'!$D$10:D66,TRUE),"")</f>
        <v/>
      </c>
      <c r="F162" s="455">
        <f>IF('Table of Contents &amp; Validation'!D66=TRUE,1,0)</f>
        <v>0</v>
      </c>
    </row>
    <row r="163" spans="1:6" ht="28.8" x14ac:dyDescent="0.3">
      <c r="A163" s="10"/>
      <c r="B163" s="461" t="s">
        <v>8778</v>
      </c>
      <c r="C163" s="467"/>
      <c r="D163" s="450" t="b">
        <v>0</v>
      </c>
      <c r="E163" s="366" t="str">
        <f>IF('Table of Contents &amp; Validation'!D67=TRUE,COUNTIF('Table of Contents &amp; Validation'!$D$10:D67,TRUE),"")</f>
        <v/>
      </c>
      <c r="F163" s="455">
        <f>IF('Table of Contents &amp; Validation'!D67=TRUE,1,0)</f>
        <v>0</v>
      </c>
    </row>
    <row r="164" spans="1:6" ht="28.8" x14ac:dyDescent="0.3">
      <c r="A164" s="10"/>
      <c r="B164" s="461" t="s">
        <v>8779</v>
      </c>
      <c r="C164" s="467"/>
      <c r="D164" s="450" t="b">
        <v>0</v>
      </c>
      <c r="E164" s="366" t="str">
        <f>IF('Table of Contents &amp; Validation'!D68=TRUE,COUNTIF('Table of Contents &amp; Validation'!$D$10:D68,TRUE),"")</f>
        <v/>
      </c>
      <c r="F164" s="455">
        <f>IF('Table of Contents &amp; Validation'!D68=TRUE,1,0)</f>
        <v>0</v>
      </c>
    </row>
    <row r="165" spans="1:6" x14ac:dyDescent="0.3">
      <c r="A165" s="10"/>
      <c r="B165" s="461" t="s">
        <v>8780</v>
      </c>
      <c r="C165" s="467"/>
      <c r="D165" s="450" t="b">
        <v>0</v>
      </c>
      <c r="E165" s="366" t="str">
        <f>IF('Table of Contents &amp; Validation'!D69=TRUE,COUNTIF('Table of Contents &amp; Validation'!$D$10:D69,TRUE),"")</f>
        <v/>
      </c>
      <c r="F165" s="455">
        <f>IF('Table of Contents &amp; Validation'!D69=TRUE,1,0)</f>
        <v>0</v>
      </c>
    </row>
    <row r="166" spans="1:6" ht="29.4" thickBot="1" x14ac:dyDescent="0.35">
      <c r="A166" s="10"/>
      <c r="B166" s="463" t="s">
        <v>8781</v>
      </c>
      <c r="C166" s="469"/>
      <c r="D166" s="452" t="b">
        <v>0</v>
      </c>
      <c r="E166" s="334" t="str">
        <f>IF('Table of Contents &amp; Validation'!D70=TRUE,COUNTIF('Table of Contents &amp; Validation'!$D$10:D70,TRUE),"")</f>
        <v/>
      </c>
      <c r="F166" s="456">
        <f>IF('Table of Contents &amp; Validation'!D70=TRUE,1,0)</f>
        <v>0</v>
      </c>
    </row>
  </sheetData>
  <sheetProtection algorithmName="SHA-512" hashValue="xv+r+F8Yw66ojfcaV1fwDXNhmcfQjv7ej6qwRkHcDy5MwW61z4DMx7fcEHZNkWgSOt9HfDWx4OTQ1VcqGEQc1w==" saltValue="D1MYjtWqF0mzVP3iAoSosQ==" spinCount="100000" sheet="1" objects="1" scenarios="1"/>
  <mergeCells count="3">
    <mergeCell ref="B99:B100"/>
    <mergeCell ref="D99:D100"/>
    <mergeCell ref="A17:B19"/>
  </mergeCells>
  <conditionalFormatting sqref="B98:C98">
    <cfRule type="expression" dxfId="31" priority="49">
      <formula>B$47="INCOMPLETE"</formula>
    </cfRule>
    <cfRule type="expression" dxfId="30" priority="50">
      <formula>B$47="COMPLETE"</formula>
    </cfRule>
  </conditionalFormatting>
  <conditionalFormatting sqref="C99">
    <cfRule type="expression" dxfId="29" priority="47">
      <formula>$C$3=template_label_incomplete</formula>
    </cfRule>
    <cfRule type="expression" dxfId="28" priority="48">
      <formula>$C$3=template_label_complete</formula>
    </cfRule>
  </conditionalFormatting>
  <conditionalFormatting sqref="C102:C104 C106:C143 C145:C166">
    <cfRule type="expression" dxfId="27" priority="19">
      <formula>$C102=template_label_classified_or_sensitive_information</formula>
    </cfRule>
    <cfRule type="expression" dxfId="26" priority="38">
      <formula>$C102=template_label_value_inconsistency</formula>
    </cfRule>
    <cfRule type="expression" dxfId="25" priority="39">
      <formula>$C102=template_label_invalid_url</formula>
    </cfRule>
    <cfRule type="expression" dxfId="24" priority="40">
      <formula>$C102=template_label_error_plus_missing_value_plus_value_inconsistency</formula>
    </cfRule>
    <cfRule type="expression" dxfId="23" priority="41">
      <formula>$C102=template_label_error_plus_value_inconsistency</formula>
    </cfRule>
    <cfRule type="expression" dxfId="22" priority="42">
      <formula>$C102=template_label_error_plus_missing_value</formula>
    </cfRule>
    <cfRule type="expression" dxfId="21" priority="43">
      <formula>$C102=template_label_missing_value_plus_value_inconsistency</formula>
    </cfRule>
    <cfRule type="expression" dxfId="20" priority="44">
      <formula>$C102=template_label_missing_value</formula>
    </cfRule>
    <cfRule type="expression" dxfId="19" priority="45">
      <formula>$C102=template_label_error</formula>
    </cfRule>
    <cfRule type="expression" dxfId="18" priority="46">
      <formula>$C102=template_label_ok</formula>
    </cfRule>
  </conditionalFormatting>
  <conditionalFormatting sqref="D104:D105">
    <cfRule type="expression" dxfId="17" priority="20">
      <formula>$C104=template_label_value_inconsistency</formula>
    </cfRule>
    <cfRule type="expression" dxfId="16" priority="21">
      <formula>$C104=template_label_invalid_url</formula>
    </cfRule>
    <cfRule type="expression" dxfId="15" priority="22">
      <formula>$C104=template_label_error_plus_missing_value_plus_value_inconsistency</formula>
    </cfRule>
    <cfRule type="expression" dxfId="14" priority="23">
      <formula>$C104=template_label_error_plus_value_inconsistency</formula>
    </cfRule>
    <cfRule type="expression" dxfId="13" priority="24">
      <formula>$C104=template_label_error_plus_missing_value</formula>
    </cfRule>
    <cfRule type="expression" dxfId="12" priority="25">
      <formula>$C104=template_label_missing_value_plus_value_inconsistency</formula>
    </cfRule>
    <cfRule type="expression" dxfId="11" priority="26">
      <formula>$C104=template_label_missing_value</formula>
    </cfRule>
    <cfRule type="expression" dxfId="10" priority="27">
      <formula>$C104=template_label_error</formula>
    </cfRule>
    <cfRule type="expression" dxfId="9" priority="28">
      <formula>$C104=template_label_ok</formula>
    </cfRule>
  </conditionalFormatting>
  <conditionalFormatting sqref="D114:E114">
    <cfRule type="expression" dxfId="8" priority="1">
      <formula>$C114=template_label_value_inconsistency</formula>
    </cfRule>
    <cfRule type="expression" dxfId="7" priority="2">
      <formula>$C114=template_label_invalid_url</formula>
    </cfRule>
    <cfRule type="expression" dxfId="6" priority="3">
      <formula>$C114=template_label_error_plus_missing_value_plus_value_inconsistency</formula>
    </cfRule>
    <cfRule type="expression" dxfId="5" priority="4">
      <formula>$C114=template_label_error_plus_value_inconsistency</formula>
    </cfRule>
    <cfRule type="expression" dxfId="4" priority="5">
      <formula>$C114=template_label_error_plus_missing_value</formula>
    </cfRule>
    <cfRule type="expression" dxfId="3" priority="6">
      <formula>$C114=template_label_missing_value_plus_value_inconsistency</formula>
    </cfRule>
    <cfRule type="expression" dxfId="2" priority="7">
      <formula>$C114=template_label_missing_value</formula>
    </cfRule>
    <cfRule type="expression" dxfId="1" priority="8">
      <formula>$C114=template_label_error</formula>
    </cfRule>
    <cfRule type="expression" dxfId="0" priority="9">
      <formula>$C114=template_label_ok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http://schemas.microsoft.com/office/2006/metadata/properties"/>
    <ds:schemaRef ds:uri="http://schemas.microsoft.com/office/infopath/2007/PartnerControls"/>
    <ds:schemaRef ds:uri="1daca54f-5fb0-46da-90de-dff88369e4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779</vt:i4>
      </vt:variant>
    </vt:vector>
  </HeadingPairs>
  <TitlesOfParts>
    <vt:vector size="793" baseType="lpstr">
      <vt:lpstr>Cover Page</vt:lpstr>
      <vt:lpstr>Introduction</vt:lpstr>
      <vt:lpstr>Table of Contents &amp; Validation</vt:lpstr>
      <vt:lpstr>General Information</vt:lpstr>
      <vt:lpstr>Environmental Disclosures</vt:lpstr>
      <vt:lpstr>Social Disclosures</vt:lpstr>
      <vt:lpstr>Governance Disclosures</vt:lpstr>
      <vt:lpstr>Fuel Conversion Parameters</vt:lpstr>
      <vt:lpstr>Unit Of Measurement Converter</vt:lpstr>
      <vt:lpstr>Licence</vt:lpstr>
      <vt:lpstr>Fuel Converter</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enum_list_options</vt:lpstr>
      <vt:lpstr>enum_list_true_false</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template_b10_workforce_number_of_training</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template_classified_or_sensitive_information</vt:lpstr>
      <vt:lpstr>template_currency</vt:lpstr>
      <vt:lpstr>template_disclaimer_cover_page</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template_filling_sensitive_checkboxes</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template_label_information_on_sensitive_information_before_converting</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template_label_warning_microsoft_excel</vt:lpstr>
      <vt:lpstr>template_label_waste_directed_to_disposal</vt:lpstr>
      <vt:lpstr>template_label_waste_diverted_to_recycle_or_reuse</vt:lpstr>
      <vt:lpstr>template_label_water_and_marine_resources</vt:lpstr>
      <vt:lpstr>template_label_water_discharge_from_undertaking_production_processes</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template_vsme_digital_template_sample</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2026-05-18T13:52:36Z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